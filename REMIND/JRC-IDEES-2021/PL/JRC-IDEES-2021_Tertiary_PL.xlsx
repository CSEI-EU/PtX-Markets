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L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K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K17" i="29"/>
  <c r="K9" i="29" s="1"/>
  <c r="J17" i="29"/>
  <c r="J9" i="29" s="1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K7" i="29" s="1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G6" i="29" s="1"/>
  <c r="F14" i="29"/>
  <c r="F6" i="29" s="1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K13" i="29"/>
  <c r="K5" i="29" s="1"/>
  <c r="J13" i="29"/>
  <c r="J5" i="29" s="1"/>
  <c r="I13" i="29"/>
  <c r="I5" i="29" s="1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O4" i="29" s="1"/>
  <c r="N12" i="29"/>
  <c r="N4" i="29" s="1"/>
  <c r="M12" i="29"/>
  <c r="M4" i="29" s="1"/>
  <c r="L12" i="29"/>
  <c r="L11" i="29" s="1"/>
  <c r="K12" i="29"/>
  <c r="J12" i="29"/>
  <c r="I12" i="29"/>
  <c r="H12" i="29"/>
  <c r="G12" i="29"/>
  <c r="G4" i="29" s="1"/>
  <c r="F12" i="29"/>
  <c r="F4" i="29" s="1"/>
  <c r="E12" i="29"/>
  <c r="E4" i="29" s="1"/>
  <c r="D12" i="29"/>
  <c r="D11" i="29" s="1"/>
  <c r="T9" i="29"/>
  <c r="S9" i="29"/>
  <c r="R9" i="29"/>
  <c r="L9" i="29"/>
  <c r="I9" i="29"/>
  <c r="D9" i="29"/>
  <c r="V8" i="29"/>
  <c r="U8" i="29"/>
  <c r="P8" i="29"/>
  <c r="H8" i="29"/>
  <c r="F8" i="29"/>
  <c r="T7" i="29"/>
  <c r="Q7" i="29"/>
  <c r="L7" i="29"/>
  <c r="J7" i="29"/>
  <c r="I7" i="29"/>
  <c r="D7" i="29"/>
  <c r="U6" i="29"/>
  <c r="P6" i="29"/>
  <c r="H6" i="29"/>
  <c r="E6" i="29"/>
  <c r="T5" i="29"/>
  <c r="S5" i="29"/>
  <c r="L5" i="29"/>
  <c r="D5" i="29"/>
  <c r="W4" i="29"/>
  <c r="U4" i="29"/>
  <c r="P4" i="29"/>
  <c r="H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8" i="29" l="1"/>
  <c r="U11" i="29"/>
  <c r="V6" i="29"/>
  <c r="W6" i="29"/>
  <c r="R7" i="29"/>
  <c r="V11" i="29"/>
  <c r="J11" i="29"/>
  <c r="N11" i="29"/>
  <c r="S7" i="29"/>
  <c r="W11" i="29"/>
  <c r="K11" i="29"/>
  <c r="G11" i="29"/>
  <c r="V4" i="29"/>
  <c r="V3" i="30" s="1"/>
  <c r="R5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7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8" i="30"/>
  <c r="P3" i="29"/>
  <c r="S3" i="35"/>
  <c r="U3" i="34"/>
  <c r="S8" i="34"/>
  <c r="W3" i="33"/>
  <c r="W8" i="32"/>
  <c r="S3" i="31"/>
  <c r="U3" i="30"/>
  <c r="S8" i="30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8" l="1"/>
  <c r="U19" i="25"/>
  <c r="U19" i="23"/>
  <c r="R3" i="31"/>
  <c r="G3" i="29"/>
  <c r="W3" i="29"/>
  <c r="R3" i="33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3" l="1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C91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S93" i="6" l="1"/>
  <c r="S89" i="6"/>
  <c r="L90" i="6"/>
  <c r="V90" i="6"/>
  <c r="S90" i="6"/>
  <c r="S91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P10" i="28" s="1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F19" i="8"/>
  <c r="B19" i="8"/>
  <c r="N16" i="8"/>
  <c r="J16" i="8"/>
  <c r="J16" i="12" s="1"/>
  <c r="F16" i="8"/>
  <c r="B16" i="8"/>
  <c r="N4" i="8"/>
  <c r="J4" i="8"/>
  <c r="J4" i="12" s="1"/>
  <c r="F4" i="8"/>
  <c r="B4" i="8"/>
  <c r="O29" i="9"/>
  <c r="O29" i="13" s="1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P28" i="27"/>
  <c r="D28" i="27"/>
  <c r="K26" i="27"/>
  <c r="J25" i="27"/>
  <c r="G22" i="27"/>
  <c r="E20" i="27"/>
  <c r="E19" i="20"/>
  <c r="E19" i="24" s="1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G16" i="12" l="1"/>
  <c r="O29" i="12"/>
  <c r="N19" i="23"/>
  <c r="M29" i="24"/>
  <c r="N19" i="24"/>
  <c r="K29" i="12"/>
  <c r="F29" i="24"/>
  <c r="F29" i="27" s="1"/>
  <c r="F16" i="12"/>
  <c r="F16" i="15" s="1"/>
  <c r="D16" i="14"/>
  <c r="D16" i="17" s="1"/>
  <c r="O4" i="13"/>
  <c r="I4" i="23"/>
  <c r="P16" i="25"/>
  <c r="G29" i="12"/>
  <c r="G29" i="13"/>
  <c r="K4" i="24"/>
  <c r="C4" i="12"/>
  <c r="C4" i="15" s="1"/>
  <c r="J19" i="12"/>
  <c r="C16" i="24"/>
  <c r="D16" i="24"/>
  <c r="J19" i="13"/>
  <c r="D16" i="25"/>
  <c r="E19" i="14"/>
  <c r="E19" i="17" s="1"/>
  <c r="P19" i="24"/>
  <c r="P19" i="27" s="1"/>
  <c r="F4" i="24"/>
  <c r="C4" i="13"/>
  <c r="N4" i="12"/>
  <c r="L19" i="24"/>
  <c r="C4" i="24"/>
  <c r="J19" i="23"/>
  <c r="P29" i="13"/>
  <c r="E19" i="12"/>
  <c r="E19" i="15" s="1"/>
  <c r="H29" i="12"/>
  <c r="C19" i="24"/>
  <c r="J19" i="24"/>
  <c r="F4" i="12"/>
  <c r="D16" i="23"/>
  <c r="G19" i="23"/>
  <c r="P4" i="12"/>
  <c r="J29" i="13"/>
  <c r="J29" i="16" s="1"/>
  <c r="E4" i="13"/>
  <c r="E4" i="16" s="1"/>
  <c r="P29" i="12"/>
  <c r="O29" i="23"/>
  <c r="G16" i="13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M4" i="14"/>
  <c r="O16" i="13"/>
  <c r="O16" i="23"/>
  <c r="O16" i="26" s="1"/>
  <c r="F19" i="12"/>
  <c r="F19" i="15" s="1"/>
  <c r="M16" i="24"/>
  <c r="J4" i="23"/>
  <c r="J4" i="26" s="1"/>
  <c r="P19" i="12"/>
  <c r="P19" i="15" s="1"/>
  <c r="H4" i="24"/>
  <c r="M4" i="12"/>
  <c r="O19" i="24"/>
  <c r="P16" i="24"/>
  <c r="P16" i="27" s="1"/>
  <c r="L19" i="13"/>
  <c r="L19" i="16" s="1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P19" i="26" s="1"/>
  <c r="N16" i="14"/>
  <c r="N16" i="17" s="1"/>
  <c r="D4" i="13"/>
  <c r="N16" i="12"/>
  <c r="N16" i="15" s="1"/>
  <c r="E16" i="12"/>
  <c r="E16" i="15" s="1"/>
  <c r="I16" i="14"/>
  <c r="Q4" i="23"/>
  <c r="J29" i="24"/>
  <c r="P16" i="13"/>
  <c r="P16" i="16" s="1"/>
  <c r="C29" i="12"/>
  <c r="C29" i="15" s="1"/>
  <c r="G16" i="24"/>
  <c r="I4" i="12"/>
  <c r="L16" i="13"/>
  <c r="L16" i="16" s="1"/>
  <c r="B29" i="13"/>
  <c r="L4" i="24"/>
  <c r="Q29" i="23"/>
  <c r="G16" i="25"/>
  <c r="Q4" i="24"/>
  <c r="Q4" i="27" s="1"/>
  <c r="D4" i="23"/>
  <c r="D4" i="26" s="1"/>
  <c r="C29" i="13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M4" i="26" s="1"/>
  <c r="B4" i="12"/>
  <c r="B4" i="15" s="1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K16" i="26" s="1"/>
  <c r="E29" i="13"/>
  <c r="E29" i="16" s="1"/>
  <c r="L16" i="24"/>
  <c r="L16" i="27" s="1"/>
  <c r="M4" i="13"/>
  <c r="M4" i="16" s="1"/>
  <c r="D27" i="13"/>
  <c r="D27" i="12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3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M4" i="24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D29" i="16" s="1"/>
  <c r="C4" i="23"/>
  <c r="C4" i="26" s="1"/>
  <c r="K4" i="23"/>
  <c r="K4" i="26" s="1"/>
  <c r="M19" i="13"/>
  <c r="M19" i="16" s="1"/>
  <c r="N4" i="21"/>
  <c r="N4" i="24"/>
  <c r="P4" i="13"/>
  <c r="G29" i="23"/>
  <c r="G29" i="26" s="1"/>
  <c r="B19" i="13"/>
  <c r="B19" i="16" s="1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6" s="1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K15" i="23"/>
  <c r="K15" i="26" s="1"/>
  <c r="K15" i="24"/>
  <c r="K15" i="27" s="1"/>
  <c r="P27" i="23"/>
  <c r="P27" i="26" s="1"/>
  <c r="P27" i="24"/>
  <c r="P27" i="27" s="1"/>
  <c r="P16" i="12"/>
  <c r="F4" i="13"/>
  <c r="L29" i="13"/>
  <c r="L29" i="16" s="1"/>
  <c r="L15" i="23"/>
  <c r="L15" i="26" s="1"/>
  <c r="L15" i="24"/>
  <c r="L15" i="27" s="1"/>
  <c r="J27" i="12"/>
  <c r="J27" i="15" s="1"/>
  <c r="J27" i="13"/>
  <c r="J27" i="16" s="1"/>
  <c r="E16" i="24"/>
  <c r="D16" i="12"/>
  <c r="M15" i="23"/>
  <c r="M15" i="24"/>
  <c r="M15" i="27" s="1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O27" i="15" s="1"/>
  <c r="B19" i="12"/>
  <c r="B19" i="15" s="1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D19" i="15"/>
  <c r="L17" i="26"/>
  <c r="L11" i="26"/>
  <c r="L7" i="27"/>
  <c r="L24" i="26"/>
  <c r="L6" i="27"/>
  <c r="L28" i="26"/>
  <c r="L14" i="27"/>
  <c r="L14" i="26"/>
  <c r="L10" i="28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J15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L19" i="10"/>
  <c r="N29" i="16"/>
  <c r="N29" i="10"/>
  <c r="N31" i="16"/>
  <c r="F33" i="16"/>
  <c r="E4" i="15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E19" i="10"/>
  <c r="J29" i="10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2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2" i="4"/>
  <c r="B15" i="4"/>
  <c r="B35" i="4"/>
  <c r="B10" i="4"/>
  <c r="B44" i="4"/>
  <c r="B28" i="4"/>
  <c r="B42" i="4"/>
  <c r="B45" i="4"/>
  <c r="B29" i="4"/>
  <c r="B14" i="4"/>
  <c r="B13" i="4"/>
  <c r="B23" i="4"/>
  <c r="B16" i="4"/>
  <c r="B26" i="4"/>
  <c r="B11" i="4"/>
  <c r="B30" i="4"/>
  <c r="B22" i="4"/>
  <c r="B24" i="4"/>
  <c r="B4" i="4"/>
  <c r="B36" i="4"/>
  <c r="B17" i="4"/>
  <c r="B20" i="4"/>
  <c r="B9" i="4"/>
  <c r="B43" i="4"/>
  <c r="B38" i="4"/>
  <c r="B33" i="4"/>
  <c r="B39" i="4"/>
  <c r="B37" i="4"/>
  <c r="B8" i="4"/>
  <c r="B7" i="4"/>
  <c r="B25" i="4"/>
  <c r="B34" i="4"/>
  <c r="B27" i="4"/>
  <c r="B21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<sst xmlns="http://schemas.openxmlformats.org/spreadsheetml/2006/main" count="2099" uniqueCount="1055">
  <si>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</si>
  <si>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</si>
  <si>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</si>
  <si>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</si>
  <si>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</si>
  <si>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</si>
  <si>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</si>
  <si>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</si>
  <si>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</si>
  <si>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</si>
  <si>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</si>
  <si>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</si>
  <si>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</si>
  <si>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</si>
  <si>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</si>
  <si>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</si>
  <si>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</si>
  <si>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</si>
  <si>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</si>
  <si>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</si>
  <si>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</si>
  <si>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</si>
  <si>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</si>
  <si>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</si>
  <si>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</si>
  <si>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</si>
  <si>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</si>
  <si>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</si>
  <si>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</si>
  <si>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</si>
  <si>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</si>
  <si>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</si>
  <si>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</si>
  <si>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</si>
  <si>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</si>
  <si>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</si>
  <si>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</si>
  <si>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</si>
  <si>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</si>
  <si>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</si>
  <si>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</si>
  <si>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</si>
  <si>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</si>
  <si>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</si>
  <si>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</si>
  <si>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</si>
  <si>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</si>
  <si>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</si>
  <si>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</si>
  <si>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</si>
  <si>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</si>
  <si>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</si>
  <si>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</si>
  <si>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</si>
  <si>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</si>
  <si>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</si>
  <si>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</si>
  <si>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</si>
  <si>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</si>
  <si>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</si>
  <si>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</si>
  <si>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</si>
  <si>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</si>
  <si>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</si>
  <si>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</si>
  <si>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</si>
  <si>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</si>
  <si>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</si>
  <si>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</si>
  <si>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</si>
  <si>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</si>
  <si>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</si>
  <si>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</si>
  <si>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</si>
  <si>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</si>
  <si>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</si>
  <si>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</si>
  <si>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</si>
  <si>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</si>
  <si>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</si>
  <si>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</si>
  <si>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</si>
  <si>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</si>
  <si>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</si>
  <si>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</si>
  <si>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</si>
  <si>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</si>
  <si>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</si>
  <si>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</si>
  <si>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</si>
  <si>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</si>
  <si>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</si>
  <si>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</si>
  <si>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</si>
  <si>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</si>
  <si>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</si>
  <si>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</si>
  <si>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</si>
  <si>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</si>
  <si>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</si>
  <si>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</si>
  <si>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</si>
  <si>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</si>
  <si>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</si>
  <si>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</si>
  <si>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</si>
  <si>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</si>
  <si>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</si>
  <si>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</si>
  <si>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</si>
  <si>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</si>
  <si>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</si>
  <si>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</si>
  <si>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</si>
  <si>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</si>
  <si>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</si>
  <si>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</si>
  <si>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</si>
  <si>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</si>
  <si>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</si>
  <si>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</si>
  <si>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</si>
  <si>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</si>
  <si>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</si>
  <si>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</si>
  <si>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</si>
  <si>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</si>
  <si>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</si>
  <si>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</si>
  <si>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</si>
  <si>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</si>
  <si>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</si>
  <si>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</si>
  <si>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</si>
  <si>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</si>
  <si>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</si>
  <si>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</si>
  <si>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</si>
  <si>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</si>
  <si>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</si>
  <si>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</si>
  <si>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</si>
  <si>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</si>
  <si>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</si>
  <si>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</si>
  <si>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</si>
  <si>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</si>
  <si>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</si>
  <si>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</si>
  <si>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</si>
  <si>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</si>
  <si>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</si>
  <si>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</si>
  <si>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</si>
  <si>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</si>
  <si>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</si>
  <si>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</si>
  <si>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</si>
  <si>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</si>
  <si>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</si>
  <si>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</si>
  <si>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</si>
  <si>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</si>
  <si>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</si>
  <si>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</si>
  <si>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</si>
  <si>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</si>
  <si>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</si>
  <si>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</si>
  <si>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</si>
  <si>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</si>
  <si>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</si>
  <si>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</si>
  <si>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</si>
  <si>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</si>
  <si>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</si>
  <si>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</si>
  <si>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</si>
  <si>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</si>
  <si>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</si>
  <si>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</si>
  <si>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</si>
  <si>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</si>
  <si>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</si>
  <si>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PL</t>
  </si>
  <si>
    <t>Poland</t>
  </si>
  <si>
    <t>PL - Services sector summary</t>
  </si>
  <si>
    <t>Macro.number.PL.Population</t>
  </si>
  <si>
    <t>Macro.Meuro2015.PL.GDP</t>
  </si>
  <si>
    <t>Macro.Meuro2015.PL.VA</t>
  </si>
  <si>
    <t>Macro.number.PL.Employees</t>
  </si>
  <si>
    <t>NUM.number.PL.Ser.Bld</t>
  </si>
  <si>
    <t>SurfaceArea.ksqm.PL.Ser.Bld</t>
  </si>
  <si>
    <t>NUM.number.PL.Ser.BldNew</t>
  </si>
  <si>
    <t>SurfaceArea.ksqm.PL.Ser.BldNew</t>
  </si>
  <si>
    <t>HDD.Celsius.PL.Actual</t>
  </si>
  <si>
    <t>HDD.Celsius.PL.Mean</t>
  </si>
  <si>
    <t>HDD.ratio.PL.Relative</t>
  </si>
  <si>
    <t>FEC.ktoe.PL.ES.Ser</t>
  </si>
  <si>
    <t>FEC.ktoe.PL.ES.Ser.Solids</t>
  </si>
  <si>
    <t>FEC.ktoe.PL.ES.Ser.LPG</t>
  </si>
  <si>
    <t>FEC.ktoe.PL.ES.Ser.Oil</t>
  </si>
  <si>
    <t>FEC.ktoe.PL.ES.Ser.NG</t>
  </si>
  <si>
    <t>FEC.ktoe.PL.ES.Ser.Biomass_Waste</t>
  </si>
  <si>
    <t>FEC.ktoe.PL.ES.Ser.Biogas</t>
  </si>
  <si>
    <t>FEC.ktoe.PL.ES.Ser.LiqBio</t>
  </si>
  <si>
    <t>FEC.ktoe.PL.ES.Ser.Solar</t>
  </si>
  <si>
    <t>FEC.ktoe.PL.ES.Ser.Geo</t>
  </si>
  <si>
    <t>FEC.ktoe.PL.ES.Ser.Ambient</t>
  </si>
  <si>
    <t>FEC.ktoe.PL.ES.Ser.Steam_Distr</t>
  </si>
  <si>
    <t>FEC.ktoe.PL.ES.Ser.Elec</t>
  </si>
  <si>
    <t>FEC.ktoe.PL.Ser</t>
  </si>
  <si>
    <t>FEC.ktoe.PL.Ser.Bld.Thermal</t>
  </si>
  <si>
    <t>FEC.ktoe.PL.Ser.Bld.Thermal.SH</t>
  </si>
  <si>
    <t>FEC.ktoe.PL.Ser.Bld.Thermal.SC</t>
  </si>
  <si>
    <t>FEC.ktoe.PL.Ser.Bld.Thermal.HW</t>
  </si>
  <si>
    <t>FEC.ktoe.PL.Ser.Bld.Thermal.CA</t>
  </si>
  <si>
    <t>FEC.ktoe.PL.Ser.SEU</t>
  </si>
  <si>
    <t>EMI.ktCO2.PL.ES.Ser</t>
  </si>
  <si>
    <t>EMI.ktCO2.PL.ES.Ser.Solids</t>
  </si>
  <si>
    <t>EMI.ktCO2.PL.ES.Ser.LPG</t>
  </si>
  <si>
    <t>EMI.ktCO2.PL.ES.Ser.Oil</t>
  </si>
  <si>
    <t>EMI.ktCO2.PL.ES.Ser.NG</t>
  </si>
  <si>
    <t>EMI.ktCO2.PL.ES.Ser.Biomass_Waste</t>
  </si>
  <si>
    <t>EMI.ktCO2.PL.ES.Ser.Biogas</t>
  </si>
  <si>
    <t>EMI.ktCO2.PL.ES.Ser.LiqBio</t>
  </si>
  <si>
    <t>EMI.ktCO2.PL.ES.Ser.Solar</t>
  </si>
  <si>
    <t>EMI.ktCO2.PL.ES.Ser.Geo</t>
  </si>
  <si>
    <t>EMI.ktCO2.PL.ES.Ser.Ambient</t>
  </si>
  <si>
    <t>EMI.ktCO2.PL.ES.Ser.Steam_Distr</t>
  </si>
  <si>
    <t>EMI.ktCO2.PL.ES.Ser.Elec</t>
  </si>
  <si>
    <t>EMI.ktCO2.PL.Ser</t>
  </si>
  <si>
    <t>EMI.ktCO2.PL.Ser.Bld.Thermal</t>
  </si>
  <si>
    <t>EMI.ktCO2.PL.Ser.Bld.Thermal.SH</t>
  </si>
  <si>
    <t>EMI.ktCO2.PL.Ser.Bld.Thermal.SC</t>
  </si>
  <si>
    <t>EMI.ktCO2.PL.Ser.Bld.Thermal.HW</t>
  </si>
  <si>
    <t>EMI.ktCO2.PL.Ser.Bld.Thermal.CA</t>
  </si>
  <si>
    <t>EMI.ktCO2.PL.Ser.SEU</t>
  </si>
  <si>
    <t>Eff.ratio.PL.Ser.Bld.Thermal</t>
  </si>
  <si>
    <t>Eff.ratio.PL.Ser.Bld.Thermal.SH</t>
  </si>
  <si>
    <t>Eff.ratio.PL.Ser.Bld.Thermal.SC</t>
  </si>
  <si>
    <t>Eff.ratio.PL.Ser.Bld.Thermal.HW</t>
  </si>
  <si>
    <t>Eff.ratio.PL.Ser.Bld.Thermal.CA</t>
  </si>
  <si>
    <t>PL - Number of buildings</t>
  </si>
  <si>
    <t>NUM.number.PL.Ser.Bld.Thermal</t>
  </si>
  <si>
    <t>NUM.number.PL.Ser.Bld.Thermal.SH</t>
  </si>
  <si>
    <t>NUM.number.PL.Ser.Bld.Thermal.SH.Solids</t>
  </si>
  <si>
    <t>NUM.number.PL.Ser.Bld.Thermal.SH.LPG</t>
  </si>
  <si>
    <t>NUM.number.PL.Ser.Bld.Thermal.SH.Oil</t>
  </si>
  <si>
    <t>NUM.number.PL.Ser.Bld.Thermal.SH.GasHP</t>
  </si>
  <si>
    <t>NUM.number.PL.Ser.Bld.Thermal.SH.GasTH</t>
  </si>
  <si>
    <t>NUM.number.PL.Ser.Bld.Thermal.SH.Biomass</t>
  </si>
  <si>
    <t>NUM.number.PL.Ser.Bld.Thermal.SH.Geo</t>
  </si>
  <si>
    <t>NUM.number.PL.Ser.Bld.Thermal.SH.DistrHeat</t>
  </si>
  <si>
    <t>NUM.number.PL.Ser.Bld.Thermal.SH.AdvElc</t>
  </si>
  <si>
    <t>NUM.number.PL.Ser.Bld.Thermal.SH.ConvElc</t>
  </si>
  <si>
    <t>NUM.number.PL.Ser.Bld.Thermal.SC</t>
  </si>
  <si>
    <t>NUM.number.PL.Ser.Bld.Thermal.SC.GasHP</t>
  </si>
  <si>
    <t>NUM.number.PL.Ser.Bld.Thermal.SC.AC</t>
  </si>
  <si>
    <t>NUM.number.PL.Ser.Bld.Thermal.HW</t>
  </si>
  <si>
    <t>NUM.number.PL.Ser.Bld.Thermal.HW.Solids</t>
  </si>
  <si>
    <t>NUM.number.PL.Ser.Bld.Thermal.HW.LPG</t>
  </si>
  <si>
    <t>NUM.number.PL.Ser.Bld.Thermal.HW.Oil</t>
  </si>
  <si>
    <t>NUM.number.PL.Ser.Bld.Thermal.HW.Gas</t>
  </si>
  <si>
    <t>NUM.number.PL.Ser.Bld.Thermal.HW.Biomass</t>
  </si>
  <si>
    <t>NUM.number.PL.Ser.Bld.Thermal.HW.DistrHeat</t>
  </si>
  <si>
    <t>NUM.number.PL.Ser.Bld.Thermal.HW.Elc</t>
  </si>
  <si>
    <t>NUM.number.PL.Ser.Bld.Thermal.HW.Solar</t>
  </si>
  <si>
    <t>NUM.number.PL.Ser.Bld.Thermal.CA</t>
  </si>
  <si>
    <t>NUM.number.PL.Ser.Bld.Thermal.CA.LPG</t>
  </si>
  <si>
    <t>NUM.number.PL.Ser.Bld.Thermal.CA.Gas</t>
  </si>
  <si>
    <t>NUM.number.PL.Ser.Bld.Thermal.CA.Biomass</t>
  </si>
  <si>
    <t>NUM.number.PL.Ser.Bld.Thermal.CA.Elc</t>
  </si>
  <si>
    <t>PL - Final energy consumption</t>
  </si>
  <si>
    <t>FEC.ktoe.PL.Ser.Bld.Thermal.SH.Solids.Solids</t>
  </si>
  <si>
    <t>FEC.ktoe.PL.Ser.Bld.Thermal.SH.LPG.LPG</t>
  </si>
  <si>
    <t>FEC.ktoe.PL.Ser.Bld.Thermal.SH.Oil.Oil_LiqBio</t>
  </si>
  <si>
    <t>FEC.ktoe.PL.Ser.Bld.Thermal.SH.GasHP.NG_Biogas</t>
  </si>
  <si>
    <t>FEC.ktoe.PL.Ser.Bld.Thermal.SH.GasTH.NG_Biogas</t>
  </si>
  <si>
    <t>FEC.ktoe.PL.Ser.Bld.Thermal.SH.Biomass.Biomass_Waste</t>
  </si>
  <si>
    <t>FEC.ktoe.PL.Ser.Bld.Thermal.SH.Geo.Geo</t>
  </si>
  <si>
    <t>FEC.ktoe.PL.Ser.Bld.Thermal.SH.DistrHeat.Steam_Distr</t>
  </si>
  <si>
    <t>FEC.ktoe.PL.Ser.Bld.Thermal.SH.AdvElc.Elec</t>
  </si>
  <si>
    <t>FEC.ktoe.PL.Ser.Bld.Thermal.SH.ConvElc.Elec</t>
  </si>
  <si>
    <t>FEC.ktoe.PL.Ser.Bld.Thermal.SH.TotalCirculation.Elec</t>
  </si>
  <si>
    <t>FEC.ktoe.PL.Ser.Bld.Thermal.SC.GasHP.NG_Biogas</t>
  </si>
  <si>
    <t>FEC.ktoe.PL.Ser.Bld.Thermal.SC.AC.Elec</t>
  </si>
  <si>
    <t>FEC.ktoe.PL.Ser.Bld.Thermal.HW.Solids.Solids</t>
  </si>
  <si>
    <t>FEC.ktoe.PL.Ser.Bld.Thermal.HW.LPG.LPG</t>
  </si>
  <si>
    <t>FEC.ktoe.PL.Ser.Bld.Thermal.HW.Oil.Oil_LiqBio</t>
  </si>
  <si>
    <t>FEC.ktoe.PL.Ser.Bld.Thermal.HW.Gas.NG_Biogas</t>
  </si>
  <si>
    <t>FEC.ktoe.PL.Ser.Bld.Thermal.HW.Biomass.Biomass_Waste</t>
  </si>
  <si>
    <t>FEC.ktoe.PL.Ser.Bld.Thermal.HW.DistrHeat.Steam_Distr</t>
  </si>
  <si>
    <t>FEC.ktoe.PL.Ser.Bld.Thermal.HW.Elc.Elec</t>
  </si>
  <si>
    <t>FEC.ktoe.PL.Ser.Bld.Thermal.HW.TotalSolar.Solar</t>
  </si>
  <si>
    <t>FEC.ktoe.PL.Ser.Bld.Thermal.CA.LPG</t>
  </si>
  <si>
    <t>FEC.ktoe.PL.Ser.Bld.Thermal.CA.Gas.NG_Biogas</t>
  </si>
  <si>
    <t>FEC.ktoe.PL.Ser.Bld.Thermal.CA.Biomass.Biomass_Waste</t>
  </si>
  <si>
    <t>FEC.ktoe.PL.Ser.Bld.Thermal.CA.Elc.Elec</t>
  </si>
  <si>
    <t>PL - Thermal energy service</t>
  </si>
  <si>
    <t>TES.ktoe.PL.Ser.Bld.Thermal</t>
  </si>
  <si>
    <t>TES.ktoe.PL.Ser.Bld.Thermal.SH</t>
  </si>
  <si>
    <t>TES.ktoe.PL.Ser.Bld.Thermal.SH.Solids.Solids</t>
  </si>
  <si>
    <t>TES.ktoe.PL.Ser.Bld.Thermal.SH.LPG.LPG</t>
  </si>
  <si>
    <t>TES.ktoe.PL.Ser.Bld.Thermal.SH.Oil.Oil_LiqBio</t>
  </si>
  <si>
    <t>TES.ktoe.PL.Ser.Bld.Thermal.SH.GasHP.NG_Biogas</t>
  </si>
  <si>
    <t>TES.ktoe.PL.Ser.Bld.Thermal.SH.GasTH.NG_Biogas</t>
  </si>
  <si>
    <t>TES.ktoe.PL.Ser.Bld.Thermal.SH.Biomass.Biomass_Waste</t>
  </si>
  <si>
    <t>TES.ktoe.PL.Ser.Bld.Thermal.SH.Geo.Geo</t>
  </si>
  <si>
    <t>TES.ktoe.PL.Ser.Bld.Thermal.SH.DistrHeat.Steam_Distr</t>
  </si>
  <si>
    <t>TES.ktoe.PL.Ser.Bld.Thermal.SH.AdvElc.Elec</t>
  </si>
  <si>
    <t>TES.ktoe.PL.Ser.Bld.Thermal.SH.ConvElc.Elec</t>
  </si>
  <si>
    <t>TES.ktoe.PL.Ser.Bld.Thermal.SH.TotalCirculation.Elec</t>
  </si>
  <si>
    <t>TES.ktoe.PL.Ser.Bld.Thermal.SC</t>
  </si>
  <si>
    <t>TES.ktoe.PL.Ser.Bld.Thermal.SC.GasHP.NG_Biogas</t>
  </si>
  <si>
    <t>TES.ktoe.PL.Ser.Bld.Thermal.SC.AC.Elec</t>
  </si>
  <si>
    <t>TES.ktoe.PL.Ser.Bld.Thermal.HW</t>
  </si>
  <si>
    <t>TES.ktoe.PL.Ser.Bld.Thermal.HW.Solids.Solids</t>
  </si>
  <si>
    <t>TES.ktoe.PL.Ser.Bld.Thermal.HW.LPG.LPG</t>
  </si>
  <si>
    <t>TES.ktoe.PL.Ser.Bld.Thermal.HW.Oil.Oil_LiqBio</t>
  </si>
  <si>
    <t>TES.ktoe.PL.Ser.Bld.Thermal.HW.Gas.NG_Biogas</t>
  </si>
  <si>
    <t>TES.ktoe.PL.Ser.Bld.Thermal.HW.Biomass.Biomass_Waste</t>
  </si>
  <si>
    <t>TES.ktoe.PL.Ser.Bld.Thermal.HW.DistrHeat.Steam_Distr</t>
  </si>
  <si>
    <t>TES.ktoe.PL.Ser.Bld.Thermal.HW.Elc.Elec</t>
  </si>
  <si>
    <t>TES.ktoe.PL.Ser.Bld.Thermal.HW.TotalSolar.Solar</t>
  </si>
  <si>
    <t>TES.ktoe.PL.Ser.Bld.Thermal.CA</t>
  </si>
  <si>
    <t>TES.ktoe.PL.Ser.Bld.Thermal.CA.LPG</t>
  </si>
  <si>
    <t>TES.ktoe.PL.Ser.Bld.Thermal.CA.Gas.NG_Biogas</t>
  </si>
  <si>
    <t>TES.ktoe.PL.Ser.Bld.Thermal.CA.Biomass.Biomass_Waste</t>
  </si>
  <si>
    <t>TES.ktoe.PL.Ser.Bld.Thermal.CA.Elc.Elec</t>
  </si>
  <si>
    <t>PL - System efficiency indicator of total stock</t>
  </si>
  <si>
    <t>Eff.ratio.PL.Ser.Bld.Thermal.SH.Solids.Solids</t>
  </si>
  <si>
    <t>Eff.ratio.PL.Ser.Bld.Thermal.SH.LPG.LPG</t>
  </si>
  <si>
    <t>Eff.ratio.PL.Ser.Bld.Thermal.SH.Oil.Oil_LiqBio</t>
  </si>
  <si>
    <t>Eff.ratio.PL.Ser.Bld.Thermal.SH.GasHP.NG_Biogas</t>
  </si>
  <si>
    <t>Eff.ratio.PL.Ser.Bld.Thermal.SH.GasTH.NG_Biogas</t>
  </si>
  <si>
    <t>Eff.ratio.PL.Ser.Bld.Thermal.SH.Biomass.Biomass_Waste</t>
  </si>
  <si>
    <t>Eff.ratio.PL.Ser.Bld.Thermal.SH.Geo.Geo</t>
  </si>
  <si>
    <t>Eff.ratio.PL.Ser.Bld.Thermal.SH.DistrHeat.Steam_Distr</t>
  </si>
  <si>
    <t>Eff.ratio.PL.Ser.Bld.Thermal.SH.AdvElc.Elec</t>
  </si>
  <si>
    <t>Eff.ratio.PL.Ser.Bld.Thermal.SH.ConvElc.Elec</t>
  </si>
  <si>
    <t>Eff.ratio.PL.Ser.Bld.Thermal.SH.TotalCirculation.Elec</t>
  </si>
  <si>
    <t>Eff.ratio.PL.Ser.Bld.Thermal.SC.GasHP.NG_Biogas</t>
  </si>
  <si>
    <t>Eff.ratio.PL.Ser.Bld.Thermal.SC.AC.Elec</t>
  </si>
  <si>
    <t>Eff.ratio.PL.Ser.Bld.Thermal.HW.Solids.Solids</t>
  </si>
  <si>
    <t>Eff.ratio.PL.Ser.Bld.Thermal.HW.LPG.LPG</t>
  </si>
  <si>
    <t>Eff.ratio.PL.Ser.Bld.Thermal.HW.Oil.Oil_LiqBio</t>
  </si>
  <si>
    <t>Eff.ratio.PL.Ser.Bld.Thermal.HW.Gas.NG_Biogas</t>
  </si>
  <si>
    <t>Eff.ratio.PL.Ser.Bld.Thermal.HW.Biomass.Biomass_Waste</t>
  </si>
  <si>
    <t>Eff.ratio.PL.Ser.Bld.Thermal.HW.DistrHeat.Steam_Distr</t>
  </si>
  <si>
    <t>Eff.ratio.PL.Ser.Bld.Thermal.HW.Elc.Elec</t>
  </si>
  <si>
    <t>Eff.ratio.PL.Ser.Bld.Thermal.HW.TotalSolar.Solar</t>
  </si>
  <si>
    <t>Eff.ratio.PL.Ser.Bld.Thermal.CA.LPG</t>
  </si>
  <si>
    <t>Eff.ratio.PL.Ser.Bld.Thermal.CA.Gas.NG_Biogas</t>
  </si>
  <si>
    <t>Eff.ratio.PL.Ser.Bld.Thermal.CA.Biomass.Biomass_Waste</t>
  </si>
  <si>
    <t>Eff.ratio.PL.Ser.Bld.Thermal.CA.Elc.Elec</t>
  </si>
  <si>
    <t>PL - CO2 emissions</t>
  </si>
  <si>
    <t>EMI.ktCO2.PL.Ser.Bld.Thermal.SH.Solids.Solids</t>
  </si>
  <si>
    <t>EMI.ktCO2.PL.Ser.Bld.Thermal.SH.LPG.LPG</t>
  </si>
  <si>
    <t>EMI.ktCO2.PL.Ser.Bld.Thermal.SH.Oil.Oil_LiqBio</t>
  </si>
  <si>
    <t>EMI.ktCO2.PL.Ser.Bld.Thermal.SH.GasHP.NG_Biogas</t>
  </si>
  <si>
    <t>EMI.ktCO2.PL.Ser.Bld.Thermal.SH.GasTH.NG_Biogas</t>
  </si>
  <si>
    <t>EMI.ktCO2.PL.Ser.Bld.Thermal.SH.Biomass.Biomass_Waste</t>
  </si>
  <si>
    <t>EMI.ktCO2.PL.Ser.Bld.Thermal.SH.Geo.Geo</t>
  </si>
  <si>
    <t>EMI.ktCO2.PL.Ser.Bld.Thermal.SH.DistrHeat.Steam_Distr</t>
  </si>
  <si>
    <t>EMI.ktCO2.PL.Ser.Bld.Thermal.SH.AdvElc.Elec</t>
  </si>
  <si>
    <t>EMI.ktCO2.PL.Ser.Bld.Thermal.SH.ConvElc.Elec</t>
  </si>
  <si>
    <t>EMI.ktCO2.PL.Ser.Bld.Thermal.SH.TotalCirculation.Elec</t>
  </si>
  <si>
    <t>EMI.ktCO2.PL.Ser.Bld.Thermal.SC.GasHP.NG_Biogas</t>
  </si>
  <si>
    <t>EMI.ktCO2.PL.Ser.Bld.Thermal.SC.AC.Elec</t>
  </si>
  <si>
    <t>EMI.ktCO2.PL.Ser.Bld.Thermal.HW.Solids.Solids</t>
  </si>
  <si>
    <t>EMI.ktCO2.PL.Ser.Bld.Thermal.HW.LPG.LPG</t>
  </si>
  <si>
    <t>EMI.ktCO2.PL.Ser.Bld.Thermal.HW.Oil.Oil_LiqBio</t>
  </si>
  <si>
    <t>EMI.ktCO2.PL.Ser.Bld.Thermal.HW.Gas.NG_Biogas</t>
  </si>
  <si>
    <t>EMI.ktCO2.PL.Ser.Bld.Thermal.HW.Biomass.Biomass_Waste</t>
  </si>
  <si>
    <t>EMI.ktCO2.PL.Ser.Bld.Thermal.HW.DistrHeat.Steam_Distr</t>
  </si>
  <si>
    <t>EMI.ktCO2.PL.Ser.Bld.Thermal.HW.Elc.Elec</t>
  </si>
  <si>
    <t>EMI.ktCO2.PL.Ser.Bld.Thermal.HW.TotalSolar.Solar</t>
  </si>
  <si>
    <t>EMI.ktCO2.PL.Ser.Bld.Thermal.CA.LPG</t>
  </si>
  <si>
    <t>EMI.ktCO2.PL.Ser.Bld.Thermal.CA.Gas.NG_Biogas</t>
  </si>
  <si>
    <t>EMI.ktCO2.PL.Ser.Bld.Thermal.CA.Biomass.Biomass_Waste</t>
  </si>
  <si>
    <t>EMI.ktCO2.PL.Ser.Bld.Thermal.CA.Elc.Elec</t>
  </si>
  <si>
    <t>PL - Final energy consumption per building</t>
  </si>
  <si>
    <t>FEC_per_building.kWh.PL.Ser.Bld.Thermal</t>
  </si>
  <si>
    <t>FEC_per_building.kWh.PL.Ser.Bld.Thermal.SH</t>
  </si>
  <si>
    <t>FEC_per_building.kWh.PL.Ser.Bld.Thermal.SH.Solids.Solids</t>
  </si>
  <si>
    <t>FEC_per_building.kWh.PL.Ser.Bld.Thermal.SH.LPG.LPG</t>
  </si>
  <si>
    <t>FEC_per_building.kWh.PL.Ser.Bld.Thermal.SH.Oil.Oil_LiqBio</t>
  </si>
  <si>
    <t>FEC_per_building.kWh.PL.Ser.Bld.Thermal.SH.GasHP.NG_Biogas</t>
  </si>
  <si>
    <t>FEC_per_building.kWh.PL.Ser.Bld.Thermal.SH.GasTH.NG_Biogas</t>
  </si>
  <si>
    <t>FEC_per_building.kWh.PL.Ser.Bld.Thermal.SH.Biomass.Biomass_Waste</t>
  </si>
  <si>
    <t>FEC_per_building.kWh.PL.Ser.Bld.Thermal.SH.Geo.Geo</t>
  </si>
  <si>
    <t>FEC_per_building.kWh.PL.Ser.Bld.Thermal.SH.DistrHeat.Steam_Distr</t>
  </si>
  <si>
    <t>FEC_per_building.kWh.PL.Ser.Bld.Thermal.SH.AdvElc.Elec</t>
  </si>
  <si>
    <t>FEC_per_building.kWh.PL.Ser.Bld.Thermal.SH.ConvElc.Elec</t>
  </si>
  <si>
    <t>FEC_per_building.kWh.PL.Ser.Bld.Thermal.SH.TotalCirculation.Elec</t>
  </si>
  <si>
    <t>FEC_per_building.kWh.PL.Ser.Bld.Thermal.SC</t>
  </si>
  <si>
    <t>FEC_per_building.kWh.PL.Ser.Bld.Thermal.SC.GasHP.NG_Biogas</t>
  </si>
  <si>
    <t>FEC_per_building.kWh.PL.Ser.Bld.Thermal.SC.AC.Elec</t>
  </si>
  <si>
    <t>FEC_per_building.kWh.PL.Ser.Bld.Thermal.HW</t>
  </si>
  <si>
    <t>FEC_per_building.kWh.PL.Ser.Bld.Thermal.HW.Solids.Solids</t>
  </si>
  <si>
    <t>FEC_per_building.kWh.PL.Ser.Bld.Thermal.HW.LPG.LPG</t>
  </si>
  <si>
    <t>FEC_per_building.kWh.PL.Ser.Bld.Thermal.HW.Oil.Oil_LiqBio</t>
  </si>
  <si>
    <t>FEC_per_building.kWh.PL.Ser.Bld.Thermal.HW.Gas.NG_Biogas</t>
  </si>
  <si>
    <t>FEC_per_building.kWh.PL.Ser.Bld.Thermal.HW.Biomass.Biomass_Waste</t>
  </si>
  <si>
    <t>FEC_per_building.kWh.PL.Ser.Bld.Thermal.HW.DistrHeat.Steam_Distr</t>
  </si>
  <si>
    <t>FEC_per_building.kWh.PL.Ser.Bld.Thermal.HW.Elc.Elec</t>
  </si>
  <si>
    <t>FEC_per_building.kWh.PL.Ser.Bld.Thermal.HW.TotalSolar.Solar</t>
  </si>
  <si>
    <t>FEC_per_building.kWh.PL.Ser.Bld.Thermal.CA</t>
  </si>
  <si>
    <t>FEC_per_building.kWh.PL.Ser.Bld.Thermal.CA.LPG</t>
  </si>
  <si>
    <t>FEC_per_building.kWh.PL.Ser.Bld.Thermal.CA.Gas.NG_Biogas</t>
  </si>
  <si>
    <t>FEC_per_building.kWh.PL.Ser.Bld.Thermal.CA.Biomass.Biomass_Waste</t>
  </si>
  <si>
    <t>FEC_per_building.kWh.PL.Ser.Bld.Thermal.CA.Elc.Elec</t>
  </si>
  <si>
    <t>PL - Thermal energy service per building</t>
  </si>
  <si>
    <t>TES_per_building.kWh.PL.Ser.Bld.Thermal</t>
  </si>
  <si>
    <t>TES_per_building.kWh.PL.Ser.Bld.Thermal.SH</t>
  </si>
  <si>
    <t>TES_per_building.kWh.PL.Ser.Bld.Thermal.SH.Solids.Solids</t>
  </si>
  <si>
    <t>TES_per_building.kWh.PL.Ser.Bld.Thermal.SH.LPG.LPG</t>
  </si>
  <si>
    <t>TES_per_building.kWh.PL.Ser.Bld.Thermal.SH.Oil.Oil_LiqBio</t>
  </si>
  <si>
    <t>TES_per_building.kWh.PL.Ser.Bld.Thermal.SH.GasHP.NG_Biogas</t>
  </si>
  <si>
    <t>TES_per_building.kWh.PL.Ser.Bld.Thermal.SH.GasTH.NG_Biogas</t>
  </si>
  <si>
    <t>TES_per_building.kWh.PL.Ser.Bld.Thermal.SH.Biomass.Biomass_Waste</t>
  </si>
  <si>
    <t>TES_per_building.kWh.PL.Ser.Bld.Thermal.SH.Geo.Geo</t>
  </si>
  <si>
    <t>TES_per_building.kWh.PL.Ser.Bld.Thermal.SH.DistrHeat.Steam_Distr</t>
  </si>
  <si>
    <t>TES_per_building.kWh.PL.Ser.Bld.Thermal.SH.AdvElc.Elec</t>
  </si>
  <si>
    <t>TES_per_building.kWh.PL.Ser.Bld.Thermal.SH.ConvElc.Elec</t>
  </si>
  <si>
    <t>TES_per_building.kWh.PL.Ser.Bld.Thermal.SH.TotalCirculation.Elec</t>
  </si>
  <si>
    <t>TES_per_building.kWh.PL.Ser.Bld.Thermal.SC</t>
  </si>
  <si>
    <t>TES_per_building.kWh.PL.Ser.Bld.Thermal.SC.GasHP.NG_Biogas</t>
  </si>
  <si>
    <t>TES_per_building.kWh.PL.Ser.Bld.Thermal.SC.AC.Elec</t>
  </si>
  <si>
    <t>TES_per_building.kWh.PL.Ser.Bld.Thermal.HW</t>
  </si>
  <si>
    <t>TES_per_building.kWh.PL.Ser.Bld.Thermal.HW.Solids.Solids</t>
  </si>
  <si>
    <t>TES_per_building.kWh.PL.Ser.Bld.Thermal.HW.LPG.LPG</t>
  </si>
  <si>
    <t>TES_per_building.kWh.PL.Ser.Bld.Thermal.HW.Oil.Oil_LiqBio</t>
  </si>
  <si>
    <t>TES_per_building.kWh.PL.Ser.Bld.Thermal.HW.Gas.NG_Biogas</t>
  </si>
  <si>
    <t>TES_per_building.kWh.PL.Ser.Bld.Thermal.HW.Biomass.Biomass_Waste</t>
  </si>
  <si>
    <t>TES_per_building.kWh.PL.Ser.Bld.Thermal.HW.DistrHeat.Steam_Distr</t>
  </si>
  <si>
    <t>TES_per_building.kWh.PL.Ser.Bld.Thermal.HW.Elc.Elec</t>
  </si>
  <si>
    <t>TES_per_building.kWh.PL.Ser.Bld.Thermal.HW.TotalSolar.Solar</t>
  </si>
  <si>
    <t>TES_per_building.kWh.PL.Ser.Bld.Thermal.CA</t>
  </si>
  <si>
    <t>TES_per_building.kWh.PL.Ser.Bld.Thermal.CA.LPG</t>
  </si>
  <si>
    <t>TES_per_building.kWh.PL.Ser.Bld.Thermal.CA.Gas.NG_Biogas</t>
  </si>
  <si>
    <t>TES_per_building.kWh.PL.Ser.Bld.Thermal.CA.Biomass.Biomass_Waste</t>
  </si>
  <si>
    <t>TES_per_building.kWh.PL.Ser.Bld.Thermal.CA.Elc.Elec</t>
  </si>
  <si>
    <t>PL - CO2 emissions per building</t>
  </si>
  <si>
    <t>EMI_per_building.kgCO2.PL.Ser.Bld.Thermal</t>
  </si>
  <si>
    <t>EMI_per_building.kgCO2.PL.Ser.Bld.Thermal.SH</t>
  </si>
  <si>
    <t>EMI_per_building.kgCO2.PL.Ser.Bld.Thermal.SH.Solids.Solids</t>
  </si>
  <si>
    <t>EMI_per_building.kgCO2.PL.Ser.Bld.Thermal.SH.LPG.LPG</t>
  </si>
  <si>
    <t>EMI_per_building.kgCO2.PL.Ser.Bld.Thermal.SH.Oil.Oil_LiqBio</t>
  </si>
  <si>
    <t>EMI_per_building.kgCO2.PL.Ser.Bld.Thermal.SH.GasHP.NG_Biogas</t>
  </si>
  <si>
    <t>EMI_per_building.kgCO2.PL.Ser.Bld.Thermal.SH.GasTH.NG_Biogas</t>
  </si>
  <si>
    <t>EMI_per_building.kgCO2.PL.Ser.Bld.Thermal.SH.Biomass.Biomass_Waste</t>
  </si>
  <si>
    <t>EMI_per_building.kgCO2.PL.Ser.Bld.Thermal.SH.Geo.Geo</t>
  </si>
  <si>
    <t>EMI_per_building.kgCO2.PL.Ser.Bld.Thermal.SH.DistrHeat.Steam_Distr</t>
  </si>
  <si>
    <t>EMI_per_building.kgCO2.PL.Ser.Bld.Thermal.SH.AdvElc.Elec</t>
  </si>
  <si>
    <t>EMI_per_building.kgCO2.PL.Ser.Bld.Thermal.SH.ConvElc.Elec</t>
  </si>
  <si>
    <t>EMI_per_building.kgCO2.PL.Ser.Bld.Thermal.SH.TotalCirculation.Elec</t>
  </si>
  <si>
    <t>EMI_per_building.kgCO2.PL.Ser.Bld.Thermal.SC</t>
  </si>
  <si>
    <t>EMI_per_building.kgCO2.PL.Ser.Bld.Thermal.SC.GasHP.NG_Biogas</t>
  </si>
  <si>
    <t>EMI_per_building.kgCO2.PL.Ser.Bld.Thermal.SC.AC.Elec</t>
  </si>
  <si>
    <t>EMI_per_building.kgCO2.PL.Ser.Bld.Thermal.HW</t>
  </si>
  <si>
    <t>EMI_per_building.kgCO2.PL.Ser.Bld.Thermal.HW.Solids.Solids</t>
  </si>
  <si>
    <t>EMI_per_building.kgCO2.PL.Ser.Bld.Thermal.HW.LPG.LPG</t>
  </si>
  <si>
    <t>EMI_per_building.kgCO2.PL.Ser.Bld.Thermal.HW.Oil.Oil_LiqBio</t>
  </si>
  <si>
    <t>EMI_per_building.kgCO2.PL.Ser.Bld.Thermal.HW.Gas.NG_Biogas</t>
  </si>
  <si>
    <t>EMI_per_building.kgCO2.PL.Ser.Bld.Thermal.HW.Biomass.Biomass_Waste</t>
  </si>
  <si>
    <t>EMI_per_building.kgCO2.PL.Ser.Bld.Thermal.HW.DistrHeat.Steam_Distr</t>
  </si>
  <si>
    <t>EMI_per_building.kgCO2.PL.Ser.Bld.Thermal.HW.Elc.Elec</t>
  </si>
  <si>
    <t>EMI_per_building.kgCO2.PL.Ser.Bld.Thermal.HW.TotalSolar.Solar</t>
  </si>
  <si>
    <t>EMI_per_building.kgCO2.PL.Ser.Bld.Thermal.CA</t>
  </si>
  <si>
    <t>EMI_per_building.kgCO2.PL.Ser.Bld.Thermal.CA.LPG</t>
  </si>
  <si>
    <t>EMI_per_building.kgCO2.PL.Ser.Bld.Thermal.CA.Gas.NG_Biogas</t>
  </si>
  <si>
    <t>EMI_per_building.kgCO2.PL.Ser.Bld.Thermal.CA.Biomass.Biomass_Waste</t>
  </si>
  <si>
    <t>EMI_per_building.kgCO2.PL.Ser.Bld.Thermal.CA.Elc.Elec</t>
  </si>
  <si>
    <t>PL - Final energy consumption per useful surface area</t>
  </si>
  <si>
    <t>FEC_per_sqm.kWh.PL.Ser.Bld.Thermal</t>
  </si>
  <si>
    <t>FEC_per_sqm.kWh.PL.Ser.Bld.Thermal.SH</t>
  </si>
  <si>
    <t>FEC_per_sqm.kWh.PL.Ser.Bld.Thermal.SH.Solids.Solids</t>
  </si>
  <si>
    <t>FEC_per_sqm.kWh.PL.Ser.Bld.Thermal.SH.LPG.LPG</t>
  </si>
  <si>
    <t>FEC_per_sqm.kWh.PL.Ser.Bld.Thermal.SH.Oil.Oil_LiqBio</t>
  </si>
  <si>
    <t>FEC_per_sqm.kWh.PL.Ser.Bld.Thermal.SH.GasHP.NG_Biogas</t>
  </si>
  <si>
    <t>FEC_per_sqm.kWh.PL.Ser.Bld.Thermal.SH.GasTH.NG_Biogas</t>
  </si>
  <si>
    <t>FEC_per_sqm.kWh.PL.Ser.Bld.Thermal.SH.Biomass.Biomass_Waste</t>
  </si>
  <si>
    <t>FEC_per_sqm.kWh.PL.Ser.Bld.Thermal.SH.Geo.Geo</t>
  </si>
  <si>
    <t>FEC_per_sqm.kWh.PL.Ser.Bld.Thermal.SH.DistrHeat.Steam_Distr</t>
  </si>
  <si>
    <t>FEC_per_sqm.kWh.PL.Ser.Bld.Thermal.SH.AdvElc.Elec</t>
  </si>
  <si>
    <t>FEC_per_sqm.kWh.PL.Ser.Bld.Thermal.SH.ConvElc.Elec</t>
  </si>
  <si>
    <t>FEC_per_sqm.kWh.PL.Ser.Bld.Thermal.SH.TotalCirculation.Elec</t>
  </si>
  <si>
    <t>FEC_per_sqm.kWh.PL.Ser.Bld.Thermal.SC</t>
  </si>
  <si>
    <t>FEC_per_sqm.kWh.PL.Ser.Bld.Thermal.SC.GasHP.NG_Biogas</t>
  </si>
  <si>
    <t>FEC_per_sqm.kWh.PL.Ser.Bld.Thermal.SC.AC.Elec</t>
  </si>
  <si>
    <t>FEC_per_sqm.kWh.PL.Ser.Bld.Thermal.HW</t>
  </si>
  <si>
    <t>FEC_per_sqm.kWh.PL.Ser.Bld.Thermal.HW.Solids.Solids</t>
  </si>
  <si>
    <t>FEC_per_sqm.kWh.PL.Ser.Bld.Thermal.HW.LPG.LPG</t>
  </si>
  <si>
    <t>FEC_per_sqm.kWh.PL.Ser.Bld.Thermal.HW.Oil.Oil_LiqBio</t>
  </si>
  <si>
    <t>FEC_per_sqm.kWh.PL.Ser.Bld.Thermal.HW.Gas.NG_Biogas</t>
  </si>
  <si>
    <t>FEC_per_sqm.kWh.PL.Ser.Bld.Thermal.HW.Biomass.Biomass_Waste</t>
  </si>
  <si>
    <t>FEC_per_sqm.kWh.PL.Ser.Bld.Thermal.HW.DistrHeat.Steam_Distr</t>
  </si>
  <si>
    <t>FEC_per_sqm.kWh.PL.Ser.Bld.Thermal.HW.Elc.Elec</t>
  </si>
  <si>
    <t>FEC_per_sqm.kWh.PL.Ser.Bld.Thermal.HW.TotalSolar.Solar</t>
  </si>
  <si>
    <t>FEC_per_sqm.kWh.PL.Ser.Bld.Thermal.CA</t>
  </si>
  <si>
    <t>FEC_per_sqm.kWh.PL.Ser.Bld.Thermal.CA.LPG</t>
  </si>
  <si>
    <t>FEC_per_sqm.kWh.PL.Ser.Bld.Thermal.CA.Gas.NG_Biogas</t>
  </si>
  <si>
    <t>FEC_per_sqm.kWh.PL.Ser.Bld.Thermal.CA.Biomass.Biomass_Waste</t>
  </si>
  <si>
    <t>FEC_per_sqm.kWh.PL.Ser.Bld.Thermal.CA.Elc.Elec</t>
  </si>
  <si>
    <t>PL - Thermal energy service per useful surface area</t>
  </si>
  <si>
    <t>TES_per_sqm.kWh.PL.Ser.Bld.Thermal</t>
  </si>
  <si>
    <t>TES_per_sqm.kWh.PL.Ser.Bld.Thermal.SH</t>
  </si>
  <si>
    <t>TES_per_sqm.kWh.PL.Ser.Bld.Thermal.SH.Solids.Solids</t>
  </si>
  <si>
    <t>TES_per_sqm.kWh.PL.Ser.Bld.Thermal.SH.LPG.LPG</t>
  </si>
  <si>
    <t>TES_per_sqm.kWh.PL.Ser.Bld.Thermal.SH.Oil.Oil_LiqBio</t>
  </si>
  <si>
    <t>TES_per_sqm.kWh.PL.Ser.Bld.Thermal.SH.GasHP.NG_Biogas</t>
  </si>
  <si>
    <t>TES_per_sqm.kWh.PL.Ser.Bld.Thermal.SH.GasTH.NG_Biogas</t>
  </si>
  <si>
    <t>TES_per_sqm.kWh.PL.Ser.Bld.Thermal.SH.Biomass.Biomass_Waste</t>
  </si>
  <si>
    <t>TES_per_sqm.kWh.PL.Ser.Bld.Thermal.SH.Geo.Geo</t>
  </si>
  <si>
    <t>TES_per_sqm.kWh.PL.Ser.Bld.Thermal.SH.DistrHeat.Steam_Distr</t>
  </si>
  <si>
    <t>TES_per_sqm.kWh.PL.Ser.Bld.Thermal.SH.AdvElc.Elec</t>
  </si>
  <si>
    <t>TES_per_sqm.kWh.PL.Ser.Bld.Thermal.SH.ConvElc.Elec</t>
  </si>
  <si>
    <t>TES_per_sqm.kWh.PL.Ser.Bld.Thermal.SH.TotalCirculation.Elec</t>
  </si>
  <si>
    <t>TES_per_sqm.kWh.PL.Ser.Bld.Thermal.SC</t>
  </si>
  <si>
    <t>TES_per_sqm.kWh.PL.Ser.Bld.Thermal.SC.GasHP.NG_Biogas</t>
  </si>
  <si>
    <t>TES_per_sqm.kWh.PL.Ser.Bld.Thermal.SC.AC.Elec</t>
  </si>
  <si>
    <t>TES_per_sqm.kWh.PL.Ser.Bld.Thermal.HW</t>
  </si>
  <si>
    <t>TES_per_sqm.kWh.PL.Ser.Bld.Thermal.HW.Solids.Solids</t>
  </si>
  <si>
    <t>TES_per_sqm.kWh.PL.Ser.Bld.Thermal.HW.LPG.LPG</t>
  </si>
  <si>
    <t>TES_per_sqm.kWh.PL.Ser.Bld.Thermal.HW.Oil.Oil_LiqBio</t>
  </si>
  <si>
    <t>TES_per_sqm.kWh.PL.Ser.Bld.Thermal.HW.Gas.NG_Biogas</t>
  </si>
  <si>
    <t>TES_per_sqm.kWh.PL.Ser.Bld.Thermal.HW.Biomass.Biomass_Waste</t>
  </si>
  <si>
    <t>TES_per_sqm.kWh.PL.Ser.Bld.Thermal.HW.DistrHeat.Steam_Distr</t>
  </si>
  <si>
    <t>TES_per_sqm.kWh.PL.Ser.Bld.Thermal.HW.Elc.Elec</t>
  </si>
  <si>
    <t>TES_per_sqm.kWh.PL.Ser.Bld.Thermal.HW.TotalSolar.Solar</t>
  </si>
  <si>
    <t>TES_per_sqm.kWh.PL.Ser.Bld.Thermal.CA</t>
  </si>
  <si>
    <t>TES_per_sqm.kWh.PL.Ser.Bld.Thermal.CA.LPG</t>
  </si>
  <si>
    <t>TES_per_sqm.kWh.PL.Ser.Bld.Thermal.CA.Gas.NG_Biogas</t>
  </si>
  <si>
    <t>TES_per_sqm.kWh.PL.Ser.Bld.Thermal.CA.Biomass.Biomass_Waste</t>
  </si>
  <si>
    <t>TES_per_sqm.kWh.PL.Ser.Bld.Thermal.CA.Elc.Elec</t>
  </si>
  <si>
    <t>PL - CO2 emissions per useful surface area</t>
  </si>
  <si>
    <t>EMI_per_sqm.kgCO2.PL.Ser.Bld.Thermal</t>
  </si>
  <si>
    <t>EMI_per_sqm.kgCO2.PL.Ser.Bld.Thermal.SH</t>
  </si>
  <si>
    <t>EMI_per_sqm.kgCO2.PL.Ser.Bld.Thermal.SH.Solids.Solids</t>
  </si>
  <si>
    <t>EMI_per_sqm.kgCO2.PL.Ser.Bld.Thermal.SH.LPG.LPG</t>
  </si>
  <si>
    <t>EMI_per_sqm.kgCO2.PL.Ser.Bld.Thermal.SH.Oil.Oil_LiqBio</t>
  </si>
  <si>
    <t>EMI_per_sqm.kgCO2.PL.Ser.Bld.Thermal.SH.GasHP.NG_Biogas</t>
  </si>
  <si>
    <t>EMI_per_sqm.kgCO2.PL.Ser.Bld.Thermal.SH.GasTH.NG_Biogas</t>
  </si>
  <si>
    <t>EMI_per_sqm.kgCO2.PL.Ser.Bld.Thermal.SH.Biomass.Biomass_Waste</t>
  </si>
  <si>
    <t>EMI_per_sqm.kgCO2.PL.Ser.Bld.Thermal.SH.Geo.Geo</t>
  </si>
  <si>
    <t>EMI_per_sqm.kgCO2.PL.Ser.Bld.Thermal.SH.DistrHeat.Steam_Distr</t>
  </si>
  <si>
    <t>EMI_per_sqm.kgCO2.PL.Ser.Bld.Thermal.SH.AdvElc.Elec</t>
  </si>
  <si>
    <t>EMI_per_sqm.kgCO2.PL.Ser.Bld.Thermal.SH.ConvElc.Elec</t>
  </si>
  <si>
    <t>EMI_per_sqm.kgCO2.PL.Ser.Bld.Thermal.SH.TotalCirculation.Elec</t>
  </si>
  <si>
    <t>EMI_per_sqm.kgCO2.PL.Ser.Bld.Thermal.SC</t>
  </si>
  <si>
    <t>EMI_per_sqm.kgCO2.PL.Ser.Bld.Thermal.SC.GasHP.NG_Biogas</t>
  </si>
  <si>
    <t>EMI_per_sqm.kgCO2.PL.Ser.Bld.Thermal.SC.AC.Elec</t>
  </si>
  <si>
    <t>EMI_per_sqm.kgCO2.PL.Ser.Bld.Thermal.HW</t>
  </si>
  <si>
    <t>EMI_per_sqm.kgCO2.PL.Ser.Bld.Thermal.HW.Solids.Solids</t>
  </si>
  <si>
    <t>EMI_per_sqm.kgCO2.PL.Ser.Bld.Thermal.HW.LPG.LPG</t>
  </si>
  <si>
    <t>EMI_per_sqm.kgCO2.PL.Ser.Bld.Thermal.HW.Oil.Oil_LiqBio</t>
  </si>
  <si>
    <t>EMI_per_sqm.kgCO2.PL.Ser.Bld.Thermal.HW.Gas.NG_Biogas</t>
  </si>
  <si>
    <t>EMI_per_sqm.kgCO2.PL.Ser.Bld.Thermal.HW.Biomass.Biomass_Waste</t>
  </si>
  <si>
    <t>EMI_per_sqm.kgCO2.PL.Ser.Bld.Thermal.HW.DistrHeat.Steam_Distr</t>
  </si>
  <si>
    <t>EMI_per_sqm.kgCO2.PL.Ser.Bld.Thermal.HW.Elc.Elec</t>
  </si>
  <si>
    <t>EMI_per_sqm.kgCO2.PL.Ser.Bld.Thermal.HW.TotalSolar.Solar</t>
  </si>
  <si>
    <t>EMI_per_sqm.kgCO2.PL.Ser.Bld.Thermal.CA</t>
  </si>
  <si>
    <t>EMI_per_sqm.kgCO2.PL.Ser.Bld.Thermal.CA.LPG</t>
  </si>
  <si>
    <t>EMI_per_sqm.kgCO2.PL.Ser.Bld.Thermal.CA.Gas.NG_Biogas</t>
  </si>
  <si>
    <t>EMI_per_sqm.kgCO2.PL.Ser.Bld.Thermal.CA.Biomass.Biomass_Waste</t>
  </si>
  <si>
    <t>EMI_per_sqm.kgCO2.PL.Ser.Bld.Thermal.CA.Elc.Elec</t>
  </si>
  <si>
    <t>PL - Number of new and renovated buildings</t>
  </si>
  <si>
    <t>NUM.number.PL.Ser.BldNew.Thermal</t>
  </si>
  <si>
    <t>NUM.number.PL.Ser.BldNew.Thermal.SH</t>
  </si>
  <si>
    <t>NUM.number.PL.Ser.BldNew.Thermal.SH.Solids</t>
  </si>
  <si>
    <t>NUM.number.PL.Ser.BldNew.Thermal.SH.LPG</t>
  </si>
  <si>
    <t>NUM.number.PL.Ser.BldNew.Thermal.SH.Oil</t>
  </si>
  <si>
    <t>NUM.number.PL.Ser.BldNew.Thermal.SH.GasHP</t>
  </si>
  <si>
    <t>NUM.number.PL.Ser.BldNew.Thermal.SH.GasTH</t>
  </si>
  <si>
    <t>NUM.number.PL.Ser.BldNew.Thermal.SH.Biomass</t>
  </si>
  <si>
    <t>NUM.number.PL.Ser.BldNew.Thermal.SH.Geo</t>
  </si>
  <si>
    <t>NUM.number.PL.Ser.BldNew.Thermal.SH.DistrHeat</t>
  </si>
  <si>
    <t>NUM.number.PL.Ser.BldNew.Thermal.SH.AdvElc</t>
  </si>
  <si>
    <t>NUM.number.PL.Ser.BldNew.Thermal.SH.ConvElc</t>
  </si>
  <si>
    <t>NUM.number.PL.Ser.BldNew.Thermal.SC</t>
  </si>
  <si>
    <t>NUM.number.PL.Ser.BldNew.Thermal.SC.GasHP</t>
  </si>
  <si>
    <t>NUM.number.PL.Ser.BldNew.Thermal.SC.AC</t>
  </si>
  <si>
    <t>NUM.number.PL.Ser.BldNew.Thermal.HW</t>
  </si>
  <si>
    <t>NUM.number.PL.Ser.BldNew.Thermal.HW.Solids</t>
  </si>
  <si>
    <t>NUM.number.PL.Ser.BldNew.Thermal.HW.LPG</t>
  </si>
  <si>
    <t>NUM.number.PL.Ser.BldNew.Thermal.HW.Oil</t>
  </si>
  <si>
    <t>NUM.number.PL.Ser.BldNew.Thermal.HW.Gas</t>
  </si>
  <si>
    <t>NUM.number.PL.Ser.BldNew.Thermal.HW.Biomass</t>
  </si>
  <si>
    <t>NUM.number.PL.Ser.BldNew.Thermal.HW.DistrHeat</t>
  </si>
  <si>
    <t>NUM.number.PL.Ser.BldNew.Thermal.HW.Elc</t>
  </si>
  <si>
    <t>NUM.number.PL.Ser.BldNew.Thermal.HW.Solar</t>
  </si>
  <si>
    <t>NUM.number.PL.Ser.BldNew.Thermal.CA</t>
  </si>
  <si>
    <t>NUM.number.PL.Ser.BldNew.Thermal.CA.LPG</t>
  </si>
  <si>
    <t>NUM.number.PL.Ser.BldNew.Thermal.CA.Gas</t>
  </si>
  <si>
    <t>NUM.number.PL.Ser.BldNew.Thermal.CA.Biomass</t>
  </si>
  <si>
    <t>NUM.number.PL.Ser.BldNew.Thermal.CA.Elc</t>
  </si>
  <si>
    <t>PL - Final energy consumption in new and renovated buildings</t>
  </si>
  <si>
    <t>FEC.ktoe.PL.Ser.BldNew.Thermal</t>
  </si>
  <si>
    <t>FEC.ktoe.PL.Ser.BldNew.Thermal.SH</t>
  </si>
  <si>
    <t>FEC.ktoe.PL.Ser.BldNew.Thermal.SH.Solids.Solids</t>
  </si>
  <si>
    <t>FEC.ktoe.PL.Ser.BldNew.Thermal.SH.LPG.LPG</t>
  </si>
  <si>
    <t>FEC.ktoe.PL.Ser.BldNew.Thermal.SH.Oil.Oil_LiqBio</t>
  </si>
  <si>
    <t>FEC.ktoe.PL.Ser.BldNew.Thermal.SH.GasHP.NG_Biogas</t>
  </si>
  <si>
    <t>FEC.ktoe.PL.Ser.BldNew.Thermal.SH.GasTH.NG_Biogas</t>
  </si>
  <si>
    <t>FEC.ktoe.PL.Ser.BldNew.Thermal.SH.Biomass.Biomass_Waste</t>
  </si>
  <si>
    <t>FEC.ktoe.PL.Ser.BldNew.Thermal.SH.Geo.Geo</t>
  </si>
  <si>
    <t>FEC.ktoe.PL.Ser.BldNew.Thermal.SH.DistrHeat.Steam_Distr</t>
  </si>
  <si>
    <t>FEC.ktoe.PL.Ser.BldNew.Thermal.SH.AdvElc.Elec</t>
  </si>
  <si>
    <t>FEC.ktoe.PL.Ser.BldNew.Thermal.SH.ConvElc.Elec</t>
  </si>
  <si>
    <t>FEC.ktoe.PL.Ser.BldNew.Thermal.SH.TotalCirculation.Elec</t>
  </si>
  <si>
    <t>FEC.ktoe.PL.Ser.BldNew.Thermal.SC</t>
  </si>
  <si>
    <t>FEC.ktoe.PL.Ser.BldNew.Thermal.SC.GasHP.NG_Biogas</t>
  </si>
  <si>
    <t>FEC.ktoe.PL.Ser.BldNew.Thermal.SC.AC.Elec</t>
  </si>
  <si>
    <t>FEC.ktoe.PL.Ser.BldNew.Thermal.HW</t>
  </si>
  <si>
    <t>FEC.ktoe.PL.Ser.BldNew.Thermal.HW.Solids.Solids</t>
  </si>
  <si>
    <t>FEC.ktoe.PL.Ser.BldNew.Thermal.HW.LPG.LPG</t>
  </si>
  <si>
    <t>FEC.ktoe.PL.Ser.BldNew.Thermal.HW.Oil.Oil_LiqBio</t>
  </si>
  <si>
    <t>FEC.ktoe.PL.Ser.BldNew.Thermal.HW.Gas.NG_Biogas</t>
  </si>
  <si>
    <t>FEC.ktoe.PL.Ser.BldNew.Thermal.HW.Biomass.Biomass_Waste</t>
  </si>
  <si>
    <t>FEC.ktoe.PL.Ser.BldNew.Thermal.HW.DistrHeat.Steam_Distr</t>
  </si>
  <si>
    <t>FEC.ktoe.PL.Ser.BldNew.Thermal.HW.Elc.Elec</t>
  </si>
  <si>
    <t>FEC.ktoe.PL.Ser.BldNew.Thermal.HW.TotalSolar.Solar</t>
  </si>
  <si>
    <t>FEC.ktoe.PL.Ser.BldNew.Thermal.CA</t>
  </si>
  <si>
    <t>FEC.ktoe.PL.Ser.BldNew.Thermal.CA.LPG</t>
  </si>
  <si>
    <t>FEC.ktoe.PL.Ser.BldNew.Thermal.CA.Gas.NG_Biogas</t>
  </si>
  <si>
    <t>FEC.ktoe.PL.Ser.BldNew.Thermal.CA.Biomass.Biomass_Waste</t>
  </si>
  <si>
    <t>FEC.ktoe.PL.Ser.BldNew.Thermal.CA.Elc.Elec</t>
  </si>
  <si>
    <t>PL - Thermal energy service in new and renovated buildings</t>
  </si>
  <si>
    <t>TES.ktoe.PL.Ser.BldNew.Thermal</t>
  </si>
  <si>
    <t>TES.ktoe.PL.Ser.BldNew.Thermal.SH</t>
  </si>
  <si>
    <t>TES.ktoe.PL.Ser.BldNew.Thermal.SH.Solids.Solids</t>
  </si>
  <si>
    <t>TES.ktoe.PL.Ser.BldNew.Thermal.SH.LPG.LPG</t>
  </si>
  <si>
    <t>TES.ktoe.PL.Ser.BldNew.Thermal.SH.Oil.Oil_LiqBio</t>
  </si>
  <si>
    <t>TES.ktoe.PL.Ser.BldNew.Thermal.SH.GasHP.NG_Biogas</t>
  </si>
  <si>
    <t>TES.ktoe.PL.Ser.BldNew.Thermal.SH.GasTH.NG_Biogas</t>
  </si>
  <si>
    <t>TES.ktoe.PL.Ser.BldNew.Thermal.SH.Biomass.Biomass_Waste</t>
  </si>
  <si>
    <t>TES.ktoe.PL.Ser.BldNew.Thermal.SH.Geo.Geo</t>
  </si>
  <si>
    <t>TES.ktoe.PL.Ser.BldNew.Thermal.SH.DistrHeat.Steam_Distr</t>
  </si>
  <si>
    <t>TES.ktoe.PL.Ser.BldNew.Thermal.SH.AdvElc.Elec</t>
  </si>
  <si>
    <t>TES.ktoe.PL.Ser.BldNew.Thermal.SH.ConvElc.Elec</t>
  </si>
  <si>
    <t>TES.ktoe.PL.Ser.BldNew.Thermal.SH.TotalCirculation.Elec</t>
  </si>
  <si>
    <t>TES.ktoe.PL.Ser.BldNew.Thermal.SC</t>
  </si>
  <si>
    <t>TES.ktoe.PL.Ser.BldNew.Thermal.SC.GasHP.NG_Biogas</t>
  </si>
  <si>
    <t>TES.ktoe.PL.Ser.BldNew.Thermal.SC.AC.Elec</t>
  </si>
  <si>
    <t>TES.ktoe.PL.Ser.BldNew.Thermal.HW</t>
  </si>
  <si>
    <t>TES.ktoe.PL.Ser.BldNew.Thermal.HW.Solids.Solids</t>
  </si>
  <si>
    <t>TES.ktoe.PL.Ser.BldNew.Thermal.HW.LPG.LPG</t>
  </si>
  <si>
    <t>TES.ktoe.PL.Ser.BldNew.Thermal.HW.Oil.Oil_LiqBio</t>
  </si>
  <si>
    <t>TES.ktoe.PL.Ser.BldNew.Thermal.HW.Gas.NG_Biogas</t>
  </si>
  <si>
    <t>TES.ktoe.PL.Ser.BldNew.Thermal.HW.Biomass.Biomass_Waste</t>
  </si>
  <si>
    <t>TES.ktoe.PL.Ser.BldNew.Thermal.HW.DistrHeat.Steam_Distr</t>
  </si>
  <si>
    <t>TES.ktoe.PL.Ser.BldNew.Thermal.HW.Elc.Elec</t>
  </si>
  <si>
    <t>TES.ktoe.PL.Ser.BldNew.Thermal.HW.TotalSolar.Solar</t>
  </si>
  <si>
    <t>TES.ktoe.PL.Ser.BldNew.Thermal.CA</t>
  </si>
  <si>
    <t>TES.ktoe.PL.Ser.BldNew.Thermal.CA.LPG</t>
  </si>
  <si>
    <t>TES.ktoe.PL.Ser.BldNew.Thermal.CA.Gas.NG_Biogas</t>
  </si>
  <si>
    <t>TES.ktoe.PL.Ser.BldNew.Thermal.CA.Biomass.Biomass_Waste</t>
  </si>
  <si>
    <t>TES.ktoe.PL.Ser.BldNew.Thermal.CA.Elc.Elec</t>
  </si>
  <si>
    <t>PL - System efficiency indicator of new and renovated buildings</t>
  </si>
  <si>
    <t>Eff.ratio.PL.Ser.BldNew.Thermal</t>
  </si>
  <si>
    <t>Eff.ratio.PL.Ser.BldNew.Thermal.SH</t>
  </si>
  <si>
    <t>Eff.ratio.PL.Ser.BldNew.Thermal.SH.Solids.Solids</t>
  </si>
  <si>
    <t>Eff.ratio.PL.Ser.BldNew.Thermal.SH.LPG.LPG</t>
  </si>
  <si>
    <t>Eff.ratio.PL.Ser.BldNew.Thermal.SH.Oil.Oil_LiqBio</t>
  </si>
  <si>
    <t>Eff.ratio.PL.Ser.BldNew.Thermal.SH.GasHP.NG_Biogas</t>
  </si>
  <si>
    <t>Eff.ratio.PL.Ser.BldNew.Thermal.SH.GasTH.NG_Biogas</t>
  </si>
  <si>
    <t>Eff.ratio.PL.Ser.BldNew.Thermal.SH.Biomass.Biomass_Waste</t>
  </si>
  <si>
    <t>Eff.ratio.PL.Ser.BldNew.Thermal.SH.Geo.Geo</t>
  </si>
  <si>
    <t>Eff.ratio.PL.Ser.BldNew.Thermal.SH.DistrHeat.Steam_Distr</t>
  </si>
  <si>
    <t>Eff.ratio.PL.Ser.BldNew.Thermal.SH.AdvElc.Elec</t>
  </si>
  <si>
    <t>Eff.ratio.PL.Ser.BldNew.Thermal.SH.ConvElc.Elec</t>
  </si>
  <si>
    <t>Eff.ratio.PL.Ser.BldNew.Thermal.SH.TotalCirculation.Elec</t>
  </si>
  <si>
    <t>Eff.ratio.PL.Ser.BldNew.Thermal.SC</t>
  </si>
  <si>
    <t>Eff.ratio.PL.Ser.BldNew.Thermal.SC.GasHP.NG_Biogas</t>
  </si>
  <si>
    <t>Eff.ratio.PL.Ser.BldNew.Thermal.SC.AC.Elec</t>
  </si>
  <si>
    <t>Eff.ratio.PL.Ser.BldNew.Thermal.HW</t>
  </si>
  <si>
    <t>Eff.ratio.PL.Ser.BldNew.Thermal.HW.Solids.Solids</t>
  </si>
  <si>
    <t>Eff.ratio.PL.Ser.BldNew.Thermal.HW.LPG.LPG</t>
  </si>
  <si>
    <t>Eff.ratio.PL.Ser.BldNew.Thermal.HW.Oil.Oil_LiqBio</t>
  </si>
  <si>
    <t>Eff.ratio.PL.Ser.BldNew.Thermal.HW.Gas.NG_Biogas</t>
  </si>
  <si>
    <t>Eff.ratio.PL.Ser.BldNew.Thermal.HW.Biomass.Biomass_Waste</t>
  </si>
  <si>
    <t>Eff.ratio.PL.Ser.BldNew.Thermal.HW.DistrHeat.Steam_Distr</t>
  </si>
  <si>
    <t>Eff.ratio.PL.Ser.BldNew.Thermal.HW.Elc.Elec</t>
  </si>
  <si>
    <t>Eff.ratio.PL.Ser.BldNew.Thermal.HW.TotalSolar.Solar</t>
  </si>
  <si>
    <t>Eff.ratio.PL.Ser.BldNew.Thermal.CA</t>
  </si>
  <si>
    <t>Eff.ratio.PL.Ser.BldNew.Thermal.CA.LPG</t>
  </si>
  <si>
    <t>Eff.ratio.PL.Ser.BldNew.Thermal.CA.Gas.NG_Biogas</t>
  </si>
  <si>
    <t>Eff.ratio.PL.Ser.BldNew.Thermal.CA.Biomass.Biomass_Waste</t>
  </si>
  <si>
    <t>Eff.ratio.PL.Ser.BldNew.Thermal.CA.Elc.Elec</t>
  </si>
  <si>
    <t>PL - CO2 emissions in new and renovated buildings</t>
  </si>
  <si>
    <t>EMI.ktCO2.PL.Ser.BldNew.Thermal</t>
  </si>
  <si>
    <t>EMI.ktCO2.PL.Ser.BldNew.Thermal.SH</t>
  </si>
  <si>
    <t>EMI.ktCO2.PL.Ser.BldNew.Thermal.SH.Solids.Solids</t>
  </si>
  <si>
    <t>EMI.ktCO2.PL.Ser.BldNew.Thermal.SH.LPG.LPG</t>
  </si>
  <si>
    <t>EMI.ktCO2.PL.Ser.BldNew.Thermal.SH.Oil.Oil_LiqBio</t>
  </si>
  <si>
    <t>EMI.ktCO2.PL.Ser.BldNew.Thermal.SH.GasHP.NG_Biogas</t>
  </si>
  <si>
    <t>EMI.ktCO2.PL.Ser.BldNew.Thermal.SH.GasTH.NG_Biogas</t>
  </si>
  <si>
    <t>EMI.ktCO2.PL.Ser.BldNew.Thermal.SH.Biomass.Biomass_Waste</t>
  </si>
  <si>
    <t>EMI.ktCO2.PL.Ser.BldNew.Thermal.SH.Geo.Geo</t>
  </si>
  <si>
    <t>EMI.ktCO2.PL.Ser.BldNew.Thermal.SH.DistrHeat.Steam_Distr</t>
  </si>
  <si>
    <t>EMI.ktCO2.PL.Ser.BldNew.Thermal.SH.AdvElc.Elec</t>
  </si>
  <si>
    <t>EMI.ktCO2.PL.Ser.BldNew.Thermal.SH.ConvElc.Elec</t>
  </si>
  <si>
    <t>EMI.ktCO2.PL.Ser.BldNew.Thermal.SH.TotalCirculation.Elec</t>
  </si>
  <si>
    <t>EMI.ktCO2.PL.Ser.BldNew.Thermal.SC</t>
  </si>
  <si>
    <t>EMI.ktCO2.PL.Ser.BldNew.Thermal.SC.GasHP.NG_Biogas</t>
  </si>
  <si>
    <t>EMI.ktCO2.PL.Ser.BldNew.Thermal.SC.AC.Elec</t>
  </si>
  <si>
    <t>EMI.ktCO2.PL.Ser.BldNew.Thermal.HW</t>
  </si>
  <si>
    <t>EMI.ktCO2.PL.Ser.BldNew.Thermal.HW.Solids.Solids</t>
  </si>
  <si>
    <t>EMI.ktCO2.PL.Ser.BldNew.Thermal.HW.LPG.LPG</t>
  </si>
  <si>
    <t>EMI.ktCO2.PL.Ser.BldNew.Thermal.HW.Oil.Oil_LiqBio</t>
  </si>
  <si>
    <t>EMI.ktCO2.PL.Ser.BldNew.Thermal.HW.Gas.NG_Biogas</t>
  </si>
  <si>
    <t>EMI.ktCO2.PL.Ser.BldNew.Thermal.HW.Biomass.Biomass_Waste</t>
  </si>
  <si>
    <t>EMI.ktCO2.PL.Ser.BldNew.Thermal.HW.DistrHeat.Steam_Distr</t>
  </si>
  <si>
    <t>EMI.ktCO2.PL.Ser.BldNew.Thermal.HW.Elc.Elec</t>
  </si>
  <si>
    <t>EMI.ktCO2.PL.Ser.BldNew.Thermal.HW.TotalSolar.Solar</t>
  </si>
  <si>
    <t>EMI.ktCO2.PL.Ser.BldNew.Thermal.CA</t>
  </si>
  <si>
    <t>EMI.ktCO2.PL.Ser.BldNew.Thermal.CA.LPG</t>
  </si>
  <si>
    <t>EMI.ktCO2.PL.Ser.BldNew.Thermal.CA.Gas.NG_Biogas</t>
  </si>
  <si>
    <t>EMI.ktCO2.PL.Ser.BldNew.Thermal.CA.Biomass.Biomass_Waste</t>
  </si>
  <si>
    <t>EMI.ktCO2.PL.Ser.BldNew.Thermal.CA.Elc.Elec</t>
  </si>
  <si>
    <t>PL - Final energy consumption of new and renovated buildings (per building)</t>
  </si>
  <si>
    <t>FEC_per_building.kWh.PL.Ser.BldNew.Thermal</t>
  </si>
  <si>
    <t>FEC_per_building.kWh.PL.Ser.BldNew.Thermal.SH</t>
  </si>
  <si>
    <t>FEC_per_building.kWh.PL.Ser.BldNew.Thermal.SH.Solids.Solids</t>
  </si>
  <si>
    <t>FEC_per_building.kWh.PL.Ser.BldNew.Thermal.SH.LPG.LPG</t>
  </si>
  <si>
    <t>FEC_per_building.kWh.PL.Ser.BldNew.Thermal.SH.Oil.Oil_LiqBio</t>
  </si>
  <si>
    <t>FEC_per_building.kWh.PL.Ser.BldNew.Thermal.SH.GasHP.NG_Biogas</t>
  </si>
  <si>
    <t>FEC_per_building.kWh.PL.Ser.BldNew.Thermal.SH.GasTH.NG_Biogas</t>
  </si>
  <si>
    <t>FEC_per_building.kWh.PL.Ser.BldNew.Thermal.SH.Biomass.Biomass_Waste</t>
  </si>
  <si>
    <t>FEC_per_building.kWh.PL.Ser.BldNew.Thermal.SH.Geo.Geo</t>
  </si>
  <si>
    <t>FEC_per_building.kWh.PL.Ser.BldNew.Thermal.SH.DistrHeat.Steam_Distr</t>
  </si>
  <si>
    <t>FEC_per_building.kWh.PL.Ser.BldNew.Thermal.SH.AdvElc.Elec</t>
  </si>
  <si>
    <t>FEC_per_building.kWh.PL.Ser.BldNew.Thermal.SH.ConvElc.Elec</t>
  </si>
  <si>
    <t>FEC_per_building.kWh.PL.Ser.BldNew.Thermal.SH.TotalCirculation.Elec</t>
  </si>
  <si>
    <t>FEC_per_building.kWh.PL.Ser.BldNew.Thermal.SC</t>
  </si>
  <si>
    <t>FEC_per_building.kWh.PL.Ser.BldNew.Thermal.SC.GasHP.NG_Biogas</t>
  </si>
  <si>
    <t>FEC_per_building.kWh.PL.Ser.BldNew.Thermal.SC.AC.Elec</t>
  </si>
  <si>
    <t>FEC_per_building.kWh.PL.Ser.BldNew.Thermal.HW</t>
  </si>
  <si>
    <t>FEC_per_building.kWh.PL.Ser.BldNew.Thermal.HW.Solids.Solids</t>
  </si>
  <si>
    <t>FEC_per_building.kWh.PL.Ser.BldNew.Thermal.HW.LPG.LPG</t>
  </si>
  <si>
    <t>FEC_per_building.kWh.PL.Ser.BldNew.Thermal.HW.Oil.Oil_LiqBio</t>
  </si>
  <si>
    <t>FEC_per_building.kWh.PL.Ser.BldNew.Thermal.HW.Gas.NG_Biogas</t>
  </si>
  <si>
    <t>FEC_per_building.kWh.PL.Ser.BldNew.Thermal.HW.Biomass.Biomass_Waste</t>
  </si>
  <si>
    <t>FEC_per_building.kWh.PL.Ser.BldNew.Thermal.HW.DistrHeat.Steam_Distr</t>
  </si>
  <si>
    <t>FEC_per_building.kWh.PL.Ser.BldNew.Thermal.HW.Elc.Elec</t>
  </si>
  <si>
    <t>FEC_per_building.kWh.PL.Ser.BldNew.Thermal.HW.TotalSolar.Solar</t>
  </si>
  <si>
    <t>FEC_per_building.kWh.PL.Ser.BldNew.Thermal.CA</t>
  </si>
  <si>
    <t>FEC_per_building.kWh.PL.Ser.BldNew.Thermal.CA.LPG</t>
  </si>
  <si>
    <t>FEC_per_building.kWh.PL.Ser.BldNew.Thermal.CA.Gas.NG_Biogas</t>
  </si>
  <si>
    <t>FEC_per_building.kWh.PL.Ser.BldNew.Thermal.CA.Biomass.Biomass_Waste</t>
  </si>
  <si>
    <t>FEC_per_building.kWh.PL.Ser.BldNew.Thermal.CA.Elc.Elec</t>
  </si>
  <si>
    <t>PL - Thermal energy service of new and renovated buildings (per building)</t>
  </si>
  <si>
    <t>TES_per_building.kWh.PL.Ser.BldNew.Thermal</t>
  </si>
  <si>
    <t>TES_per_building.kWh.PL.Ser.BldNew.Thermal.SH</t>
  </si>
  <si>
    <t>TES_per_building.kWh.PL.Ser.BldNew.Thermal.SH.Solids.Solids</t>
  </si>
  <si>
    <t>TES_per_building.kWh.PL.Ser.BldNew.Thermal.SH.LPG.LPG</t>
  </si>
  <si>
    <t>TES_per_building.kWh.PL.Ser.BldNew.Thermal.SH.Oil.Oil_LiqBio</t>
  </si>
  <si>
    <t>TES_per_building.kWh.PL.Ser.BldNew.Thermal.SH.GasHP.NG_Biogas</t>
  </si>
  <si>
    <t>TES_per_building.kWh.PL.Ser.BldNew.Thermal.SH.GasTH.NG_Biogas</t>
  </si>
  <si>
    <t>TES_per_building.kWh.PL.Ser.BldNew.Thermal.SH.Biomass.Biomass_Waste</t>
  </si>
  <si>
    <t>TES_per_building.kWh.PL.Ser.BldNew.Thermal.SH.Geo.Geo</t>
  </si>
  <si>
    <t>TES_per_building.kWh.PL.Ser.BldNew.Thermal.SH.DistrHeat.Steam_Distr</t>
  </si>
  <si>
    <t>TES_per_building.kWh.PL.Ser.BldNew.Thermal.SH.AdvElc.Elec</t>
  </si>
  <si>
    <t>TES_per_building.kWh.PL.Ser.BldNew.Thermal.SH.ConvElc.Elec</t>
  </si>
  <si>
    <t>TES_per_building.kWh.PL.Ser.BldNew.Thermal.SH.TotalCirculation.Elec</t>
  </si>
  <si>
    <t>TES_per_building.kWh.PL.Ser.BldNew.Thermal.SC</t>
  </si>
  <si>
    <t>TES_per_building.kWh.PL.Ser.BldNew.Thermal.SC.GasHP.NG_Biogas</t>
  </si>
  <si>
    <t>TES_per_building.kWh.PL.Ser.BldNew.Thermal.SC.AC.Elec</t>
  </si>
  <si>
    <t>TES_per_building.kWh.PL.Ser.BldNew.Thermal.HW</t>
  </si>
  <si>
    <t>TES_per_building.kWh.PL.Ser.BldNew.Thermal.HW.Solids.Solids</t>
  </si>
  <si>
    <t>TES_per_building.kWh.PL.Ser.BldNew.Thermal.HW.LPG.LPG</t>
  </si>
  <si>
    <t>TES_per_building.kWh.PL.Ser.BldNew.Thermal.HW.Oil.Oil_LiqBio</t>
  </si>
  <si>
    <t>TES_per_building.kWh.PL.Ser.BldNew.Thermal.HW.Gas.NG_Biogas</t>
  </si>
  <si>
    <t>TES_per_building.kWh.PL.Ser.BldNew.Thermal.HW.Biomass.Biomass_Waste</t>
  </si>
  <si>
    <t>TES_per_building.kWh.PL.Ser.BldNew.Thermal.HW.DistrHeat.Steam_Distr</t>
  </si>
  <si>
    <t>TES_per_building.kWh.PL.Ser.BldNew.Thermal.HW.Elc.Elec</t>
  </si>
  <si>
    <t>TES_per_building.kWh.PL.Ser.BldNew.Thermal.HW.TotalSolar.Solar</t>
  </si>
  <si>
    <t>TES_per_building.kWh.PL.Ser.BldNew.Thermal.CA</t>
  </si>
  <si>
    <t>TES_per_building.kWh.PL.Ser.BldNew.Thermal.CA.LPG</t>
  </si>
  <si>
    <t>TES_per_building.kWh.PL.Ser.BldNew.Thermal.CA.Gas.NG_Biogas</t>
  </si>
  <si>
    <t>TES_per_building.kWh.PL.Ser.BldNew.Thermal.CA.Biomass.Biomass_Waste</t>
  </si>
  <si>
    <t>TES_per_building.kWh.PL.Ser.BldNew.Thermal.CA.Elc.Elec</t>
  </si>
  <si>
    <t>PL - CO2 emissions in new and renovated buildings (per building)</t>
  </si>
  <si>
    <t>EMI_per_building.kgCO2.PL.Ser.BldNew.Thermal</t>
  </si>
  <si>
    <t>EMI_per_building.kgCO2.PL.Ser.BldNew.Thermal.SH</t>
  </si>
  <si>
    <t>EMI_per_building.kgCO2.PL.Ser.BldNew.Thermal.SH.Solids.Solids</t>
  </si>
  <si>
    <t>EMI_per_building.kgCO2.PL.Ser.BldNew.Thermal.SH.LPG.LPG</t>
  </si>
  <si>
    <t>EMI_per_building.kgCO2.PL.Ser.BldNew.Thermal.SH.Oil.Oil_LiqBio</t>
  </si>
  <si>
    <t>EMI_per_building.kgCO2.PL.Ser.BldNew.Thermal.SH.GasHP.NG_Biogas</t>
  </si>
  <si>
    <t>EMI_per_building.kgCO2.PL.Ser.BldNew.Thermal.SH.GasTH.NG_Biogas</t>
  </si>
  <si>
    <t>EMI_per_building.kgCO2.PL.Ser.BldNew.Thermal.SH.Biomass.Biomass_Waste</t>
  </si>
  <si>
    <t>EMI_per_building.kgCO2.PL.Ser.BldNew.Thermal.SH.Geo.Geo</t>
  </si>
  <si>
    <t>EMI_per_building.kgCO2.PL.Ser.BldNew.Thermal.SH.DistrHeat.Steam_Distr</t>
  </si>
  <si>
    <t>EMI_per_building.kgCO2.PL.Ser.BldNew.Thermal.SH.AdvElc.Elec</t>
  </si>
  <si>
    <t>EMI_per_building.kgCO2.PL.Ser.BldNew.Thermal.SH.ConvElc.Elec</t>
  </si>
  <si>
    <t>EMI_per_building.kgCO2.PL.Ser.BldNew.Thermal.SH.TotalCirculation.Elec</t>
  </si>
  <si>
    <t>EMI_per_building.kgCO2.PL.Ser.BldNew.Thermal.SC</t>
  </si>
  <si>
    <t>EMI_per_building.kgCO2.PL.Ser.BldNew.Thermal.SC.GasHP.NG_Biogas</t>
  </si>
  <si>
    <t>EMI_per_building.kgCO2.PL.Ser.BldNew.Thermal.SC.AC.Elec</t>
  </si>
  <si>
    <t>EMI_per_building.kgCO2.PL.Ser.BldNew.Thermal.HW</t>
  </si>
  <si>
    <t>EMI_per_building.kgCO2.PL.Ser.BldNew.Thermal.HW.Solids.Solids</t>
  </si>
  <si>
    <t>EMI_per_building.kgCO2.PL.Ser.BldNew.Thermal.HW.LPG.LPG</t>
  </si>
  <si>
    <t>EMI_per_building.kgCO2.PL.Ser.BldNew.Thermal.HW.Oil.Oil_LiqBio</t>
  </si>
  <si>
    <t>EMI_per_building.kgCO2.PL.Ser.BldNew.Thermal.HW.Gas.NG_Biogas</t>
  </si>
  <si>
    <t>EMI_per_building.kgCO2.PL.Ser.BldNew.Thermal.HW.Biomass.Biomass_Waste</t>
  </si>
  <si>
    <t>EMI_per_building.kgCO2.PL.Ser.BldNew.Thermal.HW.DistrHeat.Steam_Distr</t>
  </si>
  <si>
    <t>EMI_per_building.kgCO2.PL.Ser.BldNew.Thermal.HW.Elc.Elec</t>
  </si>
  <si>
    <t>EMI_per_building.kgCO2.PL.Ser.BldNew.Thermal.HW.TotalSolar.Solar</t>
  </si>
  <si>
    <t>EMI_per_building.kgCO2.PL.Ser.BldNew.Thermal.CA</t>
  </si>
  <si>
    <t>EMI_per_building.kgCO2.PL.Ser.BldNew.Thermal.CA.LPG</t>
  </si>
  <si>
    <t>EMI_per_building.kgCO2.PL.Ser.BldNew.Thermal.CA.Gas.NG_Biogas</t>
  </si>
  <si>
    <t>EMI_per_building.kgCO2.PL.Ser.BldNew.Thermal.CA.Biomass.Biomass_Waste</t>
  </si>
  <si>
    <t>EMI_per_building.kgCO2.PL.Ser.BldNew.Thermal.CA.Elc.Elec</t>
  </si>
  <si>
    <t>PL - Final energy consumption in new and renovated buildings per surface area</t>
  </si>
  <si>
    <t>FEC_per_sqm.kWh.PL.Ser.BldNew.Thermal</t>
  </si>
  <si>
    <t>FEC_per_sqm.kWh.PL.Ser.BldNew.Thermal.SH</t>
  </si>
  <si>
    <t>FEC_per_sqm.kWh.PL.Ser.BldNew.Thermal.SH.Solids.Solids</t>
  </si>
  <si>
    <t>FEC_per_sqm.kWh.PL.Ser.BldNew.Thermal.SH.LPG.LPG</t>
  </si>
  <si>
    <t>FEC_per_sqm.kWh.PL.Ser.BldNew.Thermal.SH.Oil.Oil_LiqBio</t>
  </si>
  <si>
    <t>FEC_per_sqm.kWh.PL.Ser.BldNew.Thermal.SH.GasHP.NG_Biogas</t>
  </si>
  <si>
    <t>FEC_per_sqm.kWh.PL.Ser.BldNew.Thermal.SH.GasTH.NG_Biogas</t>
  </si>
  <si>
    <t>FEC_per_sqm.kWh.PL.Ser.BldNew.Thermal.SH.Biomass.Biomass_Waste</t>
  </si>
  <si>
    <t>FEC_per_sqm.kWh.PL.Ser.BldNew.Thermal.SH.Geo.Geo</t>
  </si>
  <si>
    <t>FEC_per_sqm.kWh.PL.Ser.BldNew.Thermal.SH.DistrHeat.Steam_Distr</t>
  </si>
  <si>
    <t>FEC_per_sqm.kWh.PL.Ser.BldNew.Thermal.SH.AdvElc.Elec</t>
  </si>
  <si>
    <t>FEC_per_sqm.kWh.PL.Ser.BldNew.Thermal.SH.ConvElc.Elec</t>
  </si>
  <si>
    <t>FEC_per_sqm.kWh.PL.Ser.BldNew.Thermal.SH.TotalCirculation.Elec</t>
  </si>
  <si>
    <t>FEC_per_sqm.kWh.PL.Ser.BldNew.Thermal.SC</t>
  </si>
  <si>
    <t>FEC_per_sqm.kWh.PL.Ser.BldNew.Thermal.SC.GasHP.NG_Biogas</t>
  </si>
  <si>
    <t>FEC_per_sqm.kWh.PL.Ser.BldNew.Thermal.SC.AC.Elec</t>
  </si>
  <si>
    <t>FEC_per_sqm.kWh.PL.Ser.BldNew.Thermal.HW</t>
  </si>
  <si>
    <t>FEC_per_sqm.kWh.PL.Ser.BldNew.Thermal.HW.Solids.Solids</t>
  </si>
  <si>
    <t>FEC_per_sqm.kWh.PL.Ser.BldNew.Thermal.HW.LPG.LPG</t>
  </si>
  <si>
    <t>FEC_per_sqm.kWh.PL.Ser.BldNew.Thermal.HW.Oil.Oil_LiqBio</t>
  </si>
  <si>
    <t>FEC_per_sqm.kWh.PL.Ser.BldNew.Thermal.HW.Gas.NG_Biogas</t>
  </si>
  <si>
    <t>FEC_per_sqm.kWh.PL.Ser.BldNew.Thermal.HW.Biomass.Biomass_Waste</t>
  </si>
  <si>
    <t>FEC_per_sqm.kWh.PL.Ser.BldNew.Thermal.HW.DistrHeat.Steam_Distr</t>
  </si>
  <si>
    <t>FEC_per_sqm.kWh.PL.Ser.BldNew.Thermal.HW.Elc.Elec</t>
  </si>
  <si>
    <t>FEC_per_sqm.kWh.PL.Ser.BldNew.Thermal.HW.TotalSolar.Solar</t>
  </si>
  <si>
    <t>FEC_per_sqm.kWh.PL.Ser.BldNew.Thermal.CA</t>
  </si>
  <si>
    <t>FEC_per_sqm.kWh.PL.Ser.BldNew.Thermal.CA.LPG</t>
  </si>
  <si>
    <t>FEC_per_sqm.kWh.PL.Ser.BldNew.Thermal.CA.Gas.NG_Biogas</t>
  </si>
  <si>
    <t>FEC_per_sqm.kWh.PL.Ser.BldNew.Thermal.CA.Biomass.Biomass_Waste</t>
  </si>
  <si>
    <t>FEC_per_sqm.kWh.PL.Ser.BldNew.Thermal.CA.Elc.Elec</t>
  </si>
  <si>
    <t>PL - Thermal energy service in new and renovated buildings per surface area</t>
  </si>
  <si>
    <t>TES_per_sqm.kWh.PL.Ser.BldNew.Thermal</t>
  </si>
  <si>
    <t>TES_per_sqm.kWh.PL.Ser.BldNew.Thermal.SH</t>
  </si>
  <si>
    <t>TES_per_sqm.kWh.PL.Ser.BldNew.Thermal.SH.Solids.Solids</t>
  </si>
  <si>
    <t>TES_per_sqm.kWh.PL.Ser.BldNew.Thermal.SH.LPG.LPG</t>
  </si>
  <si>
    <t>TES_per_sqm.kWh.PL.Ser.BldNew.Thermal.SH.Oil.Oil_LiqBio</t>
  </si>
  <si>
    <t>TES_per_sqm.kWh.PL.Ser.BldNew.Thermal.SH.GasHP.NG_Biogas</t>
  </si>
  <si>
    <t>TES_per_sqm.kWh.PL.Ser.BldNew.Thermal.SH.GasTH.NG_Biogas</t>
  </si>
  <si>
    <t>TES_per_sqm.kWh.PL.Ser.BldNew.Thermal.SH.Biomass.Biomass_Waste</t>
  </si>
  <si>
    <t>TES_per_sqm.kWh.PL.Ser.BldNew.Thermal.SH.Geo.Geo</t>
  </si>
  <si>
    <t>TES_per_sqm.kWh.PL.Ser.BldNew.Thermal.SH.DistrHeat.Steam_Distr</t>
  </si>
  <si>
    <t>TES_per_sqm.kWh.PL.Ser.BldNew.Thermal.SH.AdvElc.Elec</t>
  </si>
  <si>
    <t>TES_per_sqm.kWh.PL.Ser.BldNew.Thermal.SH.ConvElc.Elec</t>
  </si>
  <si>
    <t>TES_per_sqm.kWh.PL.Ser.BldNew.Thermal.SH.TotalCirculation.Elec</t>
  </si>
  <si>
    <t>TES_per_sqm.kWh.PL.Ser.BldNew.Thermal.SC</t>
  </si>
  <si>
    <t>TES_per_sqm.kWh.PL.Ser.BldNew.Thermal.SC.GasHP.NG_Biogas</t>
  </si>
  <si>
    <t>TES_per_sqm.kWh.PL.Ser.BldNew.Thermal.SC.AC.Elec</t>
  </si>
  <si>
    <t>TES_per_sqm.kWh.PL.Ser.BldNew.Thermal.HW</t>
  </si>
  <si>
    <t>TES_per_sqm.kWh.PL.Ser.BldNew.Thermal.HW.Solids.Solids</t>
  </si>
  <si>
    <t>TES_per_sqm.kWh.PL.Ser.BldNew.Thermal.HW.LPG.LPG</t>
  </si>
  <si>
    <t>TES_per_sqm.kWh.PL.Ser.BldNew.Thermal.HW.Oil.Oil_LiqBio</t>
  </si>
  <si>
    <t>TES_per_sqm.kWh.PL.Ser.BldNew.Thermal.HW.Gas.NG_Biogas</t>
  </si>
  <si>
    <t>TES_per_sqm.kWh.PL.Ser.BldNew.Thermal.HW.Biomass.Biomass_Waste</t>
  </si>
  <si>
    <t>TES_per_sqm.kWh.PL.Ser.BldNew.Thermal.HW.DistrHeat.Steam_Distr</t>
  </si>
  <si>
    <t>TES_per_sqm.kWh.PL.Ser.BldNew.Thermal.HW.Elc.Elec</t>
  </si>
  <si>
    <t>TES_per_sqm.kWh.PL.Ser.BldNew.Thermal.HW.TotalSolar.Solar</t>
  </si>
  <si>
    <t>TES_per_sqm.kWh.PL.Ser.BldNew.Thermal.CA</t>
  </si>
  <si>
    <t>TES_per_sqm.kWh.PL.Ser.BldNew.Thermal.CA.LPG</t>
  </si>
  <si>
    <t>TES_per_sqm.kWh.PL.Ser.BldNew.Thermal.CA.Gas.NG_Biogas</t>
  </si>
  <si>
    <t>TES_per_sqm.kWh.PL.Ser.BldNew.Thermal.CA.Biomass.Biomass_Waste</t>
  </si>
  <si>
    <t>TES_per_sqm.kWh.PL.Ser.BldNew.Thermal.CA.Elc.Elec</t>
  </si>
  <si>
    <t>PL - CO2 emissions in new and renovated buildings per surface area</t>
  </si>
  <si>
    <t>EMI_per_sqm.kgCO2.PL.Ser.BldNew.Thermal</t>
  </si>
  <si>
    <t>EMI_per_sqm.kgCO2.PL.Ser.BldNew.Thermal.SH</t>
  </si>
  <si>
    <t>EMI_per_sqm.kgCO2.PL.Ser.BldNew.Thermal.SH.Solids.Solids</t>
  </si>
  <si>
    <t>EMI_per_sqm.kgCO2.PL.Ser.BldNew.Thermal.SH.LPG.LPG</t>
  </si>
  <si>
    <t>EMI_per_sqm.kgCO2.PL.Ser.BldNew.Thermal.SH.Oil.Oil_LiqBio</t>
  </si>
  <si>
    <t>EMI_per_sqm.kgCO2.PL.Ser.BldNew.Thermal.SH.GasHP.NG_Biogas</t>
  </si>
  <si>
    <t>EMI_per_sqm.kgCO2.PL.Ser.BldNew.Thermal.SH.GasTH.NG_Biogas</t>
  </si>
  <si>
    <t>EMI_per_sqm.kgCO2.PL.Ser.BldNew.Thermal.SH.Biomass.Biomass_Waste</t>
  </si>
  <si>
    <t>EMI_per_sqm.kgCO2.PL.Ser.BldNew.Thermal.SH.Geo.Geo</t>
  </si>
  <si>
    <t>EMI_per_sqm.kgCO2.PL.Ser.BldNew.Thermal.SH.DistrHeat.Steam_Distr</t>
  </si>
  <si>
    <t>EMI_per_sqm.kgCO2.PL.Ser.BldNew.Thermal.SH.AdvElc.Elec</t>
  </si>
  <si>
    <t>EMI_per_sqm.kgCO2.PL.Ser.BldNew.Thermal.SH.ConvElc.Elec</t>
  </si>
  <si>
    <t>EMI_per_sqm.kgCO2.PL.Ser.BldNew.Thermal.SH.TotalCirculation.Elec</t>
  </si>
  <si>
    <t>EMI_per_sqm.kgCO2.PL.Ser.BldNew.Thermal.SC</t>
  </si>
  <si>
    <t>EMI_per_sqm.kgCO2.PL.Ser.BldNew.Thermal.SC.GasHP.NG_Biogas</t>
  </si>
  <si>
    <t>EMI_per_sqm.kgCO2.PL.Ser.BldNew.Thermal.SC.AC.Elec</t>
  </si>
  <si>
    <t>EMI_per_sqm.kgCO2.PL.Ser.BldNew.Thermal.HW</t>
  </si>
  <si>
    <t>EMI_per_sqm.kgCO2.PL.Ser.BldNew.Thermal.HW.Solids.Solids</t>
  </si>
  <si>
    <t>EMI_per_sqm.kgCO2.PL.Ser.BldNew.Thermal.HW.LPG.LPG</t>
  </si>
  <si>
    <t>EMI_per_sqm.kgCO2.PL.Ser.BldNew.Thermal.HW.Oil.Oil_LiqBio</t>
  </si>
  <si>
    <t>EMI_per_sqm.kgCO2.PL.Ser.BldNew.Thermal.HW.Gas.NG_Biogas</t>
  </si>
  <si>
    <t>EMI_per_sqm.kgCO2.PL.Ser.BldNew.Thermal.HW.Biomass.Biomass_Waste</t>
  </si>
  <si>
    <t>EMI_per_sqm.kgCO2.PL.Ser.BldNew.Thermal.HW.DistrHeat.Steam_Distr</t>
  </si>
  <si>
    <t>EMI_per_sqm.kgCO2.PL.Ser.BldNew.Thermal.HW.Elc.Elec</t>
  </si>
  <si>
    <t>EMI_per_sqm.kgCO2.PL.Ser.BldNew.Thermal.HW.TotalSolar.Solar</t>
  </si>
  <si>
    <t>EMI_per_sqm.kgCO2.PL.Ser.BldNew.Thermal.CA</t>
  </si>
  <si>
    <t>EMI_per_sqm.kgCO2.PL.Ser.BldNew.Thermal.CA.LPG</t>
  </si>
  <si>
    <t>EMI_per_sqm.kgCO2.PL.Ser.BldNew.Thermal.CA.Gas.NG_Biogas</t>
  </si>
  <si>
    <t>EMI_per_sqm.kgCO2.PL.Ser.BldNew.Thermal.CA.Biomass.Biomass_Waste</t>
  </si>
  <si>
    <t>EMI_per_sqm.kgCO2.PL.Ser.BldNew.Thermal.CA.Elc.Elec</t>
  </si>
  <si>
    <t>FEC.ktoe.PL.Ser.SEU.VE</t>
  </si>
  <si>
    <t>FEC.ktoe.PL.Ser.SEU.SL</t>
  </si>
  <si>
    <t>FEC.ktoe.PL.Ser.SEU.BL</t>
  </si>
  <si>
    <t>FEC.ktoe.PL.Ser.SEU.CR</t>
  </si>
  <si>
    <t>FEC.ktoe.PL.Ser.SEU.BT</t>
  </si>
  <si>
    <t>FEC.ktoe.PL.Ser.SEU.IT</t>
  </si>
  <si>
    <t>Size.MW.PL.Ser.SEU</t>
  </si>
  <si>
    <t>Size.MW.PL.Ser.SEU.VE</t>
  </si>
  <si>
    <t>Size.MW.PL.Ser.SEU.SL</t>
  </si>
  <si>
    <t>Size.MW.PL.Ser.SEU.BL</t>
  </si>
  <si>
    <t>Size.MW.PL.Ser.SEU.CR</t>
  </si>
  <si>
    <t>Size.MW.PL.Ser.SEU.BT</t>
  </si>
  <si>
    <t>Size.MW.PL.Ser.SEU.IT</t>
  </si>
  <si>
    <t>NUM.Msqm.PL.Ser.SEU.VE</t>
  </si>
  <si>
    <t>NUM.k.PL.Ser.SEU.SL</t>
  </si>
  <si>
    <t>NUM.M.PL.Ser.SEU.BL</t>
  </si>
  <si>
    <t>NUM.k.PL.Ser.SEU.CR</t>
  </si>
  <si>
    <t>NUM.Msqm.PL.Ser.SEU.BT</t>
  </si>
  <si>
    <t>NUM.k.PL.Ser.SEU.IT</t>
  </si>
  <si>
    <t>NUM.Msqm.PL.Ser.SEUnew.VE</t>
  </si>
  <si>
    <t>NUM.k.PL.Ser.SEUnew.SL</t>
  </si>
  <si>
    <t>NUM.M.PL.Ser.SEUnew.BL</t>
  </si>
  <si>
    <t>NUM.k.PL.Ser.SEUnew.CR</t>
  </si>
  <si>
    <t>NUM.Msqm.PL.Ser.SEUnew.BT</t>
  </si>
  <si>
    <t>NUM.k.PL.Ser.SEUnew.IT</t>
  </si>
  <si>
    <t>NUM.Msqm.PL.Ser.SEUrepl.VE</t>
  </si>
  <si>
    <t>NUM.k.PL.Ser.SEUrepl.SL</t>
  </si>
  <si>
    <t>NUM.M.PL.Ser.SEUrepl.BL</t>
  </si>
  <si>
    <t>NUM.k.PL.Ser.SEUrepl.CR</t>
  </si>
  <si>
    <t>NUM.Msqm.PL.Ser.SEUrepl.BT</t>
  </si>
  <si>
    <t>NUM.k.PL.Ser.SEUrepl.IT</t>
  </si>
  <si>
    <t>Op.hours.PL.Ser.SEU.VE</t>
  </si>
  <si>
    <t>Op.hours.PL.Ser.SEU.SL</t>
  </si>
  <si>
    <t>Op.hours.PL.Ser.SEU.BL</t>
  </si>
  <si>
    <t>Op.hours.PL.Ser.SEU.CR</t>
  </si>
  <si>
    <t>Op.hours.PL.Ser.SEU.BT</t>
  </si>
  <si>
    <t>Op.hours.PL.Ser.SEU.IT</t>
  </si>
  <si>
    <t>Size_per_appl.W.PL.Ser.SEU.VE</t>
  </si>
  <si>
    <t>Size_per_appl.W.PL.Ser.SEU.SL</t>
  </si>
  <si>
    <t>Size_per_appl.W.PL.Ser.SEU.BL</t>
  </si>
  <si>
    <t>Size_per_appl.W.PL.Ser.SEU.CR</t>
  </si>
  <si>
    <t>Size_per_appl.W.PL.Ser.SEU.BT</t>
  </si>
  <si>
    <t>Size_per_appl.W.PL.Ser.SEU.IT</t>
  </si>
  <si>
    <t>Size_per_appl.W.PL.Ser.SEUnew.VE</t>
  </si>
  <si>
    <t>Size_per_appl.W.PL.Ser.SEUnew.SL</t>
  </si>
  <si>
    <t>Size_per_appl.W.PL.Ser.SEUnew.BL</t>
  </si>
  <si>
    <t>Size_per_appl.W.PL.Ser.SEUnew.CR</t>
  </si>
  <si>
    <t>Size_per_appl.W.PL.Ser.SEUnew.BT</t>
  </si>
  <si>
    <t>Size_per_appl.W.PL.Ser.SEUnew.IT</t>
  </si>
  <si>
    <t>NUM.sqm_per_building.PL.Ser.SEU.VE</t>
  </si>
  <si>
    <t>NUM.number_per_capita.PL.Ser.SEU.SL</t>
  </si>
  <si>
    <t>NUM.number_per_building.PL.Ser.SEU.BL</t>
  </si>
  <si>
    <t>NUM.number_per_capita.PL.Ser.SEU.CR</t>
  </si>
  <si>
    <t>NUM.sqm_per_building.PL.Ser.SEU.BT</t>
  </si>
  <si>
    <t>NUM.number_per_capita.PL.Ser.SEU.IT</t>
  </si>
  <si>
    <t>Lumens_per_sqm.lumen.PL.Ser.SEU.BL</t>
  </si>
  <si>
    <t>PL - Services / specific electric uses</t>
  </si>
  <si>
    <t>PL - Ventilation and others</t>
  </si>
  <si>
    <t>PL - Street lighting</t>
  </si>
  <si>
    <t>PL - Building lighting</t>
  </si>
  <si>
    <t>PL - Commercial refrigeration</t>
  </si>
  <si>
    <t>PL - Miscellaneous building technologies</t>
  </si>
  <si>
    <t>PL - ICT and multimedia</t>
  </si>
  <si>
    <t>PL - Agriculture, forestry and fishing</t>
  </si>
  <si>
    <t>VA.Meuro2015.PL.AGR.AGR</t>
  </si>
  <si>
    <t>OUTPUT.index.PL.AGR.AGR</t>
  </si>
  <si>
    <t>CAP.index.PL.AGR.AGR</t>
  </si>
  <si>
    <t>NEWCAP.index.PL.AGR.AGR</t>
  </si>
  <si>
    <t>CAPOUT.index.PL.AGR.AGR</t>
  </si>
  <si>
    <t>CAPIDLE.index.PL.AGR.AGR</t>
  </si>
  <si>
    <t>FEC.ktoe.PL.ES.AGR</t>
  </si>
  <si>
    <t>FEC.ktoe.PL.ES.AGR.Solids</t>
  </si>
  <si>
    <t>FEC.ktoe.PL.ES.AGR.LPG</t>
  </si>
  <si>
    <t>FEC.ktoe.PL.ES.AGR.Diesel</t>
  </si>
  <si>
    <t>FEC.ktoe.PL.ES.AGR.RFO</t>
  </si>
  <si>
    <t>FEC.ktoe.PL.ES.AGR.NG</t>
  </si>
  <si>
    <t>FEC.ktoe.PL.ES.AGR.Biomass_Waste</t>
  </si>
  <si>
    <t>FEC.ktoe.PL.ES.AGR.Biogas</t>
  </si>
  <si>
    <t>FEC.ktoe.PL.ES.AGR.LiqBio</t>
  </si>
  <si>
    <t>FEC.ktoe.PL.ES.AGR.Solar</t>
  </si>
  <si>
    <t>FEC.ktoe.PL.ES.AGR.Geo</t>
  </si>
  <si>
    <t>FEC.ktoe.PL.ES.AGR.Ambient</t>
  </si>
  <si>
    <t>FEC.ktoe.PL.ES.AGR.Steam_Distr</t>
  </si>
  <si>
    <t>FEC.ktoe.PL.ES.AGR.Elec</t>
  </si>
  <si>
    <t>PL - Agriculture, forestry and fishing / final energy consumption</t>
  </si>
  <si>
    <t>FEC.ktoe.PL.AGR.AGR.LIGHT.GENERIC.ELEC</t>
  </si>
  <si>
    <t>FEC.ktoe.PL.AGR.AGR.FANS.GENERIC.ELEC</t>
  </si>
  <si>
    <t>FEC.ktoe.PL.AGR.AGR.MOTOR.GENERIC.ELEC</t>
  </si>
  <si>
    <t>FEC.ktoe.PL.AGR.AGR.LOW_ENTH.THERM.DIESEL_LIQBIO</t>
  </si>
  <si>
    <t>FEC.ktoe.PL.AGR.AGR.LOW_ENTH.THERM.NG_BIOGAS</t>
  </si>
  <si>
    <t>FEC.ktoe.PL.AGR.AGR.LOW_ENTH.THERM.SOLAR_GEO</t>
  </si>
  <si>
    <t>FEC.ktoe.PL.AGR.AGR.LOW_ENTH.HP.AMBIENT</t>
  </si>
  <si>
    <t>FEC.ktoe.PL.AGR.AGR.LOW_ENTH.THERM.STEAM_DISTR</t>
  </si>
  <si>
    <t>FEC.ktoe.PL.AGR.AGR.LOW_ENTH.THERM.ELEC</t>
  </si>
  <si>
    <t>FEC.ktoe.PL.AGR.AGR.FARM_DRIVES.MECH.DIESEL_LIQBIO</t>
  </si>
  <si>
    <t>FEC.ktoe.PL.AGR.AGR.HEAT_USE.THERM.SOLIDS</t>
  </si>
  <si>
    <t>FEC.ktoe.PL.AGR.AGR.HEAT_USE.THERM.LPG</t>
  </si>
  <si>
    <t>FEC.ktoe.PL.AGR.AGR.HEAT_USE.THERM.DIESEL_LIQBIO</t>
  </si>
  <si>
    <t>FEC.ktoe.PL.AGR.AGR.HEAT_USE.THERM.RFO</t>
  </si>
  <si>
    <t>FEC.ktoe.PL.AGR.AGR.HEAT_USE.THERM.NG_BIOGAS</t>
  </si>
  <si>
    <t>FEC.ktoe.PL.AGR.AGR.HEAT_USE.THERM.BIOMASS_WASTE</t>
  </si>
  <si>
    <t>FEC.ktoe.PL.AGR.AGR.HEAT_USE.THERM.SOLAR_GEO</t>
  </si>
  <si>
    <t>FEC.ktoe.PL.AGR.AGR.FARM_PUMP.MECH.DIESEL_LIQBIO</t>
  </si>
  <si>
    <t>FEC.ktoe.PL.AGR.AGR.FARM_PUMP_ELEC.MECH.ELEC</t>
  </si>
  <si>
    <t>FEC.ktoe.PL.AGR.AGR.GENERIC.MECH.ELEC</t>
  </si>
  <si>
    <t>PL - Agriculture, forestry and fishing / useful energy demand</t>
  </si>
  <si>
    <t>UED.ktoe.PL.AGR.AGR.LIGHT.GENERIC.ELEC</t>
  </si>
  <si>
    <t>UED.ktoe.PL.AGR.AGR.FANS.GENERIC.ELEC</t>
  </si>
  <si>
    <t>UED.ktoe.PL.AGR.AGR.MOTOR.GENERIC.ELEC</t>
  </si>
  <si>
    <t>UED.ktoe.PL.AGR.AGR.LOW_ENTH.THERM.DIESEL_LIQBIO</t>
  </si>
  <si>
    <t>UED.ktoe.PL.AGR.AGR.LOW_ENTH.THERM.NG_BIOGAS</t>
  </si>
  <si>
    <t>UED.ktoe.PL.AGR.AGR.LOW_ENTH.THERM.SOLAR_GEO</t>
  </si>
  <si>
    <t>UED.ktoe.PL.AGR.AGR.LOW_ENTH.HP.AMBIENT</t>
  </si>
  <si>
    <t>UED.ktoe.PL.AGR.AGR.LOW_ENTH.THERM.STEAM_DISTR</t>
  </si>
  <si>
    <t>UED.ktoe.PL.AGR.AGR.LOW_ENTH.THERM.ELEC</t>
  </si>
  <si>
    <t>UED.ktoe.PL.AGR.AGR.FARM_DRIVES.MECH.DIESEL_LIQBIO</t>
  </si>
  <si>
    <t>UED.ktoe.PL.AGR.AGR.HEAT_USE.THERM.SOLIDS</t>
  </si>
  <si>
    <t>UED.ktoe.PL.AGR.AGR.HEAT_USE.THERM.LPG</t>
  </si>
  <si>
    <t>UED.ktoe.PL.AGR.AGR.HEAT_USE.THERM.DIESEL_LIQBIO</t>
  </si>
  <si>
    <t>UED.ktoe.PL.AGR.AGR.HEAT_USE.THERM.RFO</t>
  </si>
  <si>
    <t>UED.ktoe.PL.AGR.AGR.HEAT_USE.THERM.NG_BIOGAS</t>
  </si>
  <si>
    <t>UED.ktoe.PL.AGR.AGR.HEAT_USE.THERM.BIOMASS_WASTE</t>
  </si>
  <si>
    <t>UED.ktoe.PL.AGR.AGR.HEAT_USE.THERM.SOLAR_GEO</t>
  </si>
  <si>
    <t>UED.ktoe.PL.AGR.AGR.FARM_PUMP.MECH.DIESEL_LIQBIO</t>
  </si>
  <si>
    <t>UED.ktoe.PL.AGR.AGR.FARM_PUMP_ELEC.MECH.ELEC</t>
  </si>
  <si>
    <t>UED.ktoe.PL.AGR.AGR.GENERIC.MECH.ELEC</t>
  </si>
  <si>
    <t>PL - Agriculture, forestry and fishing / CO2 emissions</t>
  </si>
  <si>
    <t>FUEL_EMI.ktCO2.PL.AGR.AGR.LIGHT.GENERIC.ELEC</t>
  </si>
  <si>
    <t>FUEL_EMI.ktCO2.PL.AGR.AGR.FANS.GENERIC.ELEC</t>
  </si>
  <si>
    <t>FUEL_EMI.ktCO2.PL.AGR.AGR.MOTOR.GENERIC.ELEC</t>
  </si>
  <si>
    <t>FUEL_EMI.ktCO2.PL.AGR.AGR.LOW_ENTH.THERM.DIESEL_LIQBIO</t>
  </si>
  <si>
    <t>FUEL_EMI.ktCO2.PL.AGR.AGR.LOW_ENTH.THERM.NG_BIOGAS</t>
  </si>
  <si>
    <t>FUEL_EMI.ktCO2.PL.AGR.AGR.LOW_ENTH.THERM.SOLAR_GEO</t>
  </si>
  <si>
    <t>FUEL_EMI.ktCO2.PL.AGR.AGR.LOW_ENTH.HP.AMBIENT</t>
  </si>
  <si>
    <t>FUEL_EMI.ktCO2.PL.AGR.AGR.LOW_ENTH.THERM.STEAM_DISTR</t>
  </si>
  <si>
    <t>FUEL_EMI.ktCO2.PL.AGR.AGR.LOW_ENTH.THERM.ELEC</t>
  </si>
  <si>
    <t>FUEL_EMI.ktCO2.PL.AGR.AGR.FARM_DRIVES.MECH.DIESEL_LIQBIO</t>
  </si>
  <si>
    <t>FUEL_EMI.ktCO2.PL.AGR.AGR.HEAT_USE.THERM.SOLIDS</t>
  </si>
  <si>
    <t>FUEL_EMI.ktCO2.PL.AGR.AGR.HEAT_USE.THERM.LPG</t>
  </si>
  <si>
    <t>FUEL_EMI.ktCO2.PL.AGR.AGR.HEAT_USE.THERM.DIESEL_LIQBIO</t>
  </si>
  <si>
    <t>FUEL_EMI.ktCO2.PL.AGR.AGR.HEAT_USE.THERM.RFO</t>
  </si>
  <si>
    <t>FUEL_EMI.ktCO2.PL.AGR.AGR.HEAT_USE.THERM.NG_BIOGAS</t>
  </si>
  <si>
    <t>FUEL_EMI.ktCO2.PL.AGR.AGR.HEAT_USE.THERM.BIOMASS_WASTE</t>
  </si>
  <si>
    <t>FUEL_EMI.ktCO2.PL.AGR.AGR.HEAT_USE.THERM.SOLAR_GEO</t>
  </si>
  <si>
    <t>FUEL_EMI.ktCO2.PL.AGR.AGR.FARM_PUMP.MECH.DIESEL_LIQBIO</t>
  </si>
  <si>
    <t>FUEL_EMI.ktCO2.PL.AGR.AGR.FARM_PUMP_ELEC.MECH.ELEC</t>
  </si>
  <si>
    <t>FUEL_EMI.ktCO2.PL.AGR.AGR.GENERIC.MECH.ELEC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</si>
</sst>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45432.787962962961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38263303</v>
      </c>
      <c r="C3" s="34">
        <v>38253955</v>
      </c>
      <c r="D3" s="34">
        <v>38242197</v>
      </c>
      <c r="E3" s="34">
        <v>38218531</v>
      </c>
      <c r="F3" s="34">
        <v>38190608</v>
      </c>
      <c r="G3" s="34">
        <v>38173835</v>
      </c>
      <c r="H3" s="34">
        <v>38157055</v>
      </c>
      <c r="I3" s="34">
        <v>38125479</v>
      </c>
      <c r="J3" s="34">
        <v>38115641</v>
      </c>
      <c r="K3" s="34">
        <v>38135876</v>
      </c>
      <c r="L3" s="34">
        <v>38022869</v>
      </c>
      <c r="M3" s="34">
        <v>38062718</v>
      </c>
      <c r="N3" s="34">
        <v>38063792</v>
      </c>
      <c r="O3" s="34">
        <v>38062535</v>
      </c>
      <c r="P3" s="34">
        <v>38017856</v>
      </c>
      <c r="Q3" s="34">
        <v>38005614</v>
      </c>
      <c r="R3" s="34">
        <v>37967209</v>
      </c>
      <c r="S3" s="34">
        <v>37972964</v>
      </c>
      <c r="T3" s="34">
        <v>37976687</v>
      </c>
      <c r="U3" s="34">
        <v>37972812</v>
      </c>
      <c r="V3" s="34">
        <v>37958138</v>
      </c>
      <c r="W3" s="34">
        <v>37840001</v>
      </c>
      <c r="DA3" s="88" t="s">
        <v>187</v>
      </c>
    </row>
    <row r="4" spans="1:105" ht="12" customHeight="1" x14ac:dyDescent="0.25">
      <c r="A4" s="35" t="s">
        <v>178</v>
      </c>
      <c r="B4" s="36">
        <v>253135.28534634676</v>
      </c>
      <c r="C4" s="36">
        <v>256321.62728520844</v>
      </c>
      <c r="D4" s="36">
        <v>261539.22591543698</v>
      </c>
      <c r="E4" s="36">
        <v>270689.26251862681</v>
      </c>
      <c r="F4" s="36">
        <v>284174.53643068863</v>
      </c>
      <c r="G4" s="36">
        <v>294141.23072144506</v>
      </c>
      <c r="H4" s="36">
        <v>312174.9761179093</v>
      </c>
      <c r="I4" s="36">
        <v>334218.94467813213</v>
      </c>
      <c r="J4" s="36">
        <v>348258.42482826865</v>
      </c>
      <c r="K4" s="36">
        <v>358120.61584339594</v>
      </c>
      <c r="L4" s="36">
        <v>368630.06385643594</v>
      </c>
      <c r="M4" s="36">
        <v>387218.50223883661</v>
      </c>
      <c r="N4" s="36">
        <v>393202.33030312305</v>
      </c>
      <c r="O4" s="36">
        <v>396569.35126469174</v>
      </c>
      <c r="P4" s="36">
        <v>411786.311363291</v>
      </c>
      <c r="Q4" s="36">
        <v>429834.6</v>
      </c>
      <c r="R4" s="36">
        <v>442529.40747455176</v>
      </c>
      <c r="S4" s="36">
        <v>465274.75601106818</v>
      </c>
      <c r="T4" s="36">
        <v>492936.05713664787</v>
      </c>
      <c r="U4" s="36">
        <v>514875.36741955433</v>
      </c>
      <c r="V4" s="36">
        <v>504470.11898712325</v>
      </c>
      <c r="W4" s="36">
        <v>539456.78319060325</v>
      </c>
      <c r="DA4" s="89" t="s">
        <v>188</v>
      </c>
    </row>
    <row r="5" spans="1:105" ht="12" customHeight="1" x14ac:dyDescent="0.25">
      <c r="A5" s="35" t="s">
        <v>147</v>
      </c>
      <c r="B5" s="36">
        <v>144211.91369096146</v>
      </c>
      <c r="C5" s="36">
        <v>149581.66465621232</v>
      </c>
      <c r="D5" s="36">
        <v>155246.46431747862</v>
      </c>
      <c r="E5" s="36">
        <v>158372.70266823485</v>
      </c>
      <c r="F5" s="36">
        <v>161408.17885162812</v>
      </c>
      <c r="G5" s="36">
        <v>167730.80784256806</v>
      </c>
      <c r="H5" s="36">
        <v>178028.18689690201</v>
      </c>
      <c r="I5" s="36">
        <v>189369.97100693881</v>
      </c>
      <c r="J5" s="36">
        <v>198437.09147953402</v>
      </c>
      <c r="K5" s="36">
        <v>203674.59094411458</v>
      </c>
      <c r="L5" s="36">
        <v>206221.76271327335</v>
      </c>
      <c r="M5" s="36">
        <v>212207.72062646892</v>
      </c>
      <c r="N5" s="36">
        <v>217590.09147277306</v>
      </c>
      <c r="O5" s="36">
        <v>224700.48343741379</v>
      </c>
      <c r="P5" s="36">
        <v>228892.6171094914</v>
      </c>
      <c r="Q5" s="36">
        <v>236794.7</v>
      </c>
      <c r="R5" s="36">
        <v>243655.19332510824</v>
      </c>
      <c r="S5" s="36">
        <v>262154.13268901641</v>
      </c>
      <c r="T5" s="36">
        <v>280819.54947225604</v>
      </c>
      <c r="U5" s="36">
        <v>294461.88842119585</v>
      </c>
      <c r="V5" s="36">
        <v>289216.97405619558</v>
      </c>
      <c r="W5" s="36">
        <v>309478.23203372967</v>
      </c>
      <c r="DA5" s="89" t="s">
        <v>189</v>
      </c>
    </row>
    <row r="6" spans="1:105" ht="12" customHeight="1" x14ac:dyDescent="0.25">
      <c r="A6" s="37" t="s">
        <v>70</v>
      </c>
      <c r="B6" s="38">
        <v>7599199.9999999991</v>
      </c>
      <c r="C6" s="38">
        <v>7366900</v>
      </c>
      <c r="D6" s="38">
        <v>7363900</v>
      </c>
      <c r="E6" s="38">
        <v>7399200.0000000009</v>
      </c>
      <c r="F6" s="38">
        <v>7484500</v>
      </c>
      <c r="G6" s="38">
        <v>7690500</v>
      </c>
      <c r="H6" s="38">
        <v>8075900</v>
      </c>
      <c r="I6" s="38">
        <v>8489599.9999999981</v>
      </c>
      <c r="J6" s="38">
        <v>8784000</v>
      </c>
      <c r="K6" s="38">
        <v>9042800.0000000019</v>
      </c>
      <c r="L6" s="38">
        <v>8967100</v>
      </c>
      <c r="M6" s="38">
        <v>8987500</v>
      </c>
      <c r="N6" s="38">
        <v>9111900</v>
      </c>
      <c r="O6" s="38">
        <v>9194300</v>
      </c>
      <c r="P6" s="38">
        <v>9448000</v>
      </c>
      <c r="Q6" s="38">
        <v>9596200</v>
      </c>
      <c r="R6" s="38">
        <v>9712200</v>
      </c>
      <c r="S6" s="38">
        <v>9863300</v>
      </c>
      <c r="T6" s="38">
        <v>9975700</v>
      </c>
      <c r="U6" s="38">
        <v>10030500</v>
      </c>
      <c r="V6" s="38">
        <v>10079600</v>
      </c>
      <c r="W6" s="38">
        <v>10561300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316998.958075264</v>
      </c>
      <c r="C8" s="34">
        <v>316300.00792216929</v>
      </c>
      <c r="D8" s="34">
        <v>317187.84473148535</v>
      </c>
      <c r="E8" s="34">
        <v>322747.8400647089</v>
      </c>
      <c r="F8" s="34">
        <v>331864.8607370918</v>
      </c>
      <c r="G8" s="34">
        <v>339240.46016186127</v>
      </c>
      <c r="H8" s="34">
        <v>352266.77411296434</v>
      </c>
      <c r="I8" s="34">
        <v>366786.45187718206</v>
      </c>
      <c r="J8" s="34">
        <v>380791.70948488422</v>
      </c>
      <c r="K8" s="34">
        <v>392273.44070145849</v>
      </c>
      <c r="L8" s="34">
        <v>392855.14571397949</v>
      </c>
      <c r="M8" s="34">
        <v>402977.54654720309</v>
      </c>
      <c r="N8" s="34">
        <v>411102.738266734</v>
      </c>
      <c r="O8" s="34">
        <v>413655.81204958679</v>
      </c>
      <c r="P8" s="34">
        <v>422760.44919738406</v>
      </c>
      <c r="Q8" s="34">
        <v>427986.61226523196</v>
      </c>
      <c r="R8" s="34">
        <v>434554.64327125327</v>
      </c>
      <c r="S8" s="34">
        <v>443275.39987805078</v>
      </c>
      <c r="T8" s="34">
        <v>451890.24237310432</v>
      </c>
      <c r="U8" s="34">
        <v>459762.47164623742</v>
      </c>
      <c r="V8" s="34">
        <v>466814.47</v>
      </c>
      <c r="W8" s="34">
        <v>473456.09571925015</v>
      </c>
      <c r="DA8" s="88" t="s">
        <v>191</v>
      </c>
    </row>
    <row r="9" spans="1:105" ht="12" customHeight="1" x14ac:dyDescent="0.25">
      <c r="A9" s="39" t="s">
        <v>68</v>
      </c>
      <c r="B9" s="40">
        <v>285299.06226773758</v>
      </c>
      <c r="C9" s="40">
        <v>284670.00712995237</v>
      </c>
      <c r="D9" s="40">
        <v>285469.06025833683</v>
      </c>
      <c r="E9" s="40">
        <v>290473.05605823803</v>
      </c>
      <c r="F9" s="40">
        <v>298678.37466338265</v>
      </c>
      <c r="G9" s="40">
        <v>305316.41414567514</v>
      </c>
      <c r="H9" s="40">
        <v>317040.09670166794</v>
      </c>
      <c r="I9" s="40">
        <v>330107.80668946385</v>
      </c>
      <c r="J9" s="40">
        <v>342712.53853639582</v>
      </c>
      <c r="K9" s="40">
        <v>353046.09663131263</v>
      </c>
      <c r="L9" s="40">
        <v>353569.63114258152</v>
      </c>
      <c r="M9" s="40">
        <v>362679.79189248278</v>
      </c>
      <c r="N9" s="40">
        <v>369992.4644400606</v>
      </c>
      <c r="O9" s="40">
        <v>372290.23084462812</v>
      </c>
      <c r="P9" s="40">
        <v>380484.40427764563</v>
      </c>
      <c r="Q9" s="40">
        <v>385187.95103870874</v>
      </c>
      <c r="R9" s="40">
        <v>391099.17894412793</v>
      </c>
      <c r="S9" s="40">
        <v>398947.85989024572</v>
      </c>
      <c r="T9" s="40">
        <v>406701.21813579393</v>
      </c>
      <c r="U9" s="40">
        <v>413786.22448161367</v>
      </c>
      <c r="V9" s="40">
        <v>420133.02299999999</v>
      </c>
      <c r="W9" s="40">
        <v>426110.48614732514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1267.8297614244789</v>
      </c>
      <c r="D10" s="41">
        <v>2153.2066759765426</v>
      </c>
      <c r="E10" s="41">
        <v>6828.809052553629</v>
      </c>
      <c r="F10" s="41">
        <v>10407.973444589961</v>
      </c>
      <c r="G10" s="41">
        <v>8702.9586394855578</v>
      </c>
      <c r="H10" s="41">
        <v>14383.191902988548</v>
      </c>
      <c r="I10" s="41">
        <v>15928.705485102244</v>
      </c>
      <c r="J10" s="41">
        <v>15472.33884501998</v>
      </c>
      <c r="K10" s="41">
        <v>13004.898054513726</v>
      </c>
      <c r="L10" s="41">
        <v>2150.6258930730637</v>
      </c>
      <c r="M10" s="41">
        <v>11693.781608539855</v>
      </c>
      <c r="N10" s="41">
        <v>9736.9147689785077</v>
      </c>
      <c r="O10" s="41">
        <v>4197.2674431868309</v>
      </c>
      <c r="P10" s="41">
        <v>10759.162366140397</v>
      </c>
      <c r="Q10" s="41">
        <v>6917.0947286999772</v>
      </c>
      <c r="R10" s="41">
        <v>8785.5782198308789</v>
      </c>
      <c r="S10" s="41">
        <v>10972.335069342822</v>
      </c>
      <c r="T10" s="41">
        <v>10911.606224991705</v>
      </c>
      <c r="U10" s="41">
        <v>10213.629492682863</v>
      </c>
      <c r="V10" s="41">
        <v>9434.1873260228531</v>
      </c>
      <c r="W10" s="41">
        <v>9060.3535430842676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1141.0467852820309</v>
      </c>
      <c r="D11" s="42">
        <v>1937.8860083788884</v>
      </c>
      <c r="E11" s="42">
        <v>6145.9281472982666</v>
      </c>
      <c r="F11" s="42">
        <v>9367.176100130966</v>
      </c>
      <c r="G11" s="42">
        <v>7832.6627755370027</v>
      </c>
      <c r="H11" s="42">
        <v>12944.872712689694</v>
      </c>
      <c r="I11" s="42">
        <v>14335.834936592018</v>
      </c>
      <c r="J11" s="42">
        <v>13925.104960517981</v>
      </c>
      <c r="K11" s="42">
        <v>11704.408249062353</v>
      </c>
      <c r="L11" s="42">
        <v>1935.5633037657574</v>
      </c>
      <c r="M11" s="42">
        <v>10524.403447685869</v>
      </c>
      <c r="N11" s="42">
        <v>8763.2232920806582</v>
      </c>
      <c r="O11" s="42">
        <v>3777.5406988681475</v>
      </c>
      <c r="P11" s="42">
        <v>9683.2461295263583</v>
      </c>
      <c r="Q11" s="42">
        <v>6225.3852558299795</v>
      </c>
      <c r="R11" s="42">
        <v>7907.0203978477903</v>
      </c>
      <c r="S11" s="42">
        <v>9875.1015624085394</v>
      </c>
      <c r="T11" s="42">
        <v>9820.445602492533</v>
      </c>
      <c r="U11" s="42">
        <v>9192.2665434145765</v>
      </c>
      <c r="V11" s="42">
        <v>8490.7685934205674</v>
      </c>
      <c r="W11" s="42">
        <v>8154.3181887758419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3104.32</v>
      </c>
      <c r="C13" s="43">
        <v>3588.96</v>
      </c>
      <c r="D13" s="43">
        <v>3344.88</v>
      </c>
      <c r="E13" s="43">
        <v>3597.66</v>
      </c>
      <c r="F13" s="43">
        <v>3515.39</v>
      </c>
      <c r="G13" s="43">
        <v>3544.15</v>
      </c>
      <c r="H13" s="43">
        <v>3462.59</v>
      </c>
      <c r="I13" s="43">
        <v>3232.13</v>
      </c>
      <c r="J13" s="43">
        <v>3174.47</v>
      </c>
      <c r="K13" s="43">
        <v>3448.86</v>
      </c>
      <c r="L13" s="43">
        <v>3923.03</v>
      </c>
      <c r="M13" s="43">
        <v>3315.94</v>
      </c>
      <c r="N13" s="43">
        <v>3551.16</v>
      </c>
      <c r="O13" s="43">
        <v>3502.91</v>
      </c>
      <c r="P13" s="43">
        <v>3094.64</v>
      </c>
      <c r="Q13" s="43">
        <v>3112.56</v>
      </c>
      <c r="R13" s="43">
        <v>3286.01</v>
      </c>
      <c r="S13" s="43">
        <v>3288.37</v>
      </c>
      <c r="T13" s="43">
        <v>3123.43</v>
      </c>
      <c r="U13" s="43">
        <v>2951.82</v>
      </c>
      <c r="V13" s="43">
        <v>3006.1</v>
      </c>
      <c r="W13" s="43">
        <v>3491.49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3341.3990476190484</v>
      </c>
      <c r="C14" s="44">
        <f t="shared" ref="C14:W14" si="0">AVERAGE($B$13:$V$13)</f>
        <v>3341.3990476190484</v>
      </c>
      <c r="D14" s="44">
        <f t="shared" si="0"/>
        <v>3341.3990476190484</v>
      </c>
      <c r="E14" s="44">
        <f t="shared" si="0"/>
        <v>3341.3990476190484</v>
      </c>
      <c r="F14" s="44">
        <f t="shared" si="0"/>
        <v>3341.3990476190484</v>
      </c>
      <c r="G14" s="44">
        <f t="shared" si="0"/>
        <v>3341.3990476190484</v>
      </c>
      <c r="H14" s="44">
        <f t="shared" si="0"/>
        <v>3341.3990476190484</v>
      </c>
      <c r="I14" s="44">
        <f t="shared" si="0"/>
        <v>3341.3990476190484</v>
      </c>
      <c r="J14" s="44">
        <f t="shared" si="0"/>
        <v>3341.3990476190484</v>
      </c>
      <c r="K14" s="44">
        <f t="shared" si="0"/>
        <v>3341.3990476190484</v>
      </c>
      <c r="L14" s="44">
        <f t="shared" si="0"/>
        <v>3341.3990476190484</v>
      </c>
      <c r="M14" s="44">
        <f t="shared" si="0"/>
        <v>3341.3990476190484</v>
      </c>
      <c r="N14" s="44">
        <f t="shared" si="0"/>
        <v>3341.3990476190484</v>
      </c>
      <c r="O14" s="44">
        <f t="shared" si="0"/>
        <v>3341.3990476190484</v>
      </c>
      <c r="P14" s="44">
        <f t="shared" si="0"/>
        <v>3341.3990476190484</v>
      </c>
      <c r="Q14" s="44">
        <f t="shared" si="0"/>
        <v>3341.3990476190484</v>
      </c>
      <c r="R14" s="44">
        <f t="shared" si="0"/>
        <v>3341.3990476190484</v>
      </c>
      <c r="S14" s="44">
        <f t="shared" si="0"/>
        <v>3341.3990476190484</v>
      </c>
      <c r="T14" s="44">
        <f t="shared" si="0"/>
        <v>3341.3990476190484</v>
      </c>
      <c r="U14" s="44">
        <f t="shared" si="0"/>
        <v>3341.3990476190484</v>
      </c>
      <c r="V14" s="44">
        <f t="shared" si="0"/>
        <v>3341.3990476190484</v>
      </c>
      <c r="W14" s="44">
        <f t="shared" si="0"/>
        <v>3341.3990476190484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0.92904796935643419</v>
      </c>
      <c r="C15" s="46">
        <f t="shared" ref="C15:W15" si="1">C13/C14</f>
        <v>1.0740890114748054</v>
      </c>
      <c r="D15" s="46">
        <f t="shared" si="1"/>
        <v>1.0010417649407759</v>
      </c>
      <c r="E15" s="46">
        <f t="shared" si="1"/>
        <v>1.0766927112652267</v>
      </c>
      <c r="F15" s="46">
        <f t="shared" si="1"/>
        <v>1.0520712880746557</v>
      </c>
      <c r="G15" s="46">
        <f t="shared" si="1"/>
        <v>1.0606784611749454</v>
      </c>
      <c r="H15" s="46">
        <f t="shared" si="1"/>
        <v>1.0362695238293396</v>
      </c>
      <c r="I15" s="46">
        <f t="shared" si="1"/>
        <v>0.96729841420859053</v>
      </c>
      <c r="J15" s="46">
        <f t="shared" si="1"/>
        <v>0.95004216939069408</v>
      </c>
      <c r="K15" s="46">
        <f t="shared" si="1"/>
        <v>1.0321604665738815</v>
      </c>
      <c r="L15" s="46">
        <f t="shared" si="1"/>
        <v>1.1740680906686076</v>
      </c>
      <c r="M15" s="46">
        <f t="shared" si="1"/>
        <v>0.99238072218965001</v>
      </c>
      <c r="N15" s="46">
        <f t="shared" si="1"/>
        <v>1.0627763847991814</v>
      </c>
      <c r="O15" s="46">
        <f t="shared" si="1"/>
        <v>1.0483363256166718</v>
      </c>
      <c r="P15" s="46">
        <f t="shared" si="1"/>
        <v>0.92615097924479284</v>
      </c>
      <c r="Q15" s="46">
        <f t="shared" si="1"/>
        <v>0.93151400226138503</v>
      </c>
      <c r="R15" s="46">
        <f t="shared" si="1"/>
        <v>0.98342339635892451</v>
      </c>
      <c r="S15" s="46">
        <f t="shared" si="1"/>
        <v>0.98412968733655593</v>
      </c>
      <c r="T15" s="46">
        <f t="shared" si="1"/>
        <v>0.93476713062022188</v>
      </c>
      <c r="U15" s="46">
        <f t="shared" si="1"/>
        <v>0.88340840406456478</v>
      </c>
      <c r="V15" s="46">
        <f t="shared" si="1"/>
        <v>0.8996530965500904</v>
      </c>
      <c r="W15" s="46">
        <f t="shared" si="1"/>
        <v>1.0449185955469462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6615.615106368281</v>
      </c>
      <c r="C19" s="34">
        <f t="shared" si="2"/>
        <v>6700.5261883433604</v>
      </c>
      <c r="D19" s="34">
        <f t="shared" ref="D19:W19" si="3">D4*1000000/D3</f>
        <v>6839.0219818029018</v>
      </c>
      <c r="E19" s="34">
        <f t="shared" si="3"/>
        <v>7082.6705118160298</v>
      </c>
      <c r="F19" s="34">
        <f t="shared" si="3"/>
        <v>7440.9534519766921</v>
      </c>
      <c r="G19" s="34">
        <f t="shared" si="3"/>
        <v>7705.3099517364462</v>
      </c>
      <c r="H19" s="34">
        <f t="shared" si="3"/>
        <v>8181.3173505635932</v>
      </c>
      <c r="I19" s="34">
        <f t="shared" si="3"/>
        <v>8766.2884098618706</v>
      </c>
      <c r="J19" s="34">
        <f t="shared" si="3"/>
        <v>9136.8901503786492</v>
      </c>
      <c r="K19" s="34">
        <f t="shared" si="3"/>
        <v>9390.6487383008043</v>
      </c>
      <c r="L19" s="34">
        <f t="shared" si="3"/>
        <v>9694.9565761709327</v>
      </c>
      <c r="M19" s="34">
        <f t="shared" si="3"/>
        <v>10173.17003580345</v>
      </c>
      <c r="N19" s="34">
        <f t="shared" si="3"/>
        <v>10330.08824509978</v>
      </c>
      <c r="O19" s="34">
        <f t="shared" si="3"/>
        <v>10418.889631620483</v>
      </c>
      <c r="P19" s="34">
        <f t="shared" si="3"/>
        <v>10831.392263763928</v>
      </c>
      <c r="Q19" s="34">
        <f t="shared" si="3"/>
        <v>11309.765972995463</v>
      </c>
      <c r="R19" s="34">
        <f t="shared" si="3"/>
        <v>11655.568558504045</v>
      </c>
      <c r="S19" s="34">
        <f t="shared" si="3"/>
        <v>12252.790064295959</v>
      </c>
      <c r="T19" s="34">
        <f t="shared" si="3"/>
        <v>12979.964711946777</v>
      </c>
      <c r="U19" s="34">
        <f t="shared" si="3"/>
        <v>13559.052919745694</v>
      </c>
      <c r="V19" s="34">
        <f t="shared" si="3"/>
        <v>13290.170318341832</v>
      </c>
      <c r="W19" s="34">
        <f t="shared" si="3"/>
        <v>14256.257107144454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18977.249406642997</v>
      </c>
      <c r="C20" s="36">
        <f t="shared" si="4"/>
        <v>20304.560216130572</v>
      </c>
      <c r="D20" s="36">
        <f t="shared" ref="D20:W20" si="5">D5*1000000/D6</f>
        <v>21082.098387740003</v>
      </c>
      <c r="E20" s="36">
        <f t="shared" si="5"/>
        <v>21404.030526034549</v>
      </c>
      <c r="F20" s="36">
        <f t="shared" si="5"/>
        <v>21565.659543273181</v>
      </c>
      <c r="G20" s="36">
        <f t="shared" si="5"/>
        <v>21810.130400177888</v>
      </c>
      <c r="H20" s="36">
        <f t="shared" si="5"/>
        <v>22044.377332173754</v>
      </c>
      <c r="I20" s="36">
        <f t="shared" si="5"/>
        <v>22306.112302928155</v>
      </c>
      <c r="J20" s="36">
        <f t="shared" si="5"/>
        <v>22590.743565520723</v>
      </c>
      <c r="K20" s="36">
        <f t="shared" si="5"/>
        <v>22523.398830463411</v>
      </c>
      <c r="L20" s="36">
        <f t="shared" si="5"/>
        <v>22997.598188184958</v>
      </c>
      <c r="M20" s="36">
        <f t="shared" si="5"/>
        <v>23611.429276936735</v>
      </c>
      <c r="N20" s="36">
        <f t="shared" si="5"/>
        <v>23879.771669220805</v>
      </c>
      <c r="O20" s="36">
        <f t="shared" si="5"/>
        <v>24439.107211795763</v>
      </c>
      <c r="P20" s="36">
        <f t="shared" si="5"/>
        <v>24226.568280005438</v>
      </c>
      <c r="Q20" s="36">
        <f t="shared" si="5"/>
        <v>24675.882120005837</v>
      </c>
      <c r="R20" s="36">
        <f t="shared" si="5"/>
        <v>25087.53869618709</v>
      </c>
      <c r="S20" s="36">
        <f t="shared" si="5"/>
        <v>26578.744709074694</v>
      </c>
      <c r="T20" s="36">
        <f t="shared" si="5"/>
        <v>28150.360322810033</v>
      </c>
      <c r="U20" s="36">
        <f t="shared" si="5"/>
        <v>29356.651056397575</v>
      </c>
      <c r="V20" s="36">
        <f t="shared" si="5"/>
        <v>28693.298747588749</v>
      </c>
      <c r="W20" s="36">
        <f t="shared" si="5"/>
        <v>29303.043378535756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3768.9353083543638</v>
      </c>
      <c r="C21" s="36">
        <f t="shared" si="6"/>
        <v>3910.2274433117391</v>
      </c>
      <c r="D21" s="36">
        <f t="shared" ref="D21:W21" si="7">D5*1000000/D3</f>
        <v>4059.5592433530587</v>
      </c>
      <c r="E21" s="36">
        <f t="shared" si="7"/>
        <v>4143.8720569410389</v>
      </c>
      <c r="F21" s="36">
        <f t="shared" si="7"/>
        <v>4226.3841112879927</v>
      </c>
      <c r="G21" s="36">
        <f t="shared" si="7"/>
        <v>4393.8684138643148</v>
      </c>
      <c r="H21" s="36">
        <f t="shared" si="7"/>
        <v>4665.6689541921414</v>
      </c>
      <c r="I21" s="36">
        <f t="shared" si="7"/>
        <v>4967.0188014408632</v>
      </c>
      <c r="J21" s="36">
        <f t="shared" si="7"/>
        <v>5206.1853421154328</v>
      </c>
      <c r="K21" s="36">
        <f t="shared" si="7"/>
        <v>5340.7607824221623</v>
      </c>
      <c r="L21" s="36">
        <f t="shared" si="7"/>
        <v>5423.6244696125732</v>
      </c>
      <c r="M21" s="36">
        <f t="shared" si="7"/>
        <v>5575.2119600725546</v>
      </c>
      <c r="N21" s="36">
        <f t="shared" si="7"/>
        <v>5716.4586090837465</v>
      </c>
      <c r="O21" s="36">
        <f t="shared" si="7"/>
        <v>5903.455548544357</v>
      </c>
      <c r="P21" s="36">
        <f t="shared" si="7"/>
        <v>6020.6608470896253</v>
      </c>
      <c r="Q21" s="36">
        <f t="shared" si="7"/>
        <v>6230.5189964829933</v>
      </c>
      <c r="R21" s="36">
        <f t="shared" si="7"/>
        <v>6417.5165818774894</v>
      </c>
      <c r="S21" s="36">
        <f t="shared" si="7"/>
        <v>6903.7047697676808</v>
      </c>
      <c r="T21" s="36">
        <f t="shared" si="7"/>
        <v>7394.5246849009245</v>
      </c>
      <c r="U21" s="36">
        <f t="shared" si="7"/>
        <v>7754.5452367656062</v>
      </c>
      <c r="V21" s="36">
        <f t="shared" si="7"/>
        <v>7619.3667364873263</v>
      </c>
      <c r="W21" s="36">
        <f t="shared" si="7"/>
        <v>8178.5999961715033</v>
      </c>
      <c r="DA21" s="89"/>
    </row>
    <row r="22" spans="1:105" ht="12" customHeight="1" x14ac:dyDescent="0.25">
      <c r="A22" s="51" t="s">
        <v>152</v>
      </c>
      <c r="B22" s="52">
        <v>0.25905635502434865</v>
      </c>
      <c r="C22" s="52">
        <v>0.26193888370078694</v>
      </c>
      <c r="D22" s="52">
        <v>0.26676188876123014</v>
      </c>
      <c r="E22" s="52">
        <v>0.26928051496004546</v>
      </c>
      <c r="F22" s="52">
        <v>0.26835536176587504</v>
      </c>
      <c r="G22" s="52">
        <v>0.27345703251314135</v>
      </c>
      <c r="H22" s="52">
        <v>0.28216907664046481</v>
      </c>
      <c r="I22" s="52">
        <v>0.29152316089733671</v>
      </c>
      <c r="J22" s="52">
        <v>0.30159425925622418</v>
      </c>
      <c r="K22" s="52">
        <v>0.31649666980975588</v>
      </c>
      <c r="L22" s="52">
        <v>0.31712345220698762</v>
      </c>
      <c r="M22" s="52">
        <v>0.31991424881900837</v>
      </c>
      <c r="N22" s="52">
        <v>0.32901809175365332</v>
      </c>
      <c r="O22" s="52">
        <v>0.33849339618806551</v>
      </c>
      <c r="P22" s="52">
        <v>0.34075011119113424</v>
      </c>
      <c r="Q22" s="52">
        <v>0.34756571247580292</v>
      </c>
      <c r="R22" s="52">
        <v>0.35227791524668828</v>
      </c>
      <c r="S22" s="52">
        <v>0.36923062404697876</v>
      </c>
      <c r="T22" s="52">
        <v>0.38730099604681845</v>
      </c>
      <c r="U22" s="52">
        <v>0.39855419590371327</v>
      </c>
      <c r="V22" s="52">
        <v>0.41485982506139801</v>
      </c>
      <c r="W22" s="52">
        <v>0.42264955031912732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23.972318540541533</v>
      </c>
      <c r="C23" s="53">
        <f t="shared" si="8"/>
        <v>23.290862521295747</v>
      </c>
      <c r="D23" s="53">
        <f t="shared" ref="D23:W23" si="9">D6/D8</f>
        <v>23.216211220937211</v>
      </c>
      <c r="E23" s="53">
        <f t="shared" si="9"/>
        <v>22.925637545758658</v>
      </c>
      <c r="F23" s="53">
        <f t="shared" si="9"/>
        <v>22.552854747491118</v>
      </c>
      <c r="G23" s="53">
        <f t="shared" si="9"/>
        <v>22.669760547815091</v>
      </c>
      <c r="H23" s="53">
        <f t="shared" si="9"/>
        <v>22.925522908982138</v>
      </c>
      <c r="I23" s="53">
        <f t="shared" si="9"/>
        <v>23.145893084520825</v>
      </c>
      <c r="J23" s="53">
        <f t="shared" si="9"/>
        <v>23.067729105453875</v>
      </c>
      <c r="K23" s="53">
        <f t="shared" si="9"/>
        <v>23.052287159257531</v>
      </c>
      <c r="L23" s="53">
        <f t="shared" si="9"/>
        <v>22.825461490909298</v>
      </c>
      <c r="M23" s="53">
        <f t="shared" si="9"/>
        <v>22.302731447463518</v>
      </c>
      <c r="N23" s="53">
        <f t="shared" si="9"/>
        <v>22.164532492332771</v>
      </c>
      <c r="O23" s="53">
        <f t="shared" si="9"/>
        <v>22.226932952891371</v>
      </c>
      <c r="P23" s="53">
        <f t="shared" si="9"/>
        <v>22.348353584014646</v>
      </c>
      <c r="Q23" s="53">
        <f t="shared" si="9"/>
        <v>22.421729383565484</v>
      </c>
      <c r="R23" s="53">
        <f t="shared" si="9"/>
        <v>22.349778446476176</v>
      </c>
      <c r="S23" s="53">
        <f t="shared" si="9"/>
        <v>22.250952799802302</v>
      </c>
      <c r="T23" s="53">
        <f t="shared" si="9"/>
        <v>22.075493260515103</v>
      </c>
      <c r="U23" s="53">
        <f t="shared" si="9"/>
        <v>21.81670018452035</v>
      </c>
      <c r="V23" s="53">
        <f t="shared" si="9"/>
        <v>21.592304111738439</v>
      </c>
      <c r="W23" s="53">
        <f t="shared" si="9"/>
        <v>22.306820200415451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7.456205813380449</v>
      </c>
      <c r="C24" s="54">
        <f t="shared" si="10"/>
        <v>7.4415836775557551</v>
      </c>
      <c r="D24" s="54">
        <f t="shared" ref="D24:W24" si="11">D9*1000/D3</f>
        <v>7.4647662177551366</v>
      </c>
      <c r="E24" s="54">
        <f t="shared" si="11"/>
        <v>7.6003197521704333</v>
      </c>
      <c r="F24" s="54">
        <f t="shared" si="11"/>
        <v>7.8207284540581981</v>
      </c>
      <c r="G24" s="54">
        <f t="shared" si="11"/>
        <v>7.9980545351462622</v>
      </c>
      <c r="H24" s="54">
        <f t="shared" si="11"/>
        <v>8.3088198683485395</v>
      </c>
      <c r="I24" s="54">
        <f t="shared" si="11"/>
        <v>8.6584566370815654</v>
      </c>
      <c r="J24" s="54">
        <f t="shared" si="11"/>
        <v>8.9913885624118421</v>
      </c>
      <c r="K24" s="54">
        <f t="shared" si="11"/>
        <v>9.2575845545363276</v>
      </c>
      <c r="L24" s="54">
        <f t="shared" si="11"/>
        <v>9.2988677719869468</v>
      </c>
      <c r="M24" s="54">
        <f t="shared" si="11"/>
        <v>9.5284785467102679</v>
      </c>
      <c r="N24" s="54">
        <f t="shared" si="11"/>
        <v>9.7203259317952515</v>
      </c>
      <c r="O24" s="54">
        <f t="shared" si="11"/>
        <v>9.7810151332439652</v>
      </c>
      <c r="P24" s="54">
        <f t="shared" si="11"/>
        <v>10.008044753434955</v>
      </c>
      <c r="Q24" s="54">
        <f t="shared" si="11"/>
        <v>10.135027710345865</v>
      </c>
      <c r="R24" s="54">
        <f t="shared" si="11"/>
        <v>10.300972582528463</v>
      </c>
      <c r="S24" s="54">
        <f t="shared" si="11"/>
        <v>10.506102707448534</v>
      </c>
      <c r="T24" s="54">
        <f t="shared" si="11"/>
        <v>10.709233750058132</v>
      </c>
      <c r="U24" s="54">
        <f t="shared" si="11"/>
        <v>10.896907621211032</v>
      </c>
      <c r="V24" s="54">
        <f t="shared" si="11"/>
        <v>11.068325400998331</v>
      </c>
      <c r="W24" s="54">
        <f t="shared" si="11"/>
        <v>11.260847644991477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37.543302224936518</v>
      </c>
      <c r="C25" s="54">
        <f t="shared" si="12"/>
        <v>38.641763445947738</v>
      </c>
      <c r="D25" s="54">
        <f t="shared" ref="D25:W25" si="13">D9*1000/D6</f>
        <v>38.766015325892099</v>
      </c>
      <c r="E25" s="54">
        <f t="shared" si="13"/>
        <v>39.257359722434586</v>
      </c>
      <c r="F25" s="54">
        <f t="shared" si="13"/>
        <v>39.906256217968156</v>
      </c>
      <c r="G25" s="54">
        <f t="shared" si="13"/>
        <v>39.700463447848009</v>
      </c>
      <c r="H25" s="54">
        <f t="shared" si="13"/>
        <v>39.257556024922046</v>
      </c>
      <c r="I25" s="54">
        <f t="shared" si="13"/>
        <v>38.883788009972662</v>
      </c>
      <c r="J25" s="54">
        <f t="shared" si="13"/>
        <v>39.015544004598802</v>
      </c>
      <c r="K25" s="54">
        <f t="shared" si="13"/>
        <v>39.04167919574828</v>
      </c>
      <c r="L25" s="54">
        <f t="shared" si="13"/>
        <v>39.429651854287506</v>
      </c>
      <c r="M25" s="54">
        <f t="shared" si="13"/>
        <v>40.353801601388902</v>
      </c>
      <c r="N25" s="54">
        <f t="shared" si="13"/>
        <v>40.605413189352454</v>
      </c>
      <c r="O25" s="54">
        <f t="shared" si="13"/>
        <v>40.49141651290779</v>
      </c>
      <c r="P25" s="54">
        <f t="shared" si="13"/>
        <v>40.271422976042089</v>
      </c>
      <c r="Q25" s="54">
        <f t="shared" si="13"/>
        <v>40.139633504794475</v>
      </c>
      <c r="R25" s="54">
        <f t="shared" si="13"/>
        <v>40.268855557353426</v>
      </c>
      <c r="S25" s="54">
        <f t="shared" si="13"/>
        <v>40.447706131846921</v>
      </c>
      <c r="T25" s="54">
        <f t="shared" si="13"/>
        <v>40.769190947582018</v>
      </c>
      <c r="U25" s="54">
        <f t="shared" si="13"/>
        <v>41.252801403879538</v>
      </c>
      <c r="V25" s="54">
        <f t="shared" si="13"/>
        <v>41.681517421326241</v>
      </c>
      <c r="W25" s="54">
        <f t="shared" si="13"/>
        <v>40.346404907286527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900</v>
      </c>
      <c r="D26" s="55">
        <f t="shared" ref="D26:W26" si="15">D9*1000/D8</f>
        <v>900.00000000000011</v>
      </c>
      <c r="E26" s="55">
        <f t="shared" si="15"/>
        <v>900.00000000000011</v>
      </c>
      <c r="F26" s="55">
        <f t="shared" si="15"/>
        <v>900.00000000000011</v>
      </c>
      <c r="G26" s="55">
        <f t="shared" si="15"/>
        <v>900</v>
      </c>
      <c r="H26" s="55">
        <f t="shared" si="15"/>
        <v>900.00000000000011</v>
      </c>
      <c r="I26" s="55">
        <f t="shared" si="15"/>
        <v>900</v>
      </c>
      <c r="J26" s="55">
        <f t="shared" si="15"/>
        <v>900.00000000000011</v>
      </c>
      <c r="K26" s="55">
        <f t="shared" si="15"/>
        <v>899.99999999999989</v>
      </c>
      <c r="L26" s="55">
        <f t="shared" si="15"/>
        <v>899.99999999999989</v>
      </c>
      <c r="M26" s="55">
        <f t="shared" si="15"/>
        <v>899.99999999999989</v>
      </c>
      <c r="N26" s="55">
        <f t="shared" si="15"/>
        <v>900</v>
      </c>
      <c r="O26" s="55">
        <f t="shared" si="15"/>
        <v>900</v>
      </c>
      <c r="P26" s="55">
        <f t="shared" si="15"/>
        <v>900</v>
      </c>
      <c r="Q26" s="55">
        <f t="shared" si="15"/>
        <v>900</v>
      </c>
      <c r="R26" s="55">
        <f t="shared" si="15"/>
        <v>899.99999999999989</v>
      </c>
      <c r="S26" s="55">
        <f t="shared" si="15"/>
        <v>900.00000000000011</v>
      </c>
      <c r="T26" s="55">
        <f t="shared" si="15"/>
        <v>900.00000000000011</v>
      </c>
      <c r="U26" s="55">
        <f t="shared" si="15"/>
        <v>900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</v>
      </c>
      <c r="D27" s="57">
        <f t="shared" ref="D27:W27" si="17">IF(SUM(D11)=0,"",D11*1000/D10)</f>
        <v>900.00000000000011</v>
      </c>
      <c r="E27" s="57">
        <f t="shared" si="17"/>
        <v>900</v>
      </c>
      <c r="F27" s="57">
        <f t="shared" si="17"/>
        <v>900.00000000000011</v>
      </c>
      <c r="G27" s="57">
        <f t="shared" si="17"/>
        <v>900.00000000000011</v>
      </c>
      <c r="H27" s="57">
        <f t="shared" si="17"/>
        <v>900</v>
      </c>
      <c r="I27" s="57">
        <f t="shared" si="17"/>
        <v>899.99999999999989</v>
      </c>
      <c r="J27" s="57">
        <f t="shared" si="17"/>
        <v>900</v>
      </c>
      <c r="K27" s="57">
        <f t="shared" si="17"/>
        <v>900</v>
      </c>
      <c r="L27" s="57">
        <f t="shared" si="17"/>
        <v>900.00000000000011</v>
      </c>
      <c r="M27" s="57">
        <f t="shared" si="17"/>
        <v>900</v>
      </c>
      <c r="N27" s="57">
        <f t="shared" si="17"/>
        <v>900.00000000000011</v>
      </c>
      <c r="O27" s="57">
        <f t="shared" si="17"/>
        <v>900</v>
      </c>
      <c r="P27" s="57">
        <f t="shared" si="17"/>
        <v>900</v>
      </c>
      <c r="Q27" s="57">
        <f t="shared" si="17"/>
        <v>900</v>
      </c>
      <c r="R27" s="57">
        <f t="shared" si="17"/>
        <v>899.99999999999989</v>
      </c>
      <c r="S27" s="57">
        <f t="shared" si="17"/>
        <v>899.99999999999989</v>
      </c>
      <c r="T27" s="57">
        <f t="shared" si="17"/>
        <v>899.99999999999989</v>
      </c>
      <c r="U27" s="57">
        <f t="shared" si="17"/>
        <v>899.99999999999989</v>
      </c>
      <c r="V27" s="57">
        <f t="shared" si="17"/>
        <v>899.99999999999989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4964.7274226568952</v>
      </c>
      <c r="C31" s="80">
        <f t="shared" ref="C31:W31" si="18">SUM(C32:C33,C36:C37,C44:C45)</f>
        <v>5383.6506920356933</v>
      </c>
      <c r="D31" s="80">
        <f t="shared" si="18"/>
        <v>6090.8399893522073</v>
      </c>
      <c r="E31" s="80">
        <f t="shared" si="18"/>
        <v>6314.1500788847879</v>
      </c>
      <c r="F31" s="80">
        <f t="shared" si="18"/>
        <v>6729.2043890601035</v>
      </c>
      <c r="G31" s="80">
        <f t="shared" si="18"/>
        <v>6724.8339257368943</v>
      </c>
      <c r="H31" s="80">
        <f t="shared" si="18"/>
        <v>7456.9408503422919</v>
      </c>
      <c r="I31" s="80">
        <f t="shared" si="18"/>
        <v>7106.9090483221153</v>
      </c>
      <c r="J31" s="80">
        <f t="shared" si="18"/>
        <v>7975.174775283278</v>
      </c>
      <c r="K31" s="80">
        <f t="shared" si="18"/>
        <v>8030.8419433708459</v>
      </c>
      <c r="L31" s="80">
        <f t="shared" si="18"/>
        <v>8826.8098808802915</v>
      </c>
      <c r="M31" s="80">
        <f t="shared" si="18"/>
        <v>8419.1676138625844</v>
      </c>
      <c r="N31" s="80">
        <f t="shared" si="18"/>
        <v>8352.8608879785243</v>
      </c>
      <c r="O31" s="80">
        <f t="shared" si="18"/>
        <v>8066.5349834505796</v>
      </c>
      <c r="P31" s="80">
        <f t="shared" si="18"/>
        <v>7772.1006204615933</v>
      </c>
      <c r="Q31" s="80">
        <f t="shared" si="18"/>
        <v>7824.2689985928591</v>
      </c>
      <c r="R31" s="80">
        <f t="shared" si="18"/>
        <v>8483.6506665419984</v>
      </c>
      <c r="S31" s="80">
        <f t="shared" si="18"/>
        <v>8023.3933733029935</v>
      </c>
      <c r="T31" s="80">
        <f t="shared" si="18"/>
        <v>7907.1583089039868</v>
      </c>
      <c r="U31" s="80">
        <f t="shared" si="18"/>
        <v>7787.0647973644682</v>
      </c>
      <c r="V31" s="80">
        <f t="shared" si="18"/>
        <v>7538.5477291670322</v>
      </c>
      <c r="W31" s="80">
        <f t="shared" si="18"/>
        <v>8361.3955166357227</v>
      </c>
      <c r="DA31" s="103" t="s">
        <v>198</v>
      </c>
    </row>
    <row r="32" spans="1:105" ht="12" customHeight="1" x14ac:dyDescent="0.25">
      <c r="A32" s="58" t="s">
        <v>29</v>
      </c>
      <c r="B32" s="59">
        <v>524.28280309544289</v>
      </c>
      <c r="C32" s="59">
        <v>412.27291487532244</v>
      </c>
      <c r="D32" s="59">
        <v>711.58641444539978</v>
      </c>
      <c r="E32" s="59">
        <v>710.24067067927774</v>
      </c>
      <c r="F32" s="59">
        <v>675.85245055889936</v>
      </c>
      <c r="G32" s="59">
        <v>669.4687876182287</v>
      </c>
      <c r="H32" s="59">
        <v>767.76560619088559</v>
      </c>
      <c r="I32" s="59">
        <v>664.59939810834044</v>
      </c>
      <c r="J32" s="59">
        <v>735.39587274290625</v>
      </c>
      <c r="K32" s="59">
        <v>799.29957007738608</v>
      </c>
      <c r="L32" s="59">
        <v>908.74746345657763</v>
      </c>
      <c r="M32" s="59">
        <v>802.02467755803946</v>
      </c>
      <c r="N32" s="59">
        <v>814.72906276870162</v>
      </c>
      <c r="O32" s="59">
        <v>756.98177128116924</v>
      </c>
      <c r="P32" s="59">
        <v>669.5527085124678</v>
      </c>
      <c r="Q32" s="59">
        <v>646.78572656921756</v>
      </c>
      <c r="R32" s="59">
        <v>678.16827171109196</v>
      </c>
      <c r="S32" s="59">
        <v>667.88013757523652</v>
      </c>
      <c r="T32" s="59">
        <v>609.10834049871028</v>
      </c>
      <c r="U32" s="59">
        <v>491.23490971625102</v>
      </c>
      <c r="V32" s="59">
        <v>507.99690455717973</v>
      </c>
      <c r="W32" s="59">
        <v>630.77162510748053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397.0191745485813</v>
      </c>
      <c r="C33" s="55">
        <f t="shared" ref="C33:W33" si="19">SUM(C34:C35)</f>
        <v>511.68675838349088</v>
      </c>
      <c r="D33" s="55">
        <f t="shared" si="19"/>
        <v>548.14419604471186</v>
      </c>
      <c r="E33" s="55">
        <f t="shared" si="19"/>
        <v>578.42751504729154</v>
      </c>
      <c r="F33" s="55">
        <f t="shared" si="19"/>
        <v>513.15322441960438</v>
      </c>
      <c r="G33" s="55">
        <f t="shared" si="19"/>
        <v>429.30163370593289</v>
      </c>
      <c r="H33" s="55">
        <f t="shared" si="19"/>
        <v>685.4447119518486</v>
      </c>
      <c r="I33" s="55">
        <f t="shared" si="19"/>
        <v>668.29320722269995</v>
      </c>
      <c r="J33" s="55">
        <f t="shared" si="19"/>
        <v>656.99578675838347</v>
      </c>
      <c r="K33" s="55">
        <f t="shared" si="19"/>
        <v>613.39931212381771</v>
      </c>
      <c r="L33" s="55">
        <f t="shared" si="19"/>
        <v>739.29733447979379</v>
      </c>
      <c r="M33" s="55">
        <f t="shared" si="19"/>
        <v>692.30911435941539</v>
      </c>
      <c r="N33" s="55">
        <f t="shared" si="19"/>
        <v>536.22098022355965</v>
      </c>
      <c r="O33" s="55">
        <f t="shared" si="19"/>
        <v>430.08976784178844</v>
      </c>
      <c r="P33" s="55">
        <f t="shared" si="19"/>
        <v>423.04385210662088</v>
      </c>
      <c r="Q33" s="55">
        <f t="shared" si="19"/>
        <v>419.58065348237318</v>
      </c>
      <c r="R33" s="55">
        <f t="shared" si="19"/>
        <v>424.04694754944114</v>
      </c>
      <c r="S33" s="55">
        <f t="shared" si="19"/>
        <v>438.89303525365438</v>
      </c>
      <c r="T33" s="55">
        <f t="shared" si="19"/>
        <v>447.48856405846948</v>
      </c>
      <c r="U33" s="55">
        <f t="shared" si="19"/>
        <v>408.46732588134137</v>
      </c>
      <c r="V33" s="55">
        <f t="shared" si="19"/>
        <v>386.38727429062772</v>
      </c>
      <c r="W33" s="55">
        <f t="shared" si="19"/>
        <v>421.83104041272571</v>
      </c>
      <c r="DA33" s="101"/>
    </row>
    <row r="34" spans="1:105" ht="12" customHeight="1" x14ac:dyDescent="0.25">
      <c r="A34" s="61" t="s">
        <v>52</v>
      </c>
      <c r="B34" s="55">
        <v>56.487016337059323</v>
      </c>
      <c r="C34" s="55">
        <v>80.211607910576092</v>
      </c>
      <c r="D34" s="55">
        <v>82.471109200343932</v>
      </c>
      <c r="E34" s="55">
        <v>135.56895958727429</v>
      </c>
      <c r="F34" s="55">
        <v>123.14178847807391</v>
      </c>
      <c r="G34" s="55">
        <v>112.9741186586414</v>
      </c>
      <c r="H34" s="55">
        <v>128.79045571797079</v>
      </c>
      <c r="I34" s="55">
        <v>120.88228718830609</v>
      </c>
      <c r="J34" s="55">
        <v>109.58486672398971</v>
      </c>
      <c r="K34" s="55">
        <v>90.092691315563201</v>
      </c>
      <c r="L34" s="55">
        <v>81.303181427343077</v>
      </c>
      <c r="M34" s="55">
        <v>79.105760963026654</v>
      </c>
      <c r="N34" s="55">
        <v>96.684780739466888</v>
      </c>
      <c r="O34" s="55">
        <v>68.118830610490107</v>
      </c>
      <c r="P34" s="55">
        <v>71.414961306964742</v>
      </c>
      <c r="Q34" s="55">
        <v>71.414961306964742</v>
      </c>
      <c r="R34" s="55">
        <v>76.908340498710217</v>
      </c>
      <c r="S34" s="55">
        <v>78.517970765262248</v>
      </c>
      <c r="T34" s="55">
        <v>73.057437661220973</v>
      </c>
      <c r="U34" s="55">
        <v>82.507308684436794</v>
      </c>
      <c r="V34" s="55">
        <v>54.934565778159929</v>
      </c>
      <c r="W34" s="55">
        <v>51.638521066208092</v>
      </c>
      <c r="DA34" s="101" t="s">
        <v>200</v>
      </c>
    </row>
    <row r="35" spans="1:105" ht="12" customHeight="1" x14ac:dyDescent="0.25">
      <c r="A35" s="61" t="s">
        <v>170</v>
      </c>
      <c r="B35" s="55">
        <v>340.53215821152196</v>
      </c>
      <c r="C35" s="55">
        <v>431.47515047291478</v>
      </c>
      <c r="D35" s="55">
        <v>465.67308684436796</v>
      </c>
      <c r="E35" s="55">
        <v>442.85855546001721</v>
      </c>
      <c r="F35" s="55">
        <v>390.01143594153046</v>
      </c>
      <c r="G35" s="55">
        <v>316.32751504729151</v>
      </c>
      <c r="H35" s="55">
        <v>556.65425623387785</v>
      </c>
      <c r="I35" s="55">
        <v>547.41092003439383</v>
      </c>
      <c r="J35" s="55">
        <v>547.41092003439371</v>
      </c>
      <c r="K35" s="55">
        <v>523.30662080825448</v>
      </c>
      <c r="L35" s="55">
        <v>657.99415305245066</v>
      </c>
      <c r="M35" s="55">
        <v>613.20335339638871</v>
      </c>
      <c r="N35" s="55">
        <v>439.53619948409278</v>
      </c>
      <c r="O35" s="55">
        <v>361.97093723129831</v>
      </c>
      <c r="P35" s="55">
        <v>351.62889079965612</v>
      </c>
      <c r="Q35" s="55">
        <v>348.16569217540842</v>
      </c>
      <c r="R35" s="55">
        <v>347.13860705073091</v>
      </c>
      <c r="S35" s="55">
        <v>360.37506448839213</v>
      </c>
      <c r="T35" s="55">
        <v>374.43112639724848</v>
      </c>
      <c r="U35" s="55">
        <v>325.96001719690457</v>
      </c>
      <c r="V35" s="55">
        <v>331.45270851246778</v>
      </c>
      <c r="W35" s="55">
        <v>370.1925193465176</v>
      </c>
      <c r="DA35" s="101" t="s">
        <v>201</v>
      </c>
    </row>
    <row r="36" spans="1:105" ht="12" customHeight="1" x14ac:dyDescent="0.25">
      <c r="A36" s="60" t="s">
        <v>153</v>
      </c>
      <c r="B36" s="55">
        <v>921.28116938950973</v>
      </c>
      <c r="C36" s="55">
        <v>1193.6156491831468</v>
      </c>
      <c r="D36" s="55">
        <v>1457.0507308684435</v>
      </c>
      <c r="E36" s="55">
        <v>1601.7196904557177</v>
      </c>
      <c r="F36" s="55">
        <v>1661.5649183147036</v>
      </c>
      <c r="G36" s="55">
        <v>1634.0068787618225</v>
      </c>
      <c r="H36" s="55">
        <v>1517.1539122957868</v>
      </c>
      <c r="I36" s="55">
        <v>1564.5098882201207</v>
      </c>
      <c r="J36" s="55">
        <v>1702.2355975924329</v>
      </c>
      <c r="K36" s="55">
        <v>1809.6087704213239</v>
      </c>
      <c r="L36" s="55">
        <v>1993.1857265692174</v>
      </c>
      <c r="M36" s="55">
        <v>1870.0988822012039</v>
      </c>
      <c r="N36" s="55">
        <v>1932.3301805674982</v>
      </c>
      <c r="O36" s="55">
        <v>1827.4290627687014</v>
      </c>
      <c r="P36" s="55">
        <v>1610.5760963026655</v>
      </c>
      <c r="Q36" s="55">
        <v>1715.4557179707649</v>
      </c>
      <c r="R36" s="55">
        <v>1933.985382631126</v>
      </c>
      <c r="S36" s="55">
        <v>1452.3267411865861</v>
      </c>
      <c r="T36" s="55">
        <v>1345.284350816853</v>
      </c>
      <c r="U36" s="55">
        <v>1348.5776440240761</v>
      </c>
      <c r="V36" s="55">
        <v>1158.0070507308678</v>
      </c>
      <c r="W36" s="55">
        <v>1616.7606190885645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221.14746345657778</v>
      </c>
      <c r="C37" s="55">
        <f t="shared" ref="C37:W37" si="20">SUM(C38:C42)</f>
        <v>160.19398108340502</v>
      </c>
      <c r="D37" s="55">
        <f t="shared" si="20"/>
        <v>157.47119518486673</v>
      </c>
      <c r="E37" s="55">
        <f t="shared" si="20"/>
        <v>157.82940670679281</v>
      </c>
      <c r="F37" s="55">
        <f t="shared" si="20"/>
        <v>177.74909716251074</v>
      </c>
      <c r="G37" s="55">
        <f t="shared" si="20"/>
        <v>189.18985382631124</v>
      </c>
      <c r="H37" s="55">
        <f t="shared" si="20"/>
        <v>150.49681857265693</v>
      </c>
      <c r="I37" s="55">
        <f t="shared" si="20"/>
        <v>168.29088564058469</v>
      </c>
      <c r="J37" s="55">
        <f t="shared" si="20"/>
        <v>168.21908856405847</v>
      </c>
      <c r="K37" s="55">
        <f t="shared" si="20"/>
        <v>217.94694754944109</v>
      </c>
      <c r="L37" s="55">
        <f t="shared" si="20"/>
        <v>241.42545141874464</v>
      </c>
      <c r="M37" s="55">
        <f t="shared" si="20"/>
        <v>240.32682717110919</v>
      </c>
      <c r="N37" s="55">
        <f t="shared" si="20"/>
        <v>226.06766981943244</v>
      </c>
      <c r="O37" s="55">
        <f t="shared" si="20"/>
        <v>247.7548581255374</v>
      </c>
      <c r="P37" s="55">
        <f t="shared" si="20"/>
        <v>223.17755803955291</v>
      </c>
      <c r="Q37" s="55">
        <f t="shared" si="20"/>
        <v>240.37454858125531</v>
      </c>
      <c r="R37" s="55">
        <f t="shared" si="20"/>
        <v>271.98899398108341</v>
      </c>
      <c r="S37" s="55">
        <f t="shared" si="20"/>
        <v>269.77497850386919</v>
      </c>
      <c r="T37" s="55">
        <f t="shared" si="20"/>
        <v>260.06208082545129</v>
      </c>
      <c r="U37" s="55">
        <f t="shared" si="20"/>
        <v>259.21711092003437</v>
      </c>
      <c r="V37" s="55">
        <f t="shared" si="20"/>
        <v>270.79527085124676</v>
      </c>
      <c r="W37" s="55">
        <f t="shared" si="20"/>
        <v>291.74565778159928</v>
      </c>
      <c r="DA37" s="101"/>
    </row>
    <row r="38" spans="1:105" ht="12" customHeight="1" x14ac:dyDescent="0.25">
      <c r="A38" s="61" t="s">
        <v>171</v>
      </c>
      <c r="B38" s="55">
        <v>204.38048151332757</v>
      </c>
      <c r="C38" s="55">
        <v>139.17549441100604</v>
      </c>
      <c r="D38" s="55">
        <v>139.91599312123819</v>
      </c>
      <c r="E38" s="55">
        <v>139.41444539982805</v>
      </c>
      <c r="F38" s="55">
        <v>144.33456577815991</v>
      </c>
      <c r="G38" s="55">
        <v>148.63379191745483</v>
      </c>
      <c r="H38" s="55">
        <v>110.06018916595012</v>
      </c>
      <c r="I38" s="55">
        <v>131.62803095442817</v>
      </c>
      <c r="J38" s="55">
        <v>120.97540842648321</v>
      </c>
      <c r="K38" s="55">
        <v>172.61392949269131</v>
      </c>
      <c r="L38" s="55">
        <v>192.39036973344798</v>
      </c>
      <c r="M38" s="55">
        <v>187.82846087704212</v>
      </c>
      <c r="N38" s="55">
        <v>164.08718830610485</v>
      </c>
      <c r="O38" s="55">
        <v>187.5895958727429</v>
      </c>
      <c r="P38" s="55">
        <v>162.10464316423048</v>
      </c>
      <c r="Q38" s="55">
        <v>172.87669819432497</v>
      </c>
      <c r="R38" s="55">
        <v>195.87755803955292</v>
      </c>
      <c r="S38" s="55">
        <v>198.06612209802228</v>
      </c>
      <c r="T38" s="55">
        <v>186.15726569217529</v>
      </c>
      <c r="U38" s="55">
        <v>179.23267411865857</v>
      </c>
      <c r="V38" s="55">
        <v>192.28426483233019</v>
      </c>
      <c r="W38" s="55">
        <v>217.26577815993119</v>
      </c>
      <c r="DA38" s="101" t="s">
        <v>203</v>
      </c>
    </row>
    <row r="39" spans="1:105" ht="12" customHeight="1" x14ac:dyDescent="0.25">
      <c r="A39" s="61" t="s">
        <v>50</v>
      </c>
      <c r="B39" s="55">
        <v>16.193723129836631</v>
      </c>
      <c r="C39" s="55">
        <v>20.540756663800519</v>
      </c>
      <c r="D39" s="55">
        <v>16.313155631986241</v>
      </c>
      <c r="E39" s="55">
        <v>16.71917454858125</v>
      </c>
      <c r="F39" s="55">
        <v>31.647119518486669</v>
      </c>
      <c r="G39" s="55">
        <v>38.263112639724852</v>
      </c>
      <c r="H39" s="55">
        <v>37.785382631126403</v>
      </c>
      <c r="I39" s="55">
        <v>34.346001719690463</v>
      </c>
      <c r="J39" s="55">
        <v>42.872828890799653</v>
      </c>
      <c r="K39" s="55">
        <v>40.006706792777301</v>
      </c>
      <c r="L39" s="55">
        <v>43.708770421324161</v>
      </c>
      <c r="M39" s="55">
        <v>46.885468615649181</v>
      </c>
      <c r="N39" s="55">
        <v>54.456835769561472</v>
      </c>
      <c r="O39" s="55">
        <v>50.706964746345648</v>
      </c>
      <c r="P39" s="55">
        <v>50.587532244196041</v>
      </c>
      <c r="Q39" s="55">
        <v>56.391487532244192</v>
      </c>
      <c r="R39" s="55">
        <v>64.488392089423897</v>
      </c>
      <c r="S39" s="55">
        <v>59.755803955288037</v>
      </c>
      <c r="T39" s="55">
        <v>61.33525365434221</v>
      </c>
      <c r="U39" s="55">
        <v>66.800859845227862</v>
      </c>
      <c r="V39" s="55">
        <v>65.492605331040409</v>
      </c>
      <c r="W39" s="55">
        <v>60.799742046431639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0.37343078245915728</v>
      </c>
      <c r="S40" s="55">
        <v>0.45812553740326739</v>
      </c>
      <c r="T40" s="55">
        <v>0.5766122098022356</v>
      </c>
      <c r="U40" s="55">
        <v>1.0587274290627691</v>
      </c>
      <c r="V40" s="55">
        <v>0.99982803095442818</v>
      </c>
      <c r="W40" s="55">
        <v>1.128890799656062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2.3903697334479789E-2</v>
      </c>
      <c r="E41" s="55">
        <v>2.3903697334479789E-2</v>
      </c>
      <c r="F41" s="55">
        <v>9.5528804815133275E-2</v>
      </c>
      <c r="G41" s="55">
        <v>0.14333619948409279</v>
      </c>
      <c r="H41" s="55">
        <v>0.26276870163370591</v>
      </c>
      <c r="I41" s="55">
        <v>0.35829750644883918</v>
      </c>
      <c r="J41" s="55">
        <v>1.2897678417884779</v>
      </c>
      <c r="K41" s="55">
        <v>1.982459157351677</v>
      </c>
      <c r="L41" s="55">
        <v>2.3884780739466889</v>
      </c>
      <c r="M41" s="55">
        <v>3.2005159071367149</v>
      </c>
      <c r="N41" s="55">
        <v>3.9171109200343932</v>
      </c>
      <c r="O41" s="55">
        <v>4.275322441960447</v>
      </c>
      <c r="P41" s="55">
        <v>4.7769561478933786</v>
      </c>
      <c r="Q41" s="55">
        <v>5.4934651762682716</v>
      </c>
      <c r="R41" s="55">
        <v>5.8755803955288046</v>
      </c>
      <c r="S41" s="55">
        <v>5.9107480653482369</v>
      </c>
      <c r="T41" s="55">
        <v>6.0751504729148742</v>
      </c>
      <c r="U41" s="55">
        <v>5.8527944969905414</v>
      </c>
      <c r="V41" s="55">
        <v>5.6086844368013757</v>
      </c>
      <c r="W41" s="55">
        <v>5.4502149613069646</v>
      </c>
      <c r="DA41" s="101" t="s">
        <v>206</v>
      </c>
    </row>
    <row r="42" spans="1:105" ht="12" customHeight="1" x14ac:dyDescent="0.25">
      <c r="A42" s="61" t="s">
        <v>25</v>
      </c>
      <c r="B42" s="55">
        <v>0.57325881341358553</v>
      </c>
      <c r="C42" s="55">
        <v>0.47773000859845233</v>
      </c>
      <c r="D42" s="55">
        <v>1.218142734307825</v>
      </c>
      <c r="E42" s="55">
        <v>1.671883061049011</v>
      </c>
      <c r="F42" s="55">
        <v>1.671883061049011</v>
      </c>
      <c r="G42" s="55">
        <v>2.1496130696474629</v>
      </c>
      <c r="H42" s="55">
        <v>2.3884780739466889</v>
      </c>
      <c r="I42" s="55">
        <v>1.958555460017197</v>
      </c>
      <c r="J42" s="55">
        <v>3.0810834049871021</v>
      </c>
      <c r="K42" s="55">
        <v>3.3438521066208078</v>
      </c>
      <c r="L42" s="55">
        <v>2.937833190025795</v>
      </c>
      <c r="M42" s="55">
        <v>2.412381771281169</v>
      </c>
      <c r="N42" s="55">
        <v>3.6065348237317281</v>
      </c>
      <c r="O42" s="55">
        <v>5.1829750644883914</v>
      </c>
      <c r="P42" s="55">
        <v>5.7084264832330174</v>
      </c>
      <c r="Q42" s="55">
        <v>5.6128976784178848</v>
      </c>
      <c r="R42" s="55">
        <v>5.3740326741186584</v>
      </c>
      <c r="S42" s="55">
        <v>5.5841788478073946</v>
      </c>
      <c r="T42" s="55">
        <v>5.9177987962166796</v>
      </c>
      <c r="U42" s="55">
        <v>6.2720550300945828</v>
      </c>
      <c r="V42" s="55">
        <v>6.4098882201203784</v>
      </c>
      <c r="W42" s="55">
        <v>7.1010318142734299</v>
      </c>
      <c r="DA42" s="101" t="s">
        <v>207</v>
      </c>
    </row>
    <row r="43" spans="1:105" ht="12" customHeight="1" x14ac:dyDescent="0.25">
      <c r="A43" s="61" t="s">
        <v>157</v>
      </c>
      <c r="B43" s="55">
        <v>0.29738364922286376</v>
      </c>
      <c r="C43" s="55">
        <v>0.41991897080995189</v>
      </c>
      <c r="D43" s="55">
        <v>0.48096821907493265</v>
      </c>
      <c r="E43" s="55">
        <v>0.79730492554588728</v>
      </c>
      <c r="F43" s="55">
        <v>1.0675720686517371</v>
      </c>
      <c r="G43" s="55">
        <v>1.9323768356712894</v>
      </c>
      <c r="H43" s="55">
        <v>2.8846414180477034</v>
      </c>
      <c r="I43" s="55">
        <v>3.9711931790361641</v>
      </c>
      <c r="J43" s="55">
        <v>4.841566892633697</v>
      </c>
      <c r="K43" s="55">
        <v>5.7159931212381734</v>
      </c>
      <c r="L43" s="55">
        <v>5.9262252794497048</v>
      </c>
      <c r="M43" s="55">
        <v>6.3435941530524476</v>
      </c>
      <c r="N43" s="55">
        <v>7.3564918314703327</v>
      </c>
      <c r="O43" s="55">
        <v>8.107996560619096</v>
      </c>
      <c r="P43" s="55">
        <v>12.089767841788468</v>
      </c>
      <c r="Q43" s="55">
        <v>13.847033533963893</v>
      </c>
      <c r="R43" s="55">
        <v>14.966981943250213</v>
      </c>
      <c r="S43" s="55">
        <v>15.977300085984517</v>
      </c>
      <c r="T43" s="55">
        <v>16.844368013757542</v>
      </c>
      <c r="U43" s="55">
        <v>18.45631986242476</v>
      </c>
      <c r="V43" s="55">
        <v>20.127343078245925</v>
      </c>
      <c r="W43" s="55">
        <v>24.194754944110031</v>
      </c>
      <c r="DA43" s="101" t="s">
        <v>208</v>
      </c>
    </row>
    <row r="44" spans="1:105" ht="12" customHeight="1" x14ac:dyDescent="0.25">
      <c r="A44" s="60" t="s">
        <v>169</v>
      </c>
      <c r="B44" s="55">
        <v>515.71607910576097</v>
      </c>
      <c r="C44" s="55">
        <v>602.75150472914868</v>
      </c>
      <c r="D44" s="55">
        <v>755.63680137575238</v>
      </c>
      <c r="E44" s="55">
        <v>696.21186586414444</v>
      </c>
      <c r="F44" s="55">
        <v>1034.3460017196901</v>
      </c>
      <c r="G44" s="55">
        <v>940.07360275150472</v>
      </c>
      <c r="H44" s="55">
        <v>1184.5084264832331</v>
      </c>
      <c r="I44" s="55">
        <v>848.23731728288897</v>
      </c>
      <c r="J44" s="55">
        <v>1183.648581255374</v>
      </c>
      <c r="K44" s="55">
        <v>1107.7195184866721</v>
      </c>
      <c r="L44" s="55">
        <v>1193.2502149613069</v>
      </c>
      <c r="M44" s="55">
        <v>1018.749441100602</v>
      </c>
      <c r="N44" s="55">
        <v>1031.3843508168529</v>
      </c>
      <c r="O44" s="55">
        <v>1099.8614789337919</v>
      </c>
      <c r="P44" s="55">
        <v>965.82115219260527</v>
      </c>
      <c r="Q44" s="55">
        <v>898.8726569217539</v>
      </c>
      <c r="R44" s="55">
        <v>1069.695270851247</v>
      </c>
      <c r="S44" s="55">
        <v>1156.7361134995699</v>
      </c>
      <c r="T44" s="55">
        <v>998.59750644883911</v>
      </c>
      <c r="U44" s="55">
        <v>1061.226655202064</v>
      </c>
      <c r="V44" s="55">
        <v>1091.60619088564</v>
      </c>
      <c r="W44" s="55">
        <v>974.82734307824592</v>
      </c>
      <c r="DA44" s="101" t="s">
        <v>209</v>
      </c>
    </row>
    <row r="45" spans="1:105" ht="12" customHeight="1" x14ac:dyDescent="0.25">
      <c r="A45" s="62" t="s">
        <v>24</v>
      </c>
      <c r="B45" s="63">
        <v>2385.2807330610221</v>
      </c>
      <c r="C45" s="63">
        <v>2503.1298837811787</v>
      </c>
      <c r="D45" s="63">
        <v>2460.9506514330324</v>
      </c>
      <c r="E45" s="63">
        <v>2569.7209301315634</v>
      </c>
      <c r="F45" s="63">
        <v>2666.5386968846947</v>
      </c>
      <c r="G45" s="63">
        <v>2862.7931690730938</v>
      </c>
      <c r="H45" s="63">
        <v>3151.5713748478802</v>
      </c>
      <c r="I45" s="63">
        <v>3192.9783518474801</v>
      </c>
      <c r="J45" s="63">
        <v>3528.6798483701236</v>
      </c>
      <c r="K45" s="63">
        <v>3482.8678247122057</v>
      </c>
      <c r="L45" s="63">
        <v>3750.9036899946518</v>
      </c>
      <c r="M45" s="63">
        <v>3795.6586714722139</v>
      </c>
      <c r="N45" s="63">
        <v>3812.1286437824801</v>
      </c>
      <c r="O45" s="63">
        <v>3704.4180444995914</v>
      </c>
      <c r="P45" s="63">
        <v>3879.92925330768</v>
      </c>
      <c r="Q45" s="63">
        <v>3903.1996950674938</v>
      </c>
      <c r="R45" s="63">
        <v>4105.7657998180084</v>
      </c>
      <c r="S45" s="63">
        <v>4037.7823672840773</v>
      </c>
      <c r="T45" s="63">
        <v>4246.6174662556641</v>
      </c>
      <c r="U45" s="63">
        <v>4218.3411516207016</v>
      </c>
      <c r="V45" s="63">
        <v>4123.7550378514707</v>
      </c>
      <c r="W45" s="63">
        <v>4425.4592311671076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4964.7274226568943</v>
      </c>
      <c r="C47" s="82">
        <f t="shared" ref="C47:W47" si="22">SUM(C48,C53)</f>
        <v>5383.6506920356924</v>
      </c>
      <c r="D47" s="82">
        <f t="shared" si="22"/>
        <v>6090.8399893522064</v>
      </c>
      <c r="E47" s="82">
        <f t="shared" si="22"/>
        <v>6314.1500788847898</v>
      </c>
      <c r="F47" s="82">
        <f t="shared" si="22"/>
        <v>6729.2043890601017</v>
      </c>
      <c r="G47" s="82">
        <f t="shared" si="22"/>
        <v>6724.8339257368943</v>
      </c>
      <c r="H47" s="82">
        <f t="shared" si="22"/>
        <v>7456.940850342291</v>
      </c>
      <c r="I47" s="82">
        <f t="shared" si="22"/>
        <v>7106.9090483221134</v>
      </c>
      <c r="J47" s="82">
        <f t="shared" si="22"/>
        <v>7975.1747752832807</v>
      </c>
      <c r="K47" s="82">
        <f t="shared" si="22"/>
        <v>8030.8419433708477</v>
      </c>
      <c r="L47" s="82">
        <f t="shared" si="22"/>
        <v>8826.8098808802933</v>
      </c>
      <c r="M47" s="82">
        <f t="shared" si="22"/>
        <v>8419.1676138625862</v>
      </c>
      <c r="N47" s="82">
        <f t="shared" si="22"/>
        <v>8352.8608879785243</v>
      </c>
      <c r="O47" s="82">
        <f t="shared" si="22"/>
        <v>8066.5349834505787</v>
      </c>
      <c r="P47" s="82">
        <f t="shared" si="22"/>
        <v>7772.1006204615915</v>
      </c>
      <c r="Q47" s="82">
        <f t="shared" si="22"/>
        <v>7824.2689985928564</v>
      </c>
      <c r="R47" s="82">
        <f t="shared" si="22"/>
        <v>8483.6506665419947</v>
      </c>
      <c r="S47" s="82">
        <f t="shared" si="22"/>
        <v>8023.3933733029917</v>
      </c>
      <c r="T47" s="82">
        <f t="shared" si="22"/>
        <v>7907.1583089039887</v>
      </c>
      <c r="U47" s="82">
        <f t="shared" si="22"/>
        <v>7787.0647973644664</v>
      </c>
      <c r="V47" s="82">
        <f t="shared" si="22"/>
        <v>7538.5477291670304</v>
      </c>
      <c r="W47" s="82">
        <f t="shared" si="22"/>
        <v>8361.3955166357209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3791.2865703130001</v>
      </c>
      <c r="C48" s="64">
        <f t="shared" ref="C48:W48" si="24">SUM(C49:C52)</f>
        <v>4166.6466787397721</v>
      </c>
      <c r="D48" s="64">
        <f t="shared" si="24"/>
        <v>4825.2167894592294</v>
      </c>
      <c r="E48" s="64">
        <f t="shared" si="24"/>
        <v>4990.4841241067043</v>
      </c>
      <c r="F48" s="64">
        <f t="shared" si="24"/>
        <v>5324.1784488580961</v>
      </c>
      <c r="G48" s="64">
        <f t="shared" si="24"/>
        <v>5241.9768402067102</v>
      </c>
      <c r="H48" s="64">
        <f t="shared" si="24"/>
        <v>5884.0394115022045</v>
      </c>
      <c r="I48" s="64">
        <f t="shared" si="24"/>
        <v>5448.8425973322528</v>
      </c>
      <c r="J48" s="64">
        <f t="shared" si="24"/>
        <v>6227.9593422763573</v>
      </c>
      <c r="K48" s="64">
        <f t="shared" si="24"/>
        <v>6217.4856468685193</v>
      </c>
      <c r="L48" s="64">
        <f t="shared" si="24"/>
        <v>6977.4636480400077</v>
      </c>
      <c r="M48" s="64">
        <f t="shared" si="24"/>
        <v>6512.5270639842038</v>
      </c>
      <c r="N48" s="64">
        <f t="shared" si="24"/>
        <v>6390.2430534356863</v>
      </c>
      <c r="O48" s="64">
        <f t="shared" si="24"/>
        <v>6070.1346113335221</v>
      </c>
      <c r="P48" s="64">
        <f t="shared" si="24"/>
        <v>5693.6815974986775</v>
      </c>
      <c r="Q48" s="64">
        <f t="shared" si="24"/>
        <v>5674.2817491137903</v>
      </c>
      <c r="R48" s="64">
        <f t="shared" si="24"/>
        <v>6286.106971502797</v>
      </c>
      <c r="S48" s="64">
        <f t="shared" si="24"/>
        <v>5828.4074893283978</v>
      </c>
      <c r="T48" s="64">
        <f t="shared" si="24"/>
        <v>5719.4452830884666</v>
      </c>
      <c r="U48" s="64">
        <f t="shared" si="24"/>
        <v>5640.361819071205</v>
      </c>
      <c r="V48" s="64">
        <f t="shared" si="24"/>
        <v>5440.7615228222558</v>
      </c>
      <c r="W48" s="64">
        <f t="shared" si="24"/>
        <v>6193.1022584176044</v>
      </c>
      <c r="DA48" s="108" t="s">
        <v>212</v>
      </c>
    </row>
    <row r="49" spans="1:105" ht="12" customHeight="1" x14ac:dyDescent="0.25">
      <c r="A49" s="61" t="s">
        <v>32</v>
      </c>
      <c r="B49" s="65">
        <v>3019.528778566988</v>
      </c>
      <c r="C49" s="65">
        <v>3294.6485458897359</v>
      </c>
      <c r="D49" s="65">
        <v>3807.4627568740857</v>
      </c>
      <c r="E49" s="65">
        <v>3860.2075473291557</v>
      </c>
      <c r="F49" s="65">
        <v>4127.5065169055451</v>
      </c>
      <c r="G49" s="65">
        <v>4007.4874318048801</v>
      </c>
      <c r="H49" s="65">
        <v>4558.3893349250548</v>
      </c>
      <c r="I49" s="65">
        <v>4007.3967121008418</v>
      </c>
      <c r="J49" s="65">
        <v>4707.659811060933</v>
      </c>
      <c r="K49" s="65">
        <v>4672.9573012862393</v>
      </c>
      <c r="L49" s="65">
        <v>5412.4599155850337</v>
      </c>
      <c r="M49" s="65">
        <v>4913.9859318827766</v>
      </c>
      <c r="N49" s="65">
        <v>4763.4542354393216</v>
      </c>
      <c r="O49" s="65">
        <v>4425.3151920192295</v>
      </c>
      <c r="P49" s="65">
        <v>4029.2331942890046</v>
      </c>
      <c r="Q49" s="65">
        <v>3983.63501670599</v>
      </c>
      <c r="R49" s="65">
        <v>4580.6807129793133</v>
      </c>
      <c r="S49" s="65">
        <v>4149.0851612867837</v>
      </c>
      <c r="T49" s="65">
        <v>4044.3080768883838</v>
      </c>
      <c r="U49" s="65">
        <v>3963.5887872279322</v>
      </c>
      <c r="V49" s="65">
        <v>3884.7569848915955</v>
      </c>
      <c r="W49" s="65">
        <v>4544.1404222022284</v>
      </c>
      <c r="DA49" s="109" t="s">
        <v>213</v>
      </c>
    </row>
    <row r="50" spans="1:105" ht="12" customHeight="1" x14ac:dyDescent="0.25">
      <c r="A50" s="61" t="s">
        <v>31</v>
      </c>
      <c r="B50" s="65">
        <v>20.266030201405446</v>
      </c>
      <c r="C50" s="65">
        <v>20.068774565526027</v>
      </c>
      <c r="D50" s="65">
        <v>20.812917186969077</v>
      </c>
      <c r="E50" s="65">
        <v>21.02652933193885</v>
      </c>
      <c r="F50" s="65">
        <v>22.233885205889216</v>
      </c>
      <c r="G50" s="65">
        <v>23.872853930668132</v>
      </c>
      <c r="H50" s="65">
        <v>27.461879210423657</v>
      </c>
      <c r="I50" s="65">
        <v>29.427466272127614</v>
      </c>
      <c r="J50" s="65">
        <v>31.137077652795679</v>
      </c>
      <c r="K50" s="65">
        <v>34.262683765234357</v>
      </c>
      <c r="L50" s="65">
        <v>40.963742501265379</v>
      </c>
      <c r="M50" s="65">
        <v>38.0214813332164</v>
      </c>
      <c r="N50" s="65">
        <v>41.058544789758244</v>
      </c>
      <c r="O50" s="65">
        <v>40.971958921393195</v>
      </c>
      <c r="P50" s="65">
        <v>40.553358876294709</v>
      </c>
      <c r="Q50" s="65">
        <v>46.743029498731254</v>
      </c>
      <c r="R50" s="65">
        <v>39.894488921587943</v>
      </c>
      <c r="S50" s="65">
        <v>39.712847056903527</v>
      </c>
      <c r="T50" s="65">
        <v>40.942633782708796</v>
      </c>
      <c r="U50" s="65">
        <v>44.675190004214144</v>
      </c>
      <c r="V50" s="65">
        <v>38.667811911759763</v>
      </c>
      <c r="W50" s="65">
        <v>40.91716785939601</v>
      </c>
      <c r="DA50" s="109" t="s">
        <v>214</v>
      </c>
    </row>
    <row r="51" spans="1:105" ht="12" customHeight="1" x14ac:dyDescent="0.25">
      <c r="A51" s="61" t="s">
        <v>35</v>
      </c>
      <c r="B51" s="65">
        <v>349.89322685426782</v>
      </c>
      <c r="C51" s="65">
        <v>384.45917925831219</v>
      </c>
      <c r="D51" s="65">
        <v>463.25939605761209</v>
      </c>
      <c r="E51" s="65">
        <v>506.9472250370647</v>
      </c>
      <c r="F51" s="65">
        <v>549.70710555594303</v>
      </c>
      <c r="G51" s="65">
        <v>562.20929287713966</v>
      </c>
      <c r="H51" s="65">
        <v>612.66475683543933</v>
      </c>
      <c r="I51" s="65">
        <v>672.66773167864028</v>
      </c>
      <c r="J51" s="65">
        <v>713.24827302776669</v>
      </c>
      <c r="K51" s="65">
        <v>732.57785971449459</v>
      </c>
      <c r="L51" s="65">
        <v>736.6143905575002</v>
      </c>
      <c r="M51" s="65">
        <v>750.82728443741064</v>
      </c>
      <c r="N51" s="65">
        <v>770.27573684525498</v>
      </c>
      <c r="O51" s="65">
        <v>784.14469206460319</v>
      </c>
      <c r="P51" s="65">
        <v>793.77248814573932</v>
      </c>
      <c r="Q51" s="65">
        <v>808.67343295440639</v>
      </c>
      <c r="R51" s="65">
        <v>827.19270156119455</v>
      </c>
      <c r="S51" s="65">
        <v>812.591185425086</v>
      </c>
      <c r="T51" s="65">
        <v>797.75914621000163</v>
      </c>
      <c r="U51" s="65">
        <v>789.56639793893123</v>
      </c>
      <c r="V51" s="65">
        <v>730.42057856523809</v>
      </c>
      <c r="W51" s="65">
        <v>792.3801334827134</v>
      </c>
      <c r="DA51" s="109" t="s">
        <v>215</v>
      </c>
    </row>
    <row r="52" spans="1:105" ht="12" customHeight="1" x14ac:dyDescent="0.25">
      <c r="A52" s="66" t="s">
        <v>34</v>
      </c>
      <c r="B52" s="67">
        <v>401.59853469033908</v>
      </c>
      <c r="C52" s="67">
        <v>467.47017902619763</v>
      </c>
      <c r="D52" s="67">
        <v>533.68171934056272</v>
      </c>
      <c r="E52" s="67">
        <v>602.30282240854444</v>
      </c>
      <c r="F52" s="67">
        <v>624.73094119071948</v>
      </c>
      <c r="G52" s="67">
        <v>648.40726159402243</v>
      </c>
      <c r="H52" s="67">
        <v>685.5234405312865</v>
      </c>
      <c r="I52" s="67">
        <v>739.35068728064311</v>
      </c>
      <c r="J52" s="67">
        <v>775.91418053486143</v>
      </c>
      <c r="K52" s="67">
        <v>777.6878021025509</v>
      </c>
      <c r="L52" s="67">
        <v>787.42559939620924</v>
      </c>
      <c r="M52" s="67">
        <v>809.69236633079936</v>
      </c>
      <c r="N52" s="67">
        <v>815.45453636135198</v>
      </c>
      <c r="O52" s="67">
        <v>819.70276832829722</v>
      </c>
      <c r="P52" s="67">
        <v>830.12255618763925</v>
      </c>
      <c r="Q52" s="67">
        <v>835.23026995466262</v>
      </c>
      <c r="R52" s="67">
        <v>838.33906804070102</v>
      </c>
      <c r="S52" s="67">
        <v>827.01829555962468</v>
      </c>
      <c r="T52" s="67">
        <v>836.43542620737242</v>
      </c>
      <c r="U52" s="67">
        <v>842.53144390012767</v>
      </c>
      <c r="V52" s="67">
        <v>786.91614745366257</v>
      </c>
      <c r="W52" s="67">
        <v>815.66453487326726</v>
      </c>
      <c r="DA52" s="110" t="s">
        <v>216</v>
      </c>
    </row>
    <row r="53" spans="1:105" ht="12" customHeight="1" x14ac:dyDescent="0.25">
      <c r="A53" s="78" t="s">
        <v>33</v>
      </c>
      <c r="B53" s="68">
        <v>1173.4408523438942</v>
      </c>
      <c r="C53" s="68">
        <v>1217.0040132959202</v>
      </c>
      <c r="D53" s="68">
        <v>1265.6231998929773</v>
      </c>
      <c r="E53" s="68">
        <v>1323.6659547780851</v>
      </c>
      <c r="F53" s="68">
        <v>1405.025940202006</v>
      </c>
      <c r="G53" s="68">
        <v>1482.8570855301839</v>
      </c>
      <c r="H53" s="68">
        <v>1572.9014388400863</v>
      </c>
      <c r="I53" s="68">
        <v>1658.0664509898609</v>
      </c>
      <c r="J53" s="68">
        <v>1747.2154330069234</v>
      </c>
      <c r="K53" s="68">
        <v>1813.3562965023284</v>
      </c>
      <c r="L53" s="68">
        <v>1849.3462328402852</v>
      </c>
      <c r="M53" s="68">
        <v>1906.6405498783829</v>
      </c>
      <c r="N53" s="68">
        <v>1962.617834542838</v>
      </c>
      <c r="O53" s="68">
        <v>1996.4003721170563</v>
      </c>
      <c r="P53" s="68">
        <v>2078.4190229629135</v>
      </c>
      <c r="Q53" s="68">
        <v>2149.9872494790661</v>
      </c>
      <c r="R53" s="68">
        <v>2197.5436950391986</v>
      </c>
      <c r="S53" s="68">
        <v>2194.9858839745939</v>
      </c>
      <c r="T53" s="68">
        <v>2187.7130258155216</v>
      </c>
      <c r="U53" s="68">
        <v>2146.7029782932609</v>
      </c>
      <c r="V53" s="68">
        <v>2097.7862063447751</v>
      </c>
      <c r="W53" s="68">
        <v>2168.2932582181165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0.76364445568777617</v>
      </c>
      <c r="C56" s="70">
        <f t="shared" ref="C56:W56" si="28">IF(C48=0,0,C48/C$47)</f>
        <v>0.77394446948493589</v>
      </c>
      <c r="D56" s="70">
        <f t="shared" si="28"/>
        <v>0.79220875903725996</v>
      </c>
      <c r="E56" s="70">
        <f t="shared" si="28"/>
        <v>0.79036514206328901</v>
      </c>
      <c r="F56" s="70">
        <f t="shared" si="28"/>
        <v>0.79120474591525192</v>
      </c>
      <c r="G56" s="70">
        <f t="shared" si="28"/>
        <v>0.77949535975080675</v>
      </c>
      <c r="H56" s="70">
        <f t="shared" si="28"/>
        <v>0.78906880577336391</v>
      </c>
      <c r="I56" s="70">
        <f t="shared" si="28"/>
        <v>0.76669654279854371</v>
      </c>
      <c r="J56" s="70">
        <f t="shared" si="28"/>
        <v>0.78091822659211108</v>
      </c>
      <c r="K56" s="70">
        <f t="shared" si="28"/>
        <v>0.77420097303755497</v>
      </c>
      <c r="L56" s="70">
        <f t="shared" si="28"/>
        <v>0.79048532167367225</v>
      </c>
      <c r="M56" s="70">
        <f t="shared" si="28"/>
        <v>0.77353574161666505</v>
      </c>
      <c r="N56" s="70">
        <f t="shared" si="28"/>
        <v>0.76503645147886434</v>
      </c>
      <c r="O56" s="70">
        <f t="shared" si="28"/>
        <v>0.75250831041916999</v>
      </c>
      <c r="P56" s="70">
        <f t="shared" si="28"/>
        <v>0.73257950141676431</v>
      </c>
      <c r="Q56" s="70">
        <f t="shared" si="28"/>
        <v>0.72521557606650189</v>
      </c>
      <c r="R56" s="70">
        <f t="shared" si="28"/>
        <v>0.74096721076624261</v>
      </c>
      <c r="S56" s="70">
        <f t="shared" si="28"/>
        <v>0.72642673967872728</v>
      </c>
      <c r="T56" s="70">
        <f t="shared" si="28"/>
        <v>0.72332499991153443</v>
      </c>
      <c r="U56" s="70">
        <f t="shared" si="28"/>
        <v>0.72432450041769092</v>
      </c>
      <c r="V56" s="70">
        <f t="shared" si="28"/>
        <v>0.72172541957540026</v>
      </c>
      <c r="W56" s="70">
        <f t="shared" si="28"/>
        <v>0.74067806577214179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0.60819628581967033</v>
      </c>
      <c r="C57" s="71">
        <f t="shared" ref="C57:W57" si="30">IF(C49=0,0,C49/C$47)</f>
        <v>0.61197294073400355</v>
      </c>
      <c r="D57" s="71">
        <f t="shared" si="30"/>
        <v>0.62511291768133115</v>
      </c>
      <c r="E57" s="71">
        <f t="shared" si="30"/>
        <v>0.61135821909556964</v>
      </c>
      <c r="F57" s="71">
        <f t="shared" si="30"/>
        <v>0.61337214301526854</v>
      </c>
      <c r="G57" s="71">
        <f t="shared" si="30"/>
        <v>0.59592362816093591</v>
      </c>
      <c r="H57" s="71">
        <f t="shared" si="30"/>
        <v>0.61129482269070357</v>
      </c>
      <c r="I57" s="71">
        <f t="shared" si="30"/>
        <v>0.56387336391295984</v>
      </c>
      <c r="J57" s="71">
        <f t="shared" si="30"/>
        <v>0.59028923424361135</v>
      </c>
      <c r="K57" s="71">
        <f t="shared" si="30"/>
        <v>0.58187638783547302</v>
      </c>
      <c r="L57" s="71">
        <f t="shared" si="30"/>
        <v>0.61318415017739702</v>
      </c>
      <c r="M57" s="71">
        <f t="shared" si="30"/>
        <v>0.58366648073280425</v>
      </c>
      <c r="N57" s="71">
        <f t="shared" si="30"/>
        <v>0.57027817167348094</v>
      </c>
      <c r="O57" s="71">
        <f t="shared" si="30"/>
        <v>0.5486017479745976</v>
      </c>
      <c r="P57" s="71">
        <f t="shared" si="30"/>
        <v>0.51842267503347184</v>
      </c>
      <c r="Q57" s="71">
        <f t="shared" si="30"/>
        <v>0.50913830000252047</v>
      </c>
      <c r="R57" s="71">
        <f t="shared" si="30"/>
        <v>0.53994216558735741</v>
      </c>
      <c r="S57" s="71">
        <f t="shared" si="30"/>
        <v>0.51712348731304059</v>
      </c>
      <c r="T57" s="71">
        <f t="shared" si="30"/>
        <v>0.51147427671129619</v>
      </c>
      <c r="U57" s="71">
        <f t="shared" si="30"/>
        <v>0.50899650771744054</v>
      </c>
      <c r="V57" s="71">
        <f t="shared" si="30"/>
        <v>0.51531901427927163</v>
      </c>
      <c r="W57" s="71">
        <f t="shared" si="30"/>
        <v>0.54346674704733999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4.082002590700135E-3</v>
      </c>
      <c r="C58" s="72">
        <f t="shared" ref="C58:W58" si="32">IF(C50=0,0,C50/C$47)</f>
        <v>3.7277259825223771E-3</v>
      </c>
      <c r="D58" s="72">
        <f t="shared" si="32"/>
        <v>3.4170848722595722E-3</v>
      </c>
      <c r="E58" s="72">
        <f t="shared" si="32"/>
        <v>3.3300648653021205E-3</v>
      </c>
      <c r="F58" s="72">
        <f t="shared" si="32"/>
        <v>3.3040882577494014E-3</v>
      </c>
      <c r="G58" s="72">
        <f t="shared" si="32"/>
        <v>3.549954421819003E-3</v>
      </c>
      <c r="H58" s="72">
        <f t="shared" si="32"/>
        <v>3.6827272418505359E-3</v>
      </c>
      <c r="I58" s="72">
        <f t="shared" si="32"/>
        <v>4.1406842372740385E-3</v>
      </c>
      <c r="J58" s="72">
        <f t="shared" si="32"/>
        <v>3.9042501926473054E-3</v>
      </c>
      <c r="K58" s="72">
        <f t="shared" si="32"/>
        <v>4.2663875104050437E-3</v>
      </c>
      <c r="L58" s="72">
        <f t="shared" si="32"/>
        <v>4.6408320847599457E-3</v>
      </c>
      <c r="M58" s="72">
        <f t="shared" si="32"/>
        <v>4.5160618100312079E-3</v>
      </c>
      <c r="N58" s="72">
        <f t="shared" si="32"/>
        <v>4.9155068353706078E-3</v>
      </c>
      <c r="O58" s="72">
        <f t="shared" si="32"/>
        <v>5.0792513768863415E-3</v>
      </c>
      <c r="P58" s="72">
        <f t="shared" si="32"/>
        <v>5.2178118705167014E-3</v>
      </c>
      <c r="Q58" s="72">
        <f t="shared" si="32"/>
        <v>5.9741081891660011E-3</v>
      </c>
      <c r="R58" s="72">
        <f t="shared" si="32"/>
        <v>4.7025143407807548E-3</v>
      </c>
      <c r="S58" s="72">
        <f t="shared" si="32"/>
        <v>4.9496323075774772E-3</v>
      </c>
      <c r="T58" s="72">
        <f t="shared" si="32"/>
        <v>5.1779200799109658E-3</v>
      </c>
      <c r="U58" s="72">
        <f t="shared" si="32"/>
        <v>5.7371026396665498E-3</v>
      </c>
      <c r="V58" s="72">
        <f t="shared" si="32"/>
        <v>5.1293449747823443E-3</v>
      </c>
      <c r="W58" s="72">
        <f t="shared" si="32"/>
        <v>4.8935811944295377E-3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7.0475818119944439E-2</v>
      </c>
      <c r="C59" s="72">
        <f t="shared" ref="C59:W59" si="34">IF(C51=0,0,C51/C$47)</f>
        <v>7.1412355899512975E-2</v>
      </c>
      <c r="D59" s="72">
        <f t="shared" si="34"/>
        <v>7.6058375670263217E-2</v>
      </c>
      <c r="E59" s="72">
        <f t="shared" si="34"/>
        <v>8.0287484254191521E-2</v>
      </c>
      <c r="F59" s="72">
        <f t="shared" si="34"/>
        <v>8.168976208385359E-2</v>
      </c>
      <c r="G59" s="72">
        <f t="shared" si="34"/>
        <v>8.3601959406831572E-2</v>
      </c>
      <c r="H59" s="72">
        <f t="shared" si="34"/>
        <v>8.2160334798326393E-2</v>
      </c>
      <c r="I59" s="72">
        <f t="shared" si="34"/>
        <v>9.4649829779016509E-2</v>
      </c>
      <c r="J59" s="72">
        <f t="shared" si="34"/>
        <v>8.9433560156985004E-2</v>
      </c>
      <c r="K59" s="72">
        <f t="shared" si="34"/>
        <v>9.1220555065114881E-2</v>
      </c>
      <c r="L59" s="72">
        <f t="shared" si="34"/>
        <v>8.3451937959270736E-2</v>
      </c>
      <c r="M59" s="72">
        <f t="shared" si="34"/>
        <v>8.9180702757495345E-2</v>
      </c>
      <c r="N59" s="72">
        <f t="shared" si="34"/>
        <v>9.2216995730629178E-2</v>
      </c>
      <c r="O59" s="72">
        <f t="shared" si="34"/>
        <v>9.7209606562590492E-2</v>
      </c>
      <c r="P59" s="72">
        <f t="shared" si="34"/>
        <v>0.10213101025171706</v>
      </c>
      <c r="Q59" s="72">
        <f t="shared" si="34"/>
        <v>0.10335450290625757</v>
      </c>
      <c r="R59" s="72">
        <f t="shared" si="34"/>
        <v>9.7504333225729697E-2</v>
      </c>
      <c r="S59" s="72">
        <f t="shared" si="34"/>
        <v>0.10127774466710043</v>
      </c>
      <c r="T59" s="72">
        <f t="shared" si="34"/>
        <v>0.10089075177762301</v>
      </c>
      <c r="U59" s="72">
        <f t="shared" si="34"/>
        <v>0.10139460996987724</v>
      </c>
      <c r="V59" s="72">
        <f t="shared" si="34"/>
        <v>9.6891417923800252E-2</v>
      </c>
      <c r="W59" s="72">
        <f t="shared" si="34"/>
        <v>9.47664934527023E-2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8.0890349157461294E-2</v>
      </c>
      <c r="C60" s="73">
        <f t="shared" ref="C60:W60" si="36">IF(C52=0,0,C52/C$47)</f>
        <v>8.6831446868896975E-2</v>
      </c>
      <c r="D60" s="73">
        <f t="shared" si="36"/>
        <v>8.7620380813406104E-2</v>
      </c>
      <c r="E60" s="73">
        <f t="shared" si="36"/>
        <v>9.5389373848225614E-2</v>
      </c>
      <c r="F60" s="73">
        <f t="shared" si="36"/>
        <v>9.2838752558380602E-2</v>
      </c>
      <c r="G60" s="73">
        <f t="shared" si="36"/>
        <v>9.6419817761220203E-2</v>
      </c>
      <c r="H60" s="73">
        <f t="shared" si="36"/>
        <v>9.1930921042483446E-2</v>
      </c>
      <c r="I60" s="73">
        <f t="shared" si="36"/>
        <v>0.10403266486929337</v>
      </c>
      <c r="J60" s="73">
        <f t="shared" si="36"/>
        <v>9.7291181998867313E-2</v>
      </c>
      <c r="K60" s="73">
        <f t="shared" si="36"/>
        <v>9.6837642626562012E-2</v>
      </c>
      <c r="L60" s="73">
        <f t="shared" si="36"/>
        <v>8.9208401452244679E-2</v>
      </c>
      <c r="M60" s="73">
        <f t="shared" si="36"/>
        <v>9.617249631633415E-2</v>
      </c>
      <c r="N60" s="73">
        <f t="shared" si="36"/>
        <v>9.7625777239383676E-2</v>
      </c>
      <c r="O60" s="73">
        <f t="shared" si="36"/>
        <v>0.10161770450509561</v>
      </c>
      <c r="P60" s="73">
        <f t="shared" si="36"/>
        <v>0.10680800426105878</v>
      </c>
      <c r="Q60" s="73">
        <f t="shared" si="36"/>
        <v>0.10674866496855787</v>
      </c>
      <c r="R60" s="73">
        <f t="shared" si="36"/>
        <v>9.8818197612374675E-2</v>
      </c>
      <c r="S60" s="73">
        <f t="shared" si="36"/>
        <v>0.10307587539100876</v>
      </c>
      <c r="T60" s="73">
        <f t="shared" si="36"/>
        <v>0.10578205134270427</v>
      </c>
      <c r="U60" s="73">
        <f t="shared" si="36"/>
        <v>0.10819628009070666</v>
      </c>
      <c r="V60" s="73">
        <f t="shared" si="36"/>
        <v>0.10438564239754607</v>
      </c>
      <c r="W60" s="73">
        <f t="shared" si="36"/>
        <v>9.7551244077670046E-2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0.2363555443122238</v>
      </c>
      <c r="C61" s="70">
        <f t="shared" ref="C61:W61" si="38">IF(C53=0,0,C53/C$47)</f>
        <v>0.22605553051506408</v>
      </c>
      <c r="D61" s="70">
        <f t="shared" si="38"/>
        <v>0.20779124096274004</v>
      </c>
      <c r="E61" s="70">
        <f t="shared" si="38"/>
        <v>0.20963485793671094</v>
      </c>
      <c r="F61" s="70">
        <f t="shared" si="38"/>
        <v>0.20879525408474811</v>
      </c>
      <c r="G61" s="70">
        <f t="shared" si="38"/>
        <v>0.22050464024919325</v>
      </c>
      <c r="H61" s="70">
        <f t="shared" si="38"/>
        <v>0.21093119422663603</v>
      </c>
      <c r="I61" s="70">
        <f t="shared" si="38"/>
        <v>0.23330345720145632</v>
      </c>
      <c r="J61" s="70">
        <f t="shared" si="38"/>
        <v>0.21908177340788895</v>
      </c>
      <c r="K61" s="70">
        <f t="shared" si="38"/>
        <v>0.22579902696244503</v>
      </c>
      <c r="L61" s="70">
        <f t="shared" si="38"/>
        <v>0.20951467832632767</v>
      </c>
      <c r="M61" s="70">
        <f t="shared" si="38"/>
        <v>0.22646425838333503</v>
      </c>
      <c r="N61" s="70">
        <f t="shared" si="38"/>
        <v>0.23496354852113563</v>
      </c>
      <c r="O61" s="70">
        <f t="shared" si="38"/>
        <v>0.24749168958083001</v>
      </c>
      <c r="P61" s="70">
        <f t="shared" si="38"/>
        <v>0.26742049858323558</v>
      </c>
      <c r="Q61" s="70">
        <f t="shared" si="38"/>
        <v>0.27478442393349811</v>
      </c>
      <c r="R61" s="70">
        <f t="shared" si="38"/>
        <v>0.2590327892337575</v>
      </c>
      <c r="S61" s="70">
        <f t="shared" si="38"/>
        <v>0.27357326032127272</v>
      </c>
      <c r="T61" s="70">
        <f t="shared" si="38"/>
        <v>0.27667500008846546</v>
      </c>
      <c r="U61" s="70">
        <f t="shared" si="38"/>
        <v>0.27567549958230897</v>
      </c>
      <c r="V61" s="70">
        <f t="shared" si="38"/>
        <v>0.27827458042459979</v>
      </c>
      <c r="W61" s="70">
        <f t="shared" si="38"/>
        <v>0.25932193422785815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5564.9049011410661</v>
      </c>
      <c r="C65" s="80">
        <v>6053.5794638810939</v>
      </c>
      <c r="D65" s="80">
        <v>8033.7274994673744</v>
      </c>
      <c r="E65" s="80">
        <v>8432.6680077526034</v>
      </c>
      <c r="F65" s="80">
        <v>8196.749757226542</v>
      </c>
      <c r="G65" s="80">
        <v>7810.9536642045359</v>
      </c>
      <c r="H65" s="80">
        <v>8711.4783252655725</v>
      </c>
      <c r="I65" s="80">
        <v>8362.6883262225783</v>
      </c>
      <c r="J65" s="80">
        <v>8934.4987620150387</v>
      </c>
      <c r="K65" s="80">
        <v>9324.8304902917916</v>
      </c>
      <c r="L65" s="80">
        <v>10591.386856389012</v>
      </c>
      <c r="M65" s="80">
        <v>9725.4673728693397</v>
      </c>
      <c r="N65" s="80">
        <v>9410.0359062527932</v>
      </c>
      <c r="O65" s="80">
        <v>8678.8647165622879</v>
      </c>
      <c r="P65" s="80">
        <v>7762.6033160983188</v>
      </c>
      <c r="Q65" s="80">
        <v>7905.1902130663793</v>
      </c>
      <c r="R65" s="80">
        <v>8574.0191112363318</v>
      </c>
      <c r="S65" s="80">
        <v>7432.5976440091144</v>
      </c>
      <c r="T65" s="80">
        <v>6972.9088688224556</v>
      </c>
      <c r="U65" s="80">
        <v>6381.9702451852872</v>
      </c>
      <c r="V65" s="80">
        <v>5983.5275463986691</v>
      </c>
      <c r="W65" s="80">
        <v>7692.3334678102765</v>
      </c>
      <c r="DA65" s="103" t="s">
        <v>218</v>
      </c>
    </row>
    <row r="66" spans="1:105" ht="12" customHeight="1" x14ac:dyDescent="0.25">
      <c r="A66" s="58" t="s">
        <v>29</v>
      </c>
      <c r="B66" s="59">
        <v>2192.6458618318716</v>
      </c>
      <c r="C66" s="59">
        <v>1688.9369161610946</v>
      </c>
      <c r="D66" s="59">
        <v>2934.7019911027046</v>
      </c>
      <c r="E66" s="59">
        <v>2929.7417836183076</v>
      </c>
      <c r="F66" s="59">
        <v>2760.1245711465417</v>
      </c>
      <c r="G66" s="59">
        <v>2690.0489965245365</v>
      </c>
      <c r="H66" s="59">
        <v>3080.8148513455735</v>
      </c>
      <c r="I66" s="59">
        <v>2670.4908018225774</v>
      </c>
      <c r="J66" s="59">
        <v>2943.5702607190619</v>
      </c>
      <c r="K66" s="59">
        <v>3196.0469384372172</v>
      </c>
      <c r="L66" s="59">
        <v>3649.9886458536698</v>
      </c>
      <c r="M66" s="59">
        <v>3215.6299868209544</v>
      </c>
      <c r="N66" s="59">
        <v>3247.5753437963781</v>
      </c>
      <c r="O66" s="59">
        <v>3023.9443495846049</v>
      </c>
      <c r="P66" s="59">
        <v>2668.7686214083792</v>
      </c>
      <c r="Q66" s="59">
        <v>2579.8024858003864</v>
      </c>
      <c r="R66" s="59">
        <v>2705.4062970919254</v>
      </c>
      <c r="S66" s="59">
        <v>2662.7679901565189</v>
      </c>
      <c r="T66" s="59">
        <v>2428.9180081867344</v>
      </c>
      <c r="U66" s="59">
        <v>1958.3778964443875</v>
      </c>
      <c r="V66" s="59">
        <v>2021.0029793055967</v>
      </c>
      <c r="W66" s="59">
        <v>2520.81872566629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1204.9972477200001</v>
      </c>
      <c r="C67" s="55">
        <f t="shared" ref="C67:W67" si="39">SUM(C68:C69)</f>
        <v>1548.1133233199998</v>
      </c>
      <c r="D67" s="55">
        <f t="shared" si="39"/>
        <v>1662.3015145199997</v>
      </c>
      <c r="E67" s="55">
        <f t="shared" si="39"/>
        <v>1730.7055029600003</v>
      </c>
      <c r="F67" s="55">
        <f t="shared" si="39"/>
        <v>1533.6955072799999</v>
      </c>
      <c r="G67" s="55">
        <f t="shared" si="39"/>
        <v>1279.8434548800001</v>
      </c>
      <c r="H67" s="55">
        <f t="shared" si="39"/>
        <v>2067.2223739199999</v>
      </c>
      <c r="I67" s="55">
        <f t="shared" si="39"/>
        <v>2017.6533144</v>
      </c>
      <c r="J67" s="55">
        <f t="shared" si="39"/>
        <v>1987.8069891600003</v>
      </c>
      <c r="K67" s="55">
        <f t="shared" si="39"/>
        <v>1861.5295490400001</v>
      </c>
      <c r="L67" s="55">
        <f t="shared" si="39"/>
        <v>2256.3819280799999</v>
      </c>
      <c r="M67" s="55">
        <f t="shared" si="39"/>
        <v>2111.5328104800001</v>
      </c>
      <c r="N67" s="55">
        <f t="shared" si="39"/>
        <v>1619.0540675999998</v>
      </c>
      <c r="O67" s="55">
        <f t="shared" si="39"/>
        <v>1302.9465902399998</v>
      </c>
      <c r="P67" s="55">
        <f t="shared" si="39"/>
        <v>1279.5691824</v>
      </c>
      <c r="Q67" s="55">
        <f t="shared" si="39"/>
        <v>1268.82488988</v>
      </c>
      <c r="R67" s="55">
        <f t="shared" si="39"/>
        <v>1280.1512397600002</v>
      </c>
      <c r="S67" s="55">
        <f t="shared" si="39"/>
        <v>1325.4687093600003</v>
      </c>
      <c r="T67" s="55">
        <f t="shared" si="39"/>
        <v>1354.65047712</v>
      </c>
      <c r="U67" s="55">
        <f t="shared" si="39"/>
        <v>1229.23548972</v>
      </c>
      <c r="V67" s="55">
        <f t="shared" si="39"/>
        <v>1173.4223644800004</v>
      </c>
      <c r="W67" s="55">
        <f t="shared" si="39"/>
        <v>1284.8722477200001</v>
      </c>
      <c r="DA67" s="101"/>
    </row>
    <row r="68" spans="1:105" ht="12" customHeight="1" x14ac:dyDescent="0.25">
      <c r="A68" s="61" t="s">
        <v>52</v>
      </c>
      <c r="B68" s="55">
        <v>149.23139904000001</v>
      </c>
      <c r="C68" s="55">
        <v>211.90870476000003</v>
      </c>
      <c r="D68" s="55">
        <v>217.87801524000002</v>
      </c>
      <c r="E68" s="55">
        <v>358.15567572000003</v>
      </c>
      <c r="F68" s="55">
        <v>325.32469523999993</v>
      </c>
      <c r="G68" s="55">
        <v>298.46302523999992</v>
      </c>
      <c r="H68" s="55">
        <v>340.24774428000012</v>
      </c>
      <c r="I68" s="55">
        <v>319.35538475999999</v>
      </c>
      <c r="J68" s="55">
        <v>289.50905952000011</v>
      </c>
      <c r="K68" s="55">
        <v>238.01325048000004</v>
      </c>
      <c r="L68" s="55">
        <v>214.79250096000004</v>
      </c>
      <c r="M68" s="55">
        <v>208.98720000000003</v>
      </c>
      <c r="N68" s="55">
        <v>255.42869904000003</v>
      </c>
      <c r="O68" s="55">
        <v>179.96114952000002</v>
      </c>
      <c r="P68" s="55">
        <v>188.66910096000001</v>
      </c>
      <c r="Q68" s="55">
        <v>188.66910096000001</v>
      </c>
      <c r="R68" s="55">
        <v>203.18189903999999</v>
      </c>
      <c r="S68" s="55">
        <v>207.43433424000003</v>
      </c>
      <c r="T68" s="55">
        <v>193.00831128000002</v>
      </c>
      <c r="U68" s="55">
        <v>217.97364960000002</v>
      </c>
      <c r="V68" s="55">
        <v>145.13002524000001</v>
      </c>
      <c r="W68" s="55">
        <v>136.42230096000006</v>
      </c>
      <c r="DA68" s="101" t="s">
        <v>220</v>
      </c>
    </row>
    <row r="69" spans="1:105" ht="12" customHeight="1" x14ac:dyDescent="0.25">
      <c r="A69" s="61" t="s">
        <v>170</v>
      </c>
      <c r="B69" s="55">
        <v>1055.7658486800001</v>
      </c>
      <c r="C69" s="55">
        <v>1336.2046185599997</v>
      </c>
      <c r="D69" s="55">
        <v>1444.4234992799998</v>
      </c>
      <c r="E69" s="55">
        <v>1372.5498272400002</v>
      </c>
      <c r="F69" s="55">
        <v>1208.3708120399999</v>
      </c>
      <c r="G69" s="55">
        <v>981.3804296400001</v>
      </c>
      <c r="H69" s="55">
        <v>1726.9746296399999</v>
      </c>
      <c r="I69" s="55">
        <v>1698.2979296399999</v>
      </c>
      <c r="J69" s="55">
        <v>1698.2979296400001</v>
      </c>
      <c r="K69" s="55">
        <v>1623.51629856</v>
      </c>
      <c r="L69" s="55">
        <v>2041.5894271199998</v>
      </c>
      <c r="M69" s="55">
        <v>1902.5456104800001</v>
      </c>
      <c r="N69" s="55">
        <v>1363.6253685599997</v>
      </c>
      <c r="O69" s="55">
        <v>1122.9854407199998</v>
      </c>
      <c r="P69" s="55">
        <v>1090.9000814400001</v>
      </c>
      <c r="Q69" s="55">
        <v>1080.1557889200001</v>
      </c>
      <c r="R69" s="55">
        <v>1076.9693407200002</v>
      </c>
      <c r="S69" s="55">
        <v>1118.0343751200003</v>
      </c>
      <c r="T69" s="55">
        <v>1161.64216584</v>
      </c>
      <c r="U69" s="55">
        <v>1011.26184012</v>
      </c>
      <c r="V69" s="55">
        <v>1028.2923392400003</v>
      </c>
      <c r="W69" s="55">
        <v>1148.4499467600001</v>
      </c>
      <c r="DA69" s="101" t="s">
        <v>221</v>
      </c>
    </row>
    <row r="70" spans="1:105" ht="12" customHeight="1" x14ac:dyDescent="0.25">
      <c r="A70" s="60" t="s">
        <v>153</v>
      </c>
      <c r="B70" s="55">
        <v>2163.8372399999998</v>
      </c>
      <c r="C70" s="55">
        <v>2803.51611</v>
      </c>
      <c r="D70" s="55">
        <v>3422.2815900000001</v>
      </c>
      <c r="E70" s="55">
        <v>3762.0687599999997</v>
      </c>
      <c r="F70" s="55">
        <v>3902.6434500000009</v>
      </c>
      <c r="G70" s="55">
        <v>3837.9152699999995</v>
      </c>
      <c r="H70" s="55">
        <v>3563.4411000000005</v>
      </c>
      <c r="I70" s="55">
        <v>3674.5442100000014</v>
      </c>
      <c r="J70" s="55">
        <v>3997.9809899999996</v>
      </c>
      <c r="K70" s="55">
        <v>4250.1785400000008</v>
      </c>
      <c r="L70" s="55">
        <v>4681.3736700000009</v>
      </c>
      <c r="M70" s="55">
        <v>4392.2574000000013</v>
      </c>
      <c r="N70" s="55">
        <v>4538.4680700000017</v>
      </c>
      <c r="O70" s="55">
        <v>4292.14005</v>
      </c>
      <c r="P70" s="55">
        <v>3782.8811700000006</v>
      </c>
      <c r="Q70" s="55">
        <v>4029.2534699999997</v>
      </c>
      <c r="R70" s="55">
        <v>4542.5348099999992</v>
      </c>
      <c r="S70" s="55">
        <v>3411.2174975999997</v>
      </c>
      <c r="T70" s="55">
        <v>3159.7968877200005</v>
      </c>
      <c r="U70" s="55">
        <v>3167.5321576800015</v>
      </c>
      <c r="V70" s="55">
        <v>2713.1003211599991</v>
      </c>
      <c r="W70" s="55">
        <v>3792.9384550800014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3.4245515891947087</v>
      </c>
      <c r="C71" s="55">
        <f t="shared" ref="C71:W71" si="40">SUM(C72:C76)</f>
        <v>13.013114400000001</v>
      </c>
      <c r="D71" s="55">
        <f t="shared" si="40"/>
        <v>14.442403844669446</v>
      </c>
      <c r="E71" s="55">
        <f t="shared" si="40"/>
        <v>10.151961174295083</v>
      </c>
      <c r="F71" s="55">
        <f t="shared" si="40"/>
        <v>0.28622880000000006</v>
      </c>
      <c r="G71" s="55">
        <f t="shared" si="40"/>
        <v>3.1459427999999998</v>
      </c>
      <c r="H71" s="55">
        <f t="shared" si="40"/>
        <v>0</v>
      </c>
      <c r="I71" s="55">
        <f t="shared" si="40"/>
        <v>0</v>
      </c>
      <c r="J71" s="55">
        <f t="shared" si="40"/>
        <v>5.1405221359785527</v>
      </c>
      <c r="K71" s="55">
        <f t="shared" si="40"/>
        <v>17.07546281457325</v>
      </c>
      <c r="L71" s="55">
        <f t="shared" si="40"/>
        <v>3.6426124553424666</v>
      </c>
      <c r="M71" s="55">
        <f t="shared" si="40"/>
        <v>6.0471755683851018</v>
      </c>
      <c r="N71" s="55">
        <f t="shared" si="40"/>
        <v>4.9384248564127091</v>
      </c>
      <c r="O71" s="55">
        <f t="shared" si="40"/>
        <v>59.833726737683641</v>
      </c>
      <c r="P71" s="55">
        <f t="shared" si="40"/>
        <v>31.384342289938736</v>
      </c>
      <c r="Q71" s="55">
        <f t="shared" si="40"/>
        <v>27.309367385992608</v>
      </c>
      <c r="R71" s="55">
        <f t="shared" si="40"/>
        <v>45.926764384406354</v>
      </c>
      <c r="S71" s="55">
        <f t="shared" si="40"/>
        <v>33.143446892595193</v>
      </c>
      <c r="T71" s="55">
        <f t="shared" si="40"/>
        <v>29.543495795721284</v>
      </c>
      <c r="U71" s="55">
        <f t="shared" si="40"/>
        <v>26.82470134089785</v>
      </c>
      <c r="V71" s="55">
        <f t="shared" si="40"/>
        <v>76.001881453073253</v>
      </c>
      <c r="W71" s="55">
        <f t="shared" si="40"/>
        <v>93.704039343985372</v>
      </c>
      <c r="DA71" s="101"/>
    </row>
    <row r="72" spans="1:105" ht="12" customHeight="1" x14ac:dyDescent="0.25">
      <c r="A72" s="61" t="s">
        <v>171</v>
      </c>
      <c r="B72" s="55">
        <v>3.4245515891947087</v>
      </c>
      <c r="C72" s="55">
        <v>13.013114400000001</v>
      </c>
      <c r="D72" s="55">
        <v>14.442403844669446</v>
      </c>
      <c r="E72" s="55">
        <v>10.151961174295083</v>
      </c>
      <c r="F72" s="55">
        <v>0.28622880000000006</v>
      </c>
      <c r="G72" s="55">
        <v>3.1459427999999998</v>
      </c>
      <c r="H72" s="55">
        <v>0</v>
      </c>
      <c r="I72" s="55">
        <v>0</v>
      </c>
      <c r="J72" s="55">
        <v>5.1405221359785527</v>
      </c>
      <c r="K72" s="55">
        <v>17.07546281457325</v>
      </c>
      <c r="L72" s="55">
        <v>3.6426124553424666</v>
      </c>
      <c r="M72" s="55">
        <v>6.0471755683851018</v>
      </c>
      <c r="N72" s="55">
        <v>4.9384248564127091</v>
      </c>
      <c r="O72" s="55">
        <v>59.833726737683641</v>
      </c>
      <c r="P72" s="55">
        <v>31.384342289938736</v>
      </c>
      <c r="Q72" s="55">
        <v>27.309367385992608</v>
      </c>
      <c r="R72" s="55">
        <v>45.926764384406354</v>
      </c>
      <c r="S72" s="55">
        <v>33.143446892595193</v>
      </c>
      <c r="T72" s="55">
        <v>29.543495795721284</v>
      </c>
      <c r="U72" s="55">
        <v>26.82470134089785</v>
      </c>
      <c r="V72" s="55">
        <v>76.001881453073253</v>
      </c>
      <c r="W72" s="55">
        <v>93.704039343985372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5564.9049011410652</v>
      </c>
      <c r="C81" s="82">
        <f t="shared" ref="C81:W81" si="42">C82+C87</f>
        <v>6053.5794638810939</v>
      </c>
      <c r="D81" s="82">
        <f t="shared" si="42"/>
        <v>8033.7274994673744</v>
      </c>
      <c r="E81" s="82">
        <f t="shared" si="42"/>
        <v>8432.6680077526053</v>
      </c>
      <c r="F81" s="82">
        <f t="shared" si="42"/>
        <v>8196.7497572265438</v>
      </c>
      <c r="G81" s="82">
        <f t="shared" si="42"/>
        <v>7810.9536642045368</v>
      </c>
      <c r="H81" s="82">
        <f t="shared" si="42"/>
        <v>8711.4783252655725</v>
      </c>
      <c r="I81" s="82">
        <f t="shared" si="42"/>
        <v>8362.6883262225765</v>
      </c>
      <c r="J81" s="82">
        <f t="shared" si="42"/>
        <v>8934.4987620150459</v>
      </c>
      <c r="K81" s="82">
        <f t="shared" si="42"/>
        <v>9324.8304902917953</v>
      </c>
      <c r="L81" s="82">
        <f t="shared" si="42"/>
        <v>10591.386856389017</v>
      </c>
      <c r="M81" s="82">
        <f t="shared" si="42"/>
        <v>9725.4673728693415</v>
      </c>
      <c r="N81" s="82">
        <f t="shared" si="42"/>
        <v>9410.0359062527968</v>
      </c>
      <c r="O81" s="82">
        <f t="shared" si="42"/>
        <v>8678.864716562286</v>
      </c>
      <c r="P81" s="82">
        <f t="shared" si="42"/>
        <v>7762.6033160983206</v>
      </c>
      <c r="Q81" s="82">
        <f t="shared" si="42"/>
        <v>7905.1902130663711</v>
      </c>
      <c r="R81" s="82">
        <f t="shared" si="42"/>
        <v>8574.0191112363264</v>
      </c>
      <c r="S81" s="82">
        <f t="shared" si="42"/>
        <v>7432.5976440091108</v>
      </c>
      <c r="T81" s="82">
        <f t="shared" si="42"/>
        <v>6972.9088688224583</v>
      </c>
      <c r="U81" s="82">
        <f t="shared" si="42"/>
        <v>6381.9702451852827</v>
      </c>
      <c r="V81" s="82">
        <f t="shared" si="42"/>
        <v>5983.5275463986673</v>
      </c>
      <c r="W81" s="82">
        <f t="shared" si="42"/>
        <v>7692.333467810271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5564.9049011410652</v>
      </c>
      <c r="C82" s="64">
        <f t="shared" ref="C82:W82" si="44">SUM(C83:C86)</f>
        <v>6053.5794638810939</v>
      </c>
      <c r="D82" s="64">
        <f t="shared" si="44"/>
        <v>8033.7274994673744</v>
      </c>
      <c r="E82" s="64">
        <f t="shared" si="44"/>
        <v>8432.6680077526053</v>
      </c>
      <c r="F82" s="64">
        <f t="shared" si="44"/>
        <v>8196.7497572265438</v>
      </c>
      <c r="G82" s="64">
        <f t="shared" si="44"/>
        <v>7810.9536642045368</v>
      </c>
      <c r="H82" s="64">
        <f t="shared" si="44"/>
        <v>8711.4783252655725</v>
      </c>
      <c r="I82" s="64">
        <f t="shared" si="44"/>
        <v>8362.6883262225765</v>
      </c>
      <c r="J82" s="64">
        <f t="shared" si="44"/>
        <v>8934.4987620150459</v>
      </c>
      <c r="K82" s="64">
        <f t="shared" si="44"/>
        <v>9324.8304902917953</v>
      </c>
      <c r="L82" s="64">
        <f t="shared" si="44"/>
        <v>10591.386856389017</v>
      </c>
      <c r="M82" s="64">
        <f t="shared" si="44"/>
        <v>9725.4673728693415</v>
      </c>
      <c r="N82" s="64">
        <f t="shared" si="44"/>
        <v>9410.0359062527968</v>
      </c>
      <c r="O82" s="64">
        <f t="shared" si="44"/>
        <v>8678.864716562286</v>
      </c>
      <c r="P82" s="64">
        <f t="shared" si="44"/>
        <v>7762.6033160983206</v>
      </c>
      <c r="Q82" s="64">
        <f t="shared" si="44"/>
        <v>7905.1902130663711</v>
      </c>
      <c r="R82" s="64">
        <f t="shared" si="44"/>
        <v>8574.0191112363264</v>
      </c>
      <c r="S82" s="64">
        <f t="shared" si="44"/>
        <v>7432.5976440091108</v>
      </c>
      <c r="T82" s="64">
        <f t="shared" si="44"/>
        <v>6972.9088688224583</v>
      </c>
      <c r="U82" s="64">
        <f t="shared" si="44"/>
        <v>6381.9702451852827</v>
      </c>
      <c r="V82" s="64">
        <f t="shared" si="44"/>
        <v>5983.5275463986673</v>
      </c>
      <c r="W82" s="64">
        <f t="shared" si="44"/>
        <v>7692.333467810271</v>
      </c>
      <c r="DA82" s="108" t="s">
        <v>232</v>
      </c>
    </row>
    <row r="83" spans="1:105" ht="12" customHeight="1" x14ac:dyDescent="0.25">
      <c r="A83" s="61" t="s">
        <v>32</v>
      </c>
      <c r="B83" s="65">
        <v>5025.1880325067505</v>
      </c>
      <c r="C83" s="65">
        <v>5339.6984670157999</v>
      </c>
      <c r="D83" s="65">
        <v>7197.1793225050342</v>
      </c>
      <c r="E83" s="65">
        <v>7354.7181959059344</v>
      </c>
      <c r="F83" s="65">
        <v>7122.4270062711576</v>
      </c>
      <c r="G83" s="65">
        <v>6721.2598605633812</v>
      </c>
      <c r="H83" s="65">
        <v>7544.5560326017585</v>
      </c>
      <c r="I83" s="65">
        <v>7142.6072642384242</v>
      </c>
      <c r="J83" s="65">
        <v>7695.6129670031896</v>
      </c>
      <c r="K83" s="65">
        <v>8104.4828196619919</v>
      </c>
      <c r="L83" s="65">
        <v>9338.3823425331357</v>
      </c>
      <c r="M83" s="65">
        <v>8407.6895160380009</v>
      </c>
      <c r="N83" s="65">
        <v>7991.8143969755811</v>
      </c>
      <c r="O83" s="65">
        <v>7307.5353374873876</v>
      </c>
      <c r="P83" s="65">
        <v>6380.5089298112944</v>
      </c>
      <c r="Q83" s="65">
        <v>6497.1525991918606</v>
      </c>
      <c r="R83" s="65">
        <v>7164.8180192298278</v>
      </c>
      <c r="S83" s="65">
        <v>6159.7778590961389</v>
      </c>
      <c r="T83" s="65">
        <v>5810.9878740638142</v>
      </c>
      <c r="U83" s="65">
        <v>5262.8210478054498</v>
      </c>
      <c r="V83" s="65">
        <v>5045.6774986121491</v>
      </c>
      <c r="W83" s="65">
        <v>6489.8627059251885</v>
      </c>
      <c r="DA83" s="109" t="s">
        <v>233</v>
      </c>
    </row>
    <row r="84" spans="1:105" ht="12" customHeight="1" x14ac:dyDescent="0.25">
      <c r="A84" s="61" t="s">
        <v>31</v>
      </c>
      <c r="B84" s="65">
        <v>0.10286815743624028</v>
      </c>
      <c r="C84" s="65">
        <v>0.11018113432969902</v>
      </c>
      <c r="D84" s="65">
        <v>0.12883456713161703</v>
      </c>
      <c r="E84" s="65">
        <v>0.1439878653573855</v>
      </c>
      <c r="F84" s="65">
        <v>0.17704779576792226</v>
      </c>
      <c r="G84" s="65">
        <v>0.21459843724848907</v>
      </c>
      <c r="H84" s="65">
        <v>0.26276354268470659</v>
      </c>
      <c r="I84" s="65">
        <v>0.31824920325041345</v>
      </c>
      <c r="J84" s="65">
        <v>0.35520124974063666</v>
      </c>
      <c r="K84" s="65">
        <v>0.40617258587665966</v>
      </c>
      <c r="L84" s="65">
        <v>0.48830288473896055</v>
      </c>
      <c r="M84" s="65">
        <v>0.50751378753345577</v>
      </c>
      <c r="N84" s="65">
        <v>0.60847816998135773</v>
      </c>
      <c r="O84" s="65">
        <v>0.74886803904234112</v>
      </c>
      <c r="P84" s="65">
        <v>0.98492495866459484</v>
      </c>
      <c r="Q84" s="65">
        <v>1.3639914253102858</v>
      </c>
      <c r="R84" s="65">
        <v>1.7423222257432194</v>
      </c>
      <c r="S84" s="65">
        <v>2.0784954913305169</v>
      </c>
      <c r="T84" s="65">
        <v>2.3758146700600449</v>
      </c>
      <c r="U84" s="65">
        <v>2.7561570254737209</v>
      </c>
      <c r="V84" s="65">
        <v>2.3891821910248567</v>
      </c>
      <c r="W84" s="65">
        <v>2.5820312778594428</v>
      </c>
      <c r="DA84" s="109" t="s">
        <v>234</v>
      </c>
    </row>
    <row r="85" spans="1:105" ht="12" customHeight="1" x14ac:dyDescent="0.25">
      <c r="A85" s="61" t="s">
        <v>35</v>
      </c>
      <c r="B85" s="65">
        <v>329.51520747233047</v>
      </c>
      <c r="C85" s="65">
        <v>432.41358607216017</v>
      </c>
      <c r="D85" s="65">
        <v>506.09911334948356</v>
      </c>
      <c r="E85" s="65">
        <v>663.67123655591604</v>
      </c>
      <c r="F85" s="65">
        <v>647.07264707787238</v>
      </c>
      <c r="G85" s="65">
        <v>624.04519811909199</v>
      </c>
      <c r="H85" s="65">
        <v>658.09397194493886</v>
      </c>
      <c r="I85" s="65">
        <v>690.01900867311872</v>
      </c>
      <c r="J85" s="65">
        <v>716.41028176860993</v>
      </c>
      <c r="K85" s="65">
        <v>716.73840497070546</v>
      </c>
      <c r="L85" s="65">
        <v>763.94391068184166</v>
      </c>
      <c r="M85" s="65">
        <v>764.87133871945241</v>
      </c>
      <c r="N85" s="65">
        <v>811.76012123115322</v>
      </c>
      <c r="O85" s="65">
        <v>748.99058356563444</v>
      </c>
      <c r="P85" s="65">
        <v>768.10529183804022</v>
      </c>
      <c r="Q85" s="65">
        <v>763.94537063680343</v>
      </c>
      <c r="R85" s="65">
        <v>782.37058389781328</v>
      </c>
      <c r="S85" s="65">
        <v>677.43317143132163</v>
      </c>
      <c r="T85" s="65">
        <v>588.05894680959659</v>
      </c>
      <c r="U85" s="65">
        <v>520.60325782194934</v>
      </c>
      <c r="V85" s="65">
        <v>456.40547675705386</v>
      </c>
      <c r="W85" s="65">
        <v>554.94841116826069</v>
      </c>
      <c r="DA85" s="109" t="s">
        <v>235</v>
      </c>
    </row>
    <row r="86" spans="1:105" ht="12" customHeight="1" x14ac:dyDescent="0.25">
      <c r="A86" s="66" t="s">
        <v>34</v>
      </c>
      <c r="B86" s="67">
        <v>210.0987930045485</v>
      </c>
      <c r="C86" s="67">
        <v>281.3572296588045</v>
      </c>
      <c r="D86" s="67">
        <v>330.32022904572466</v>
      </c>
      <c r="E86" s="67">
        <v>414.13458742539677</v>
      </c>
      <c r="F86" s="67">
        <v>427.07305608174534</v>
      </c>
      <c r="G86" s="67">
        <v>465.43400708481596</v>
      </c>
      <c r="H86" s="67">
        <v>508.56555717619091</v>
      </c>
      <c r="I86" s="67">
        <v>529.74380410778281</v>
      </c>
      <c r="J86" s="67">
        <v>522.12031199350452</v>
      </c>
      <c r="K86" s="67">
        <v>503.20309307322088</v>
      </c>
      <c r="L86" s="67">
        <v>488.57230028930064</v>
      </c>
      <c r="M86" s="67">
        <v>552.39900432435411</v>
      </c>
      <c r="N86" s="67">
        <v>605.8529098760813</v>
      </c>
      <c r="O86" s="67">
        <v>621.58992747022114</v>
      </c>
      <c r="P86" s="67">
        <v>613.00416949032092</v>
      </c>
      <c r="Q86" s="67">
        <v>642.7282518123975</v>
      </c>
      <c r="R86" s="67">
        <v>625.08818588294207</v>
      </c>
      <c r="S86" s="67">
        <v>593.30811799032017</v>
      </c>
      <c r="T86" s="67">
        <v>571.4862332789869</v>
      </c>
      <c r="U86" s="67">
        <v>595.7897825324103</v>
      </c>
      <c r="V86" s="67">
        <v>479.05538883843923</v>
      </c>
      <c r="W86" s="67">
        <v>644.94031943896289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0.90301417935755779</v>
      </c>
      <c r="C91" s="71">
        <f t="shared" ref="C91:W91" si="50">IF(C83=0,0,C83/C$81)</f>
        <v>0.88207291221256923</v>
      </c>
      <c r="D91" s="71">
        <f t="shared" si="50"/>
        <v>0.895870481415034</v>
      </c>
      <c r="E91" s="71">
        <f t="shared" si="50"/>
        <v>0.87216977937994788</v>
      </c>
      <c r="F91" s="71">
        <f t="shared" si="50"/>
        <v>0.86893307923567809</v>
      </c>
      <c r="G91" s="71">
        <f t="shared" si="50"/>
        <v>0.86049158009540827</v>
      </c>
      <c r="H91" s="71">
        <f t="shared" si="50"/>
        <v>0.86604773046620187</v>
      </c>
      <c r="I91" s="71">
        <f t="shared" si="50"/>
        <v>0.8541042049650005</v>
      </c>
      <c r="J91" s="71">
        <f t="shared" si="50"/>
        <v>0.86133684406796607</v>
      </c>
      <c r="K91" s="71">
        <f t="shared" si="50"/>
        <v>0.86912923812391829</v>
      </c>
      <c r="L91" s="71">
        <f t="shared" si="50"/>
        <v>0.88169589772844204</v>
      </c>
      <c r="M91" s="71">
        <f t="shared" si="50"/>
        <v>0.86450236206565445</v>
      </c>
      <c r="N91" s="71">
        <f t="shared" si="50"/>
        <v>0.84928628079571578</v>
      </c>
      <c r="O91" s="71">
        <f t="shared" si="50"/>
        <v>0.84199207801247022</v>
      </c>
      <c r="P91" s="71">
        <f t="shared" si="50"/>
        <v>0.8219547837230331</v>
      </c>
      <c r="Q91" s="71">
        <f t="shared" si="50"/>
        <v>0.82188441063098194</v>
      </c>
      <c r="R91" s="71">
        <f t="shared" si="50"/>
        <v>0.83564287952662386</v>
      </c>
      <c r="S91" s="71">
        <f t="shared" si="50"/>
        <v>0.82875169007178784</v>
      </c>
      <c r="T91" s="71">
        <f t="shared" si="50"/>
        <v>0.83336638745504465</v>
      </c>
      <c r="U91" s="71">
        <f t="shared" si="50"/>
        <v>0.82463891958378421</v>
      </c>
      <c r="V91" s="71">
        <f t="shared" si="50"/>
        <v>0.84326134700407851</v>
      </c>
      <c r="W91" s="71">
        <f t="shared" si="50"/>
        <v>0.84367932475665508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1.8485159991709385E-5</v>
      </c>
      <c r="C92" s="72">
        <f t="shared" ref="C92:W92" si="52">IF(C84=0,0,C84/C$81)</f>
        <v>1.8200989181210692E-5</v>
      </c>
      <c r="D92" s="72">
        <f t="shared" si="52"/>
        <v>1.6036711120729275E-5</v>
      </c>
      <c r="E92" s="72">
        <f t="shared" si="52"/>
        <v>1.707500701142387E-5</v>
      </c>
      <c r="F92" s="72">
        <f t="shared" si="52"/>
        <v>2.159975612428947E-5</v>
      </c>
      <c r="G92" s="72">
        <f t="shared" si="52"/>
        <v>2.7474037931108844E-5</v>
      </c>
      <c r="H92" s="72">
        <f t="shared" si="52"/>
        <v>3.0162910687916581E-5</v>
      </c>
      <c r="I92" s="72">
        <f t="shared" si="52"/>
        <v>3.8055848889225136E-5</v>
      </c>
      <c r="J92" s="72">
        <f t="shared" si="52"/>
        <v>3.9756147401438132E-5</v>
      </c>
      <c r="K92" s="72">
        <f t="shared" si="52"/>
        <v>4.3558173663267264E-5</v>
      </c>
      <c r="L92" s="72">
        <f t="shared" si="52"/>
        <v>4.6103771995109666E-5</v>
      </c>
      <c r="M92" s="72">
        <f t="shared" si="52"/>
        <v>5.2183999809535332E-5</v>
      </c>
      <c r="N92" s="72">
        <f t="shared" si="52"/>
        <v>6.4662683122923597E-5</v>
      </c>
      <c r="O92" s="72">
        <f t="shared" si="52"/>
        <v>8.6286405365121197E-5</v>
      </c>
      <c r="P92" s="72">
        <f t="shared" si="52"/>
        <v>1.2688075360259976E-4</v>
      </c>
      <c r="Q92" s="72">
        <f t="shared" si="52"/>
        <v>1.725437830775741E-4</v>
      </c>
      <c r="R92" s="72">
        <f t="shared" si="52"/>
        <v>2.0320951039867535E-4</v>
      </c>
      <c r="S92" s="72">
        <f t="shared" si="52"/>
        <v>2.7964590455207064E-4</v>
      </c>
      <c r="T92" s="72">
        <f t="shared" si="52"/>
        <v>3.407207400462209E-4</v>
      </c>
      <c r="U92" s="72">
        <f t="shared" si="52"/>
        <v>4.3186616665175375E-4</v>
      </c>
      <c r="V92" s="72">
        <f t="shared" si="52"/>
        <v>3.9929325510715572E-4</v>
      </c>
      <c r="W92" s="72">
        <f t="shared" si="52"/>
        <v>3.3566294137719611E-4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5.9213088691733883E-2</v>
      </c>
      <c r="C93" s="72">
        <f t="shared" ref="C93:W93" si="54">IF(C85=0,0,C85/C$81)</f>
        <v>7.1431058046263679E-2</v>
      </c>
      <c r="D93" s="72">
        <f t="shared" si="54"/>
        <v>6.2996798607251395E-2</v>
      </c>
      <c r="E93" s="72">
        <f t="shared" si="54"/>
        <v>7.8702403076436472E-2</v>
      </c>
      <c r="F93" s="72">
        <f t="shared" si="54"/>
        <v>7.8942588982589143E-2</v>
      </c>
      <c r="G93" s="72">
        <f t="shared" si="54"/>
        <v>7.9893598777690922E-2</v>
      </c>
      <c r="H93" s="72">
        <f t="shared" si="54"/>
        <v>7.5543317376603428E-2</v>
      </c>
      <c r="I93" s="72">
        <f t="shared" si="54"/>
        <v>8.2511625658635554E-2</v>
      </c>
      <c r="J93" s="72">
        <f t="shared" si="54"/>
        <v>8.0184720021947153E-2</v>
      </c>
      <c r="K93" s="72">
        <f t="shared" si="54"/>
        <v>7.6863424564865959E-2</v>
      </c>
      <c r="L93" s="72">
        <f t="shared" si="54"/>
        <v>7.2128789273805963E-2</v>
      </c>
      <c r="M93" s="72">
        <f t="shared" si="54"/>
        <v>7.8646229471004803E-2</v>
      </c>
      <c r="N93" s="72">
        <f t="shared" si="54"/>
        <v>8.6265358529796193E-2</v>
      </c>
      <c r="O93" s="72">
        <f t="shared" si="54"/>
        <v>8.6300525244540391E-2</v>
      </c>
      <c r="P93" s="72">
        <f t="shared" si="54"/>
        <v>9.8949445251842294E-2</v>
      </c>
      <c r="Q93" s="72">
        <f t="shared" si="54"/>
        <v>9.6638455248564362E-2</v>
      </c>
      <c r="R93" s="72">
        <f t="shared" si="54"/>
        <v>9.1248989971635344E-2</v>
      </c>
      <c r="S93" s="72">
        <f t="shared" si="54"/>
        <v>9.1143527993520865E-2</v>
      </c>
      <c r="T93" s="72">
        <f t="shared" si="54"/>
        <v>8.4334810316960926E-2</v>
      </c>
      <c r="U93" s="72">
        <f t="shared" si="54"/>
        <v>8.1574065346779925E-2</v>
      </c>
      <c r="V93" s="72">
        <f t="shared" si="54"/>
        <v>7.6276990992003149E-2</v>
      </c>
      <c r="W93" s="72">
        <f t="shared" si="54"/>
        <v>7.214305171382987E-2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3.7754246790716664E-2</v>
      </c>
      <c r="C94" s="73">
        <f t="shared" ref="C94:W94" si="56">IF(C86=0,0,C86/C$81)</f>
        <v>4.6477828751985965E-2</v>
      </c>
      <c r="D94" s="73">
        <f t="shared" si="56"/>
        <v>4.1116683266593804E-2</v>
      </c>
      <c r="E94" s="73">
        <f t="shared" si="56"/>
        <v>4.9110742536604142E-2</v>
      </c>
      <c r="F94" s="73">
        <f t="shared" si="56"/>
        <v>5.2102732025608403E-2</v>
      </c>
      <c r="G94" s="73">
        <f t="shared" si="56"/>
        <v>5.9587347088969768E-2</v>
      </c>
      <c r="H94" s="73">
        <f t="shared" si="56"/>
        <v>5.8378789246506801E-2</v>
      </c>
      <c r="I94" s="73">
        <f t="shared" si="56"/>
        <v>6.3346113527474712E-2</v>
      </c>
      <c r="J94" s="73">
        <f t="shared" si="56"/>
        <v>5.8438679762685186E-2</v>
      </c>
      <c r="K94" s="73">
        <f t="shared" si="56"/>
        <v>5.3963779137552396E-2</v>
      </c>
      <c r="L94" s="73">
        <f t="shared" si="56"/>
        <v>4.6129209225756904E-2</v>
      </c>
      <c r="M94" s="73">
        <f t="shared" si="56"/>
        <v>5.6799224463531126E-2</v>
      </c>
      <c r="N94" s="73">
        <f t="shared" si="56"/>
        <v>6.4383697991365063E-2</v>
      </c>
      <c r="O94" s="73">
        <f t="shared" si="56"/>
        <v>7.1621110337624208E-2</v>
      </c>
      <c r="P94" s="73">
        <f t="shared" si="56"/>
        <v>7.8968890271521971E-2</v>
      </c>
      <c r="Q94" s="73">
        <f t="shared" si="56"/>
        <v>8.1304590337376262E-2</v>
      </c>
      <c r="R94" s="73">
        <f t="shared" si="56"/>
        <v>7.2904920991342159E-2</v>
      </c>
      <c r="S94" s="73">
        <f t="shared" si="56"/>
        <v>7.9825136030139299E-2</v>
      </c>
      <c r="T94" s="73">
        <f t="shared" si="56"/>
        <v>8.1958081487948073E-2</v>
      </c>
      <c r="U94" s="73">
        <f t="shared" si="56"/>
        <v>9.3355148902784207E-2</v>
      </c>
      <c r="V94" s="73">
        <f t="shared" si="56"/>
        <v>8.0062368748811133E-2</v>
      </c>
      <c r="W94" s="73">
        <f t="shared" si="56"/>
        <v>8.3841960588137907E-2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182145.01484825296</v>
      </c>
      <c r="C99" s="82">
        <f t="shared" ref="C99:W99" si="60">C47*11630*1000/C$8</f>
        <v>197950.85671885835</v>
      </c>
      <c r="D99" s="82">
        <f t="shared" si="60"/>
        <v>223326.55633803565</v>
      </c>
      <c r="E99" s="82">
        <f t="shared" si="60"/>
        <v>227526.12504767539</v>
      </c>
      <c r="F99" s="82">
        <f t="shared" si="60"/>
        <v>235820.83041557152</v>
      </c>
      <c r="G99" s="82">
        <f t="shared" si="60"/>
        <v>230543.89950716362</v>
      </c>
      <c r="H99" s="82">
        <f t="shared" si="60"/>
        <v>246189.04893275647</v>
      </c>
      <c r="I99" s="82">
        <f t="shared" si="60"/>
        <v>225344.61621734747</v>
      </c>
      <c r="J99" s="82">
        <f t="shared" si="60"/>
        <v>243574.84768251335</v>
      </c>
      <c r="K99" s="82">
        <f t="shared" si="60"/>
        <v>238095.88442793521</v>
      </c>
      <c r="L99" s="82">
        <f t="shared" si="60"/>
        <v>261306.99835449521</v>
      </c>
      <c r="M99" s="82">
        <f t="shared" si="60"/>
        <v>242978.5981580801</v>
      </c>
      <c r="N99" s="82">
        <f t="shared" si="60"/>
        <v>236300.47451583954</v>
      </c>
      <c r="O99" s="82">
        <f t="shared" si="60"/>
        <v>226791.93456197434</v>
      </c>
      <c r="P99" s="82">
        <f t="shared" si="60"/>
        <v>213807.91506767945</v>
      </c>
      <c r="Q99" s="82">
        <f t="shared" si="60"/>
        <v>212614.70767044157</v>
      </c>
      <c r="R99" s="82">
        <f t="shared" si="60"/>
        <v>227048.21770894263</v>
      </c>
      <c r="S99" s="82">
        <f t="shared" si="60"/>
        <v>210505.85021678355</v>
      </c>
      <c r="T99" s="82">
        <f t="shared" si="60"/>
        <v>203501.29856671297</v>
      </c>
      <c r="U99" s="82">
        <f t="shared" si="60"/>
        <v>196979.02542822709</v>
      </c>
      <c r="V99" s="82">
        <f t="shared" si="60"/>
        <v>187811.89471314498</v>
      </c>
      <c r="W99" s="82">
        <f t="shared" si="60"/>
        <v>205389.75152647856</v>
      </c>
      <c r="DA99" s="107"/>
    </row>
    <row r="100" spans="1:105" ht="12" customHeight="1" x14ac:dyDescent="0.25">
      <c r="A100" s="77" t="s">
        <v>36</v>
      </c>
      <c r="B100" s="64">
        <f t="shared" si="59"/>
        <v>139094.03072003604</v>
      </c>
      <c r="C100" s="64">
        <f t="shared" ref="C100:W100" si="61">C48*11630*1000/C$8</f>
        <v>153202.9707873654</v>
      </c>
      <c r="D100" s="64">
        <f t="shared" si="61"/>
        <v>176921.25405661995</v>
      </c>
      <c r="E100" s="64">
        <f t="shared" si="61"/>
        <v>179828.71814641563</v>
      </c>
      <c r="F100" s="64">
        <f t="shared" si="61"/>
        <v>186582.56021047599</v>
      </c>
      <c r="G100" s="64">
        <f t="shared" si="61"/>
        <v>179707.89988469033</v>
      </c>
      <c r="H100" s="64">
        <f t="shared" si="61"/>
        <v>194260.09883585037</v>
      </c>
      <c r="I100" s="64">
        <f t="shared" si="61"/>
        <v>172770.93819210495</v>
      </c>
      <c r="J100" s="64">
        <f t="shared" si="61"/>
        <v>190212.03809467188</v>
      </c>
      <c r="K100" s="64">
        <f t="shared" si="61"/>
        <v>184334.0654003447</v>
      </c>
      <c r="L100" s="64">
        <f t="shared" si="61"/>
        <v>206559.34664983486</v>
      </c>
      <c r="M100" s="64">
        <f t="shared" si="61"/>
        <v>187952.63012318814</v>
      </c>
      <c r="N100" s="64">
        <f t="shared" si="61"/>
        <v>180778.47650636971</v>
      </c>
      <c r="O100" s="64">
        <f t="shared" si="61"/>
        <v>170662.81549392626</v>
      </c>
      <c r="P100" s="64">
        <f t="shared" si="61"/>
        <v>156631.29581923853</v>
      </c>
      <c r="Q100" s="64">
        <f t="shared" si="61"/>
        <v>154191.49770343018</v>
      </c>
      <c r="R100" s="64">
        <f t="shared" si="61"/>
        <v>168235.28458524181</v>
      </c>
      <c r="S100" s="64">
        <f t="shared" si="61"/>
        <v>152917.07845627659</v>
      </c>
      <c r="T100" s="64">
        <f t="shared" si="61"/>
        <v>147197.57676776481</v>
      </c>
      <c r="U100" s="64">
        <f t="shared" si="61"/>
        <v>142676.73418606425</v>
      </c>
      <c r="V100" s="64">
        <f t="shared" si="61"/>
        <v>135548.61851309545</v>
      </c>
      <c r="W100" s="64">
        <f t="shared" si="61"/>
        <v>152127.68389005295</v>
      </c>
      <c r="DA100" s="108"/>
    </row>
    <row r="101" spans="1:105" ht="12" customHeight="1" x14ac:dyDescent="0.25">
      <c r="A101" s="61" t="s">
        <v>32</v>
      </c>
      <c r="B101" s="65">
        <f t="shared" si="59"/>
        <v>110779.92151127616</v>
      </c>
      <c r="C101" s="65">
        <f t="shared" ref="C101:W101" si="62">C49*11630*1000/C$8</f>
        <v>121140.56790705513</v>
      </c>
      <c r="D101" s="65">
        <f t="shared" si="62"/>
        <v>139604.31522819362</v>
      </c>
      <c r="E101" s="65">
        <f t="shared" si="62"/>
        <v>139099.96660686273</v>
      </c>
      <c r="F101" s="65">
        <f t="shared" si="62"/>
        <v>144645.92811963931</v>
      </c>
      <c r="G101" s="65">
        <f t="shared" si="62"/>
        <v>137386.55704467915</v>
      </c>
      <c r="H101" s="65">
        <f t="shared" si="62"/>
        <v>150494.09101574228</v>
      </c>
      <c r="I101" s="65">
        <f t="shared" si="62"/>
        <v>127065.82678615063</v>
      </c>
      <c r="J101" s="65">
        <f t="shared" si="62"/>
        <v>143779.61031951508</v>
      </c>
      <c r="K101" s="65">
        <f t="shared" si="62"/>
        <v>138542.37318941919</v>
      </c>
      <c r="L101" s="65">
        <f t="shared" si="62"/>
        <v>160229.30972140763</v>
      </c>
      <c r="M101" s="65">
        <f t="shared" si="62"/>
        <v>141818.46328031685</v>
      </c>
      <c r="N101" s="65">
        <f t="shared" si="62"/>
        <v>134757.00257246898</v>
      </c>
      <c r="O101" s="65">
        <f t="shared" si="62"/>
        <v>124418.45172723966</v>
      </c>
      <c r="P101" s="65">
        <f t="shared" si="62"/>
        <v>110842.87127271574</v>
      </c>
      <c r="Q101" s="65">
        <f t="shared" si="62"/>
        <v>108250.29081886147</v>
      </c>
      <c r="R101" s="65">
        <f t="shared" si="62"/>
        <v>122592.90636251627</v>
      </c>
      <c r="S101" s="65">
        <f t="shared" si="62"/>
        <v>108857.51936389969</v>
      </c>
      <c r="T101" s="65">
        <f t="shared" si="62"/>
        <v>104085.67949421905</v>
      </c>
      <c r="U101" s="65">
        <f t="shared" si="62"/>
        <v>100261.63603655252</v>
      </c>
      <c r="V101" s="65">
        <f t="shared" si="62"/>
        <v>96783.040453500216</v>
      </c>
      <c r="W101" s="65">
        <f t="shared" si="62"/>
        <v>111622.50013895673</v>
      </c>
      <c r="DA101" s="109"/>
    </row>
    <row r="102" spans="1:105" ht="12" customHeight="1" x14ac:dyDescent="0.25">
      <c r="A102" s="61" t="s">
        <v>31</v>
      </c>
      <c r="B102" s="65">
        <f t="shared" si="59"/>
        <v>743.51642249368308</v>
      </c>
      <c r="C102" s="65">
        <f t="shared" ref="C102:W102" si="63">C50*11630*1000/C$8</f>
        <v>737.9065518534527</v>
      </c>
      <c r="D102" s="65">
        <f t="shared" si="63"/>
        <v>763.12579723652652</v>
      </c>
      <c r="E102" s="65">
        <f t="shared" si="63"/>
        <v>757.67675495960066</v>
      </c>
      <c r="F102" s="65">
        <f t="shared" si="63"/>
        <v>779.17283670880261</v>
      </c>
      <c r="G102" s="65">
        <f t="shared" si="63"/>
        <v>818.42033547885126</v>
      </c>
      <c r="H102" s="65">
        <f t="shared" si="63"/>
        <v>906.64711714993678</v>
      </c>
      <c r="I102" s="65">
        <f t="shared" si="63"/>
        <v>933.0809003257383</v>
      </c>
      <c r="J102" s="65">
        <f t="shared" si="63"/>
        <v>950.97714598849097</v>
      </c>
      <c r="K102" s="65">
        <f t="shared" si="63"/>
        <v>1015.8093076021856</v>
      </c>
      <c r="L102" s="65">
        <f t="shared" si="63"/>
        <v>1212.6819019358556</v>
      </c>
      <c r="M102" s="65">
        <f t="shared" si="63"/>
        <v>1097.3063677966247</v>
      </c>
      <c r="N102" s="65">
        <f t="shared" si="63"/>
        <v>1161.5365976839275</v>
      </c>
      <c r="O102" s="65">
        <f t="shared" si="63"/>
        <v>1151.9332458906251</v>
      </c>
      <c r="P102" s="65">
        <f t="shared" si="63"/>
        <v>1115.6094772505644</v>
      </c>
      <c r="Q102" s="65">
        <f t="shared" si="63"/>
        <v>1270.1832662311208</v>
      </c>
      <c r="R102" s="65">
        <f t="shared" si="63"/>
        <v>1067.6974998250134</v>
      </c>
      <c r="S102" s="65">
        <f t="shared" si="63"/>
        <v>1041.9265571670571</v>
      </c>
      <c r="T102" s="65">
        <f t="shared" si="63"/>
        <v>1053.7134601365397</v>
      </c>
      <c r="U102" s="65">
        <f t="shared" si="63"/>
        <v>1130.0888867432261</v>
      </c>
      <c r="V102" s="65">
        <f t="shared" si="63"/>
        <v>963.35199835122091</v>
      </c>
      <c r="W102" s="65">
        <f t="shared" si="63"/>
        <v>1005.0914255985309</v>
      </c>
      <c r="DA102" s="109"/>
    </row>
    <row r="103" spans="1:105" ht="12" customHeight="1" x14ac:dyDescent="0.25">
      <c r="A103" s="61" t="s">
        <v>35</v>
      </c>
      <c r="B103" s="65">
        <f t="shared" si="59"/>
        <v>12836.818937900056</v>
      </c>
      <c r="C103" s="65">
        <f t="shared" ref="C103:W103" si="64">C51*11630*1000/C$8</f>
        <v>14136.137030620614</v>
      </c>
      <c r="D103" s="65">
        <f t="shared" si="64"/>
        <v>16985.855119104515</v>
      </c>
      <c r="E103" s="65">
        <f t="shared" si="64"/>
        <v>18267.500182182448</v>
      </c>
      <c r="F103" s="65">
        <f t="shared" si="64"/>
        <v>19264.14753106482</v>
      </c>
      <c r="G103" s="65">
        <f t="shared" si="64"/>
        <v>19273.921728090547</v>
      </c>
      <c r="H103" s="65">
        <f t="shared" si="64"/>
        <v>20226.974683996828</v>
      </c>
      <c r="I103" s="65">
        <f t="shared" si="64"/>
        <v>21328.829566589742</v>
      </c>
      <c r="J103" s="65">
        <f t="shared" si="64"/>
        <v>21783.765792942519</v>
      </c>
      <c r="K103" s="65">
        <f t="shared" si="64"/>
        <v>21719.238736235697</v>
      </c>
      <c r="L103" s="65">
        <f t="shared" si="64"/>
        <v>21806.575415002593</v>
      </c>
      <c r="M103" s="65">
        <f t="shared" si="64"/>
        <v>21669.002138768647</v>
      </c>
      <c r="N103" s="65">
        <f t="shared" si="64"/>
        <v>21790.919849572823</v>
      </c>
      <c r="O103" s="65">
        <f t="shared" si="64"/>
        <v>22046.354730338295</v>
      </c>
      <c r="P103" s="65">
        <f t="shared" si="64"/>
        <v>21836.418365675421</v>
      </c>
      <c r="Q103" s="65">
        <f t="shared" si="64"/>
        <v>21974.68742183776</v>
      </c>
      <c r="R103" s="65">
        <f t="shared" si="64"/>
        <v>22138.185077800761</v>
      </c>
      <c r="S103" s="65">
        <f t="shared" si="64"/>
        <v>21319.557749186293</v>
      </c>
      <c r="T103" s="65">
        <f t="shared" si="64"/>
        <v>20531.399000118188</v>
      </c>
      <c r="U103" s="65">
        <f t="shared" si="64"/>
        <v>19972.611455541617</v>
      </c>
      <c r="V103" s="65">
        <f t="shared" si="64"/>
        <v>18197.360781712097</v>
      </c>
      <c r="W103" s="65">
        <f t="shared" si="64"/>
        <v>19464.066543286182</v>
      </c>
      <c r="DA103" s="109"/>
    </row>
    <row r="104" spans="1:105" ht="12" customHeight="1" x14ac:dyDescent="0.25">
      <c r="A104" s="66" t="s">
        <v>34</v>
      </c>
      <c r="B104" s="67">
        <f t="shared" si="59"/>
        <v>14733.773848366154</v>
      </c>
      <c r="C104" s="67">
        <f t="shared" ref="C104:W104" si="65">C52*11630*1000/C$8</f>
        <v>17188.359297836188</v>
      </c>
      <c r="D104" s="67">
        <f t="shared" si="65"/>
        <v>19567.957912085276</v>
      </c>
      <c r="E104" s="67">
        <f t="shared" si="65"/>
        <v>21703.574602410841</v>
      </c>
      <c r="F104" s="67">
        <f t="shared" si="65"/>
        <v>21893.311723063074</v>
      </c>
      <c r="G104" s="67">
        <f t="shared" si="65"/>
        <v>22229.000776441779</v>
      </c>
      <c r="H104" s="67">
        <f t="shared" si="65"/>
        <v>22632.38601896133</v>
      </c>
      <c r="I104" s="67">
        <f t="shared" si="65"/>
        <v>23443.200939038841</v>
      </c>
      <c r="J104" s="67">
        <f t="shared" si="65"/>
        <v>23697.684836225792</v>
      </c>
      <c r="K104" s="67">
        <f t="shared" si="65"/>
        <v>23056.644167087601</v>
      </c>
      <c r="L104" s="67">
        <f t="shared" si="65"/>
        <v>23310.779611488844</v>
      </c>
      <c r="M104" s="67">
        <f t="shared" si="65"/>
        <v>23367.858336305995</v>
      </c>
      <c r="N104" s="67">
        <f t="shared" si="65"/>
        <v>23069.017486644014</v>
      </c>
      <c r="O104" s="67">
        <f t="shared" si="65"/>
        <v>23046.075790457686</v>
      </c>
      <c r="P104" s="67">
        <f t="shared" si="65"/>
        <v>22836.396703596802</v>
      </c>
      <c r="Q104" s="67">
        <f t="shared" si="65"/>
        <v>22696.33619649984</v>
      </c>
      <c r="R104" s="67">
        <f t="shared" si="65"/>
        <v>22436.495645099756</v>
      </c>
      <c r="S104" s="67">
        <f t="shared" si="65"/>
        <v>21698.074786023539</v>
      </c>
      <c r="T104" s="67">
        <f t="shared" si="65"/>
        <v>21526.784813291019</v>
      </c>
      <c r="U104" s="67">
        <f t="shared" si="65"/>
        <v>21312.397807226887</v>
      </c>
      <c r="V104" s="67">
        <f t="shared" si="65"/>
        <v>19604.865279531921</v>
      </c>
      <c r="W104" s="67">
        <f t="shared" si="65"/>
        <v>20036.025782211516</v>
      </c>
      <c r="DA104" s="110"/>
    </row>
    <row r="105" spans="1:105" ht="12" customHeight="1" x14ac:dyDescent="0.25">
      <c r="A105" s="78" t="s">
        <v>33</v>
      </c>
      <c r="B105" s="68">
        <f t="shared" si="59"/>
        <v>43050.984128216915</v>
      </c>
      <c r="C105" s="68">
        <f t="shared" ref="C105:W105" si="66">C53*11630*1000/C$8</f>
        <v>44747.885931492972</v>
      </c>
      <c r="D105" s="68">
        <f t="shared" si="66"/>
        <v>46405.302281415694</v>
      </c>
      <c r="E105" s="68">
        <f t="shared" si="66"/>
        <v>47697.406901259768</v>
      </c>
      <c r="F105" s="68">
        <f t="shared" si="66"/>
        <v>49238.270205095549</v>
      </c>
      <c r="G105" s="68">
        <f t="shared" si="66"/>
        <v>50835.999622473268</v>
      </c>
      <c r="H105" s="68">
        <f t="shared" si="66"/>
        <v>51928.950096906061</v>
      </c>
      <c r="I105" s="68">
        <f t="shared" si="66"/>
        <v>52573.678025242523</v>
      </c>
      <c r="J105" s="68">
        <f t="shared" si="66"/>
        <v>53362.809587841453</v>
      </c>
      <c r="K105" s="68">
        <f t="shared" si="66"/>
        <v>53761.819027590536</v>
      </c>
      <c r="L105" s="68">
        <f t="shared" si="66"/>
        <v>54747.651704660297</v>
      </c>
      <c r="M105" s="68">
        <f t="shared" si="66"/>
        <v>55025.968034891986</v>
      </c>
      <c r="N105" s="68">
        <f t="shared" si="66"/>
        <v>55521.998009469848</v>
      </c>
      <c r="O105" s="68">
        <f t="shared" si="66"/>
        <v>56129.11906804805</v>
      </c>
      <c r="P105" s="68">
        <f t="shared" si="66"/>
        <v>57176.619248440933</v>
      </c>
      <c r="Q105" s="68">
        <f t="shared" si="66"/>
        <v>58423.209967011389</v>
      </c>
      <c r="R105" s="68">
        <f t="shared" si="66"/>
        <v>58812.933123700808</v>
      </c>
      <c r="S105" s="68">
        <f t="shared" si="66"/>
        <v>57588.77176050697</v>
      </c>
      <c r="T105" s="68">
        <f t="shared" si="66"/>
        <v>56303.721798948151</v>
      </c>
      <c r="U105" s="68">
        <f t="shared" si="66"/>
        <v>54302.29124216285</v>
      </c>
      <c r="V105" s="68">
        <f t="shared" si="66"/>
        <v>52263.276200049528</v>
      </c>
      <c r="W105" s="68">
        <f t="shared" si="66"/>
        <v>53262.0676364256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85146.996621212355</v>
      </c>
      <c r="C107" s="85">
        <f t="shared" ref="C107:W107" si="68">SUM(C108:C111)</f>
        <v>94609.95955419504</v>
      </c>
      <c r="D107" s="85">
        <f t="shared" si="68"/>
        <v>109201.24778128974</v>
      </c>
      <c r="E107" s="85">
        <f t="shared" si="68"/>
        <v>111590.97705989231</v>
      </c>
      <c r="F107" s="85">
        <f t="shared" si="68"/>
        <v>119007.83357278829</v>
      </c>
      <c r="G107" s="85">
        <f t="shared" si="68"/>
        <v>115973.52133419611</v>
      </c>
      <c r="H107" s="85">
        <f t="shared" si="68"/>
        <v>127536.82811903767</v>
      </c>
      <c r="I107" s="85">
        <f t="shared" si="68"/>
        <v>113502.68659499838</v>
      </c>
      <c r="J107" s="85">
        <f t="shared" si="68"/>
        <v>128189.2335783201</v>
      </c>
      <c r="K107" s="85">
        <f t="shared" si="68"/>
        <v>124941.48819315246</v>
      </c>
      <c r="L107" s="85">
        <f t="shared" si="68"/>
        <v>141268.03525997666</v>
      </c>
      <c r="M107" s="85">
        <f t="shared" si="68"/>
        <v>130050.53301253391</v>
      </c>
      <c r="N107" s="85">
        <f t="shared" si="68"/>
        <v>127572.44593882533</v>
      </c>
      <c r="O107" s="85">
        <f t="shared" si="68"/>
        <v>122476.57353320411</v>
      </c>
      <c r="P107" s="85">
        <f t="shared" si="68"/>
        <v>113577.69651954673</v>
      </c>
      <c r="Q107" s="85">
        <f t="shared" si="68"/>
        <v>112597.05943509794</v>
      </c>
      <c r="R107" s="85">
        <f t="shared" si="68"/>
        <v>123592.30824794126</v>
      </c>
      <c r="S107" s="85">
        <f t="shared" si="68"/>
        <v>114516.19428906706</v>
      </c>
      <c r="T107" s="85">
        <f t="shared" si="68"/>
        <v>111777.60561659375</v>
      </c>
      <c r="U107" s="85">
        <f t="shared" si="68"/>
        <v>110522.58487250723</v>
      </c>
      <c r="V107" s="85">
        <f t="shared" si="68"/>
        <v>106389.13215678994</v>
      </c>
      <c r="W107" s="85">
        <f t="shared" si="68"/>
        <v>119485.69282523374</v>
      </c>
      <c r="DA107" s="117"/>
    </row>
    <row r="108" spans="1:105" ht="12" customHeight="1" x14ac:dyDescent="0.25">
      <c r="A108" s="61" t="s">
        <v>32</v>
      </c>
      <c r="B108" s="65">
        <v>65119.49266760303</v>
      </c>
      <c r="C108" s="65">
        <v>72062.461368551609</v>
      </c>
      <c r="D108" s="65">
        <v>82967.800280323921</v>
      </c>
      <c r="E108" s="65">
        <v>83106.832527047402</v>
      </c>
      <c r="F108" s="65">
        <v>89370.866111378316</v>
      </c>
      <c r="G108" s="65">
        <v>85799.126886934886</v>
      </c>
      <c r="H108" s="65">
        <v>96060.73578733069</v>
      </c>
      <c r="I108" s="65">
        <v>80312.095316380408</v>
      </c>
      <c r="J108" s="65">
        <v>94100.421748279681</v>
      </c>
      <c r="K108" s="65">
        <v>90906.158519351855</v>
      </c>
      <c r="L108" s="65">
        <v>106246.06809685208</v>
      </c>
      <c r="M108" s="65">
        <v>95279.25224552014</v>
      </c>
      <c r="N108" s="65">
        <v>92645.039612868088</v>
      </c>
      <c r="O108" s="65">
        <v>87062.332933653204</v>
      </c>
      <c r="P108" s="65">
        <v>78317.608495936453</v>
      </c>
      <c r="Q108" s="65">
        <v>76609.920526929651</v>
      </c>
      <c r="R108" s="65">
        <v>87896.758805500926</v>
      </c>
      <c r="S108" s="65">
        <v>79411.384915367482</v>
      </c>
      <c r="T108" s="65">
        <v>76815.346196569051</v>
      </c>
      <c r="U108" s="65">
        <v>75368.125247554184</v>
      </c>
      <c r="V108" s="65">
        <v>73763.963417577877</v>
      </c>
      <c r="W108" s="65">
        <v>85347.842881288394</v>
      </c>
      <c r="DA108" s="109"/>
    </row>
    <row r="109" spans="1:105" ht="12" customHeight="1" x14ac:dyDescent="0.25">
      <c r="A109" s="61" t="s">
        <v>31</v>
      </c>
      <c r="B109" s="65">
        <v>1364.6996122887556</v>
      </c>
      <c r="C109" s="65">
        <v>1393.5730559457706</v>
      </c>
      <c r="D109" s="65">
        <v>1499.4324441238073</v>
      </c>
      <c r="E109" s="65">
        <v>1554.6172941531368</v>
      </c>
      <c r="F109" s="65">
        <v>1680.1957302824405</v>
      </c>
      <c r="G109" s="65">
        <v>1854.4819872111032</v>
      </c>
      <c r="H109" s="65">
        <v>2163.0944181635859</v>
      </c>
      <c r="I109" s="65">
        <v>2344.3270565550201</v>
      </c>
      <c r="J109" s="65">
        <v>2503.7323080473288</v>
      </c>
      <c r="K109" s="65">
        <v>2720.510246992726</v>
      </c>
      <c r="L109" s="65">
        <v>3308.5386992441563</v>
      </c>
      <c r="M109" s="65">
        <v>3067.4223017864301</v>
      </c>
      <c r="N109" s="65">
        <v>3331.7398632288719</v>
      </c>
      <c r="O109" s="65">
        <v>3389.5129587357133</v>
      </c>
      <c r="P109" s="65">
        <v>3384.5375249439185</v>
      </c>
      <c r="Q109" s="65">
        <v>3988.6152772404548</v>
      </c>
      <c r="R109" s="65">
        <v>3454.8458304411392</v>
      </c>
      <c r="S109" s="65">
        <v>3480.933971442747</v>
      </c>
      <c r="T109" s="65">
        <v>3628.1057469415832</v>
      </c>
      <c r="U109" s="65">
        <v>3994.5787179810077</v>
      </c>
      <c r="V109" s="65">
        <v>3483.1959306482854</v>
      </c>
      <c r="W109" s="65">
        <v>3721.3094253140548</v>
      </c>
      <c r="DA109" s="109"/>
    </row>
    <row r="110" spans="1:105" ht="12" customHeight="1" x14ac:dyDescent="0.25">
      <c r="A110" s="61" t="s">
        <v>35</v>
      </c>
      <c r="B110" s="65">
        <v>7968.9306257488379</v>
      </c>
      <c r="C110" s="65">
        <v>8753.2141975129889</v>
      </c>
      <c r="D110" s="65">
        <v>10610.09226167415</v>
      </c>
      <c r="E110" s="65">
        <v>11330.559719976491</v>
      </c>
      <c r="F110" s="65">
        <v>12182.092116283933</v>
      </c>
      <c r="G110" s="65">
        <v>12325.58288206663</v>
      </c>
      <c r="H110" s="65">
        <v>13021.802406487415</v>
      </c>
      <c r="I110" s="65">
        <v>13870.692861035443</v>
      </c>
      <c r="J110" s="65">
        <v>14297.347838503008</v>
      </c>
      <c r="K110" s="65">
        <v>14397.439700429248</v>
      </c>
      <c r="L110" s="65">
        <v>14526.405945890121</v>
      </c>
      <c r="M110" s="65">
        <v>14582.59687124351</v>
      </c>
      <c r="N110" s="65">
        <v>14792.143048675902</v>
      </c>
      <c r="O110" s="65">
        <v>15236.812663293895</v>
      </c>
      <c r="P110" s="65">
        <v>15165.684256625134</v>
      </c>
      <c r="Q110" s="65">
        <v>15398.164003381376</v>
      </c>
      <c r="R110" s="65">
        <v>15709.509109068505</v>
      </c>
      <c r="S110" s="65">
        <v>15495.221738409666</v>
      </c>
      <c r="T110" s="65">
        <v>15151.440852334581</v>
      </c>
      <c r="U110" s="65">
        <v>15057.929982929207</v>
      </c>
      <c r="V110" s="65">
        <v>14030.523036699713</v>
      </c>
      <c r="W110" s="65">
        <v>15192.684836039401</v>
      </c>
      <c r="DA110" s="109"/>
    </row>
    <row r="111" spans="1:105" ht="12" customHeight="1" x14ac:dyDescent="0.25">
      <c r="A111" s="74" t="s">
        <v>34</v>
      </c>
      <c r="B111" s="68">
        <v>10693.873715571737</v>
      </c>
      <c r="C111" s="68">
        <v>12400.710932184666</v>
      </c>
      <c r="D111" s="68">
        <v>14123.922795167859</v>
      </c>
      <c r="E111" s="68">
        <v>15598.967518715275</v>
      </c>
      <c r="F111" s="68">
        <v>15774.679614843601</v>
      </c>
      <c r="G111" s="68">
        <v>15994.329577983484</v>
      </c>
      <c r="H111" s="68">
        <v>16291.195507055972</v>
      </c>
      <c r="I111" s="68">
        <v>16975.571361027509</v>
      </c>
      <c r="J111" s="68">
        <v>17287.731683490088</v>
      </c>
      <c r="K111" s="68">
        <v>16917.379726378636</v>
      </c>
      <c r="L111" s="68">
        <v>17187.02251799031</v>
      </c>
      <c r="M111" s="68">
        <v>17121.261593983822</v>
      </c>
      <c r="N111" s="68">
        <v>16803.523414052474</v>
      </c>
      <c r="O111" s="68">
        <v>16787.914977521305</v>
      </c>
      <c r="P111" s="68">
        <v>16709.866242041233</v>
      </c>
      <c r="Q111" s="68">
        <v>16600.359627546459</v>
      </c>
      <c r="R111" s="68">
        <v>16531.194502930688</v>
      </c>
      <c r="S111" s="68">
        <v>16128.653663847157</v>
      </c>
      <c r="T111" s="68">
        <v>16182.712820748542</v>
      </c>
      <c r="U111" s="68">
        <v>16101.950924042811</v>
      </c>
      <c r="V111" s="68">
        <v>15111.44977186407</v>
      </c>
      <c r="W111" s="68">
        <v>15223.855682591886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17554.962751075695</v>
      </c>
      <c r="C113" s="82">
        <f t="shared" ref="C113:W113" si="70">C81*1000000/C$8</f>
        <v>19138.726880369457</v>
      </c>
      <c r="D113" s="82">
        <f t="shared" si="70"/>
        <v>25327.980352678107</v>
      </c>
      <c r="E113" s="82">
        <f t="shared" si="70"/>
        <v>26127.728712489319</v>
      </c>
      <c r="F113" s="82">
        <f t="shared" si="70"/>
        <v>24699.058945322111</v>
      </c>
      <c r="G113" s="82">
        <f t="shared" si="70"/>
        <v>23024.829233157237</v>
      </c>
      <c r="H113" s="82">
        <f t="shared" si="70"/>
        <v>24729.775742267389</v>
      </c>
      <c r="I113" s="82">
        <f t="shared" si="70"/>
        <v>22799.883374707664</v>
      </c>
      <c r="J113" s="82">
        <f t="shared" si="70"/>
        <v>23462.955047265033</v>
      </c>
      <c r="K113" s="82">
        <f t="shared" si="70"/>
        <v>23771.251180343104</v>
      </c>
      <c r="L113" s="82">
        <f t="shared" si="70"/>
        <v>26960.030871277268</v>
      </c>
      <c r="M113" s="82">
        <f t="shared" si="70"/>
        <v>24134.018027056853</v>
      </c>
      <c r="N113" s="82">
        <f t="shared" si="70"/>
        <v>22889.742709880284</v>
      </c>
      <c r="O113" s="82">
        <f t="shared" si="70"/>
        <v>20980.884261144896</v>
      </c>
      <c r="P113" s="82">
        <f t="shared" si="70"/>
        <v>18361.706566533645</v>
      </c>
      <c r="Q113" s="82">
        <f t="shared" si="70"/>
        <v>18470.648348615552</v>
      </c>
      <c r="R113" s="82">
        <f t="shared" si="70"/>
        <v>19730.589107718588</v>
      </c>
      <c r="S113" s="82">
        <f t="shared" si="70"/>
        <v>16767.448963001076</v>
      </c>
      <c r="T113" s="82">
        <f t="shared" si="70"/>
        <v>15430.536477628251</v>
      </c>
      <c r="U113" s="82">
        <f t="shared" si="70"/>
        <v>13881.016043640609</v>
      </c>
      <c r="V113" s="82">
        <f t="shared" si="70"/>
        <v>12817.785075082758</v>
      </c>
      <c r="W113" s="82">
        <f t="shared" si="70"/>
        <v>16247.194908589092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17554.962751075695</v>
      </c>
      <c r="C114" s="64">
        <f t="shared" ref="C114:W114" si="72">C82*1000000/C$8</f>
        <v>19138.726880369457</v>
      </c>
      <c r="D114" s="64">
        <f t="shared" si="72"/>
        <v>25327.980352678107</v>
      </c>
      <c r="E114" s="64">
        <f t="shared" si="72"/>
        <v>26127.728712489319</v>
      </c>
      <c r="F114" s="64">
        <f t="shared" si="72"/>
        <v>24699.058945322111</v>
      </c>
      <c r="G114" s="64">
        <f t="shared" si="72"/>
        <v>23024.829233157237</v>
      </c>
      <c r="H114" s="64">
        <f t="shared" si="72"/>
        <v>24729.775742267389</v>
      </c>
      <c r="I114" s="64">
        <f t="shared" si="72"/>
        <v>22799.883374707664</v>
      </c>
      <c r="J114" s="64">
        <f t="shared" si="72"/>
        <v>23462.955047265033</v>
      </c>
      <c r="K114" s="64">
        <f t="shared" si="72"/>
        <v>23771.251180343104</v>
      </c>
      <c r="L114" s="64">
        <f t="shared" si="72"/>
        <v>26960.030871277268</v>
      </c>
      <c r="M114" s="64">
        <f t="shared" si="72"/>
        <v>24134.018027056853</v>
      </c>
      <c r="N114" s="64">
        <f t="shared" si="72"/>
        <v>22889.742709880284</v>
      </c>
      <c r="O114" s="64">
        <f t="shared" si="72"/>
        <v>20980.884261144896</v>
      </c>
      <c r="P114" s="64">
        <f t="shared" si="72"/>
        <v>18361.706566533645</v>
      </c>
      <c r="Q114" s="64">
        <f t="shared" si="72"/>
        <v>18470.648348615552</v>
      </c>
      <c r="R114" s="64">
        <f t="shared" si="72"/>
        <v>19730.589107718588</v>
      </c>
      <c r="S114" s="64">
        <f t="shared" si="72"/>
        <v>16767.448963001076</v>
      </c>
      <c r="T114" s="64">
        <f t="shared" si="72"/>
        <v>15430.536477628251</v>
      </c>
      <c r="U114" s="64">
        <f t="shared" si="72"/>
        <v>13881.016043640609</v>
      </c>
      <c r="V114" s="64">
        <f t="shared" si="72"/>
        <v>12817.785075082758</v>
      </c>
      <c r="W114" s="64">
        <f t="shared" si="72"/>
        <v>16247.194908589092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15852.380282315113</v>
      </c>
      <c r="C115" s="65">
        <f t="shared" ref="C115:W115" si="74">C83*1000000/C$8</f>
        <v>16881.752555408468</v>
      </c>
      <c r="D115" s="65">
        <f t="shared" si="74"/>
        <v>22690.589951824259</v>
      </c>
      <c r="E115" s="65">
        <f t="shared" si="74"/>
        <v>22787.815386870938</v>
      </c>
      <c r="F115" s="65">
        <f t="shared" si="74"/>
        <v>21461.82934358226</v>
      </c>
      <c r="G115" s="65">
        <f t="shared" si="74"/>
        <v>19812.671688266422</v>
      </c>
      <c r="H115" s="65">
        <f t="shared" si="74"/>
        <v>21417.166156528809</v>
      </c>
      <c r="I115" s="65">
        <f t="shared" si="74"/>
        <v>19473.476263049422</v>
      </c>
      <c r="J115" s="65">
        <f t="shared" si="74"/>
        <v>20209.507652919823</v>
      </c>
      <c r="K115" s="65">
        <f t="shared" si="74"/>
        <v>20660.289427623895</v>
      </c>
      <c r="L115" s="65">
        <f t="shared" si="74"/>
        <v>23770.548621837323</v>
      </c>
      <c r="M115" s="65">
        <f t="shared" si="74"/>
        <v>20863.915590525736</v>
      </c>
      <c r="N115" s="65">
        <f t="shared" si="74"/>
        <v>19439.944454445074</v>
      </c>
      <c r="O115" s="65">
        <f t="shared" si="74"/>
        <v>17665.738337580522</v>
      </c>
      <c r="P115" s="65">
        <f t="shared" si="74"/>
        <v>15092.492549680959</v>
      </c>
      <c r="Q115" s="65">
        <f t="shared" si="74"/>
        <v>15180.73793197401</v>
      </c>
      <c r="R115" s="65">
        <f t="shared" si="74"/>
        <v>16487.726296730601</v>
      </c>
      <c r="S115" s="65">
        <f t="shared" si="74"/>
        <v>13896.051666279589</v>
      </c>
      <c r="T115" s="65">
        <f t="shared" si="74"/>
        <v>12859.290440854347</v>
      </c>
      <c r="U115" s="65">
        <f t="shared" si="74"/>
        <v>11446.826072952967</v>
      </c>
      <c r="V115" s="65">
        <f t="shared" si="74"/>
        <v>10808.742708023061</v>
      </c>
      <c r="W115" s="65">
        <f t="shared" si="74"/>
        <v>13707.42242966821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0.32450629510213291</v>
      </c>
      <c r="C116" s="65">
        <f t="shared" ref="C116:W116" si="76">C84*1000000/C$8</f>
        <v>0.34834376089175079</v>
      </c>
      <c r="D116" s="65">
        <f t="shared" si="76"/>
        <v>0.40617750418740556</v>
      </c>
      <c r="E116" s="65">
        <f t="shared" si="76"/>
        <v>0.44613115095833594</v>
      </c>
      <c r="F116" s="65">
        <f t="shared" si="76"/>
        <v>0.53349364971840785</v>
      </c>
      <c r="G116" s="65">
        <f t="shared" si="76"/>
        <v>0.63258503170906577</v>
      </c>
      <c r="H116" s="65">
        <f t="shared" si="76"/>
        <v>0.7459220170462173</v>
      </c>
      <c r="I116" s="65">
        <f t="shared" si="76"/>
        <v>0.86766891639983146</v>
      </c>
      <c r="J116" s="65">
        <f t="shared" si="76"/>
        <v>0.93279669933238563</v>
      </c>
      <c r="K116" s="65">
        <f t="shared" si="76"/>
        <v>1.0354322871065318</v>
      </c>
      <c r="L116" s="65">
        <f t="shared" si="76"/>
        <v>1.2429591162704849</v>
      </c>
      <c r="M116" s="65">
        <f t="shared" si="76"/>
        <v>1.259409592127257</v>
      </c>
      <c r="N116" s="65">
        <f t="shared" si="76"/>
        <v>1.4801121796142391</v>
      </c>
      <c r="O116" s="65">
        <f t="shared" si="76"/>
        <v>1.8103650842758399</v>
      </c>
      <c r="P116" s="65">
        <f t="shared" si="76"/>
        <v>2.3297471665915936</v>
      </c>
      <c r="Q116" s="65">
        <f t="shared" si="76"/>
        <v>3.1869955419656741</v>
      </c>
      <c r="R116" s="65">
        <f t="shared" si="76"/>
        <v>4.0094433524569313</v>
      </c>
      <c r="S116" s="65">
        <f t="shared" si="76"/>
        <v>4.6889484322891155</v>
      </c>
      <c r="T116" s="65">
        <f t="shared" si="76"/>
        <v>5.257503807967705</v>
      </c>
      <c r="U116" s="65">
        <f t="shared" si="76"/>
        <v>5.9947411879985628</v>
      </c>
      <c r="V116" s="65">
        <f t="shared" si="76"/>
        <v>5.1180551258937124</v>
      </c>
      <c r="W116" s="65">
        <f t="shared" si="76"/>
        <v>5.4535812321456199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1039.4835663595297</v>
      </c>
      <c r="C117" s="65">
        <f t="shared" ref="C117:W117" si="78">C85*1000000/C$8</f>
        <v>1367.0995107232577</v>
      </c>
      <c r="D117" s="65">
        <f t="shared" si="78"/>
        <v>1595.5816774060829</v>
      </c>
      <c r="E117" s="65">
        <f t="shared" si="78"/>
        <v>2056.3150366021168</v>
      </c>
      <c r="F117" s="65">
        <f t="shared" si="78"/>
        <v>1949.8076585773051</v>
      </c>
      <c r="G117" s="65">
        <f t="shared" si="78"/>
        <v>1839.5364686787134</v>
      </c>
      <c r="H117" s="65">
        <f t="shared" si="78"/>
        <v>1868.1692975503342</v>
      </c>
      <c r="I117" s="65">
        <f t="shared" si="78"/>
        <v>1881.255442074427</v>
      </c>
      <c r="J117" s="65">
        <f t="shared" si="78"/>
        <v>1881.3704813524787</v>
      </c>
      <c r="K117" s="65">
        <f t="shared" si="78"/>
        <v>1827.1397719127831</v>
      </c>
      <c r="L117" s="65">
        <f t="shared" si="78"/>
        <v>1944.5943855296616</v>
      </c>
      <c r="M117" s="65">
        <f t="shared" si="78"/>
        <v>1898.0495198132796</v>
      </c>
      <c r="N117" s="65">
        <f t="shared" si="78"/>
        <v>1974.5918615226117</v>
      </c>
      <c r="O117" s="65">
        <f t="shared" si="78"/>
        <v>1810.6613318317152</v>
      </c>
      <c r="P117" s="65">
        <f t="shared" si="78"/>
        <v>1816.8806786356142</v>
      </c>
      <c r="Q117" s="65">
        <f t="shared" si="78"/>
        <v>1784.9749238496531</v>
      </c>
      <c r="R117" s="65">
        <f t="shared" si="78"/>
        <v>1800.3963276246709</v>
      </c>
      <c r="S117" s="65">
        <f t="shared" si="78"/>
        <v>1528.2444539392211</v>
      </c>
      <c r="T117" s="65">
        <f t="shared" si="78"/>
        <v>1301.3313669297249</v>
      </c>
      <c r="U117" s="65">
        <f t="shared" si="78"/>
        <v>1132.3309098236398</v>
      </c>
      <c r="V117" s="65">
        <f t="shared" si="78"/>
        <v>977.70207670951993</v>
      </c>
      <c r="W117" s="65">
        <f t="shared" si="78"/>
        <v>1172.1222224950163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662.77439610595013</v>
      </c>
      <c r="C118" s="67">
        <f t="shared" ref="C118:W118" si="80">C86*1000000/C$8</f>
        <v>889.52647047684218</v>
      </c>
      <c r="D118" s="67">
        <f t="shared" si="80"/>
        <v>1041.4025459435763</v>
      </c>
      <c r="E118" s="67">
        <f t="shared" si="80"/>
        <v>1283.1521578653026</v>
      </c>
      <c r="F118" s="67">
        <f t="shared" si="80"/>
        <v>1286.8884495128241</v>
      </c>
      <c r="G118" s="67">
        <f t="shared" si="80"/>
        <v>1371.9884911803981</v>
      </c>
      <c r="H118" s="67">
        <f t="shared" si="80"/>
        <v>1443.6943661712044</v>
      </c>
      <c r="I118" s="67">
        <f t="shared" si="80"/>
        <v>1444.2840006674151</v>
      </c>
      <c r="J118" s="67">
        <f t="shared" si="80"/>
        <v>1371.1441162933995</v>
      </c>
      <c r="K118" s="67">
        <f t="shared" si="80"/>
        <v>1282.786548519317</v>
      </c>
      <c r="L118" s="67">
        <f t="shared" si="80"/>
        <v>1243.6449047940143</v>
      </c>
      <c r="M118" s="67">
        <f t="shared" si="80"/>
        <v>1370.7935071257086</v>
      </c>
      <c r="N118" s="67">
        <f t="shared" si="80"/>
        <v>1473.7262817329824</v>
      </c>
      <c r="O118" s="67">
        <f t="shared" si="80"/>
        <v>1502.6742266483816</v>
      </c>
      <c r="P118" s="67">
        <f t="shared" si="80"/>
        <v>1450.0035910504801</v>
      </c>
      <c r="Q118" s="67">
        <f t="shared" si="80"/>
        <v>1501.7484972499228</v>
      </c>
      <c r="R118" s="67">
        <f t="shared" si="80"/>
        <v>1438.4570400108598</v>
      </c>
      <c r="S118" s="67">
        <f t="shared" si="80"/>
        <v>1338.4638943499792</v>
      </c>
      <c r="T118" s="67">
        <f t="shared" si="80"/>
        <v>1264.6571660362117</v>
      </c>
      <c r="U118" s="67">
        <f t="shared" si="80"/>
        <v>1295.8643196760056</v>
      </c>
      <c r="V118" s="67">
        <f t="shared" si="80"/>
        <v>1026.2222352242836</v>
      </c>
      <c r="W118" s="67">
        <f t="shared" si="80"/>
        <v>1362.1966751937216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0.61215421093514411</v>
      </c>
      <c r="C121" s="86">
        <f t="shared" ref="C121:W121" si="84">IF(C107=0,"",C107/C100)</f>
        <v>0.61754650753807372</v>
      </c>
      <c r="D121" s="86">
        <f t="shared" si="84"/>
        <v>0.61723080340783798</v>
      </c>
      <c r="E121" s="86">
        <f t="shared" si="84"/>
        <v>0.62054035756978199</v>
      </c>
      <c r="F121" s="86">
        <f t="shared" si="84"/>
        <v>0.63782935253187933</v>
      </c>
      <c r="G121" s="86">
        <f t="shared" si="84"/>
        <v>0.64534459202188987</v>
      </c>
      <c r="H121" s="86">
        <f t="shared" si="84"/>
        <v>0.65652611567343122</v>
      </c>
      <c r="I121" s="86">
        <f t="shared" si="84"/>
        <v>0.65695473893181111</v>
      </c>
      <c r="J121" s="86">
        <f t="shared" si="84"/>
        <v>0.67392807974918001</v>
      </c>
      <c r="K121" s="86">
        <f t="shared" si="84"/>
        <v>0.67779923326596814</v>
      </c>
      <c r="L121" s="86">
        <f t="shared" si="84"/>
        <v>0.68391015730437099</v>
      </c>
      <c r="M121" s="86">
        <f t="shared" si="84"/>
        <v>0.69193249877533525</v>
      </c>
      <c r="N121" s="86">
        <f t="shared" si="84"/>
        <v>0.70568382035419097</v>
      </c>
      <c r="O121" s="86">
        <f t="shared" si="84"/>
        <v>0.71765236720569014</v>
      </c>
      <c r="P121" s="86">
        <f t="shared" si="84"/>
        <v>0.72512773341683834</v>
      </c>
      <c r="Q121" s="86">
        <f t="shared" si="84"/>
        <v>0.73024168720162241</v>
      </c>
      <c r="R121" s="86">
        <f t="shared" si="84"/>
        <v>0.73463963610629635</v>
      </c>
      <c r="S121" s="86">
        <f t="shared" si="84"/>
        <v>0.74887772801525598</v>
      </c>
      <c r="T121" s="86">
        <f t="shared" si="84"/>
        <v>0.75937123471092505</v>
      </c>
      <c r="U121" s="86">
        <f t="shared" si="84"/>
        <v>0.77463635191127311</v>
      </c>
      <c r="V121" s="86">
        <f t="shared" si="84"/>
        <v>0.78487802623020908</v>
      </c>
      <c r="W121" s="86">
        <f t="shared" si="84"/>
        <v>0.7854303028210794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0.587827575423716</v>
      </c>
      <c r="C122" s="75">
        <f t="shared" ref="C122:W122" si="86">IF(C108=0,"",C108/C101)</f>
        <v>0.59486646474896332</v>
      </c>
      <c r="D122" s="75">
        <f t="shared" si="86"/>
        <v>0.59430684606494355</v>
      </c>
      <c r="E122" s="75">
        <f t="shared" si="86"/>
        <v>0.59746119682351662</v>
      </c>
      <c r="F122" s="75">
        <f t="shared" si="86"/>
        <v>0.61785953654677395</v>
      </c>
      <c r="G122" s="75">
        <f t="shared" si="86"/>
        <v>0.62450889470235693</v>
      </c>
      <c r="H122" s="75">
        <f t="shared" si="86"/>
        <v>0.63830237545527524</v>
      </c>
      <c r="I122" s="75">
        <f t="shared" si="86"/>
        <v>0.63205109782620106</v>
      </c>
      <c r="J122" s="75">
        <f t="shared" si="86"/>
        <v>0.65447681725638618</v>
      </c>
      <c r="K122" s="75">
        <f t="shared" si="86"/>
        <v>0.65616140698746583</v>
      </c>
      <c r="L122" s="75">
        <f t="shared" si="86"/>
        <v>0.66308759790317529</v>
      </c>
      <c r="M122" s="75">
        <f t="shared" si="86"/>
        <v>0.67183954783935429</v>
      </c>
      <c r="N122" s="75">
        <f t="shared" si="86"/>
        <v>0.68749703424908015</v>
      </c>
      <c r="O122" s="75">
        <f t="shared" si="86"/>
        <v>0.69975419019454121</v>
      </c>
      <c r="P122" s="75">
        <f t="shared" si="86"/>
        <v>0.70656423454824857</v>
      </c>
      <c r="Q122" s="75">
        <f t="shared" si="86"/>
        <v>0.70771099040392771</v>
      </c>
      <c r="R122" s="75">
        <f t="shared" si="86"/>
        <v>0.71698078961912959</v>
      </c>
      <c r="S122" s="75">
        <f t="shared" si="86"/>
        <v>0.7294983881628172</v>
      </c>
      <c r="T122" s="75">
        <f t="shared" si="86"/>
        <v>0.7380011022634041</v>
      </c>
      <c r="U122" s="75">
        <f t="shared" si="86"/>
        <v>0.75171449646081101</v>
      </c>
      <c r="V122" s="75">
        <f t="shared" si="86"/>
        <v>0.76215794701157435</v>
      </c>
      <c r="W122" s="75">
        <f t="shared" si="86"/>
        <v>0.76461146072736663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1.8354666702743208</v>
      </c>
      <c r="C123" s="76">
        <f t="shared" ref="C123:W123" si="88">IF(C109=0,"",C109/C102)</f>
        <v>1.8885495086680468</v>
      </c>
      <c r="D123" s="76">
        <f t="shared" si="88"/>
        <v>1.9648561869532326</v>
      </c>
      <c r="E123" s="76">
        <f t="shared" si="88"/>
        <v>2.0518212865538272</v>
      </c>
      <c r="F123" s="76">
        <f t="shared" si="88"/>
        <v>2.1563838613516424</v>
      </c>
      <c r="G123" s="76">
        <f t="shared" si="88"/>
        <v>2.2659285294103308</v>
      </c>
      <c r="H123" s="76">
        <f t="shared" si="88"/>
        <v>2.3858173453011311</v>
      </c>
      <c r="I123" s="76">
        <f t="shared" si="88"/>
        <v>2.5124585185878483</v>
      </c>
      <c r="J123" s="76">
        <f t="shared" si="88"/>
        <v>2.6327996614943152</v>
      </c>
      <c r="K123" s="76">
        <f t="shared" si="88"/>
        <v>2.6781702300153962</v>
      </c>
      <c r="L123" s="76">
        <f t="shared" si="88"/>
        <v>2.7282824077464958</v>
      </c>
      <c r="M123" s="76">
        <f t="shared" si="88"/>
        <v>2.7954110099130927</v>
      </c>
      <c r="N123" s="76">
        <f t="shared" si="88"/>
        <v>2.8683899154553294</v>
      </c>
      <c r="O123" s="76">
        <f t="shared" si="88"/>
        <v>2.942456058827513</v>
      </c>
      <c r="P123" s="76">
        <f t="shared" si="88"/>
        <v>3.0338013381574704</v>
      </c>
      <c r="Q123" s="76">
        <f t="shared" si="88"/>
        <v>3.1401888084035678</v>
      </c>
      <c r="R123" s="76">
        <f t="shared" si="88"/>
        <v>3.2357908780411671</v>
      </c>
      <c r="S123" s="76">
        <f t="shared" si="88"/>
        <v>3.3408630843494587</v>
      </c>
      <c r="T123" s="76">
        <f t="shared" si="88"/>
        <v>3.4431616223934873</v>
      </c>
      <c r="U123" s="76">
        <f t="shared" si="88"/>
        <v>3.5347473679640196</v>
      </c>
      <c r="V123" s="76">
        <f t="shared" si="88"/>
        <v>3.6157042665710799</v>
      </c>
      <c r="W123" s="76">
        <f t="shared" si="88"/>
        <v>3.702458632654257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0.62078702397374907</v>
      </c>
      <c r="C124" s="76">
        <f t="shared" ref="C124:W124" si="90">IF(C110=0,"",C110/C103)</f>
        <v>0.61920835788111339</v>
      </c>
      <c r="D124" s="76">
        <f t="shared" si="90"/>
        <v>0.62464280940090278</v>
      </c>
      <c r="E124" s="76">
        <f t="shared" si="90"/>
        <v>0.62025781343787623</v>
      </c>
      <c r="F124" s="76">
        <f t="shared" si="90"/>
        <v>0.6323712013022863</v>
      </c>
      <c r="G124" s="76">
        <f t="shared" si="90"/>
        <v>0.63949532720696156</v>
      </c>
      <c r="H124" s="76">
        <f t="shared" si="90"/>
        <v>0.64378398697408767</v>
      </c>
      <c r="I124" s="76">
        <f t="shared" si="90"/>
        <v>0.65032602083158852</v>
      </c>
      <c r="J124" s="76">
        <f t="shared" si="90"/>
        <v>0.65633040560576761</v>
      </c>
      <c r="K124" s="76">
        <f t="shared" si="90"/>
        <v>0.66288878147506203</v>
      </c>
      <c r="L124" s="76">
        <f t="shared" si="90"/>
        <v>0.66614797002449888</v>
      </c>
      <c r="M124" s="76">
        <f t="shared" si="90"/>
        <v>0.67297039235384815</v>
      </c>
      <c r="N124" s="76">
        <f t="shared" si="90"/>
        <v>0.6788214151026708</v>
      </c>
      <c r="O124" s="76">
        <f t="shared" si="90"/>
        <v>0.69112616800664584</v>
      </c>
      <c r="P124" s="76">
        <f t="shared" si="90"/>
        <v>0.69451335849399243</v>
      </c>
      <c r="Q124" s="76">
        <f t="shared" si="90"/>
        <v>0.70072277742977862</v>
      </c>
      <c r="R124" s="76">
        <f t="shared" si="90"/>
        <v>0.7096114272177324</v>
      </c>
      <c r="S124" s="76">
        <f t="shared" si="90"/>
        <v>0.7268078409835248</v>
      </c>
      <c r="T124" s="76">
        <f t="shared" si="90"/>
        <v>0.73796436629804729</v>
      </c>
      <c r="U124" s="76">
        <f t="shared" si="90"/>
        <v>0.7539289499747025</v>
      </c>
      <c r="V124" s="76">
        <f t="shared" si="90"/>
        <v>0.77101966625841944</v>
      </c>
      <c r="W124" s="76">
        <f t="shared" si="90"/>
        <v>0.7805503953787023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0.72580683167996318</v>
      </c>
      <c r="C125" s="56">
        <f t="shared" ref="C125:W125" si="92">IF(C111=0,"",C111/C104)</f>
        <v>0.72145983902871802</v>
      </c>
      <c r="D125" s="56">
        <f t="shared" si="92"/>
        <v>0.72178828565676989</v>
      </c>
      <c r="E125" s="56">
        <f t="shared" si="92"/>
        <v>0.71872803464285262</v>
      </c>
      <c r="F125" s="56">
        <f t="shared" si="92"/>
        <v>0.72052505415277479</v>
      </c>
      <c r="G125" s="56">
        <f t="shared" si="92"/>
        <v>0.71952535063718304</v>
      </c>
      <c r="H125" s="56">
        <f t="shared" si="92"/>
        <v>0.71981785276228805</v>
      </c>
      <c r="I125" s="56">
        <f t="shared" si="92"/>
        <v>0.72411491097868386</v>
      </c>
      <c r="J125" s="56">
        <f t="shared" si="92"/>
        <v>0.7295114186455447</v>
      </c>
      <c r="K125" s="56">
        <f t="shared" si="92"/>
        <v>0.73373122314683992</v>
      </c>
      <c r="L125" s="56">
        <f t="shared" si="92"/>
        <v>0.73729934409913911</v>
      </c>
      <c r="M125" s="56">
        <f t="shared" si="92"/>
        <v>0.73268424292794476</v>
      </c>
      <c r="N125" s="56">
        <f t="shared" si="92"/>
        <v>0.72840221408566719</v>
      </c>
      <c r="O125" s="56">
        <f t="shared" si="92"/>
        <v>0.72845004634031463</v>
      </c>
      <c r="P125" s="56">
        <f t="shared" si="92"/>
        <v>0.73172079023348624</v>
      </c>
      <c r="Q125" s="56">
        <f t="shared" si="92"/>
        <v>0.73141142622422539</v>
      </c>
      <c r="R125" s="56">
        <f t="shared" si="92"/>
        <v>0.73679930967923613</v>
      </c>
      <c r="S125" s="56">
        <f t="shared" si="92"/>
        <v>0.74332187638306813</v>
      </c>
      <c r="T125" s="56">
        <f t="shared" si="92"/>
        <v>0.75174778589123292</v>
      </c>
      <c r="U125" s="56">
        <f t="shared" si="92"/>
        <v>0.75552038159604684</v>
      </c>
      <c r="V125" s="56">
        <f t="shared" si="92"/>
        <v>0.77080100048638878</v>
      </c>
      <c r="W125" s="56">
        <f t="shared" si="92"/>
        <v>0.75982412121409848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202.3833498313922</v>
      </c>
      <c r="C129" s="82">
        <f t="shared" ref="C129:W129" si="94">IF(C99=0,0,C99/C$26)</f>
        <v>219.94539635428706</v>
      </c>
      <c r="D129" s="82">
        <f t="shared" si="94"/>
        <v>248.14061815337291</v>
      </c>
      <c r="E129" s="82">
        <f t="shared" si="94"/>
        <v>252.80680560852818</v>
      </c>
      <c r="F129" s="82">
        <f t="shared" si="94"/>
        <v>262.02314490619057</v>
      </c>
      <c r="G129" s="82">
        <f t="shared" si="94"/>
        <v>256.15988834129291</v>
      </c>
      <c r="H129" s="82">
        <f t="shared" si="94"/>
        <v>273.54338770306271</v>
      </c>
      <c r="I129" s="82">
        <f t="shared" si="94"/>
        <v>250.38290690816385</v>
      </c>
      <c r="J129" s="82">
        <f t="shared" si="94"/>
        <v>270.63871964723705</v>
      </c>
      <c r="K129" s="82">
        <f t="shared" si="94"/>
        <v>264.55098269770582</v>
      </c>
      <c r="L129" s="82">
        <f t="shared" si="94"/>
        <v>290.34110928277249</v>
      </c>
      <c r="M129" s="82">
        <f t="shared" si="94"/>
        <v>269.97622017564458</v>
      </c>
      <c r="N129" s="82">
        <f t="shared" si="94"/>
        <v>262.55608279537728</v>
      </c>
      <c r="O129" s="82">
        <f t="shared" si="94"/>
        <v>251.99103840219371</v>
      </c>
      <c r="P129" s="82">
        <f t="shared" si="94"/>
        <v>237.5643500751994</v>
      </c>
      <c r="Q129" s="82">
        <f t="shared" si="94"/>
        <v>236.23856407826841</v>
      </c>
      <c r="R129" s="82">
        <f t="shared" si="94"/>
        <v>252.27579745438072</v>
      </c>
      <c r="S129" s="82">
        <f t="shared" si="94"/>
        <v>233.89538912975948</v>
      </c>
      <c r="T129" s="82">
        <f t="shared" si="94"/>
        <v>226.11255396301439</v>
      </c>
      <c r="U129" s="82">
        <f t="shared" si="94"/>
        <v>218.86558380914121</v>
      </c>
      <c r="V129" s="82">
        <f t="shared" si="94"/>
        <v>208.67988301460554</v>
      </c>
      <c r="W129" s="82">
        <f t="shared" si="94"/>
        <v>228.21083502942062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154.5489230222623</v>
      </c>
      <c r="C130" s="64">
        <f t="shared" ref="C130:W130" si="96">IF(C100=0,0,C100/C$26)</f>
        <v>170.22552309707265</v>
      </c>
      <c r="D130" s="64">
        <f t="shared" si="96"/>
        <v>196.57917117402215</v>
      </c>
      <c r="E130" s="64">
        <f t="shared" si="96"/>
        <v>199.80968682935068</v>
      </c>
      <c r="F130" s="64">
        <f t="shared" si="96"/>
        <v>207.31395578941775</v>
      </c>
      <c r="G130" s="64">
        <f t="shared" si="96"/>
        <v>199.6754443163226</v>
      </c>
      <c r="H130" s="64">
        <f t="shared" si="96"/>
        <v>215.84455426205594</v>
      </c>
      <c r="I130" s="64">
        <f t="shared" si="96"/>
        <v>191.96770910233883</v>
      </c>
      <c r="J130" s="64">
        <f t="shared" si="96"/>
        <v>211.34670899407985</v>
      </c>
      <c r="K130" s="64">
        <f t="shared" si="96"/>
        <v>204.81562822260526</v>
      </c>
      <c r="L130" s="64">
        <f t="shared" si="96"/>
        <v>229.51038516648322</v>
      </c>
      <c r="M130" s="64">
        <f t="shared" si="96"/>
        <v>208.83625569243128</v>
      </c>
      <c r="N130" s="64">
        <f t="shared" si="96"/>
        <v>200.86497389596636</v>
      </c>
      <c r="O130" s="64">
        <f t="shared" si="96"/>
        <v>189.62535054880695</v>
      </c>
      <c r="P130" s="64">
        <f t="shared" si="96"/>
        <v>174.03477313248726</v>
      </c>
      <c r="Q130" s="64">
        <f t="shared" si="96"/>
        <v>171.32388633714464</v>
      </c>
      <c r="R130" s="64">
        <f t="shared" si="96"/>
        <v>186.92809398360203</v>
      </c>
      <c r="S130" s="64">
        <f t="shared" si="96"/>
        <v>169.90786495141842</v>
      </c>
      <c r="T130" s="64">
        <f t="shared" si="96"/>
        <v>163.55286307529423</v>
      </c>
      <c r="U130" s="64">
        <f t="shared" si="96"/>
        <v>158.5297046511825</v>
      </c>
      <c r="V130" s="64">
        <f t="shared" si="96"/>
        <v>150.60957612566162</v>
      </c>
      <c r="W130" s="64">
        <f t="shared" si="96"/>
        <v>169.03075987783663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123.08880167919575</v>
      </c>
      <c r="C131" s="65">
        <f t="shared" ref="C131:W131" si="98">IF(C101=0,0,C101/C$26)</f>
        <v>134.60063100783904</v>
      </c>
      <c r="D131" s="65">
        <f t="shared" si="98"/>
        <v>155.11590580910399</v>
      </c>
      <c r="E131" s="65">
        <f t="shared" si="98"/>
        <v>154.55551845206966</v>
      </c>
      <c r="F131" s="65">
        <f t="shared" si="98"/>
        <v>160.71769791071031</v>
      </c>
      <c r="G131" s="65">
        <f t="shared" si="98"/>
        <v>152.6517300496435</v>
      </c>
      <c r="H131" s="65">
        <f t="shared" si="98"/>
        <v>167.21565668415806</v>
      </c>
      <c r="I131" s="65">
        <f t="shared" si="98"/>
        <v>141.18425198461182</v>
      </c>
      <c r="J131" s="65">
        <f t="shared" si="98"/>
        <v>159.75512257723895</v>
      </c>
      <c r="K131" s="65">
        <f t="shared" si="98"/>
        <v>153.9359702104658</v>
      </c>
      <c r="L131" s="65">
        <f t="shared" si="98"/>
        <v>178.03256635711961</v>
      </c>
      <c r="M131" s="65">
        <f t="shared" si="98"/>
        <v>157.57607031146318</v>
      </c>
      <c r="N131" s="65">
        <f t="shared" si="98"/>
        <v>149.73000285829886</v>
      </c>
      <c r="O131" s="65">
        <f t="shared" si="98"/>
        <v>138.24272414137741</v>
      </c>
      <c r="P131" s="65">
        <f t="shared" si="98"/>
        <v>123.15874585857304</v>
      </c>
      <c r="Q131" s="65">
        <f t="shared" si="98"/>
        <v>120.27810090984607</v>
      </c>
      <c r="R131" s="65">
        <f t="shared" si="98"/>
        <v>136.21434040279587</v>
      </c>
      <c r="S131" s="65">
        <f t="shared" si="98"/>
        <v>120.95279929322186</v>
      </c>
      <c r="T131" s="65">
        <f t="shared" si="98"/>
        <v>115.6507549935767</v>
      </c>
      <c r="U131" s="65">
        <f t="shared" si="98"/>
        <v>111.40181781839169</v>
      </c>
      <c r="V131" s="65">
        <f t="shared" si="98"/>
        <v>107.53671161500024</v>
      </c>
      <c r="W131" s="65">
        <f t="shared" si="98"/>
        <v>124.02500015439637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0.82612935832631462</v>
      </c>
      <c r="C132" s="65">
        <f t="shared" ref="C132:W132" si="100">IF(C102=0,0,C102/C$26)</f>
        <v>0.81989616872605853</v>
      </c>
      <c r="D132" s="65">
        <f t="shared" si="100"/>
        <v>0.84791755248502931</v>
      </c>
      <c r="E132" s="65">
        <f t="shared" si="100"/>
        <v>0.84186306106622288</v>
      </c>
      <c r="F132" s="65">
        <f t="shared" si="100"/>
        <v>0.86574759634311393</v>
      </c>
      <c r="G132" s="65">
        <f t="shared" si="100"/>
        <v>0.90935592830983469</v>
      </c>
      <c r="H132" s="65">
        <f t="shared" si="100"/>
        <v>1.0073856857221519</v>
      </c>
      <c r="I132" s="65">
        <f t="shared" si="100"/>
        <v>1.0367565559174869</v>
      </c>
      <c r="J132" s="65">
        <f t="shared" si="100"/>
        <v>1.0566412733205455</v>
      </c>
      <c r="K132" s="65">
        <f t="shared" si="100"/>
        <v>1.1286770084468731</v>
      </c>
      <c r="L132" s="65">
        <f t="shared" si="100"/>
        <v>1.3474243354842843</v>
      </c>
      <c r="M132" s="65">
        <f t="shared" si="100"/>
        <v>1.2192292975518053</v>
      </c>
      <c r="N132" s="65">
        <f t="shared" si="100"/>
        <v>1.2905962196488083</v>
      </c>
      <c r="O132" s="65">
        <f t="shared" si="100"/>
        <v>1.2799258287673612</v>
      </c>
      <c r="P132" s="65">
        <f t="shared" si="100"/>
        <v>1.2395660858339603</v>
      </c>
      <c r="Q132" s="65">
        <f t="shared" si="100"/>
        <v>1.4113147402568009</v>
      </c>
      <c r="R132" s="65">
        <f t="shared" si="100"/>
        <v>1.1863305553611261</v>
      </c>
      <c r="S132" s="65">
        <f t="shared" si="100"/>
        <v>1.1576961746300634</v>
      </c>
      <c r="T132" s="65">
        <f t="shared" si="100"/>
        <v>1.1707927334850439</v>
      </c>
      <c r="U132" s="65">
        <f t="shared" si="100"/>
        <v>1.2556543186035847</v>
      </c>
      <c r="V132" s="65">
        <f t="shared" si="100"/>
        <v>1.0703911092791343</v>
      </c>
      <c r="W132" s="65">
        <f t="shared" si="100"/>
        <v>1.1167682506650343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14.263132153222287</v>
      </c>
      <c r="C133" s="65">
        <f t="shared" ref="C133:W133" si="102">IF(C103=0,0,C103/C$26)</f>
        <v>15.706818922911793</v>
      </c>
      <c r="D133" s="65">
        <f t="shared" si="102"/>
        <v>18.87317235456057</v>
      </c>
      <c r="E133" s="65">
        <f t="shared" si="102"/>
        <v>20.297222424647163</v>
      </c>
      <c r="F133" s="65">
        <f t="shared" si="102"/>
        <v>21.404608367849796</v>
      </c>
      <c r="G133" s="65">
        <f t="shared" si="102"/>
        <v>21.415468586767275</v>
      </c>
      <c r="H133" s="65">
        <f t="shared" si="102"/>
        <v>22.47441631555203</v>
      </c>
      <c r="I133" s="65">
        <f t="shared" si="102"/>
        <v>23.698699518433045</v>
      </c>
      <c r="J133" s="65">
        <f t="shared" si="102"/>
        <v>24.204184214380572</v>
      </c>
      <c r="K133" s="65">
        <f t="shared" si="102"/>
        <v>24.132487484706331</v>
      </c>
      <c r="L133" s="65">
        <f t="shared" si="102"/>
        <v>24.229528238891774</v>
      </c>
      <c r="M133" s="65">
        <f t="shared" si="102"/>
        <v>24.076669043076276</v>
      </c>
      <c r="N133" s="65">
        <f t="shared" si="102"/>
        <v>24.212133166192025</v>
      </c>
      <c r="O133" s="65">
        <f t="shared" si="102"/>
        <v>24.495949700375885</v>
      </c>
      <c r="P133" s="65">
        <f t="shared" si="102"/>
        <v>24.262687072972689</v>
      </c>
      <c r="Q133" s="65">
        <f t="shared" si="102"/>
        <v>24.416319357597512</v>
      </c>
      <c r="R133" s="65">
        <f t="shared" si="102"/>
        <v>24.597983419778625</v>
      </c>
      <c r="S133" s="65">
        <f t="shared" si="102"/>
        <v>23.688397499095878</v>
      </c>
      <c r="T133" s="65">
        <f t="shared" si="102"/>
        <v>22.812665555686873</v>
      </c>
      <c r="U133" s="65">
        <f t="shared" si="102"/>
        <v>22.191790506157353</v>
      </c>
      <c r="V133" s="65">
        <f t="shared" si="102"/>
        <v>20.219289757457886</v>
      </c>
      <c r="W133" s="65">
        <f t="shared" si="102"/>
        <v>21.626740603651314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16.370859831517951</v>
      </c>
      <c r="C134" s="67">
        <f t="shared" ref="C134:W134" si="104">IF(C104=0,0,C104/C$26)</f>
        <v>19.098176997595765</v>
      </c>
      <c r="D134" s="67">
        <f t="shared" si="104"/>
        <v>21.742175457872527</v>
      </c>
      <c r="E134" s="67">
        <f t="shared" si="104"/>
        <v>24.115082891567599</v>
      </c>
      <c r="F134" s="67">
        <f t="shared" si="104"/>
        <v>24.325901914514525</v>
      </c>
      <c r="G134" s="67">
        <f t="shared" si="104"/>
        <v>24.698889751601975</v>
      </c>
      <c r="H134" s="67">
        <f t="shared" si="104"/>
        <v>25.147095576623695</v>
      </c>
      <c r="I134" s="67">
        <f t="shared" si="104"/>
        <v>26.048001043376491</v>
      </c>
      <c r="J134" s="67">
        <f t="shared" si="104"/>
        <v>26.330760929139764</v>
      </c>
      <c r="K134" s="67">
        <f t="shared" si="104"/>
        <v>25.618493518986227</v>
      </c>
      <c r="L134" s="67">
        <f t="shared" si="104"/>
        <v>25.900866234987607</v>
      </c>
      <c r="M134" s="67">
        <f t="shared" si="104"/>
        <v>25.964287040339997</v>
      </c>
      <c r="N134" s="67">
        <f t="shared" si="104"/>
        <v>25.632241651826682</v>
      </c>
      <c r="O134" s="67">
        <f t="shared" si="104"/>
        <v>25.606750878286316</v>
      </c>
      <c r="P134" s="67">
        <f t="shared" si="104"/>
        <v>25.373774115107558</v>
      </c>
      <c r="Q134" s="67">
        <f t="shared" si="104"/>
        <v>25.218151329444268</v>
      </c>
      <c r="R134" s="67">
        <f t="shared" si="104"/>
        <v>24.929439605666399</v>
      </c>
      <c r="S134" s="67">
        <f t="shared" si="104"/>
        <v>24.108971984470596</v>
      </c>
      <c r="T134" s="67">
        <f t="shared" si="104"/>
        <v>23.918649792545573</v>
      </c>
      <c r="U134" s="67">
        <f t="shared" si="104"/>
        <v>23.680442008029875</v>
      </c>
      <c r="V134" s="67">
        <f t="shared" si="104"/>
        <v>21.783183643924357</v>
      </c>
      <c r="W134" s="67">
        <f t="shared" si="104"/>
        <v>22.262250869123907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47.834426809129909</v>
      </c>
      <c r="C135" s="68">
        <f t="shared" ref="C135:W135" si="106">IF(C105=0,0,C105/C$26)</f>
        <v>49.719873257214417</v>
      </c>
      <c r="D135" s="68">
        <f t="shared" si="106"/>
        <v>51.561446979350762</v>
      </c>
      <c r="E135" s="68">
        <f t="shared" si="106"/>
        <v>52.997118779177512</v>
      </c>
      <c r="F135" s="68">
        <f t="shared" si="106"/>
        <v>54.709189116772826</v>
      </c>
      <c r="G135" s="68">
        <f t="shared" si="106"/>
        <v>56.484444024970294</v>
      </c>
      <c r="H135" s="68">
        <f t="shared" si="106"/>
        <v>57.698833441006727</v>
      </c>
      <c r="I135" s="68">
        <f t="shared" si="106"/>
        <v>58.415197805825024</v>
      </c>
      <c r="J135" s="68">
        <f t="shared" si="106"/>
        <v>59.292010653157163</v>
      </c>
      <c r="K135" s="68">
        <f t="shared" si="106"/>
        <v>59.735354475100607</v>
      </c>
      <c r="L135" s="68">
        <f t="shared" si="106"/>
        <v>60.830724116289225</v>
      </c>
      <c r="M135" s="68">
        <f t="shared" si="106"/>
        <v>61.139964483213326</v>
      </c>
      <c r="N135" s="68">
        <f t="shared" si="106"/>
        <v>61.691108899410942</v>
      </c>
      <c r="O135" s="68">
        <f t="shared" si="106"/>
        <v>62.365687853386724</v>
      </c>
      <c r="P135" s="68">
        <f t="shared" si="106"/>
        <v>63.529576942712147</v>
      </c>
      <c r="Q135" s="68">
        <f t="shared" si="106"/>
        <v>64.914677741123768</v>
      </c>
      <c r="R135" s="68">
        <f t="shared" si="106"/>
        <v>65.347703470778683</v>
      </c>
      <c r="S135" s="68">
        <f t="shared" si="106"/>
        <v>63.987524178341069</v>
      </c>
      <c r="T135" s="68">
        <f t="shared" si="106"/>
        <v>62.559690887720159</v>
      </c>
      <c r="U135" s="68">
        <f t="shared" si="106"/>
        <v>60.335879157958722</v>
      </c>
      <c r="V135" s="68">
        <f t="shared" si="106"/>
        <v>58.070306888943918</v>
      </c>
      <c r="W135" s="68">
        <f t="shared" si="106"/>
        <v>59.180075151583999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94.607774023569291</v>
      </c>
      <c r="C137" s="85">
        <f t="shared" ref="C137:W137" si="108">IF(C107=0,0,C107/C$26)</f>
        <v>105.12217728243894</v>
      </c>
      <c r="D137" s="85">
        <f t="shared" si="108"/>
        <v>121.33471975698859</v>
      </c>
      <c r="E137" s="85">
        <f t="shared" si="108"/>
        <v>123.98997451099143</v>
      </c>
      <c r="F137" s="85">
        <f t="shared" si="108"/>
        <v>132.23092619198698</v>
      </c>
      <c r="G137" s="85">
        <f t="shared" si="108"/>
        <v>128.85946814910679</v>
      </c>
      <c r="H137" s="85">
        <f t="shared" si="108"/>
        <v>141.70758679893072</v>
      </c>
      <c r="I137" s="85">
        <f t="shared" si="108"/>
        <v>126.11409621666486</v>
      </c>
      <c r="J137" s="85">
        <f t="shared" si="108"/>
        <v>142.43248175368899</v>
      </c>
      <c r="K137" s="85">
        <f t="shared" si="108"/>
        <v>138.82387577016942</v>
      </c>
      <c r="L137" s="85">
        <f t="shared" si="108"/>
        <v>156.96448362219633</v>
      </c>
      <c r="M137" s="85">
        <f t="shared" si="108"/>
        <v>144.5005922361488</v>
      </c>
      <c r="N137" s="85">
        <f t="shared" si="108"/>
        <v>141.74716215425036</v>
      </c>
      <c r="O137" s="85">
        <f t="shared" si="108"/>
        <v>136.08508170356012</v>
      </c>
      <c r="P137" s="85">
        <f t="shared" si="108"/>
        <v>126.19744057727415</v>
      </c>
      <c r="Q137" s="85">
        <f t="shared" si="108"/>
        <v>125.10784381677549</v>
      </c>
      <c r="R137" s="85">
        <f t="shared" si="108"/>
        <v>137.32478694215698</v>
      </c>
      <c r="S137" s="85">
        <f t="shared" si="108"/>
        <v>127.24021587674116</v>
      </c>
      <c r="T137" s="85">
        <f t="shared" si="108"/>
        <v>124.19733957399303</v>
      </c>
      <c r="U137" s="85">
        <f t="shared" si="108"/>
        <v>122.80287208056359</v>
      </c>
      <c r="V137" s="85">
        <f t="shared" si="108"/>
        <v>118.21014684087771</v>
      </c>
      <c r="W137" s="85">
        <f t="shared" si="108"/>
        <v>132.76188091692637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72.354991852892269</v>
      </c>
      <c r="C138" s="65">
        <f t="shared" ref="C138:W138" si="110">IF(C108=0,0,C108/C$26)</f>
        <v>80.0694015206129</v>
      </c>
      <c r="D138" s="65">
        <f t="shared" si="110"/>
        <v>92.18644475591546</v>
      </c>
      <c r="E138" s="65">
        <f t="shared" si="110"/>
        <v>92.340925030052659</v>
      </c>
      <c r="F138" s="65">
        <f t="shared" si="110"/>
        <v>99.30096234597589</v>
      </c>
      <c r="G138" s="65">
        <f t="shared" si="110"/>
        <v>95.332363207705427</v>
      </c>
      <c r="H138" s="65">
        <f t="shared" si="110"/>
        <v>106.73415087481186</v>
      </c>
      <c r="I138" s="65">
        <f t="shared" si="110"/>
        <v>89.235661462644899</v>
      </c>
      <c r="J138" s="65">
        <f t="shared" si="110"/>
        <v>104.55602416475519</v>
      </c>
      <c r="K138" s="65">
        <f t="shared" si="110"/>
        <v>101.00684279927985</v>
      </c>
      <c r="L138" s="65">
        <f t="shared" si="110"/>
        <v>118.0511867742801</v>
      </c>
      <c r="M138" s="65">
        <f t="shared" si="110"/>
        <v>105.86583582835573</v>
      </c>
      <c r="N138" s="65">
        <f t="shared" si="110"/>
        <v>102.93893290318677</v>
      </c>
      <c r="O138" s="65">
        <f t="shared" si="110"/>
        <v>96.735925481836887</v>
      </c>
      <c r="P138" s="65">
        <f t="shared" si="110"/>
        <v>87.019564995484942</v>
      </c>
      <c r="Q138" s="65">
        <f t="shared" si="110"/>
        <v>85.122133918810718</v>
      </c>
      <c r="R138" s="65">
        <f t="shared" si="110"/>
        <v>97.663065339445481</v>
      </c>
      <c r="S138" s="65">
        <f t="shared" si="110"/>
        <v>88.234872128186083</v>
      </c>
      <c r="T138" s="65">
        <f t="shared" si="110"/>
        <v>85.350384662854495</v>
      </c>
      <c r="U138" s="65">
        <f t="shared" si="110"/>
        <v>83.742361386171311</v>
      </c>
      <c r="V138" s="65">
        <f t="shared" si="110"/>
        <v>81.959959352864303</v>
      </c>
      <c r="W138" s="65">
        <f t="shared" si="110"/>
        <v>94.830936534764888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1.5163329025430619</v>
      </c>
      <c r="C139" s="65">
        <f t="shared" ref="C139:W139" si="112">IF(C109=0,0,C109/C$26)</f>
        <v>1.5484145066064119</v>
      </c>
      <c r="D139" s="65">
        <f t="shared" si="112"/>
        <v>1.6660360490264523</v>
      </c>
      <c r="E139" s="65">
        <f t="shared" si="112"/>
        <v>1.7273525490590407</v>
      </c>
      <c r="F139" s="65">
        <f t="shared" si="112"/>
        <v>1.8668841447582669</v>
      </c>
      <c r="G139" s="65">
        <f t="shared" si="112"/>
        <v>2.0605355413456703</v>
      </c>
      <c r="H139" s="65">
        <f t="shared" si="112"/>
        <v>2.403438242403984</v>
      </c>
      <c r="I139" s="65">
        <f t="shared" si="112"/>
        <v>2.6048078406166892</v>
      </c>
      <c r="J139" s="65">
        <f t="shared" si="112"/>
        <v>2.7819247867192538</v>
      </c>
      <c r="K139" s="65">
        <f t="shared" si="112"/>
        <v>3.0227891633252515</v>
      </c>
      <c r="L139" s="65">
        <f t="shared" si="112"/>
        <v>3.6761541102712854</v>
      </c>
      <c r="M139" s="65">
        <f t="shared" si="112"/>
        <v>3.4082470019849227</v>
      </c>
      <c r="N139" s="65">
        <f t="shared" si="112"/>
        <v>3.7019331813654133</v>
      </c>
      <c r="O139" s="65">
        <f t="shared" si="112"/>
        <v>3.766125509706348</v>
      </c>
      <c r="P139" s="65">
        <f t="shared" si="112"/>
        <v>3.7605972499376872</v>
      </c>
      <c r="Q139" s="65">
        <f t="shared" si="112"/>
        <v>4.4317947524893944</v>
      </c>
      <c r="R139" s="65">
        <f t="shared" si="112"/>
        <v>3.8387175893790442</v>
      </c>
      <c r="S139" s="65">
        <f t="shared" si="112"/>
        <v>3.8677044127141627</v>
      </c>
      <c r="T139" s="65">
        <f t="shared" si="112"/>
        <v>4.0312286077128698</v>
      </c>
      <c r="U139" s="65">
        <f t="shared" si="112"/>
        <v>4.4384207977566756</v>
      </c>
      <c r="V139" s="65">
        <f t="shared" si="112"/>
        <v>3.8702177007203171</v>
      </c>
      <c r="W139" s="65">
        <f t="shared" si="112"/>
        <v>4.1347882503489499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8.8543673619431544</v>
      </c>
      <c r="C140" s="65">
        <f t="shared" ref="C140:W140" si="114">IF(C110=0,0,C110/C$26)</f>
        <v>9.7257935527922097</v>
      </c>
      <c r="D140" s="65">
        <f t="shared" si="114"/>
        <v>11.788991401860166</v>
      </c>
      <c r="E140" s="65">
        <f t="shared" si="114"/>
        <v>12.589510799973876</v>
      </c>
      <c r="F140" s="65">
        <f t="shared" si="114"/>
        <v>13.535657906982147</v>
      </c>
      <c r="G140" s="65">
        <f t="shared" si="114"/>
        <v>13.695092091185145</v>
      </c>
      <c r="H140" s="65">
        <f t="shared" si="114"/>
        <v>14.46866934054157</v>
      </c>
      <c r="I140" s="65">
        <f t="shared" si="114"/>
        <v>15.411880956706048</v>
      </c>
      <c r="J140" s="65">
        <f t="shared" si="114"/>
        <v>15.885942042781119</v>
      </c>
      <c r="K140" s="65">
        <f t="shared" si="114"/>
        <v>15.997155222699167</v>
      </c>
      <c r="L140" s="65">
        <f t="shared" si="114"/>
        <v>16.140451050989025</v>
      </c>
      <c r="M140" s="65">
        <f t="shared" si="114"/>
        <v>16.20288541249279</v>
      </c>
      <c r="N140" s="65">
        <f t="shared" si="114"/>
        <v>16.435714498528778</v>
      </c>
      <c r="O140" s="65">
        <f t="shared" si="114"/>
        <v>16.929791848104326</v>
      </c>
      <c r="P140" s="65">
        <f t="shared" si="114"/>
        <v>16.850760285139039</v>
      </c>
      <c r="Q140" s="65">
        <f t="shared" si="114"/>
        <v>17.109071114868197</v>
      </c>
      <c r="R140" s="65">
        <f t="shared" si="114"/>
        <v>17.455010121187229</v>
      </c>
      <c r="S140" s="65">
        <f t="shared" si="114"/>
        <v>17.216913042677405</v>
      </c>
      <c r="T140" s="65">
        <f t="shared" si="114"/>
        <v>16.834934280371755</v>
      </c>
      <c r="U140" s="65">
        <f t="shared" si="114"/>
        <v>16.731033314365785</v>
      </c>
      <c r="V140" s="65">
        <f t="shared" si="114"/>
        <v>15.589470040777458</v>
      </c>
      <c r="W140" s="65">
        <f t="shared" si="114"/>
        <v>16.88076092893267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11.882081906190821</v>
      </c>
      <c r="C141" s="68">
        <f t="shared" ref="C141:W141" si="116">IF(C111=0,0,C111/C$26)</f>
        <v>13.778567702427406</v>
      </c>
      <c r="D141" s="68">
        <f t="shared" si="116"/>
        <v>15.693247550186507</v>
      </c>
      <c r="E141" s="68">
        <f t="shared" si="116"/>
        <v>17.332186131905861</v>
      </c>
      <c r="F141" s="68">
        <f t="shared" si="116"/>
        <v>17.527421794270666</v>
      </c>
      <c r="G141" s="68">
        <f t="shared" si="116"/>
        <v>17.771477308870537</v>
      </c>
      <c r="H141" s="68">
        <f t="shared" si="116"/>
        <v>18.1013283411733</v>
      </c>
      <c r="I141" s="68">
        <f t="shared" si="116"/>
        <v>18.861745956697231</v>
      </c>
      <c r="J141" s="68">
        <f t="shared" si="116"/>
        <v>19.208590759433431</v>
      </c>
      <c r="K141" s="68">
        <f t="shared" si="116"/>
        <v>18.797088584865154</v>
      </c>
      <c r="L141" s="68">
        <f t="shared" si="116"/>
        <v>19.096691686655902</v>
      </c>
      <c r="M141" s="68">
        <f t="shared" si="116"/>
        <v>19.023623993315361</v>
      </c>
      <c r="N141" s="68">
        <f t="shared" si="116"/>
        <v>18.670581571169414</v>
      </c>
      <c r="O141" s="68">
        <f t="shared" si="116"/>
        <v>18.653238863912559</v>
      </c>
      <c r="P141" s="68">
        <f t="shared" si="116"/>
        <v>18.566518046712481</v>
      </c>
      <c r="Q141" s="68">
        <f t="shared" si="116"/>
        <v>18.444844030607175</v>
      </c>
      <c r="R141" s="68">
        <f t="shared" si="116"/>
        <v>18.367993892145211</v>
      </c>
      <c r="S141" s="68">
        <f t="shared" si="116"/>
        <v>17.920726293163504</v>
      </c>
      <c r="T141" s="68">
        <f t="shared" si="116"/>
        <v>17.980792023053933</v>
      </c>
      <c r="U141" s="68">
        <f t="shared" si="116"/>
        <v>17.89105658226979</v>
      </c>
      <c r="V141" s="68">
        <f t="shared" si="116"/>
        <v>16.790499746515636</v>
      </c>
      <c r="W141" s="68">
        <f t="shared" si="116"/>
        <v>16.915395202879875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19.505514167861886</v>
      </c>
      <c r="C143" s="82">
        <f t="shared" ref="C143:W143" si="118">IF(C113=0,0,C113/C$26)</f>
        <v>21.265252089299395</v>
      </c>
      <c r="D143" s="82">
        <f t="shared" si="118"/>
        <v>28.142200391864559</v>
      </c>
      <c r="E143" s="82">
        <f t="shared" si="118"/>
        <v>29.030809680543683</v>
      </c>
      <c r="F143" s="82">
        <f t="shared" si="118"/>
        <v>27.443398828135674</v>
      </c>
      <c r="G143" s="82">
        <f t="shared" si="118"/>
        <v>25.583143592396929</v>
      </c>
      <c r="H143" s="82">
        <f t="shared" si="118"/>
        <v>27.477528602519318</v>
      </c>
      <c r="I143" s="82">
        <f t="shared" si="118"/>
        <v>25.333203749675182</v>
      </c>
      <c r="J143" s="82">
        <f t="shared" si="118"/>
        <v>26.069950052516699</v>
      </c>
      <c r="K143" s="82">
        <f t="shared" si="118"/>
        <v>26.412501311492342</v>
      </c>
      <c r="L143" s="82">
        <f t="shared" si="118"/>
        <v>29.955589856974747</v>
      </c>
      <c r="M143" s="82">
        <f t="shared" si="118"/>
        <v>26.815575585618728</v>
      </c>
      <c r="N143" s="82">
        <f t="shared" si="118"/>
        <v>25.433047455422539</v>
      </c>
      <c r="O143" s="82">
        <f t="shared" si="118"/>
        <v>23.312093623494331</v>
      </c>
      <c r="P143" s="82">
        <f t="shared" si="118"/>
        <v>20.401896185037383</v>
      </c>
      <c r="Q143" s="82">
        <f t="shared" si="118"/>
        <v>20.522942609572837</v>
      </c>
      <c r="R143" s="82">
        <f t="shared" si="118"/>
        <v>21.922876786353989</v>
      </c>
      <c r="S143" s="82">
        <f t="shared" si="118"/>
        <v>18.63049884777897</v>
      </c>
      <c r="T143" s="82">
        <f t="shared" si="118"/>
        <v>17.145040530698054</v>
      </c>
      <c r="U143" s="82">
        <f t="shared" si="118"/>
        <v>15.423351159600678</v>
      </c>
      <c r="V143" s="82">
        <f t="shared" si="118"/>
        <v>14.24198341675862</v>
      </c>
      <c r="W143" s="82">
        <f t="shared" si="118"/>
        <v>18.052438787321215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19.505514167861886</v>
      </c>
      <c r="C144" s="64">
        <f t="shared" ref="C144:W144" si="120">IF(C114=0,0,C114/C$26)</f>
        <v>21.265252089299395</v>
      </c>
      <c r="D144" s="64">
        <f t="shared" si="120"/>
        <v>28.142200391864559</v>
      </c>
      <c r="E144" s="64">
        <f t="shared" si="120"/>
        <v>29.030809680543683</v>
      </c>
      <c r="F144" s="64">
        <f t="shared" si="120"/>
        <v>27.443398828135674</v>
      </c>
      <c r="G144" s="64">
        <f t="shared" si="120"/>
        <v>25.583143592396929</v>
      </c>
      <c r="H144" s="64">
        <f t="shared" si="120"/>
        <v>27.477528602519318</v>
      </c>
      <c r="I144" s="64">
        <f t="shared" si="120"/>
        <v>25.333203749675182</v>
      </c>
      <c r="J144" s="64">
        <f t="shared" si="120"/>
        <v>26.069950052516699</v>
      </c>
      <c r="K144" s="64">
        <f t="shared" si="120"/>
        <v>26.412501311492342</v>
      </c>
      <c r="L144" s="64">
        <f t="shared" si="120"/>
        <v>29.955589856974747</v>
      </c>
      <c r="M144" s="64">
        <f t="shared" si="120"/>
        <v>26.815575585618728</v>
      </c>
      <c r="N144" s="64">
        <f t="shared" si="120"/>
        <v>25.433047455422539</v>
      </c>
      <c r="O144" s="64">
        <f t="shared" si="120"/>
        <v>23.312093623494331</v>
      </c>
      <c r="P144" s="64">
        <f t="shared" si="120"/>
        <v>20.401896185037383</v>
      </c>
      <c r="Q144" s="64">
        <f t="shared" si="120"/>
        <v>20.522942609572837</v>
      </c>
      <c r="R144" s="64">
        <f t="shared" si="120"/>
        <v>21.922876786353989</v>
      </c>
      <c r="S144" s="64">
        <f t="shared" si="120"/>
        <v>18.63049884777897</v>
      </c>
      <c r="T144" s="64">
        <f t="shared" si="120"/>
        <v>17.145040530698054</v>
      </c>
      <c r="U144" s="64">
        <f t="shared" si="120"/>
        <v>15.423351159600678</v>
      </c>
      <c r="V144" s="64">
        <f t="shared" si="120"/>
        <v>14.24198341675862</v>
      </c>
      <c r="W144" s="64">
        <f t="shared" si="120"/>
        <v>18.052438787321215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17.613755869239018</v>
      </c>
      <c r="C145" s="65">
        <f t="shared" ref="C145:W145" si="122">IF(C115=0,0,C115/C$26)</f>
        <v>18.757502839342742</v>
      </c>
      <c r="D145" s="65">
        <f t="shared" si="122"/>
        <v>25.21176661313806</v>
      </c>
      <c r="E145" s="65">
        <f t="shared" si="122"/>
        <v>25.319794874301039</v>
      </c>
      <c r="F145" s="65">
        <f t="shared" si="122"/>
        <v>23.846477048424731</v>
      </c>
      <c r="G145" s="65">
        <f t="shared" si="122"/>
        <v>22.014079653629359</v>
      </c>
      <c r="H145" s="65">
        <f t="shared" si="122"/>
        <v>23.796851285032005</v>
      </c>
      <c r="I145" s="65">
        <f t="shared" si="122"/>
        <v>21.637195847832693</v>
      </c>
      <c r="J145" s="65">
        <f t="shared" si="122"/>
        <v>22.455008503244244</v>
      </c>
      <c r="K145" s="65">
        <f t="shared" si="122"/>
        <v>22.955877141804329</v>
      </c>
      <c r="L145" s="65">
        <f t="shared" si="122"/>
        <v>26.411720690930363</v>
      </c>
      <c r="M145" s="65">
        <f t="shared" si="122"/>
        <v>23.182128433917487</v>
      </c>
      <c r="N145" s="65">
        <f t="shared" si="122"/>
        <v>21.599938282716749</v>
      </c>
      <c r="O145" s="65">
        <f t="shared" si="122"/>
        <v>19.628598152867248</v>
      </c>
      <c r="P145" s="65">
        <f t="shared" si="122"/>
        <v>16.769436166312175</v>
      </c>
      <c r="Q145" s="65">
        <f t="shared" si="122"/>
        <v>16.867486591082233</v>
      </c>
      <c r="R145" s="65">
        <f t="shared" si="122"/>
        <v>18.319695885256227</v>
      </c>
      <c r="S145" s="65">
        <f t="shared" si="122"/>
        <v>15.440057406977319</v>
      </c>
      <c r="T145" s="65">
        <f t="shared" si="122"/>
        <v>14.288100489838161</v>
      </c>
      <c r="U145" s="65">
        <f t="shared" si="122"/>
        <v>12.718695636614408</v>
      </c>
      <c r="V145" s="65">
        <f t="shared" si="122"/>
        <v>12.009714120025624</v>
      </c>
      <c r="W145" s="65">
        <f t="shared" si="122"/>
        <v>15.23046936629801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3.6056255011348106E-4</v>
      </c>
      <c r="C146" s="65">
        <f t="shared" ref="C146:W146" si="124">IF(C116=0,0,C116/C$26)</f>
        <v>3.8704862321305644E-4</v>
      </c>
      <c r="D146" s="65">
        <f t="shared" si="124"/>
        <v>4.5130833798600614E-4</v>
      </c>
      <c r="E146" s="65">
        <f t="shared" si="124"/>
        <v>4.9570127884259547E-4</v>
      </c>
      <c r="F146" s="65">
        <f t="shared" si="124"/>
        <v>5.9277072190934193E-4</v>
      </c>
      <c r="G146" s="65">
        <f t="shared" si="124"/>
        <v>7.0287225745451756E-4</v>
      </c>
      <c r="H146" s="65">
        <f t="shared" si="124"/>
        <v>8.288022411624636E-4</v>
      </c>
      <c r="I146" s="65">
        <f t="shared" si="124"/>
        <v>9.6407657377759056E-4</v>
      </c>
      <c r="J146" s="65">
        <f t="shared" si="124"/>
        <v>1.036440777035984E-3</v>
      </c>
      <c r="K146" s="65">
        <f t="shared" si="124"/>
        <v>1.1504803190072576E-3</v>
      </c>
      <c r="L146" s="65">
        <f t="shared" si="124"/>
        <v>1.3810656847449835E-3</v>
      </c>
      <c r="M146" s="65">
        <f t="shared" si="124"/>
        <v>1.399343991252508E-3</v>
      </c>
      <c r="N146" s="65">
        <f t="shared" si="124"/>
        <v>1.6445690884602656E-3</v>
      </c>
      <c r="O146" s="65">
        <f t="shared" si="124"/>
        <v>2.0115167603064889E-3</v>
      </c>
      <c r="P146" s="65">
        <f t="shared" si="124"/>
        <v>2.5886079628795484E-3</v>
      </c>
      <c r="Q146" s="65">
        <f t="shared" si="124"/>
        <v>3.5411061577396378E-3</v>
      </c>
      <c r="R146" s="65">
        <f t="shared" si="124"/>
        <v>4.4549370582854797E-3</v>
      </c>
      <c r="S146" s="65">
        <f t="shared" si="124"/>
        <v>5.2099427025434613E-3</v>
      </c>
      <c r="T146" s="65">
        <f t="shared" si="124"/>
        <v>5.841670897741894E-3</v>
      </c>
      <c r="U146" s="65">
        <f t="shared" si="124"/>
        <v>6.6608235422206258E-3</v>
      </c>
      <c r="V146" s="65">
        <f t="shared" si="124"/>
        <v>5.6867279176596808E-3</v>
      </c>
      <c r="W146" s="65">
        <f t="shared" si="124"/>
        <v>6.0595347023840217E-3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1.1549817403994775</v>
      </c>
      <c r="C147" s="65">
        <f t="shared" ref="C147:W147" si="126">IF(C117=0,0,C117/C$26)</f>
        <v>1.5189994563591753</v>
      </c>
      <c r="D147" s="65">
        <f t="shared" si="126"/>
        <v>1.7728685304512031</v>
      </c>
      <c r="E147" s="65">
        <f t="shared" si="126"/>
        <v>2.2847944851134629</v>
      </c>
      <c r="F147" s="65">
        <f t="shared" si="126"/>
        <v>2.1664529539747832</v>
      </c>
      <c r="G147" s="65">
        <f t="shared" si="126"/>
        <v>2.0439294096430149</v>
      </c>
      <c r="H147" s="65">
        <f t="shared" si="126"/>
        <v>2.0757436639448157</v>
      </c>
      <c r="I147" s="65">
        <f t="shared" si="126"/>
        <v>2.0902838245271411</v>
      </c>
      <c r="J147" s="65">
        <f t="shared" si="126"/>
        <v>2.0904116459471984</v>
      </c>
      <c r="K147" s="65">
        <f t="shared" si="126"/>
        <v>2.0301553021253147</v>
      </c>
      <c r="L147" s="65">
        <f t="shared" si="126"/>
        <v>2.1606604283662909</v>
      </c>
      <c r="M147" s="65">
        <f t="shared" si="126"/>
        <v>2.1089439109036441</v>
      </c>
      <c r="N147" s="65">
        <f t="shared" si="126"/>
        <v>2.1939909572473462</v>
      </c>
      <c r="O147" s="65">
        <f t="shared" si="126"/>
        <v>2.0118459242574613</v>
      </c>
      <c r="P147" s="65">
        <f t="shared" si="126"/>
        <v>2.0187563095951271</v>
      </c>
      <c r="Q147" s="65">
        <f t="shared" si="126"/>
        <v>1.983305470944059</v>
      </c>
      <c r="R147" s="65">
        <f t="shared" si="126"/>
        <v>2.0004403640274124</v>
      </c>
      <c r="S147" s="65">
        <f t="shared" si="126"/>
        <v>1.698049393265801</v>
      </c>
      <c r="T147" s="65">
        <f t="shared" si="126"/>
        <v>1.4459237410330275</v>
      </c>
      <c r="U147" s="65">
        <f t="shared" si="126"/>
        <v>1.2581454553595997</v>
      </c>
      <c r="V147" s="65">
        <f t="shared" si="126"/>
        <v>1.0863356407883555</v>
      </c>
      <c r="W147" s="65">
        <f t="shared" si="126"/>
        <v>1.3023580249944626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0.73641599567327798</v>
      </c>
      <c r="C148" s="67">
        <f t="shared" ref="C148:W148" si="128">IF(C118=0,0,C118/C$26)</f>
        <v>0.98836274497426913</v>
      </c>
      <c r="D148" s="67">
        <f t="shared" si="128"/>
        <v>1.1571139399373069</v>
      </c>
      <c r="E148" s="67">
        <f t="shared" si="128"/>
        <v>1.4257246198503359</v>
      </c>
      <c r="F148" s="67">
        <f t="shared" si="128"/>
        <v>1.4298760550142489</v>
      </c>
      <c r="G148" s="67">
        <f t="shared" si="128"/>
        <v>1.524431656867109</v>
      </c>
      <c r="H148" s="67">
        <f t="shared" si="128"/>
        <v>1.6041048513013381</v>
      </c>
      <c r="I148" s="67">
        <f t="shared" si="128"/>
        <v>1.6047600007415723</v>
      </c>
      <c r="J148" s="67">
        <f t="shared" si="128"/>
        <v>1.5234934625482215</v>
      </c>
      <c r="K148" s="67">
        <f t="shared" si="128"/>
        <v>1.4253183872436856</v>
      </c>
      <c r="L148" s="67">
        <f t="shared" si="128"/>
        <v>1.3818276719933495</v>
      </c>
      <c r="M148" s="67">
        <f t="shared" si="128"/>
        <v>1.5231038968063431</v>
      </c>
      <c r="N148" s="67">
        <f t="shared" si="128"/>
        <v>1.6374736463699804</v>
      </c>
      <c r="O148" s="67">
        <f t="shared" si="128"/>
        <v>1.669638029609313</v>
      </c>
      <c r="P148" s="67">
        <f t="shared" si="128"/>
        <v>1.6111151011672</v>
      </c>
      <c r="Q148" s="67">
        <f t="shared" si="128"/>
        <v>1.6686094413888031</v>
      </c>
      <c r="R148" s="67">
        <f t="shared" si="128"/>
        <v>1.5982856000120667</v>
      </c>
      <c r="S148" s="67">
        <f t="shared" si="128"/>
        <v>1.48718210483331</v>
      </c>
      <c r="T148" s="67">
        <f t="shared" si="128"/>
        <v>1.405174628929124</v>
      </c>
      <c r="U148" s="67">
        <f t="shared" si="128"/>
        <v>1.4398492440844506</v>
      </c>
      <c r="V148" s="67">
        <f t="shared" si="128"/>
        <v>1.1402469280269818</v>
      </c>
      <c r="W148" s="67">
        <f t="shared" si="128"/>
        <v>1.5135518613263574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7598.1392680150129</v>
      </c>
      <c r="C153" s="82">
        <f t="shared" ref="C153:W153" si="132">IF(C99=0,0,C99/C$23)</f>
        <v>8499.0779769475757</v>
      </c>
      <c r="D153" s="82">
        <f t="shared" si="132"/>
        <v>9619.4230063099949</v>
      </c>
      <c r="E153" s="82">
        <f t="shared" si="132"/>
        <v>9924.5277080535852</v>
      </c>
      <c r="F153" s="82">
        <f t="shared" si="132"/>
        <v>10456.362755664239</v>
      </c>
      <c r="G153" s="82">
        <f t="shared" si="132"/>
        <v>10169.666283898328</v>
      </c>
      <c r="H153" s="82">
        <f t="shared" si="132"/>
        <v>10738.644867999956</v>
      </c>
      <c r="I153" s="82">
        <f t="shared" si="132"/>
        <v>9735.8358735377624</v>
      </c>
      <c r="J153" s="82">
        <f t="shared" si="132"/>
        <v>10559.116875745054</v>
      </c>
      <c r="K153" s="82">
        <f t="shared" si="132"/>
        <v>10328.514597403784</v>
      </c>
      <c r="L153" s="82">
        <f t="shared" si="132"/>
        <v>11448.048858007362</v>
      </c>
      <c r="M153" s="82">
        <f t="shared" si="132"/>
        <v>10894.566826060849</v>
      </c>
      <c r="N153" s="82">
        <f t="shared" si="132"/>
        <v>10661.198227284125</v>
      </c>
      <c r="O153" s="82">
        <f t="shared" si="132"/>
        <v>10203.474093463368</v>
      </c>
      <c r="P153" s="82">
        <f t="shared" si="132"/>
        <v>9567.054425906892</v>
      </c>
      <c r="Q153" s="82">
        <f t="shared" si="132"/>
        <v>9482.5293818006012</v>
      </c>
      <c r="R153" s="82">
        <f t="shared" si="132"/>
        <v>10158.857648306606</v>
      </c>
      <c r="S153" s="82">
        <f t="shared" si="132"/>
        <v>9460.5319651144946</v>
      </c>
      <c r="T153" s="82">
        <f t="shared" si="132"/>
        <v>9218.425888163576</v>
      </c>
      <c r="U153" s="82">
        <f t="shared" si="132"/>
        <v>9028.8184630226551</v>
      </c>
      <c r="V153" s="82">
        <f t="shared" si="132"/>
        <v>8698.0941793536022</v>
      </c>
      <c r="W153" s="82">
        <f t="shared" si="132"/>
        <v>9207.4867543269702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5802.276925563242</v>
      </c>
      <c r="C154" s="64">
        <f t="shared" ref="C154:W154" si="134">IF(C100=0,0,C100/C$23)</f>
        <v>6577.8143959797935</v>
      </c>
      <c r="D154" s="64">
        <f t="shared" si="134"/>
        <v>7620.5911624833088</v>
      </c>
      <c r="E154" s="64">
        <f t="shared" si="134"/>
        <v>7844.0007518868206</v>
      </c>
      <c r="F154" s="64">
        <f t="shared" si="134"/>
        <v>8273.1238372930275</v>
      </c>
      <c r="G154" s="64">
        <f t="shared" si="134"/>
        <v>7927.2076785129766</v>
      </c>
      <c r="H154" s="64">
        <f t="shared" si="134"/>
        <v>8473.5296816169866</v>
      </c>
      <c r="I154" s="64">
        <f t="shared" si="134"/>
        <v>7464.4317054954427</v>
      </c>
      <c r="J154" s="64">
        <f t="shared" si="134"/>
        <v>8245.8068249856587</v>
      </c>
      <c r="K154" s="64">
        <f t="shared" si="134"/>
        <v>7996.3460513426007</v>
      </c>
      <c r="L154" s="64">
        <f t="shared" si="134"/>
        <v>9049.5145840578643</v>
      </c>
      <c r="M154" s="64">
        <f t="shared" si="134"/>
        <v>8427.3368293892945</v>
      </c>
      <c r="N154" s="64">
        <f t="shared" si="134"/>
        <v>8156.2052603142074</v>
      </c>
      <c r="O154" s="64">
        <f t="shared" si="134"/>
        <v>7678.1990504778905</v>
      </c>
      <c r="P154" s="64">
        <f t="shared" si="134"/>
        <v>7008.62796135792</v>
      </c>
      <c r="Q154" s="64">
        <f t="shared" si="134"/>
        <v>6876.8780081900522</v>
      </c>
      <c r="R154" s="64">
        <f t="shared" si="134"/>
        <v>7527.3804162370552</v>
      </c>
      <c r="S154" s="64">
        <f t="shared" si="134"/>
        <v>6872.3833910445055</v>
      </c>
      <c r="T154" s="64">
        <f t="shared" si="134"/>
        <v>6667.9179047404059</v>
      </c>
      <c r="U154" s="64">
        <f t="shared" si="134"/>
        <v>6539.7944225909096</v>
      </c>
      <c r="V154" s="64">
        <f t="shared" si="134"/>
        <v>6277.6356711003255</v>
      </c>
      <c r="W154" s="64">
        <f t="shared" si="134"/>
        <v>6819.7834798175163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4621.1600819473197</v>
      </c>
      <c r="C155" s="65">
        <f t="shared" ref="C155:W155" si="136">IF(C101=0,0,C101/C$23)</f>
        <v>5201.2057430802133</v>
      </c>
      <c r="D155" s="65">
        <f t="shared" si="136"/>
        <v>6013.2255818853619</v>
      </c>
      <c r="E155" s="65">
        <f t="shared" si="136"/>
        <v>6067.4415849602765</v>
      </c>
      <c r="F155" s="65">
        <f t="shared" si="136"/>
        <v>6413.6416315868119</v>
      </c>
      <c r="G155" s="65">
        <f t="shared" si="136"/>
        <v>6060.3444290866346</v>
      </c>
      <c r="H155" s="65">
        <f t="shared" si="136"/>
        <v>6564.4780105224654</v>
      </c>
      <c r="I155" s="65">
        <f t="shared" si="136"/>
        <v>5489.7785245162077</v>
      </c>
      <c r="J155" s="65">
        <f t="shared" si="136"/>
        <v>6232.9330148723411</v>
      </c>
      <c r="K155" s="65">
        <f t="shared" si="136"/>
        <v>6009.9187656432687</v>
      </c>
      <c r="L155" s="65">
        <f t="shared" si="136"/>
        <v>7019.7621101865652</v>
      </c>
      <c r="M155" s="65">
        <f t="shared" si="136"/>
        <v>6358.7934784752933</v>
      </c>
      <c r="N155" s="65">
        <f t="shared" si="136"/>
        <v>6079.848632904148</v>
      </c>
      <c r="O155" s="65">
        <f t="shared" si="136"/>
        <v>5597.6437230875254</v>
      </c>
      <c r="P155" s="65">
        <f t="shared" si="136"/>
        <v>4959.7779476694668</v>
      </c>
      <c r="Q155" s="65">
        <f t="shared" si="136"/>
        <v>4827.9188891739086</v>
      </c>
      <c r="R155" s="65">
        <f t="shared" si="136"/>
        <v>5485.1955985203576</v>
      </c>
      <c r="S155" s="65">
        <f t="shared" si="136"/>
        <v>4892.2632816365003</v>
      </c>
      <c r="T155" s="65">
        <f t="shared" si="136"/>
        <v>4714.9877135651532</v>
      </c>
      <c r="U155" s="65">
        <f t="shared" si="136"/>
        <v>4595.6370664932811</v>
      </c>
      <c r="V155" s="65">
        <f t="shared" si="136"/>
        <v>4482.2933186127684</v>
      </c>
      <c r="W155" s="65">
        <f t="shared" si="136"/>
        <v>5003.9628748555488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31.015624176537706</v>
      </c>
      <c r="C156" s="65">
        <f t="shared" ref="C156:W156" si="138">IF(C102=0,0,C102/C$23)</f>
        <v>31.682233802151202</v>
      </c>
      <c r="D156" s="65">
        <f t="shared" si="138"/>
        <v>32.870384834727567</v>
      </c>
      <c r="E156" s="65">
        <f t="shared" si="138"/>
        <v>33.049321025306625</v>
      </c>
      <c r="F156" s="65">
        <f t="shared" si="138"/>
        <v>34.548745399758374</v>
      </c>
      <c r="G156" s="65">
        <f t="shared" si="138"/>
        <v>36.101851792948494</v>
      </c>
      <c r="H156" s="65">
        <f t="shared" si="138"/>
        <v>39.547499995941891</v>
      </c>
      <c r="I156" s="65">
        <f t="shared" si="138"/>
        <v>40.313022138244932</v>
      </c>
      <c r="J156" s="65">
        <f t="shared" si="138"/>
        <v>41.225434096313045</v>
      </c>
      <c r="K156" s="65">
        <f t="shared" si="138"/>
        <v>44.065445679399687</v>
      </c>
      <c r="L156" s="65">
        <f t="shared" si="138"/>
        <v>53.128472448140023</v>
      </c>
      <c r="M156" s="65">
        <f t="shared" si="138"/>
        <v>49.200537180006307</v>
      </c>
      <c r="N156" s="65">
        <f t="shared" si="138"/>
        <v>52.405192759456135</v>
      </c>
      <c r="O156" s="65">
        <f t="shared" si="138"/>
        <v>51.82600983824792</v>
      </c>
      <c r="P156" s="65">
        <f t="shared" si="138"/>
        <v>49.919090149376316</v>
      </c>
      <c r="Q156" s="65">
        <f t="shared" si="138"/>
        <v>56.649656433822202</v>
      </c>
      <c r="R156" s="65">
        <f t="shared" si="138"/>
        <v>47.772173777112059</v>
      </c>
      <c r="S156" s="65">
        <f t="shared" si="138"/>
        <v>46.826154661400139</v>
      </c>
      <c r="T156" s="65">
        <f t="shared" si="138"/>
        <v>47.732272511493257</v>
      </c>
      <c r="U156" s="65">
        <f t="shared" si="138"/>
        <v>51.799258237277357</v>
      </c>
      <c r="V156" s="65">
        <f t="shared" si="138"/>
        <v>44.61552566905096</v>
      </c>
      <c r="W156" s="65">
        <f t="shared" si="138"/>
        <v>45.057584028933519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535.4850811026339</v>
      </c>
      <c r="C157" s="65">
        <f t="shared" ref="C157:W157" si="140">IF(C103=0,0,C103/C$23)</f>
        <v>606.93918130749307</v>
      </c>
      <c r="D157" s="65">
        <f t="shared" si="140"/>
        <v>731.63768874509822</v>
      </c>
      <c r="E157" s="65">
        <f t="shared" si="140"/>
        <v>796.81536209063961</v>
      </c>
      <c r="F157" s="65">
        <f t="shared" si="140"/>
        <v>854.17778577267927</v>
      </c>
      <c r="G157" s="65">
        <f t="shared" si="140"/>
        <v>850.20402784749149</v>
      </c>
      <c r="H157" s="65">
        <f t="shared" si="140"/>
        <v>882.29065763520589</v>
      </c>
      <c r="I157" s="65">
        <f t="shared" si="140"/>
        <v>921.49520818679184</v>
      </c>
      <c r="J157" s="65">
        <f t="shared" si="140"/>
        <v>944.33941431158087</v>
      </c>
      <c r="K157" s="65">
        <f t="shared" si="140"/>
        <v>942.17283457331484</v>
      </c>
      <c r="L157" s="65">
        <f t="shared" si="140"/>
        <v>955.36186305313049</v>
      </c>
      <c r="M157" s="65">
        <f t="shared" si="140"/>
        <v>971.58512578660202</v>
      </c>
      <c r="N157" s="65">
        <f t="shared" si="140"/>
        <v>983.14367140885156</v>
      </c>
      <c r="O157" s="65">
        <f t="shared" si="140"/>
        <v>991.87570219715872</v>
      </c>
      <c r="P157" s="65">
        <f t="shared" si="140"/>
        <v>977.09293365103179</v>
      </c>
      <c r="Q157" s="65">
        <f t="shared" si="140"/>
        <v>980.06211054998312</v>
      </c>
      <c r="R157" s="65">
        <f t="shared" si="140"/>
        <v>990.53264133323989</v>
      </c>
      <c r="S157" s="65">
        <f t="shared" si="140"/>
        <v>958.14134077780773</v>
      </c>
      <c r="T157" s="65">
        <f t="shared" si="140"/>
        <v>930.05391806312537</v>
      </c>
      <c r="U157" s="65">
        <f t="shared" si="140"/>
        <v>915.47352654700853</v>
      </c>
      <c r="V157" s="65">
        <f t="shared" si="140"/>
        <v>842.77067827232406</v>
      </c>
      <c r="W157" s="65">
        <f t="shared" si="140"/>
        <v>872.56123321976997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614.61613833675176</v>
      </c>
      <c r="C158" s="67">
        <f t="shared" ref="C158:W158" si="142">IF(C104=0,0,C104/C$23)</f>
        <v>737.98723778993588</v>
      </c>
      <c r="D158" s="67">
        <f t="shared" si="142"/>
        <v>842.85750701812151</v>
      </c>
      <c r="E158" s="67">
        <f t="shared" si="142"/>
        <v>946.69448381059726</v>
      </c>
      <c r="F158" s="67">
        <f t="shared" si="142"/>
        <v>970.75567453377869</v>
      </c>
      <c r="G158" s="67">
        <f t="shared" si="142"/>
        <v>980.55736978590221</v>
      </c>
      <c r="H158" s="67">
        <f t="shared" si="142"/>
        <v>987.21351346337406</v>
      </c>
      <c r="I158" s="67">
        <f t="shared" si="142"/>
        <v>1012.8449506541981</v>
      </c>
      <c r="J158" s="67">
        <f t="shared" si="142"/>
        <v>1027.3089617054231</v>
      </c>
      <c r="K158" s="67">
        <f t="shared" si="142"/>
        <v>1000.1890054466166</v>
      </c>
      <c r="L158" s="67">
        <f t="shared" si="142"/>
        <v>1021.2621383700318</v>
      </c>
      <c r="M158" s="67">
        <f t="shared" si="142"/>
        <v>1047.7576879473932</v>
      </c>
      <c r="N158" s="67">
        <f t="shared" si="142"/>
        <v>1040.8077632417524</v>
      </c>
      <c r="O158" s="67">
        <f t="shared" si="142"/>
        <v>1036.8536153549587</v>
      </c>
      <c r="P158" s="67">
        <f t="shared" si="142"/>
        <v>1021.8379898880445</v>
      </c>
      <c r="Q158" s="67">
        <f t="shared" si="142"/>
        <v>1012.2473520323385</v>
      </c>
      <c r="R158" s="67">
        <f t="shared" si="142"/>
        <v>1003.8800026063459</v>
      </c>
      <c r="S158" s="67">
        <f t="shared" si="142"/>
        <v>975.15261396879703</v>
      </c>
      <c r="T158" s="67">
        <f t="shared" si="142"/>
        <v>975.14400060063338</v>
      </c>
      <c r="U158" s="67">
        <f t="shared" si="142"/>
        <v>976.88457131334269</v>
      </c>
      <c r="V158" s="67">
        <f t="shared" si="142"/>
        <v>907.95614854618191</v>
      </c>
      <c r="W158" s="67">
        <f t="shared" si="142"/>
        <v>898.20178771326437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1795.86234245177</v>
      </c>
      <c r="C159" s="68">
        <f t="shared" ref="C159:W159" si="144">IF(C105=0,0,C105/C$23)</f>
        <v>1921.263580967782</v>
      </c>
      <c r="D159" s="68">
        <f t="shared" si="144"/>
        <v>1998.8318438266847</v>
      </c>
      <c r="E159" s="68">
        <f t="shared" si="144"/>
        <v>2080.5269561667651</v>
      </c>
      <c r="F159" s="68">
        <f t="shared" si="144"/>
        <v>2183.2389183712116</v>
      </c>
      <c r="G159" s="68">
        <f t="shared" si="144"/>
        <v>2242.4586053853504</v>
      </c>
      <c r="H159" s="68">
        <f t="shared" si="144"/>
        <v>2265.1151863829673</v>
      </c>
      <c r="I159" s="68">
        <f t="shared" si="144"/>
        <v>2271.4041680423206</v>
      </c>
      <c r="J159" s="68">
        <f t="shared" si="144"/>
        <v>2313.310050759394</v>
      </c>
      <c r="K159" s="68">
        <f t="shared" si="144"/>
        <v>2332.1685460611839</v>
      </c>
      <c r="L159" s="68">
        <f t="shared" si="144"/>
        <v>2398.5342739494954</v>
      </c>
      <c r="M159" s="68">
        <f t="shared" si="144"/>
        <v>2467.2299966715545</v>
      </c>
      <c r="N159" s="68">
        <f t="shared" si="144"/>
        <v>2504.9929669699191</v>
      </c>
      <c r="O159" s="68">
        <f t="shared" si="144"/>
        <v>2525.2750429854759</v>
      </c>
      <c r="P159" s="68">
        <f t="shared" si="144"/>
        <v>2558.4264645489716</v>
      </c>
      <c r="Q159" s="68">
        <f t="shared" si="144"/>
        <v>2605.651373610548</v>
      </c>
      <c r="R159" s="68">
        <f t="shared" si="144"/>
        <v>2631.4772320695497</v>
      </c>
      <c r="S159" s="68">
        <f t="shared" si="144"/>
        <v>2588.1485740699895</v>
      </c>
      <c r="T159" s="68">
        <f t="shared" si="144"/>
        <v>2550.5079834231697</v>
      </c>
      <c r="U159" s="68">
        <f t="shared" si="144"/>
        <v>2489.0240404317456</v>
      </c>
      <c r="V159" s="68">
        <f t="shared" si="144"/>
        <v>2420.4585082532772</v>
      </c>
      <c r="W159" s="68">
        <f t="shared" si="144"/>
        <v>2387.7032745094534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3551.8882529953603</v>
      </c>
      <c r="C161" s="85">
        <f t="shared" ref="C161:W161" si="146">IF(C107=0,0,C107/C$23)</f>
        <v>4062.1063074709859</v>
      </c>
      <c r="D161" s="85">
        <f t="shared" si="146"/>
        <v>4703.6636056622428</v>
      </c>
      <c r="E161" s="85">
        <f t="shared" si="146"/>
        <v>4867.5190313534868</v>
      </c>
      <c r="F161" s="85">
        <f t="shared" si="146"/>
        <v>5276.8412205566692</v>
      </c>
      <c r="G161" s="85">
        <f t="shared" si="146"/>
        <v>5115.7806051627495</v>
      </c>
      <c r="H161" s="85">
        <f t="shared" si="146"/>
        <v>5563.0935279155265</v>
      </c>
      <c r="I161" s="85">
        <f t="shared" si="146"/>
        <v>4903.7937823580914</v>
      </c>
      <c r="J161" s="85">
        <f t="shared" si="146"/>
        <v>5557.0807595452679</v>
      </c>
      <c r="K161" s="85">
        <f t="shared" si="146"/>
        <v>5419.9172225293669</v>
      </c>
      <c r="L161" s="85">
        <f t="shared" si="146"/>
        <v>6189.0549427112137</v>
      </c>
      <c r="M161" s="85">
        <f t="shared" si="146"/>
        <v>5831.1482303807461</v>
      </c>
      <c r="N161" s="85">
        <f t="shared" si="146"/>
        <v>5755.7020876914785</v>
      </c>
      <c r="O161" s="85">
        <f t="shared" si="146"/>
        <v>5510.2777244519402</v>
      </c>
      <c r="P161" s="85">
        <f t="shared" si="146"/>
        <v>5082.1505079813442</v>
      </c>
      <c r="Q161" s="85">
        <f t="shared" si="146"/>
        <v>5021.7829993804362</v>
      </c>
      <c r="R161" s="85">
        <f t="shared" si="146"/>
        <v>5529.912009818052</v>
      </c>
      <c r="S161" s="85">
        <f t="shared" si="146"/>
        <v>5146.57485993519</v>
      </c>
      <c r="T161" s="85">
        <f t="shared" si="146"/>
        <v>5063.4250522738066</v>
      </c>
      <c r="U161" s="85">
        <f t="shared" si="146"/>
        <v>5065.9624937655126</v>
      </c>
      <c r="V161" s="85">
        <f t="shared" si="146"/>
        <v>4927.1782949255776</v>
      </c>
      <c r="W161" s="85">
        <f t="shared" si="146"/>
        <v>5356.4646037272669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2716.4453266159539</v>
      </c>
      <c r="C162" s="65">
        <f t="shared" ref="C162:W162" si="148">IF(C108=0,0,C108/C$23)</f>
        <v>3094.0228728181314</v>
      </c>
      <c r="D162" s="65">
        <f t="shared" si="148"/>
        <v>3573.7011302473243</v>
      </c>
      <c r="E162" s="65">
        <f t="shared" si="148"/>
        <v>3625.0609110071414</v>
      </c>
      <c r="F162" s="65">
        <f t="shared" si="148"/>
        <v>3962.7296460693224</v>
      </c>
      <c r="G162" s="65">
        <f t="shared" si="148"/>
        <v>3784.73900092448</v>
      </c>
      <c r="H162" s="65">
        <f t="shared" si="148"/>
        <v>4190.1219077404094</v>
      </c>
      <c r="I162" s="65">
        <f t="shared" si="148"/>
        <v>3469.820543243171</v>
      </c>
      <c r="J162" s="65">
        <f t="shared" si="148"/>
        <v>4079.3101617459015</v>
      </c>
      <c r="K162" s="65">
        <f t="shared" si="148"/>
        <v>3943.4767531448606</v>
      </c>
      <c r="L162" s="65">
        <f t="shared" si="148"/>
        <v>4654.7171954953337</v>
      </c>
      <c r="M162" s="65">
        <f t="shared" si="148"/>
        <v>4272.0889353826751</v>
      </c>
      <c r="N162" s="65">
        <f t="shared" si="148"/>
        <v>4179.8779038049261</v>
      </c>
      <c r="O162" s="65">
        <f t="shared" si="148"/>
        <v>3916.974650446668</v>
      </c>
      <c r="P162" s="65">
        <f t="shared" si="148"/>
        <v>3504.4017091243604</v>
      </c>
      <c r="Q162" s="65">
        <f t="shared" si="148"/>
        <v>3416.7712586470975</v>
      </c>
      <c r="R162" s="65">
        <f t="shared" si="148"/>
        <v>3932.7798714424998</v>
      </c>
      <c r="S162" s="65">
        <f t="shared" si="148"/>
        <v>3568.8981784219613</v>
      </c>
      <c r="T162" s="65">
        <f t="shared" si="148"/>
        <v>3479.66612976949</v>
      </c>
      <c r="U162" s="65">
        <f t="shared" si="148"/>
        <v>3454.6070033556352</v>
      </c>
      <c r="V162" s="65">
        <f t="shared" si="148"/>
        <v>3416.2154736176044</v>
      </c>
      <c r="W162" s="65">
        <f t="shared" si="148"/>
        <v>3826.0873631688141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56.928144433789384</v>
      </c>
      <c r="C163" s="65">
        <f t="shared" ref="C163:W163" si="150">IF(C109=0,0,C109/C$23)</f>
        <v>59.833467080558833</v>
      </c>
      <c r="D163" s="65">
        <f t="shared" si="150"/>
        <v>64.585579010048178</v>
      </c>
      <c r="E163" s="65">
        <f t="shared" si="150"/>
        <v>67.8113003858751</v>
      </c>
      <c r="F163" s="65">
        <f t="shared" si="150"/>
        <v>74.500357009985763</v>
      </c>
      <c r="G163" s="65">
        <f t="shared" si="150"/>
        <v>81.804215942185493</v>
      </c>
      <c r="H163" s="65">
        <f t="shared" si="150"/>
        <v>94.353111453614574</v>
      </c>
      <c r="I163" s="65">
        <f t="shared" si="150"/>
        <v>101.284795881254</v>
      </c>
      <c r="J163" s="65">
        <f t="shared" si="150"/>
        <v>108.53830893372917</v>
      </c>
      <c r="K163" s="65">
        <f t="shared" si="150"/>
        <v>118.01476479092881</v>
      </c>
      <c r="L163" s="65">
        <f t="shared" si="150"/>
        <v>144.94947673070482</v>
      </c>
      <c r="M163" s="65">
        <f t="shared" si="150"/>
        <v>137.5357233266281</v>
      </c>
      <c r="N163" s="65">
        <f t="shared" si="150"/>
        <v>150.31852642871661</v>
      </c>
      <c r="O163" s="65">
        <f t="shared" si="150"/>
        <v>152.49575665340689</v>
      </c>
      <c r="P163" s="65">
        <f t="shared" si="150"/>
        <v>151.44460249478126</v>
      </c>
      <c r="Q163" s="65">
        <f t="shared" si="150"/>
        <v>177.89061713339564</v>
      </c>
      <c r="R163" s="65">
        <f t="shared" si="150"/>
        <v>154.58076413217665</v>
      </c>
      <c r="S163" s="65">
        <f t="shared" si="150"/>
        <v>156.43977149031005</v>
      </c>
      <c r="T163" s="65">
        <f t="shared" si="150"/>
        <v>164.34992886120119</v>
      </c>
      <c r="U163" s="65">
        <f t="shared" si="150"/>
        <v>183.09729171670469</v>
      </c>
      <c r="V163" s="65">
        <f t="shared" si="150"/>
        <v>161.31654651689908</v>
      </c>
      <c r="W163" s="65">
        <f t="shared" si="150"/>
        <v>166.82384095446952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332.42218988004572</v>
      </c>
      <c r="C164" s="65">
        <f t="shared" ref="C164:W164" si="152">IF(C110=0,0,C110/C$23)</f>
        <v>375.82181379112012</v>
      </c>
      <c r="D164" s="65">
        <f t="shared" si="152"/>
        <v>457.01222136132139</v>
      </c>
      <c r="E164" s="65">
        <f t="shared" si="152"/>
        <v>494.23095420404974</v>
      </c>
      <c r="F164" s="65">
        <f t="shared" si="152"/>
        <v>540.15743251479614</v>
      </c>
      <c r="G164" s="65">
        <f t="shared" si="152"/>
        <v>543.70150298100828</v>
      </c>
      <c r="H164" s="65">
        <f t="shared" si="152"/>
        <v>568.0045972423826</v>
      </c>
      <c r="I164" s="65">
        <f t="shared" si="152"/>
        <v>599.27231195549257</v>
      </c>
      <c r="J164" s="65">
        <f t="shared" si="152"/>
        <v>619.79867082463284</v>
      </c>
      <c r="K164" s="65">
        <f t="shared" si="152"/>
        <v>624.55580224920993</v>
      </c>
      <c r="L164" s="65">
        <f t="shared" si="152"/>
        <v>636.41236571166621</v>
      </c>
      <c r="M164" s="65">
        <f t="shared" si="152"/>
        <v>653.84802330577236</v>
      </c>
      <c r="N164" s="65">
        <f t="shared" si="152"/>
        <v>667.37897827499182</v>
      </c>
      <c r="O164" s="65">
        <f t="shared" si="152"/>
        <v>685.51125319842333</v>
      </c>
      <c r="P164" s="65">
        <f t="shared" si="152"/>
        <v>678.60409491072585</v>
      </c>
      <c r="Q164" s="65">
        <f t="shared" si="152"/>
        <v>686.75184415827493</v>
      </c>
      <c r="R164" s="65">
        <f t="shared" si="152"/>
        <v>702.89328132223068</v>
      </c>
      <c r="S164" s="65">
        <f t="shared" si="152"/>
        <v>696.38463924777818</v>
      </c>
      <c r="T164" s="65">
        <f t="shared" si="152"/>
        <v>686.34665026647031</v>
      </c>
      <c r="U164" s="65">
        <f t="shared" si="152"/>
        <v>690.20199459922412</v>
      </c>
      <c r="V164" s="65">
        <f t="shared" si="152"/>
        <v>649.79276709390922</v>
      </c>
      <c r="W164" s="65">
        <f t="shared" si="152"/>
        <v>681.0780155818195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446.09259206557181</v>
      </c>
      <c r="C165" s="68">
        <f t="shared" ref="C165:W165" si="154">IF(C111=0,0,C111/C$23)</f>
        <v>532.42815378117541</v>
      </c>
      <c r="D165" s="68">
        <f t="shared" si="154"/>
        <v>608.3646750435488</v>
      </c>
      <c r="E165" s="68">
        <f t="shared" si="154"/>
        <v>680.41586575642043</v>
      </c>
      <c r="F165" s="68">
        <f t="shared" si="154"/>
        <v>699.45378496256433</v>
      </c>
      <c r="G165" s="68">
        <f t="shared" si="154"/>
        <v>705.53588531507523</v>
      </c>
      <c r="H165" s="68">
        <f t="shared" si="154"/>
        <v>710.61391147912002</v>
      </c>
      <c r="I165" s="68">
        <f t="shared" si="154"/>
        <v>733.41613127817413</v>
      </c>
      <c r="J165" s="68">
        <f t="shared" si="154"/>
        <v>749.43361804100482</v>
      </c>
      <c r="K165" s="68">
        <f t="shared" si="154"/>
        <v>733.86990234436723</v>
      </c>
      <c r="L165" s="68">
        <f t="shared" si="154"/>
        <v>752.97590477350877</v>
      </c>
      <c r="M165" s="68">
        <f t="shared" si="154"/>
        <v>767.67554836566967</v>
      </c>
      <c r="N165" s="68">
        <f t="shared" si="154"/>
        <v>758.1266791828433</v>
      </c>
      <c r="O165" s="68">
        <f t="shared" si="154"/>
        <v>755.29606415344244</v>
      </c>
      <c r="P165" s="68">
        <f t="shared" si="154"/>
        <v>747.70010145147717</v>
      </c>
      <c r="Q165" s="68">
        <f t="shared" si="154"/>
        <v>740.36927944166825</v>
      </c>
      <c r="R165" s="68">
        <f t="shared" si="154"/>
        <v>739.65809292114545</v>
      </c>
      <c r="S165" s="68">
        <f t="shared" si="154"/>
        <v>724.85227077513991</v>
      </c>
      <c r="T165" s="68">
        <f t="shared" si="154"/>
        <v>733.06234337664534</v>
      </c>
      <c r="U165" s="68">
        <f t="shared" si="154"/>
        <v>738.05620409394737</v>
      </c>
      <c r="V165" s="68">
        <f t="shared" si="154"/>
        <v>699.85350769716524</v>
      </c>
      <c r="W165" s="68">
        <f t="shared" si="154"/>
        <v>682.47538402216333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732.30141345681989</v>
      </c>
      <c r="C167" s="82">
        <f t="shared" ref="C167:W167" si="156">IF(C113=0,0,C113/C$23)</f>
        <v>821.72684085315302</v>
      </c>
      <c r="D167" s="82">
        <f t="shared" si="156"/>
        <v>1090.9609716953482</v>
      </c>
      <c r="E167" s="82">
        <f t="shared" si="156"/>
        <v>1139.6729386626398</v>
      </c>
      <c r="F167" s="82">
        <f t="shared" si="156"/>
        <v>1095.1633051274694</v>
      </c>
      <c r="G167" s="82">
        <f t="shared" si="156"/>
        <v>1015.6626570710015</v>
      </c>
      <c r="H167" s="82">
        <f t="shared" si="156"/>
        <v>1078.7006185398</v>
      </c>
      <c r="I167" s="82">
        <f t="shared" si="156"/>
        <v>985.05092421581435</v>
      </c>
      <c r="J167" s="82">
        <f t="shared" si="156"/>
        <v>1017.133283471658</v>
      </c>
      <c r="K167" s="82">
        <f t="shared" si="156"/>
        <v>1031.1884029605646</v>
      </c>
      <c r="L167" s="82">
        <f t="shared" si="156"/>
        <v>1181.1384791503403</v>
      </c>
      <c r="M167" s="82">
        <f t="shared" si="156"/>
        <v>1082.1104170091062</v>
      </c>
      <c r="N167" s="82">
        <f t="shared" si="156"/>
        <v>1032.7194005918411</v>
      </c>
      <c r="O167" s="82">
        <f t="shared" si="156"/>
        <v>943.93969269681077</v>
      </c>
      <c r="P167" s="82">
        <f t="shared" si="156"/>
        <v>821.61339078093999</v>
      </c>
      <c r="Q167" s="82">
        <f t="shared" si="156"/>
        <v>823.78339478818407</v>
      </c>
      <c r="R167" s="82">
        <f t="shared" si="156"/>
        <v>882.80915871134516</v>
      </c>
      <c r="S167" s="82">
        <f t="shared" si="156"/>
        <v>753.56094248467662</v>
      </c>
      <c r="T167" s="82">
        <f t="shared" si="156"/>
        <v>698.98943120006186</v>
      </c>
      <c r="U167" s="82">
        <f t="shared" si="156"/>
        <v>636.25644236930191</v>
      </c>
      <c r="V167" s="82">
        <f t="shared" si="156"/>
        <v>593.62747989986383</v>
      </c>
      <c r="W167" s="82">
        <f t="shared" si="156"/>
        <v>728.35100487726606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732.30141345681989</v>
      </c>
      <c r="C168" s="64">
        <f t="shared" ref="C168:W168" si="158">IF(C114=0,0,C114/C$23)</f>
        <v>821.72684085315302</v>
      </c>
      <c r="D168" s="64">
        <f t="shared" si="158"/>
        <v>1090.9609716953482</v>
      </c>
      <c r="E168" s="64">
        <f t="shared" si="158"/>
        <v>1139.6729386626398</v>
      </c>
      <c r="F168" s="64">
        <f t="shared" si="158"/>
        <v>1095.1633051274694</v>
      </c>
      <c r="G168" s="64">
        <f t="shared" si="158"/>
        <v>1015.6626570710015</v>
      </c>
      <c r="H168" s="64">
        <f t="shared" si="158"/>
        <v>1078.7006185398</v>
      </c>
      <c r="I168" s="64">
        <f t="shared" si="158"/>
        <v>985.05092421581435</v>
      </c>
      <c r="J168" s="64">
        <f t="shared" si="158"/>
        <v>1017.133283471658</v>
      </c>
      <c r="K168" s="64">
        <f t="shared" si="158"/>
        <v>1031.1884029605646</v>
      </c>
      <c r="L168" s="64">
        <f t="shared" si="158"/>
        <v>1181.1384791503403</v>
      </c>
      <c r="M168" s="64">
        <f t="shared" si="158"/>
        <v>1082.1104170091062</v>
      </c>
      <c r="N168" s="64">
        <f t="shared" si="158"/>
        <v>1032.7194005918411</v>
      </c>
      <c r="O168" s="64">
        <f t="shared" si="158"/>
        <v>943.93969269681077</v>
      </c>
      <c r="P168" s="64">
        <f t="shared" si="158"/>
        <v>821.61339078093999</v>
      </c>
      <c r="Q168" s="64">
        <f t="shared" si="158"/>
        <v>823.78339478818407</v>
      </c>
      <c r="R168" s="64">
        <f t="shared" si="158"/>
        <v>882.80915871134516</v>
      </c>
      <c r="S168" s="64">
        <f t="shared" si="158"/>
        <v>753.56094248467662</v>
      </c>
      <c r="T168" s="64">
        <f t="shared" si="158"/>
        <v>698.98943120006186</v>
      </c>
      <c r="U168" s="64">
        <f t="shared" si="158"/>
        <v>636.25644236930191</v>
      </c>
      <c r="V168" s="64">
        <f t="shared" si="158"/>
        <v>593.62747989986383</v>
      </c>
      <c r="W168" s="64">
        <f t="shared" si="158"/>
        <v>728.35100487726606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661.27855991508977</v>
      </c>
      <c r="C169" s="65">
        <f t="shared" ref="C169:W169" si="160">IF(C115=0,0,C115/C$23)</f>
        <v>724.82298755457509</v>
      </c>
      <c r="D169" s="65">
        <f t="shared" si="160"/>
        <v>977.35973091772496</v>
      </c>
      <c r="E169" s="65">
        <f t="shared" si="160"/>
        <v>993.98829547869138</v>
      </c>
      <c r="F169" s="65">
        <f t="shared" si="160"/>
        <v>951.6236229903343</v>
      </c>
      <c r="G169" s="65">
        <f t="shared" si="160"/>
        <v>873.96916462692695</v>
      </c>
      <c r="H169" s="65">
        <f t="shared" si="160"/>
        <v>934.20622253888212</v>
      </c>
      <c r="I169" s="65">
        <f t="shared" si="160"/>
        <v>841.33613647738707</v>
      </c>
      <c r="J169" s="65">
        <f t="shared" si="160"/>
        <v>876.09437238196608</v>
      </c>
      <c r="K169" s="65">
        <f t="shared" si="160"/>
        <v>896.23599102733556</v>
      </c>
      <c r="L169" s="65">
        <f t="shared" si="160"/>
        <v>1041.4049517160661</v>
      </c>
      <c r="M169" s="65">
        <f t="shared" si="160"/>
        <v>935.48701152022261</v>
      </c>
      <c r="N169" s="65">
        <f t="shared" si="160"/>
        <v>877.07441883422553</v>
      </c>
      <c r="O169" s="65">
        <f t="shared" si="160"/>
        <v>794.7897433722402</v>
      </c>
      <c r="P169" s="65">
        <f t="shared" si="160"/>
        <v>675.32905692329541</v>
      </c>
      <c r="Q169" s="65">
        <f t="shared" si="160"/>
        <v>677.05472991307602</v>
      </c>
      <c r="R169" s="65">
        <f t="shared" si="160"/>
        <v>737.71318745802478</v>
      </c>
      <c r="S169" s="65">
        <f t="shared" si="160"/>
        <v>624.514904656265</v>
      </c>
      <c r="T169" s="65">
        <f t="shared" si="160"/>
        <v>582.5142971484521</v>
      </c>
      <c r="U169" s="65">
        <f t="shared" si="160"/>
        <v>524.68182521364338</v>
      </c>
      <c r="V169" s="65">
        <f t="shared" si="160"/>
        <v>500.58310831899576</v>
      </c>
      <c r="W169" s="65">
        <f t="shared" si="160"/>
        <v>614.49468398068302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1.3536708789904239E-2</v>
      </c>
      <c r="C170" s="65">
        <f t="shared" ref="C170:W170" si="162">IF(C116=0,0,C116/C$23)</f>
        <v>1.4956241340278681E-2</v>
      </c>
      <c r="D170" s="65">
        <f t="shared" si="162"/>
        <v>1.7495425947068405E-2</v>
      </c>
      <c r="E170" s="65">
        <f t="shared" si="162"/>
        <v>1.9459923418394622E-2</v>
      </c>
      <c r="F170" s="65">
        <f t="shared" si="162"/>
        <v>2.3655260307024153E-2</v>
      </c>
      <c r="G170" s="65">
        <f t="shared" si="162"/>
        <v>2.7904354365579493E-2</v>
      </c>
      <c r="H170" s="65">
        <f t="shared" si="162"/>
        <v>3.2536750416016363E-2</v>
      </c>
      <c r="I170" s="65">
        <f t="shared" si="162"/>
        <v>3.7486949120148598E-2</v>
      </c>
      <c r="J170" s="65">
        <f t="shared" si="162"/>
        <v>4.0437300744608003E-2</v>
      </c>
      <c r="K170" s="65">
        <f t="shared" si="162"/>
        <v>4.4916683535703494E-2</v>
      </c>
      <c r="L170" s="65">
        <f t="shared" si="162"/>
        <v>5.4454939137397886E-2</v>
      </c>
      <c r="M170" s="65">
        <f t="shared" si="162"/>
        <v>5.6468849795099391E-2</v>
      </c>
      <c r="N170" s="65">
        <f t="shared" si="162"/>
        <v>6.6778407355365804E-2</v>
      </c>
      <c r="O170" s="65">
        <f t="shared" si="162"/>
        <v>8.1449162964264937E-2</v>
      </c>
      <c r="P170" s="65">
        <f t="shared" si="162"/>
        <v>0.10424692619227297</v>
      </c>
      <c r="Q170" s="65">
        <f t="shared" si="162"/>
        <v>0.14213870337324003</v>
      </c>
      <c r="R170" s="65">
        <f t="shared" si="162"/>
        <v>0.17939521691719895</v>
      </c>
      <c r="S170" s="65">
        <f t="shared" si="162"/>
        <v>0.21073023139623828</v>
      </c>
      <c r="T170" s="65">
        <f t="shared" si="162"/>
        <v>0.23816019628297211</v>
      </c>
      <c r="U170" s="65">
        <f t="shared" si="162"/>
        <v>0.27477763077351286</v>
      </c>
      <c r="V170" s="65">
        <f t="shared" si="162"/>
        <v>0.23703144877027427</v>
      </c>
      <c r="W170" s="65">
        <f t="shared" si="162"/>
        <v>0.24448044065213967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43.36182854410076</v>
      </c>
      <c r="C171" s="65">
        <f t="shared" ref="C171:W171" si="164">IF(C117=0,0,C117/C$23)</f>
        <v>58.696817667154455</v>
      </c>
      <c r="D171" s="65">
        <f t="shared" si="164"/>
        <v>68.72704862226314</v>
      </c>
      <c r="E171" s="65">
        <f t="shared" si="164"/>
        <v>89.694998993933936</v>
      </c>
      <c r="F171" s="65">
        <f t="shared" si="164"/>
        <v>86.455026665491673</v>
      </c>
      <c r="G171" s="65">
        <f t="shared" si="164"/>
        <v>81.144944817514087</v>
      </c>
      <c r="H171" s="65">
        <f t="shared" si="164"/>
        <v>81.488623180690553</v>
      </c>
      <c r="I171" s="65">
        <f t="shared" si="164"/>
        <v>81.278153113588246</v>
      </c>
      <c r="J171" s="65">
        <f t="shared" si="164"/>
        <v>81.55854756017871</v>
      </c>
      <c r="K171" s="65">
        <f t="shared" si="164"/>
        <v>79.260672023123959</v>
      </c>
      <c r="L171" s="65">
        <f t="shared" si="164"/>
        <v>85.194088465818567</v>
      </c>
      <c r="M171" s="65">
        <f t="shared" si="164"/>
        <v>85.103904169062844</v>
      </c>
      <c r="N171" s="65">
        <f t="shared" si="164"/>
        <v>89.087909352731401</v>
      </c>
      <c r="O171" s="65">
        <f t="shared" si="164"/>
        <v>81.462491278904807</v>
      </c>
      <c r="P171" s="65">
        <f t="shared" si="164"/>
        <v>81.298189229259137</v>
      </c>
      <c r="Q171" s="65">
        <f t="shared" si="164"/>
        <v>79.609154731748347</v>
      </c>
      <c r="R171" s="65">
        <f t="shared" si="164"/>
        <v>80.555444070119364</v>
      </c>
      <c r="S171" s="65">
        <f t="shared" si="164"/>
        <v>68.68220285617609</v>
      </c>
      <c r="T171" s="65">
        <f t="shared" si="164"/>
        <v>58.94914109381763</v>
      </c>
      <c r="U171" s="65">
        <f t="shared" si="164"/>
        <v>51.902024607143154</v>
      </c>
      <c r="V171" s="65">
        <f t="shared" si="164"/>
        <v>45.280117936927446</v>
      </c>
      <c r="W171" s="65">
        <f t="shared" si="164"/>
        <v>52.545464210680564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27.647488288839419</v>
      </c>
      <c r="C172" s="67">
        <f t="shared" ref="C172:W172" si="166">IF(C118=0,0,C118/C$23)</f>
        <v>38.192079390083272</v>
      </c>
      <c r="D172" s="67">
        <f t="shared" si="166"/>
        <v>44.856696729413031</v>
      </c>
      <c r="E172" s="67">
        <f t="shared" si="166"/>
        <v>55.97018426659595</v>
      </c>
      <c r="F172" s="67">
        <f t="shared" si="166"/>
        <v>57.061000211336143</v>
      </c>
      <c r="G172" s="67">
        <f t="shared" si="166"/>
        <v>60.520643272195045</v>
      </c>
      <c r="H172" s="67">
        <f t="shared" si="166"/>
        <v>62.97323606981152</v>
      </c>
      <c r="I172" s="67">
        <f t="shared" si="166"/>
        <v>62.399147675718865</v>
      </c>
      <c r="J172" s="67">
        <f t="shared" si="166"/>
        <v>59.439926228768726</v>
      </c>
      <c r="K172" s="67">
        <f t="shared" si="166"/>
        <v>55.646823226569289</v>
      </c>
      <c r="L172" s="67">
        <f t="shared" si="166"/>
        <v>54.484984029318362</v>
      </c>
      <c r="M172" s="67">
        <f t="shared" si="166"/>
        <v>61.463032470025482</v>
      </c>
      <c r="N172" s="67">
        <f t="shared" si="166"/>
        <v>66.490293997528653</v>
      </c>
      <c r="O172" s="67">
        <f t="shared" si="166"/>
        <v>67.60600888270136</v>
      </c>
      <c r="P172" s="67">
        <f t="shared" si="166"/>
        <v>64.881897702193157</v>
      </c>
      <c r="Q172" s="67">
        <f t="shared" si="166"/>
        <v>66.977371439986399</v>
      </c>
      <c r="R172" s="67">
        <f t="shared" si="166"/>
        <v>64.361131966283864</v>
      </c>
      <c r="S172" s="67">
        <f t="shared" si="166"/>
        <v>60.153104740839296</v>
      </c>
      <c r="T172" s="67">
        <f t="shared" si="166"/>
        <v>57.287832761509158</v>
      </c>
      <c r="U172" s="67">
        <f t="shared" si="166"/>
        <v>59.397814917741911</v>
      </c>
      <c r="V172" s="67">
        <f t="shared" si="166"/>
        <v>47.527222195170374</v>
      </c>
      <c r="W172" s="67">
        <f t="shared" si="166"/>
        <v>61.066376245250389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316998.958075264</v>
      </c>
      <c r="C3" s="125">
        <f t="shared" si="0"/>
        <v>316300.00792216929</v>
      </c>
      <c r="D3" s="125">
        <f t="shared" si="0"/>
        <v>317187.84473148535</v>
      </c>
      <c r="E3" s="125">
        <f t="shared" si="0"/>
        <v>322747.84006470896</v>
      </c>
      <c r="F3" s="125">
        <f t="shared" si="0"/>
        <v>331864.86073709186</v>
      </c>
      <c r="G3" s="125">
        <f t="shared" si="0"/>
        <v>339240.46016186121</v>
      </c>
      <c r="H3" s="125">
        <f t="shared" si="0"/>
        <v>352266.7741129644</v>
      </c>
      <c r="I3" s="125">
        <f t="shared" si="0"/>
        <v>366786.451877182</v>
      </c>
      <c r="J3" s="125">
        <f t="shared" si="0"/>
        <v>380791.70948488422</v>
      </c>
      <c r="K3" s="125">
        <f t="shared" si="0"/>
        <v>392273.44070145854</v>
      </c>
      <c r="L3" s="125">
        <f t="shared" si="0"/>
        <v>392855.14571397955</v>
      </c>
      <c r="M3" s="125">
        <f t="shared" si="0"/>
        <v>402977.54654720298</v>
      </c>
      <c r="N3" s="125">
        <f t="shared" si="0"/>
        <v>411102.73826673394</v>
      </c>
      <c r="O3" s="125">
        <f t="shared" si="0"/>
        <v>413655.81204958691</v>
      </c>
      <c r="P3" s="125">
        <f t="shared" si="0"/>
        <v>422760.449197384</v>
      </c>
      <c r="Q3" s="125">
        <f t="shared" si="0"/>
        <v>427986.61226523214</v>
      </c>
      <c r="R3" s="125">
        <f t="shared" si="0"/>
        <v>434554.64327125362</v>
      </c>
      <c r="S3" s="125">
        <f t="shared" si="0"/>
        <v>443275.39987805061</v>
      </c>
      <c r="T3" s="125">
        <f t="shared" si="0"/>
        <v>451890.2423731045</v>
      </c>
      <c r="U3" s="125">
        <f t="shared" si="0"/>
        <v>459762.47164623742</v>
      </c>
      <c r="V3" s="125">
        <f t="shared" si="0"/>
        <v>466814.46999999986</v>
      </c>
      <c r="W3" s="125">
        <f t="shared" si="0"/>
        <v>473456.09571924986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316998.958075264</v>
      </c>
      <c r="C4" s="140">
        <f t="shared" si="1"/>
        <v>316300.00792216929</v>
      </c>
      <c r="D4" s="140">
        <f t="shared" si="1"/>
        <v>317187.84473148535</v>
      </c>
      <c r="E4" s="140">
        <f t="shared" si="1"/>
        <v>322747.84006470896</v>
      </c>
      <c r="F4" s="140">
        <f t="shared" si="1"/>
        <v>331864.86073709186</v>
      </c>
      <c r="G4" s="140">
        <f t="shared" si="1"/>
        <v>339240.46016186121</v>
      </c>
      <c r="H4" s="140">
        <f t="shared" si="1"/>
        <v>352266.7741129644</v>
      </c>
      <c r="I4" s="140">
        <f t="shared" si="1"/>
        <v>366786.451877182</v>
      </c>
      <c r="J4" s="140">
        <f t="shared" si="1"/>
        <v>380791.70948488422</v>
      </c>
      <c r="K4" s="140">
        <f t="shared" si="1"/>
        <v>392273.44070145854</v>
      </c>
      <c r="L4" s="140">
        <f t="shared" si="1"/>
        <v>392855.14571397955</v>
      </c>
      <c r="M4" s="140">
        <f t="shared" si="1"/>
        <v>402977.54654720298</v>
      </c>
      <c r="N4" s="140">
        <f t="shared" si="1"/>
        <v>411102.73826673394</v>
      </c>
      <c r="O4" s="140">
        <f t="shared" si="1"/>
        <v>413655.81204958691</v>
      </c>
      <c r="P4" s="140">
        <f t="shared" si="1"/>
        <v>422760.449197384</v>
      </c>
      <c r="Q4" s="140">
        <f t="shared" si="1"/>
        <v>427986.61226523214</v>
      </c>
      <c r="R4" s="140">
        <f t="shared" ref="R4:W4" si="2">SUM(R5:R14)</f>
        <v>434554.64327125362</v>
      </c>
      <c r="S4" s="140">
        <f t="shared" si="2"/>
        <v>443275.39987805061</v>
      </c>
      <c r="T4" s="140">
        <f t="shared" si="2"/>
        <v>451890.2423731045</v>
      </c>
      <c r="U4" s="140">
        <f t="shared" si="2"/>
        <v>459762.47164623742</v>
      </c>
      <c r="V4" s="140">
        <f t="shared" si="2"/>
        <v>466814.46999999986</v>
      </c>
      <c r="W4" s="140">
        <f t="shared" si="2"/>
        <v>473456.09571924986</v>
      </c>
      <c r="DA4" s="170" t="s">
        <v>245</v>
      </c>
    </row>
    <row r="5" spans="1:105" ht="12" customHeight="1" x14ac:dyDescent="0.25">
      <c r="A5" s="132" t="s">
        <v>29</v>
      </c>
      <c r="B5" s="141">
        <v>43905.171555110843</v>
      </c>
      <c r="C5" s="141">
        <v>45309.603897625268</v>
      </c>
      <c r="D5" s="141">
        <v>48053.735358804792</v>
      </c>
      <c r="E5" s="141">
        <v>49538.172055221054</v>
      </c>
      <c r="F5" s="141">
        <v>49893.683626243714</v>
      </c>
      <c r="G5" s="141">
        <v>50337.823070911603</v>
      </c>
      <c r="H5" s="141">
        <v>51366.753016524024</v>
      </c>
      <c r="I5" s="141">
        <v>53205.710096856303</v>
      </c>
      <c r="J5" s="141">
        <v>54529.971180870962</v>
      </c>
      <c r="K5" s="141">
        <v>57269.648830732986</v>
      </c>
      <c r="L5" s="141">
        <v>58726.145904545068</v>
      </c>
      <c r="M5" s="141">
        <v>60010.592741981258</v>
      </c>
      <c r="N5" s="141">
        <v>61236.307565820287</v>
      </c>
      <c r="O5" s="141">
        <v>61576.558468802941</v>
      </c>
      <c r="P5" s="141">
        <v>60745.564451440274</v>
      </c>
      <c r="Q5" s="141">
        <v>59804.506196605951</v>
      </c>
      <c r="R5" s="141">
        <v>58537.700880624514</v>
      </c>
      <c r="S5" s="141">
        <v>58498.513489928468</v>
      </c>
      <c r="T5" s="141">
        <v>56617.12351647568</v>
      </c>
      <c r="U5" s="141">
        <v>54224.74903323561</v>
      </c>
      <c r="V5" s="141">
        <v>53414.982730698452</v>
      </c>
      <c r="W5" s="141">
        <v>52958.11241380102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28062.048283129941</v>
      </c>
      <c r="C7" s="141">
        <v>28536.382530010666</v>
      </c>
      <c r="D7" s="141">
        <v>28348.606467710932</v>
      </c>
      <c r="E7" s="141">
        <v>26383.560636705399</v>
      </c>
      <c r="F7" s="141">
        <v>24372.753511410818</v>
      </c>
      <c r="G7" s="141">
        <v>25012.233612418895</v>
      </c>
      <c r="H7" s="141">
        <v>29750.343039832376</v>
      </c>
      <c r="I7" s="141">
        <v>33489.77397934418</v>
      </c>
      <c r="J7" s="141">
        <v>34330.324618519902</v>
      </c>
      <c r="K7" s="141">
        <v>34827.287787197041</v>
      </c>
      <c r="L7" s="141">
        <v>35061.971507066482</v>
      </c>
      <c r="M7" s="141">
        <v>34053.761445865261</v>
      </c>
      <c r="N7" s="141">
        <v>30017.136879390979</v>
      </c>
      <c r="O7" s="141">
        <v>27038.360709666624</v>
      </c>
      <c r="P7" s="141">
        <v>25794.284355681393</v>
      </c>
      <c r="Q7" s="141">
        <v>25825.407105642666</v>
      </c>
      <c r="R7" s="141">
        <v>26128.455153364299</v>
      </c>
      <c r="S7" s="141">
        <v>27726.682466180813</v>
      </c>
      <c r="T7" s="141">
        <v>29314.390229907229</v>
      </c>
      <c r="U7" s="141">
        <v>29753.441324422587</v>
      </c>
      <c r="V7" s="141">
        <v>30205.444801239548</v>
      </c>
      <c r="W7" s="141">
        <v>30686.749043768777</v>
      </c>
      <c r="DA7" s="171" t="s">
        <v>248</v>
      </c>
    </row>
    <row r="8" spans="1:105" ht="12" customHeight="1" x14ac:dyDescent="0.25">
      <c r="A8" s="132" t="s">
        <v>73</v>
      </c>
      <c r="B8" s="141">
        <v>8.6862716630681032</v>
      </c>
      <c r="C8" s="141">
        <v>8.9851110145075239</v>
      </c>
      <c r="D8" s="141">
        <v>9.3363490266594287</v>
      </c>
      <c r="E8" s="141">
        <v>9.932520750925816</v>
      </c>
      <c r="F8" s="141">
        <v>10.175120379097892</v>
      </c>
      <c r="G8" s="141">
        <v>10.895719460538865</v>
      </c>
      <c r="H8" s="141">
        <v>11.351294786532756</v>
      </c>
      <c r="I8" s="141">
        <v>12.597013344746861</v>
      </c>
      <c r="J8" s="141">
        <v>12.838958750096968</v>
      </c>
      <c r="K8" s="141">
        <v>13.091997165575334</v>
      </c>
      <c r="L8" s="141">
        <v>12.43731738227279</v>
      </c>
      <c r="M8" s="141">
        <v>12.445289091372892</v>
      </c>
      <c r="N8" s="141">
        <v>13.785331027407903</v>
      </c>
      <c r="O8" s="141">
        <v>16.193790867068167</v>
      </c>
      <c r="P8" s="141">
        <v>19.702146978750879</v>
      </c>
      <c r="Q8" s="141">
        <v>21.672996291921571</v>
      </c>
      <c r="R8" s="141">
        <v>22.216889290096784</v>
      </c>
      <c r="S8" s="141">
        <v>22.806434580670594</v>
      </c>
      <c r="T8" s="141">
        <v>24.154202908817961</v>
      </c>
      <c r="U8" s="141">
        <v>26.654981848803125</v>
      </c>
      <c r="V8" s="141">
        <v>29.944911877116493</v>
      </c>
      <c r="W8" s="141">
        <v>32.388311346669674</v>
      </c>
      <c r="DA8" s="171" t="s">
        <v>249</v>
      </c>
    </row>
    <row r="9" spans="1:105" ht="12" customHeight="1" x14ac:dyDescent="0.25">
      <c r="A9" s="132" t="s">
        <v>78</v>
      </c>
      <c r="B9" s="141">
        <v>79723.705731620066</v>
      </c>
      <c r="C9" s="141">
        <v>85565.266310566876</v>
      </c>
      <c r="D9" s="141">
        <v>94018.425470893577</v>
      </c>
      <c r="E9" s="141">
        <v>101664.97067237062</v>
      </c>
      <c r="F9" s="141">
        <v>103786.3674833831</v>
      </c>
      <c r="G9" s="141">
        <v>101648.94918976544</v>
      </c>
      <c r="H9" s="141">
        <v>98599.35624070371</v>
      </c>
      <c r="I9" s="141">
        <v>103032.79110529716</v>
      </c>
      <c r="J9" s="141">
        <v>110752.69900854565</v>
      </c>
      <c r="K9" s="141">
        <v>118649.64180253386</v>
      </c>
      <c r="L9" s="141">
        <v>115060.69969279309</v>
      </c>
      <c r="M9" s="141">
        <v>122615.42958101789</v>
      </c>
      <c r="N9" s="141">
        <v>128285.55967178813</v>
      </c>
      <c r="O9" s="141">
        <v>128091.97524652128</v>
      </c>
      <c r="P9" s="141">
        <v>132954.53729637183</v>
      </c>
      <c r="Q9" s="141">
        <v>134973.49962506321</v>
      </c>
      <c r="R9" s="141">
        <v>132944.27591900641</v>
      </c>
      <c r="S9" s="141">
        <v>125283.04177790225</v>
      </c>
      <c r="T9" s="141">
        <v>119371.60199622936</v>
      </c>
      <c r="U9" s="141">
        <v>117375.75846816479</v>
      </c>
      <c r="V9" s="141">
        <v>116502.99392363589</v>
      </c>
      <c r="W9" s="141">
        <v>116006.3838918812</v>
      </c>
      <c r="DA9" s="171" t="s">
        <v>250</v>
      </c>
    </row>
    <row r="10" spans="1:105" ht="12" customHeight="1" x14ac:dyDescent="0.25">
      <c r="A10" s="132" t="s">
        <v>128</v>
      </c>
      <c r="B10" s="141">
        <v>13998.078315190422</v>
      </c>
      <c r="C10" s="141">
        <v>11023.318645150204</v>
      </c>
      <c r="D10" s="141">
        <v>9434.6615392652457</v>
      </c>
      <c r="E10" s="141">
        <v>8516.6839667881013</v>
      </c>
      <c r="F10" s="141">
        <v>8062.5402103095121</v>
      </c>
      <c r="G10" s="141">
        <v>7876.3029249254087</v>
      </c>
      <c r="H10" s="141">
        <v>7577.601242259535</v>
      </c>
      <c r="I10" s="141">
        <v>7617.6869931739284</v>
      </c>
      <c r="J10" s="141">
        <v>7924.5247992569757</v>
      </c>
      <c r="K10" s="141">
        <v>9493.1765894204018</v>
      </c>
      <c r="L10" s="141">
        <v>10184.42228000318</v>
      </c>
      <c r="M10" s="141">
        <v>11073.078653435659</v>
      </c>
      <c r="N10" s="141">
        <v>11334.879784398425</v>
      </c>
      <c r="O10" s="141">
        <v>12265.135850985927</v>
      </c>
      <c r="P10" s="141">
        <v>12616.06765602885</v>
      </c>
      <c r="Q10" s="141">
        <v>13300.922880731754</v>
      </c>
      <c r="R10" s="141">
        <v>13658.885431076082</v>
      </c>
      <c r="S10" s="141">
        <v>14255.164922714108</v>
      </c>
      <c r="T10" s="141">
        <v>14464.952569108029</v>
      </c>
      <c r="U10" s="141">
        <v>14611.833055589239</v>
      </c>
      <c r="V10" s="141">
        <v>14948.520222503059</v>
      </c>
      <c r="W10" s="141">
        <v>15062.310050803293</v>
      </c>
      <c r="DA10" s="171" t="s">
        <v>251</v>
      </c>
    </row>
    <row r="11" spans="1:105" ht="12" customHeight="1" x14ac:dyDescent="0.25">
      <c r="A11" s="132" t="s">
        <v>25</v>
      </c>
      <c r="B11" s="141">
        <v>71.149691615135183</v>
      </c>
      <c r="C11" s="141">
        <v>82.173053090696413</v>
      </c>
      <c r="D11" s="141">
        <v>127.30184990278181</v>
      </c>
      <c r="E11" s="141">
        <v>164.66586688185524</v>
      </c>
      <c r="F11" s="141">
        <v>189.66314283889392</v>
      </c>
      <c r="G11" s="141">
        <v>216.01715754747696</v>
      </c>
      <c r="H11" s="141">
        <v>233.9090548497056</v>
      </c>
      <c r="I11" s="141">
        <v>258.41071955726528</v>
      </c>
      <c r="J11" s="141">
        <v>289.07766455245894</v>
      </c>
      <c r="K11" s="141">
        <v>301.27204781813481</v>
      </c>
      <c r="L11" s="141">
        <v>291.95368420494304</v>
      </c>
      <c r="M11" s="141">
        <v>317.52736410050881</v>
      </c>
      <c r="N11" s="141">
        <v>412.47622790488515</v>
      </c>
      <c r="O11" s="141">
        <v>546.09209606773027</v>
      </c>
      <c r="P11" s="141">
        <v>643.04210360024183</v>
      </c>
      <c r="Q11" s="141">
        <v>678.17921344540696</v>
      </c>
      <c r="R11" s="141">
        <v>671.14208486476548</v>
      </c>
      <c r="S11" s="141">
        <v>705.80653129824827</v>
      </c>
      <c r="T11" s="141">
        <v>757.43820056429604</v>
      </c>
      <c r="U11" s="141">
        <v>810.78045430897362</v>
      </c>
      <c r="V11" s="141">
        <v>849.40004937536105</v>
      </c>
      <c r="W11" s="141">
        <v>864.14811296158155</v>
      </c>
      <c r="DA11" s="171" t="s">
        <v>252</v>
      </c>
    </row>
    <row r="12" spans="1:105" ht="12" customHeight="1" x14ac:dyDescent="0.25">
      <c r="A12" s="132" t="s">
        <v>169</v>
      </c>
      <c r="B12" s="141">
        <v>67248.421722690633</v>
      </c>
      <c r="C12" s="141">
        <v>70616.711208815817</v>
      </c>
      <c r="D12" s="141">
        <v>74873.219237770871</v>
      </c>
      <c r="E12" s="141">
        <v>78708.862274963583</v>
      </c>
      <c r="F12" s="141">
        <v>89329.19099416821</v>
      </c>
      <c r="G12" s="141">
        <v>92442.037430277182</v>
      </c>
      <c r="H12" s="141">
        <v>97606.755332925022</v>
      </c>
      <c r="I12" s="141">
        <v>98658.254050301359</v>
      </c>
      <c r="J12" s="141">
        <v>99909.869937912663</v>
      </c>
      <c r="K12" s="141">
        <v>98498.101548462029</v>
      </c>
      <c r="L12" s="141">
        <v>96236.508374292971</v>
      </c>
      <c r="M12" s="141">
        <v>94285.093060004365</v>
      </c>
      <c r="N12" s="141">
        <v>96473.443418530776</v>
      </c>
      <c r="O12" s="141">
        <v>100919.8374280412</v>
      </c>
      <c r="P12" s="141">
        <v>102082.284754418</v>
      </c>
      <c r="Q12" s="141">
        <v>103667.63888498665</v>
      </c>
      <c r="R12" s="141">
        <v>107443.32058866232</v>
      </c>
      <c r="S12" s="141">
        <v>114904.48008892119</v>
      </c>
      <c r="T12" s="141">
        <v>117864.33259194145</v>
      </c>
      <c r="U12" s="141">
        <v>121104.12973025307</v>
      </c>
      <c r="V12" s="141">
        <v>121893.73151009053</v>
      </c>
      <c r="W12" s="141">
        <v>121699.94480625448</v>
      </c>
      <c r="DA12" s="171" t="s">
        <v>253</v>
      </c>
    </row>
    <row r="13" spans="1:105" ht="12" customHeight="1" x14ac:dyDescent="0.25">
      <c r="A13" s="132" t="s">
        <v>77</v>
      </c>
      <c r="B13" s="141">
        <v>219.44425540398382</v>
      </c>
      <c r="C13" s="141">
        <v>238.20597599264033</v>
      </c>
      <c r="D13" s="141">
        <v>281.45008644721872</v>
      </c>
      <c r="E13" s="141">
        <v>371.03802189263325</v>
      </c>
      <c r="F13" s="141">
        <v>487.01064601499496</v>
      </c>
      <c r="G13" s="141">
        <v>702.54058281130813</v>
      </c>
      <c r="H13" s="141">
        <v>924.33934570092663</v>
      </c>
      <c r="I13" s="141">
        <v>1198.5734531717746</v>
      </c>
      <c r="J13" s="141">
        <v>1340.905923874265</v>
      </c>
      <c r="K13" s="141">
        <v>1469.3077727063601</v>
      </c>
      <c r="L13" s="141">
        <v>1501.1068651377298</v>
      </c>
      <c r="M13" s="141">
        <v>1629.5754380377075</v>
      </c>
      <c r="N13" s="141">
        <v>1886.8434854166296</v>
      </c>
      <c r="O13" s="141">
        <v>2295.5958171766451</v>
      </c>
      <c r="P13" s="141">
        <v>2867.7546976056351</v>
      </c>
      <c r="Q13" s="141">
        <v>3276.344642431809</v>
      </c>
      <c r="R13" s="141">
        <v>3488.365677299721</v>
      </c>
      <c r="S13" s="141">
        <v>3763.2026101476872</v>
      </c>
      <c r="T13" s="141">
        <v>4053.0800035819716</v>
      </c>
      <c r="U13" s="141">
        <v>4396.3490465950072</v>
      </c>
      <c r="V13" s="141">
        <v>4735.1095595884535</v>
      </c>
      <c r="W13" s="141">
        <v>4876.0166720933321</v>
      </c>
      <c r="DA13" s="171" t="s">
        <v>254</v>
      </c>
    </row>
    <row r="14" spans="1:105" ht="12" customHeight="1" x14ac:dyDescent="0.25">
      <c r="A14" s="60" t="s">
        <v>76</v>
      </c>
      <c r="B14" s="142">
        <v>83762.252248839926</v>
      </c>
      <c r="C14" s="142">
        <v>74919.361189902629</v>
      </c>
      <c r="D14" s="142">
        <v>62041.108371663264</v>
      </c>
      <c r="E14" s="142">
        <v>57389.954049134773</v>
      </c>
      <c r="F14" s="142">
        <v>55733.476002343494</v>
      </c>
      <c r="G14" s="142">
        <v>60993.660473743417</v>
      </c>
      <c r="H14" s="142">
        <v>66196.365545382578</v>
      </c>
      <c r="I14" s="142">
        <v>69312.654466135282</v>
      </c>
      <c r="J14" s="142">
        <v>71701.497392601232</v>
      </c>
      <c r="K14" s="142">
        <v>71751.912325422119</v>
      </c>
      <c r="L14" s="142">
        <v>75779.900088553768</v>
      </c>
      <c r="M14" s="142">
        <v>78980.042973668926</v>
      </c>
      <c r="N14" s="142">
        <v>81442.305902456428</v>
      </c>
      <c r="O14" s="142">
        <v>80906.062641457509</v>
      </c>
      <c r="P14" s="142">
        <v>85037.211735259058</v>
      </c>
      <c r="Q14" s="142">
        <v>86438.440720032813</v>
      </c>
      <c r="R14" s="142">
        <v>91660.280647065374</v>
      </c>
      <c r="S14" s="142">
        <v>98115.701556377157</v>
      </c>
      <c r="T14" s="142">
        <v>109423.16906238765</v>
      </c>
      <c r="U14" s="142">
        <v>117458.77555181936</v>
      </c>
      <c r="V14" s="142">
        <v>124234.34229099148</v>
      </c>
      <c r="W14" s="142">
        <v>131270.04241633951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233017.26157102009</v>
      </c>
      <c r="C15" s="144">
        <f t="shared" si="3"/>
        <v>241142.44075627404</v>
      </c>
      <c r="D15" s="144">
        <f t="shared" si="3"/>
        <v>254865.28627337486</v>
      </c>
      <c r="E15" s="144">
        <f t="shared" si="3"/>
        <v>264986.84799368156</v>
      </c>
      <c r="F15" s="144">
        <f t="shared" si="3"/>
        <v>275644.37408873334</v>
      </c>
      <c r="G15" s="144">
        <f t="shared" si="3"/>
        <v>277544.25910530653</v>
      </c>
      <c r="H15" s="144">
        <f t="shared" si="3"/>
        <v>285146.06922188093</v>
      </c>
      <c r="I15" s="144">
        <f t="shared" si="3"/>
        <v>296275.22395787493</v>
      </c>
      <c r="J15" s="144">
        <f t="shared" si="3"/>
        <v>307749.30616840872</v>
      </c>
      <c r="K15" s="144">
        <f t="shared" si="3"/>
        <v>319052.22060333006</v>
      </c>
      <c r="L15" s="144">
        <f t="shared" si="3"/>
        <v>315574.13876028801</v>
      </c>
      <c r="M15" s="144">
        <f t="shared" si="3"/>
        <v>322367.92813549633</v>
      </c>
      <c r="N15" s="144">
        <f t="shared" si="3"/>
        <v>327773.58887886087</v>
      </c>
      <c r="O15" s="144">
        <f t="shared" si="3"/>
        <v>330454.1535909528</v>
      </c>
      <c r="P15" s="144">
        <f t="shared" si="3"/>
        <v>334855.48276451934</v>
      </c>
      <c r="Q15" s="144">
        <f t="shared" si="3"/>
        <v>338271.82690276753</v>
      </c>
      <c r="R15" s="144">
        <f t="shared" ref="R15:W15" si="4">SUM(R5:R12)</f>
        <v>339405.99694688851</v>
      </c>
      <c r="S15" s="144">
        <f t="shared" si="4"/>
        <v>341396.49571152573</v>
      </c>
      <c r="T15" s="144">
        <f t="shared" si="4"/>
        <v>338413.99330713484</v>
      </c>
      <c r="U15" s="144">
        <f t="shared" si="4"/>
        <v>337907.34704782307</v>
      </c>
      <c r="V15" s="144">
        <f t="shared" si="4"/>
        <v>337845.01814941992</v>
      </c>
      <c r="W15" s="144">
        <f t="shared" si="4"/>
        <v>337310.03663081705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17094.923759177858</v>
      </c>
      <c r="C16" s="140">
        <f t="shared" si="5"/>
        <v>17355.830768708165</v>
      </c>
      <c r="D16" s="140">
        <f t="shared" si="5"/>
        <v>18409.180042201209</v>
      </c>
      <c r="E16" s="140">
        <f t="shared" si="5"/>
        <v>19775.917849693389</v>
      </c>
      <c r="F16" s="140">
        <f t="shared" si="5"/>
        <v>22033.779138085025</v>
      </c>
      <c r="G16" s="140">
        <f t="shared" si="5"/>
        <v>24652.176542854464</v>
      </c>
      <c r="H16" s="140">
        <f t="shared" si="5"/>
        <v>28260.625955025105</v>
      </c>
      <c r="I16" s="140">
        <f t="shared" si="5"/>
        <v>33158.549062112412</v>
      </c>
      <c r="J16" s="140">
        <f t="shared" si="5"/>
        <v>37423.333432549261</v>
      </c>
      <c r="K16" s="140">
        <f t="shared" si="5"/>
        <v>41783.294738357639</v>
      </c>
      <c r="L16" s="140">
        <f t="shared" si="5"/>
        <v>44907.85423493413</v>
      </c>
      <c r="M16" s="140">
        <f t="shared" si="5"/>
        <v>48217.172470291269</v>
      </c>
      <c r="N16" s="140">
        <f t="shared" si="5"/>
        <v>50918.733868467774</v>
      </c>
      <c r="O16" s="140">
        <f t="shared" si="5"/>
        <v>52208.710486010372</v>
      </c>
      <c r="P16" s="140">
        <f t="shared" si="5"/>
        <v>54150.18768647495</v>
      </c>
      <c r="Q16" s="140">
        <f t="shared" si="5"/>
        <v>56415.58893572705</v>
      </c>
      <c r="R16" s="140">
        <f t="shared" ref="R16:W16" si="6">SUM(R17:R18)</f>
        <v>57267.187961749471</v>
      </c>
      <c r="S16" s="140">
        <f t="shared" si="6"/>
        <v>58423.931254471609</v>
      </c>
      <c r="T16" s="140">
        <f t="shared" si="6"/>
        <v>60324.508312415775</v>
      </c>
      <c r="U16" s="140">
        <f t="shared" si="6"/>
        <v>62338.846221840518</v>
      </c>
      <c r="V16" s="140">
        <f t="shared" si="6"/>
        <v>62270.603110170712</v>
      </c>
      <c r="W16" s="140">
        <f t="shared" si="6"/>
        <v>64745.185665327146</v>
      </c>
      <c r="DA16" s="170" t="s">
        <v>256</v>
      </c>
    </row>
    <row r="17" spans="1:105" ht="12.95" customHeight="1" x14ac:dyDescent="0.25">
      <c r="A17" s="132" t="s">
        <v>73</v>
      </c>
      <c r="B17" s="141">
        <v>25.797289802511461</v>
      </c>
      <c r="C17" s="141">
        <v>27.58820247576179</v>
      </c>
      <c r="D17" s="141">
        <v>31.630476432623297</v>
      </c>
      <c r="E17" s="141">
        <v>36.082826455554603</v>
      </c>
      <c r="F17" s="141">
        <v>45.023897867450536</v>
      </c>
      <c r="G17" s="141">
        <v>54.503622075142182</v>
      </c>
      <c r="H17" s="141">
        <v>63.397567430213975</v>
      </c>
      <c r="I17" s="141">
        <v>79.789825527268377</v>
      </c>
      <c r="J17" s="141">
        <v>91.083399146020142</v>
      </c>
      <c r="K17" s="141">
        <v>103.6545186514754</v>
      </c>
      <c r="L17" s="141">
        <v>110.02683565626278</v>
      </c>
      <c r="M17" s="141">
        <v>129.76726486838268</v>
      </c>
      <c r="N17" s="141">
        <v>149.24652716199716</v>
      </c>
      <c r="O17" s="141">
        <v>185.3671047436948</v>
      </c>
      <c r="P17" s="141">
        <v>252.32137644017831</v>
      </c>
      <c r="Q17" s="141">
        <v>309.80922026152086</v>
      </c>
      <c r="R17" s="141">
        <v>467.67690713378084</v>
      </c>
      <c r="S17" s="141">
        <v>565.64647735730352</v>
      </c>
      <c r="T17" s="141">
        <v>638.34810270877597</v>
      </c>
      <c r="U17" s="141">
        <v>693.5118153322245</v>
      </c>
      <c r="V17" s="141">
        <v>743.07358756044835</v>
      </c>
      <c r="W17" s="141">
        <v>763.3806441365557</v>
      </c>
      <c r="DA17" s="171" t="s">
        <v>257</v>
      </c>
    </row>
    <row r="18" spans="1:105" ht="12" customHeight="1" x14ac:dyDescent="0.25">
      <c r="A18" s="132" t="s">
        <v>72</v>
      </c>
      <c r="B18" s="141">
        <v>17069.126469375347</v>
      </c>
      <c r="C18" s="141">
        <v>17328.242566232402</v>
      </c>
      <c r="D18" s="141">
        <v>18377.549565768586</v>
      </c>
      <c r="E18" s="141">
        <v>19739.835023237836</v>
      </c>
      <c r="F18" s="141">
        <v>21988.755240217575</v>
      </c>
      <c r="G18" s="141">
        <v>24597.672920779321</v>
      </c>
      <c r="H18" s="141">
        <v>28197.228387594892</v>
      </c>
      <c r="I18" s="141">
        <v>33078.759236585145</v>
      </c>
      <c r="J18" s="141">
        <v>37332.250033403245</v>
      </c>
      <c r="K18" s="141">
        <v>41679.640219706162</v>
      </c>
      <c r="L18" s="141">
        <v>44797.82739927787</v>
      </c>
      <c r="M18" s="141">
        <v>48087.405205422889</v>
      </c>
      <c r="N18" s="141">
        <v>50769.487341305779</v>
      </c>
      <c r="O18" s="141">
        <v>52023.343381266677</v>
      </c>
      <c r="P18" s="141">
        <v>53897.866310034769</v>
      </c>
      <c r="Q18" s="141">
        <v>56105.779715465527</v>
      </c>
      <c r="R18" s="141">
        <v>56799.511054615687</v>
      </c>
      <c r="S18" s="141">
        <v>57858.284777114306</v>
      </c>
      <c r="T18" s="141">
        <v>59686.160209706999</v>
      </c>
      <c r="U18" s="141">
        <v>61645.334406508293</v>
      </c>
      <c r="V18" s="141">
        <v>61527.529522610261</v>
      </c>
      <c r="W18" s="141">
        <v>63981.805021190594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316998.958075264</v>
      </c>
      <c r="C19" s="140">
        <f t="shared" si="7"/>
        <v>316300.00792216929</v>
      </c>
      <c r="D19" s="140">
        <f t="shared" si="7"/>
        <v>317187.84473148535</v>
      </c>
      <c r="E19" s="140">
        <f t="shared" si="7"/>
        <v>322747.84006470896</v>
      </c>
      <c r="F19" s="140">
        <f t="shared" si="7"/>
        <v>331864.8607370918</v>
      </c>
      <c r="G19" s="140">
        <f t="shared" si="7"/>
        <v>339240.46016186121</v>
      </c>
      <c r="H19" s="140">
        <f t="shared" si="7"/>
        <v>352266.7741129644</v>
      </c>
      <c r="I19" s="140">
        <f t="shared" si="7"/>
        <v>366786.45187718212</v>
      </c>
      <c r="J19" s="140">
        <f t="shared" si="7"/>
        <v>380791.70948488428</v>
      </c>
      <c r="K19" s="140">
        <f t="shared" si="7"/>
        <v>392273.44070145843</v>
      </c>
      <c r="L19" s="140">
        <f t="shared" si="7"/>
        <v>392855.14571397949</v>
      </c>
      <c r="M19" s="140">
        <f t="shared" si="7"/>
        <v>402977.54654720309</v>
      </c>
      <c r="N19" s="140">
        <f t="shared" si="7"/>
        <v>411102.73826673394</v>
      </c>
      <c r="O19" s="140">
        <f t="shared" si="7"/>
        <v>413655.81204958679</v>
      </c>
      <c r="P19" s="140">
        <f t="shared" si="7"/>
        <v>422760.449197384</v>
      </c>
      <c r="Q19" s="140">
        <f t="shared" si="7"/>
        <v>427986.61226523202</v>
      </c>
      <c r="R19" s="140">
        <f t="shared" ref="R19:W19" si="8">SUM(R20:R26)</f>
        <v>434554.64327125333</v>
      </c>
      <c r="S19" s="140">
        <f t="shared" si="8"/>
        <v>443275.39987805072</v>
      </c>
      <c r="T19" s="140">
        <f t="shared" si="8"/>
        <v>451890.24237310421</v>
      </c>
      <c r="U19" s="140">
        <f t="shared" si="8"/>
        <v>459762.47164623754</v>
      </c>
      <c r="V19" s="140">
        <f t="shared" si="8"/>
        <v>466814.46999999991</v>
      </c>
      <c r="W19" s="140">
        <f t="shared" si="8"/>
        <v>473456.09571925004</v>
      </c>
      <c r="DA19" s="170" t="s">
        <v>259</v>
      </c>
    </row>
    <row r="20" spans="1:105" ht="12" customHeight="1" x14ac:dyDescent="0.25">
      <c r="A20" s="132" t="s">
        <v>29</v>
      </c>
      <c r="B20" s="141">
        <v>10615.390601854977</v>
      </c>
      <c r="C20" s="141">
        <v>14488.62085238834</v>
      </c>
      <c r="D20" s="141">
        <v>16643.302760865445</v>
      </c>
      <c r="E20" s="141">
        <v>17701.30053026852</v>
      </c>
      <c r="F20" s="141">
        <v>17238.856648000899</v>
      </c>
      <c r="G20" s="141">
        <v>16550.760927198131</v>
      </c>
      <c r="H20" s="141">
        <v>15761.488645224385</v>
      </c>
      <c r="I20" s="141">
        <v>16200.130782056827</v>
      </c>
      <c r="J20" s="141">
        <v>16765.783268868294</v>
      </c>
      <c r="K20" s="141">
        <v>17677.57269992305</v>
      </c>
      <c r="L20" s="141">
        <v>18558.880016320149</v>
      </c>
      <c r="M20" s="141">
        <v>19249.535097424909</v>
      </c>
      <c r="N20" s="141">
        <v>19809.280033470575</v>
      </c>
      <c r="O20" s="141">
        <v>20215.928512820246</v>
      </c>
      <c r="P20" s="141">
        <v>20778.108815473981</v>
      </c>
      <c r="Q20" s="141">
        <v>20989.49663494802</v>
      </c>
      <c r="R20" s="141">
        <v>20583.547482755679</v>
      </c>
      <c r="S20" s="141">
        <v>18211.322063061594</v>
      </c>
      <c r="T20" s="141">
        <v>15353.102535827747</v>
      </c>
      <c r="U20" s="141">
        <v>14917.128010466011</v>
      </c>
      <c r="V20" s="141">
        <v>14497.763299615859</v>
      </c>
      <c r="W20" s="141">
        <v>14307.754786976762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44498.523207235397</v>
      </c>
      <c r="C21" s="141">
        <v>44457.789424180977</v>
      </c>
      <c r="D21" s="141">
        <v>45361.317141245941</v>
      </c>
      <c r="E21" s="141">
        <v>46204.844286559972</v>
      </c>
      <c r="F21" s="141">
        <v>45186.789518061167</v>
      </c>
      <c r="G21" s="141">
        <v>41687.805432267472</v>
      </c>
      <c r="H21" s="141">
        <v>38414.738326241444</v>
      </c>
      <c r="I21" s="141">
        <v>34480.093522446958</v>
      </c>
      <c r="J21" s="141">
        <v>31334.353310146078</v>
      </c>
      <c r="K21" s="141">
        <v>28459.263785802017</v>
      </c>
      <c r="L21" s="141">
        <v>27818.182088419791</v>
      </c>
      <c r="M21" s="141">
        <v>27344.400964448367</v>
      </c>
      <c r="N21" s="141">
        <v>26891.841860080185</v>
      </c>
      <c r="O21" s="141">
        <v>24199.997859296713</v>
      </c>
      <c r="P21" s="141">
        <v>22989.261663804929</v>
      </c>
      <c r="Q21" s="141">
        <v>21559.893049565082</v>
      </c>
      <c r="R21" s="141">
        <v>21954.392895751898</v>
      </c>
      <c r="S21" s="141">
        <v>22485.620727552789</v>
      </c>
      <c r="T21" s="141">
        <v>22257.166108827085</v>
      </c>
      <c r="U21" s="141">
        <v>21609.193785842654</v>
      </c>
      <c r="V21" s="141">
        <v>18715.789042770575</v>
      </c>
      <c r="W21" s="141">
        <v>15843.048688578243</v>
      </c>
      <c r="DA21" s="171" t="s">
        <v>261</v>
      </c>
    </row>
    <row r="22" spans="1:105" ht="12" customHeight="1" x14ac:dyDescent="0.25">
      <c r="A22" s="132" t="s">
        <v>168</v>
      </c>
      <c r="B22" s="141">
        <v>15987.939636311694</v>
      </c>
      <c r="C22" s="141">
        <v>15414.777805370939</v>
      </c>
      <c r="D22" s="141">
        <v>15154.174730053299</v>
      </c>
      <c r="E22" s="141">
        <v>14940.524219261712</v>
      </c>
      <c r="F22" s="141">
        <v>14872.331127708901</v>
      </c>
      <c r="G22" s="141">
        <v>14902.767544430182</v>
      </c>
      <c r="H22" s="141">
        <v>15301.907596855097</v>
      </c>
      <c r="I22" s="141">
        <v>15881.525687779791</v>
      </c>
      <c r="J22" s="141">
        <v>16620.677048774334</v>
      </c>
      <c r="K22" s="141">
        <v>17275.851923296686</v>
      </c>
      <c r="L22" s="141">
        <v>17918.150202284858</v>
      </c>
      <c r="M22" s="141">
        <v>18163.566551643209</v>
      </c>
      <c r="N22" s="141">
        <v>18225.034324909491</v>
      </c>
      <c r="O22" s="141">
        <v>18190.519103577786</v>
      </c>
      <c r="P22" s="141">
        <v>18202.372921440896</v>
      </c>
      <c r="Q22" s="141">
        <v>18418.02819299859</v>
      </c>
      <c r="R22" s="141">
        <v>18607.336073320839</v>
      </c>
      <c r="S22" s="141">
        <v>18873.622368792552</v>
      </c>
      <c r="T22" s="141">
        <v>18608.368385310543</v>
      </c>
      <c r="U22" s="141">
        <v>18555.715486746762</v>
      </c>
      <c r="V22" s="141">
        <v>18087.681772486401</v>
      </c>
      <c r="W22" s="141">
        <v>18039.201666816662</v>
      </c>
      <c r="DA22" s="171" t="s">
        <v>262</v>
      </c>
    </row>
    <row r="23" spans="1:105" ht="12" customHeight="1" x14ac:dyDescent="0.25">
      <c r="A23" s="132" t="s">
        <v>153</v>
      </c>
      <c r="B23" s="141">
        <v>27564.619826867798</v>
      </c>
      <c r="C23" s="141">
        <v>30752.242885076121</v>
      </c>
      <c r="D23" s="141">
        <v>36427.429458017454</v>
      </c>
      <c r="E23" s="141">
        <v>42652.922937046889</v>
      </c>
      <c r="F23" s="141">
        <v>46494.11956721545</v>
      </c>
      <c r="G23" s="141">
        <v>49902.340577745061</v>
      </c>
      <c r="H23" s="141">
        <v>52266.198515561708</v>
      </c>
      <c r="I23" s="141">
        <v>55006.062612502959</v>
      </c>
      <c r="J23" s="141">
        <v>58761.658004821584</v>
      </c>
      <c r="K23" s="141">
        <v>62608.297801961322</v>
      </c>
      <c r="L23" s="141">
        <v>66987.4591365089</v>
      </c>
      <c r="M23" s="141">
        <v>69473.731834944818</v>
      </c>
      <c r="N23" s="141">
        <v>70873.56656319715</v>
      </c>
      <c r="O23" s="141">
        <v>71673.476273921653</v>
      </c>
      <c r="P23" s="141">
        <v>72638.689162951501</v>
      </c>
      <c r="Q23" s="141">
        <v>71632.91865768985</v>
      </c>
      <c r="R23" s="141">
        <v>68136.497943432158</v>
      </c>
      <c r="S23" s="141">
        <v>60436.225519339459</v>
      </c>
      <c r="T23" s="141">
        <v>53793.696230505848</v>
      </c>
      <c r="U23" s="141">
        <v>48519.703700744518</v>
      </c>
      <c r="V23" s="141">
        <v>45362.545460163259</v>
      </c>
      <c r="W23" s="141">
        <v>43719.101821968754</v>
      </c>
      <c r="DA23" s="171" t="s">
        <v>263</v>
      </c>
    </row>
    <row r="24" spans="1:105" ht="12" customHeight="1" x14ac:dyDescent="0.25">
      <c r="A24" s="132" t="s">
        <v>128</v>
      </c>
      <c r="B24" s="141">
        <v>4013.9640071799213</v>
      </c>
      <c r="C24" s="141">
        <v>3890.7199452839018</v>
      </c>
      <c r="D24" s="141">
        <v>3780.7979845888658</v>
      </c>
      <c r="E24" s="141">
        <v>3658.7867732901677</v>
      </c>
      <c r="F24" s="141">
        <v>3632.8588329152899</v>
      </c>
      <c r="G24" s="141">
        <v>3801.6412529762165</v>
      </c>
      <c r="H24" s="141">
        <v>4221.4181840731026</v>
      </c>
      <c r="I24" s="141">
        <v>4785.180935981225</v>
      </c>
      <c r="J24" s="141">
        <v>5281.4971790112704</v>
      </c>
      <c r="K24" s="141">
        <v>5640.1441993880862</v>
      </c>
      <c r="L24" s="141">
        <v>5889.6752180365929</v>
      </c>
      <c r="M24" s="141">
        <v>6100.1475357362988</v>
      </c>
      <c r="N24" s="141">
        <v>6281.7679633613425</v>
      </c>
      <c r="O24" s="141">
        <v>6452.0431671546612</v>
      </c>
      <c r="P24" s="141">
        <v>6762.8687422133607</v>
      </c>
      <c r="Q24" s="141">
        <v>7269.204143943457</v>
      </c>
      <c r="R24" s="141">
        <v>7816.02036934632</v>
      </c>
      <c r="S24" s="141">
        <v>8147.8514200570817</v>
      </c>
      <c r="T24" s="141">
        <v>8394.7511123269705</v>
      </c>
      <c r="U24" s="141">
        <v>9105.0016996865943</v>
      </c>
      <c r="V24" s="141">
        <v>10527.896388852783</v>
      </c>
      <c r="W24" s="141">
        <v>11716.123555884438</v>
      </c>
      <c r="DA24" s="171" t="s">
        <v>264</v>
      </c>
    </row>
    <row r="25" spans="1:105" ht="12" customHeight="1" x14ac:dyDescent="0.25">
      <c r="A25" s="132" t="s">
        <v>169</v>
      </c>
      <c r="B25" s="141">
        <v>52463.633714367759</v>
      </c>
      <c r="C25" s="141">
        <v>53754.099947469847</v>
      </c>
      <c r="D25" s="141">
        <v>56904.742437717221</v>
      </c>
      <c r="E25" s="141">
        <v>61657.880493675075</v>
      </c>
      <c r="F25" s="141">
        <v>68429.645911239015</v>
      </c>
      <c r="G25" s="141">
        <v>73447.874219657067</v>
      </c>
      <c r="H25" s="141">
        <v>76664.785471157607</v>
      </c>
      <c r="I25" s="141">
        <v>78341.076863697934</v>
      </c>
      <c r="J25" s="141">
        <v>79857.177449983195</v>
      </c>
      <c r="K25" s="141">
        <v>80849.445684777238</v>
      </c>
      <c r="L25" s="141">
        <v>81070.443527478885</v>
      </c>
      <c r="M25" s="141">
        <v>80965.319940282337</v>
      </c>
      <c r="N25" s="141">
        <v>80666.490538518192</v>
      </c>
      <c r="O25" s="141">
        <v>80163.167373151067</v>
      </c>
      <c r="P25" s="141">
        <v>79465.767522831244</v>
      </c>
      <c r="Q25" s="141">
        <v>80773.780358503471</v>
      </c>
      <c r="R25" s="141">
        <v>83079.645582608282</v>
      </c>
      <c r="S25" s="141">
        <v>84762.602650305038</v>
      </c>
      <c r="T25" s="141">
        <v>84735.806638445938</v>
      </c>
      <c r="U25" s="141">
        <v>82701.917942307744</v>
      </c>
      <c r="V25" s="141">
        <v>81466.196748542556</v>
      </c>
      <c r="W25" s="141">
        <v>79954.937303166036</v>
      </c>
      <c r="DA25" s="171" t="s">
        <v>265</v>
      </c>
    </row>
    <row r="26" spans="1:105" ht="12" customHeight="1" x14ac:dyDescent="0.25">
      <c r="A26" s="132" t="s">
        <v>24</v>
      </c>
      <c r="B26" s="142">
        <v>161854.88708144648</v>
      </c>
      <c r="C26" s="142">
        <v>153541.75706239915</v>
      </c>
      <c r="D26" s="142">
        <v>142916.08021899711</v>
      </c>
      <c r="E26" s="142">
        <v>135931.58082460667</v>
      </c>
      <c r="F26" s="142">
        <v>136010.25913195108</v>
      </c>
      <c r="G26" s="142">
        <v>138947.27020758705</v>
      </c>
      <c r="H26" s="142">
        <v>149636.23737385109</v>
      </c>
      <c r="I26" s="142">
        <v>162092.3814727164</v>
      </c>
      <c r="J26" s="142">
        <v>172170.56322327952</v>
      </c>
      <c r="K26" s="142">
        <v>179762.86460631003</v>
      </c>
      <c r="L26" s="142">
        <v>174612.35552493026</v>
      </c>
      <c r="M26" s="142">
        <v>181680.84462272321</v>
      </c>
      <c r="N26" s="142">
        <v>188354.756983197</v>
      </c>
      <c r="O26" s="142">
        <v>192760.67975966466</v>
      </c>
      <c r="P26" s="142">
        <v>201923.38036866809</v>
      </c>
      <c r="Q26" s="142">
        <v>207343.29122758351</v>
      </c>
      <c r="R26" s="142">
        <v>214377.2029240382</v>
      </c>
      <c r="S26" s="142">
        <v>230358.15512894222</v>
      </c>
      <c r="T26" s="142">
        <v>248747.35136186008</v>
      </c>
      <c r="U26" s="142">
        <v>264353.81102044327</v>
      </c>
      <c r="V26" s="142">
        <v>278156.5972875685</v>
      </c>
      <c r="W26" s="142">
        <v>289875.92789585917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52.209746082235668</v>
      </c>
      <c r="E27" s="151">
        <v>48.889873859891061</v>
      </c>
      <c r="F27" s="151">
        <v>181.7272201215705</v>
      </c>
      <c r="G27" s="151">
        <v>269.49763363257591</v>
      </c>
      <c r="H27" s="151">
        <v>467.63961544427553</v>
      </c>
      <c r="I27" s="151">
        <v>598.62479979078694</v>
      </c>
      <c r="J27" s="151">
        <v>2090.5746286236094</v>
      </c>
      <c r="K27" s="151">
        <v>3160.0343157762086</v>
      </c>
      <c r="L27" s="151">
        <v>3950.8758468875471</v>
      </c>
      <c r="M27" s="151">
        <v>5075.9848265153068</v>
      </c>
      <c r="N27" s="151">
        <v>5920.5745968783604</v>
      </c>
      <c r="O27" s="151">
        <v>6453.2387525567319</v>
      </c>
      <c r="P27" s="151">
        <v>7109.1276395812511</v>
      </c>
      <c r="Q27" s="151">
        <v>8165.2861752054268</v>
      </c>
      <c r="R27" s="151">
        <v>8484.9799964833619</v>
      </c>
      <c r="S27" s="151">
        <v>8511.8484425052429</v>
      </c>
      <c r="T27" s="151">
        <v>10396.785666706783</v>
      </c>
      <c r="U27" s="151">
        <v>9157.1762232930541</v>
      </c>
      <c r="V27" s="151">
        <v>9292.2714986945994</v>
      </c>
      <c r="W27" s="151">
        <v>8006.5247651163054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316998.958075264</v>
      </c>
      <c r="C29" s="140">
        <f t="shared" si="9"/>
        <v>316300.00792216929</v>
      </c>
      <c r="D29" s="140">
        <f t="shared" si="9"/>
        <v>317187.84473148535</v>
      </c>
      <c r="E29" s="140">
        <f t="shared" si="9"/>
        <v>322747.8400647089</v>
      </c>
      <c r="F29" s="140">
        <f t="shared" si="9"/>
        <v>331864.86073709192</v>
      </c>
      <c r="G29" s="140">
        <f t="shared" si="9"/>
        <v>339240.46016186121</v>
      </c>
      <c r="H29" s="140">
        <f t="shared" si="9"/>
        <v>352266.7741129644</v>
      </c>
      <c r="I29" s="140">
        <f t="shared" si="9"/>
        <v>366786.45187718194</v>
      </c>
      <c r="J29" s="140">
        <f t="shared" si="9"/>
        <v>380791.70948488428</v>
      </c>
      <c r="K29" s="140">
        <f t="shared" si="9"/>
        <v>392273.44070145837</v>
      </c>
      <c r="L29" s="140">
        <f t="shared" si="9"/>
        <v>392855.14571397961</v>
      </c>
      <c r="M29" s="140">
        <f t="shared" si="9"/>
        <v>402977.54654720292</v>
      </c>
      <c r="N29" s="140">
        <f t="shared" si="9"/>
        <v>411102.738266734</v>
      </c>
      <c r="O29" s="140">
        <f t="shared" si="9"/>
        <v>413655.81204958668</v>
      </c>
      <c r="P29" s="140">
        <f t="shared" si="9"/>
        <v>422760.44919738389</v>
      </c>
      <c r="Q29" s="140">
        <f t="shared" si="9"/>
        <v>427986.61226523214</v>
      </c>
      <c r="R29" s="140">
        <f t="shared" ref="R29:W29" si="10">SUM(R30:R33)</f>
        <v>434554.64327125327</v>
      </c>
      <c r="S29" s="140">
        <f t="shared" si="10"/>
        <v>443275.39987805067</v>
      </c>
      <c r="T29" s="140">
        <f t="shared" si="10"/>
        <v>451890.24237310427</v>
      </c>
      <c r="U29" s="140">
        <f t="shared" si="10"/>
        <v>459762.47164623736</v>
      </c>
      <c r="V29" s="140">
        <f t="shared" si="10"/>
        <v>466814.47000000015</v>
      </c>
      <c r="W29" s="140">
        <f t="shared" si="10"/>
        <v>473456.09571925027</v>
      </c>
      <c r="DA29" s="170" t="s">
        <v>268</v>
      </c>
    </row>
    <row r="30" spans="1:105" ht="12" customHeight="1" x14ac:dyDescent="0.25">
      <c r="A30" s="132" t="s">
        <v>52</v>
      </c>
      <c r="B30" s="141">
        <v>3604.7321539686995</v>
      </c>
      <c r="C30" s="141">
        <v>6292.1251475377576</v>
      </c>
      <c r="D30" s="141">
        <v>9710.3872701777073</v>
      </c>
      <c r="E30" s="141">
        <v>13458.137395587335</v>
      </c>
      <c r="F30" s="141">
        <v>15571.065140917537</v>
      </c>
      <c r="G30" s="141">
        <v>17227.919867476183</v>
      </c>
      <c r="H30" s="141">
        <v>18200.722511723379</v>
      </c>
      <c r="I30" s="141">
        <v>17730.982274566737</v>
      </c>
      <c r="J30" s="141">
        <v>15608.343549493442</v>
      </c>
      <c r="K30" s="141">
        <v>12584.267592077565</v>
      </c>
      <c r="L30" s="141">
        <v>10245.239349311159</v>
      </c>
      <c r="M30" s="141">
        <v>9257.3892345284876</v>
      </c>
      <c r="N30" s="141">
        <v>9075.4479026116114</v>
      </c>
      <c r="O30" s="141">
        <v>9336.0971204192174</v>
      </c>
      <c r="P30" s="141">
        <v>9641.0438241804095</v>
      </c>
      <c r="Q30" s="141">
        <v>10725.372873272683</v>
      </c>
      <c r="R30" s="141">
        <v>11806.128931839028</v>
      </c>
      <c r="S30" s="141">
        <v>12873.469599702799</v>
      </c>
      <c r="T30" s="141">
        <v>13105.795304391295</v>
      </c>
      <c r="U30" s="141">
        <v>13155.776828678179</v>
      </c>
      <c r="V30" s="141">
        <v>12851.056666673549</v>
      </c>
      <c r="W30" s="141">
        <v>12585.985810154891</v>
      </c>
      <c r="DA30" s="171" t="s">
        <v>269</v>
      </c>
    </row>
    <row r="31" spans="1:105" ht="12" customHeight="1" x14ac:dyDescent="0.25">
      <c r="A31" s="132" t="s">
        <v>153</v>
      </c>
      <c r="B31" s="141">
        <v>57026.97807939467</v>
      </c>
      <c r="C31" s="141">
        <v>58191.013208586883</v>
      </c>
      <c r="D31" s="141">
        <v>59529.109363891308</v>
      </c>
      <c r="E31" s="141">
        <v>61395.626151411154</v>
      </c>
      <c r="F31" s="141">
        <v>63901.305158290175</v>
      </c>
      <c r="G31" s="141">
        <v>67305.095217172944</v>
      </c>
      <c r="H31" s="141">
        <v>70075.293383887678</v>
      </c>
      <c r="I31" s="141">
        <v>71893.017014297395</v>
      </c>
      <c r="J31" s="141">
        <v>73271.882008239743</v>
      </c>
      <c r="K31" s="141">
        <v>76099.42628948421</v>
      </c>
      <c r="L31" s="141">
        <v>80311.511488940785</v>
      </c>
      <c r="M31" s="141">
        <v>88030.176730971783</v>
      </c>
      <c r="N31" s="141">
        <v>95578.566310755152</v>
      </c>
      <c r="O31" s="141">
        <v>100607.58886100589</v>
      </c>
      <c r="P31" s="141">
        <v>102849.28577300919</v>
      </c>
      <c r="Q31" s="141">
        <v>103601.14975996033</v>
      </c>
      <c r="R31" s="141">
        <v>101665.39392316282</v>
      </c>
      <c r="S31" s="141">
        <v>99428.324765590922</v>
      </c>
      <c r="T31" s="141">
        <v>96497.125795850952</v>
      </c>
      <c r="U31" s="141">
        <v>97979.473032802503</v>
      </c>
      <c r="V31" s="141">
        <v>98851.132656622329</v>
      </c>
      <c r="W31" s="141">
        <v>100073.61821653406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256367.24784190062</v>
      </c>
      <c r="C33" s="153">
        <v>251816.86956604462</v>
      </c>
      <c r="D33" s="153">
        <v>247948.34809741637</v>
      </c>
      <c r="E33" s="153">
        <v>247894.0765177104</v>
      </c>
      <c r="F33" s="153">
        <v>252392.4904378842</v>
      </c>
      <c r="G33" s="153">
        <v>254707.44507721206</v>
      </c>
      <c r="H33" s="153">
        <v>263990.75821735337</v>
      </c>
      <c r="I33" s="153">
        <v>277162.4525883178</v>
      </c>
      <c r="J33" s="153">
        <v>291911.48392715107</v>
      </c>
      <c r="K33" s="153">
        <v>303589.74681989662</v>
      </c>
      <c r="L33" s="153">
        <v>302298.39487572765</v>
      </c>
      <c r="M33" s="153">
        <v>305689.98058170266</v>
      </c>
      <c r="N33" s="153">
        <v>306448.72405336722</v>
      </c>
      <c r="O33" s="153">
        <v>303712.12606816157</v>
      </c>
      <c r="P33" s="153">
        <v>310270.11960019427</v>
      </c>
      <c r="Q33" s="153">
        <v>313660.08963199909</v>
      </c>
      <c r="R33" s="153">
        <v>321083.12041625142</v>
      </c>
      <c r="S33" s="153">
        <v>330973.60551275697</v>
      </c>
      <c r="T33" s="153">
        <v>342287.32127286203</v>
      </c>
      <c r="U33" s="153">
        <v>348627.22178475669</v>
      </c>
      <c r="V33" s="153">
        <v>355112.28067670425</v>
      </c>
      <c r="W33" s="153">
        <v>360796.49169256131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3791.286570313001</v>
      </c>
      <c r="C3" s="126">
        <f t="shared" si="0"/>
        <v>4166.6466787397721</v>
      </c>
      <c r="D3" s="126">
        <f t="shared" si="0"/>
        <v>4825.2167894592294</v>
      </c>
      <c r="E3" s="126">
        <f t="shared" si="0"/>
        <v>4990.4841241067033</v>
      </c>
      <c r="F3" s="126">
        <f t="shared" si="0"/>
        <v>5324.1784488580961</v>
      </c>
      <c r="G3" s="126">
        <f t="shared" si="0"/>
        <v>5241.9768402067102</v>
      </c>
      <c r="H3" s="126">
        <f t="shared" si="0"/>
        <v>5884.0394115022054</v>
      </c>
      <c r="I3" s="126">
        <f t="shared" si="0"/>
        <v>5448.8425973322528</v>
      </c>
      <c r="J3" s="126">
        <f t="shared" si="0"/>
        <v>6227.9593422763573</v>
      </c>
      <c r="K3" s="126">
        <f t="shared" si="0"/>
        <v>6217.4856468685193</v>
      </c>
      <c r="L3" s="126">
        <f t="shared" si="0"/>
        <v>6977.4636480400077</v>
      </c>
      <c r="M3" s="126">
        <f t="shared" si="0"/>
        <v>6512.5270639842038</v>
      </c>
      <c r="N3" s="126">
        <f t="shared" si="0"/>
        <v>6390.2430534356881</v>
      </c>
      <c r="O3" s="126">
        <f t="shared" si="0"/>
        <v>6070.1346113335221</v>
      </c>
      <c r="P3" s="126">
        <f t="shared" si="0"/>
        <v>5693.6815974986775</v>
      </c>
      <c r="Q3" s="126">
        <f t="shared" si="0"/>
        <v>5674.2817491137903</v>
      </c>
      <c r="R3" s="126">
        <f t="shared" ref="R3:W3" si="1">SUM(R4,R16,R19,R29)</f>
        <v>6286.106971502797</v>
      </c>
      <c r="S3" s="126">
        <f t="shared" si="1"/>
        <v>5828.4074893283978</v>
      </c>
      <c r="T3" s="126">
        <f t="shared" si="1"/>
        <v>5719.4452830884666</v>
      </c>
      <c r="U3" s="126">
        <f t="shared" si="1"/>
        <v>5640.361819071205</v>
      </c>
      <c r="V3" s="126">
        <f t="shared" si="1"/>
        <v>5440.7615228222548</v>
      </c>
      <c r="W3" s="126">
        <f t="shared" si="1"/>
        <v>6193.1022584176053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3019.5287785669884</v>
      </c>
      <c r="C4" s="131">
        <f t="shared" si="2"/>
        <v>3294.6485458897359</v>
      </c>
      <c r="D4" s="131">
        <f t="shared" si="2"/>
        <v>3807.4627568740857</v>
      </c>
      <c r="E4" s="131">
        <f t="shared" si="2"/>
        <v>3860.2075473291547</v>
      </c>
      <c r="F4" s="131">
        <f t="shared" si="2"/>
        <v>4127.5065169055451</v>
      </c>
      <c r="G4" s="131">
        <f t="shared" si="2"/>
        <v>4007.4874318048805</v>
      </c>
      <c r="H4" s="131">
        <f t="shared" si="2"/>
        <v>4558.3893349250557</v>
      </c>
      <c r="I4" s="131">
        <f t="shared" si="2"/>
        <v>4007.3967121008423</v>
      </c>
      <c r="J4" s="131">
        <f t="shared" si="2"/>
        <v>4707.659811060933</v>
      </c>
      <c r="K4" s="131">
        <f t="shared" si="2"/>
        <v>4672.9573012862393</v>
      </c>
      <c r="L4" s="131">
        <f t="shared" si="2"/>
        <v>5412.4599155850337</v>
      </c>
      <c r="M4" s="131">
        <f t="shared" si="2"/>
        <v>4913.9859318827775</v>
      </c>
      <c r="N4" s="131">
        <f t="shared" si="2"/>
        <v>4763.4542354393225</v>
      </c>
      <c r="O4" s="131">
        <f t="shared" si="2"/>
        <v>4425.3151920192286</v>
      </c>
      <c r="P4" s="131">
        <f t="shared" si="2"/>
        <v>4029.2331942890041</v>
      </c>
      <c r="Q4" s="131">
        <f t="shared" si="2"/>
        <v>3983.63501670599</v>
      </c>
      <c r="R4" s="131">
        <f t="shared" ref="R4:W4" si="3">SUM(R5:R15)</f>
        <v>4580.6807129793133</v>
      </c>
      <c r="S4" s="131">
        <f t="shared" si="3"/>
        <v>4149.0851612867837</v>
      </c>
      <c r="T4" s="131">
        <f t="shared" si="3"/>
        <v>4044.3080768883838</v>
      </c>
      <c r="U4" s="131">
        <f t="shared" si="3"/>
        <v>3963.5887872279322</v>
      </c>
      <c r="V4" s="131">
        <f t="shared" si="3"/>
        <v>3884.756984891595</v>
      </c>
      <c r="W4" s="131">
        <f t="shared" si="3"/>
        <v>4544.1404222022293</v>
      </c>
      <c r="DA4" s="156" t="s">
        <v>213</v>
      </c>
    </row>
    <row r="5" spans="1:105" ht="12" customHeight="1" x14ac:dyDescent="0.25">
      <c r="A5" s="132" t="s">
        <v>29</v>
      </c>
      <c r="B5" s="133">
        <v>514.44754462060405</v>
      </c>
      <c r="C5" s="133">
        <v>391.61295740830877</v>
      </c>
      <c r="D5" s="133">
        <v>683.52155856696936</v>
      </c>
      <c r="E5" s="133">
        <v>680.53731431566041</v>
      </c>
      <c r="F5" s="133">
        <v>645.50584523975022</v>
      </c>
      <c r="G5" s="133">
        <v>639.9056377562797</v>
      </c>
      <c r="H5" s="133">
        <v>741.62911443513167</v>
      </c>
      <c r="I5" s="133">
        <v>632.72528075563707</v>
      </c>
      <c r="J5" s="133">
        <v>702.61010523629443</v>
      </c>
      <c r="K5" s="133">
        <v>765.2902050108064</v>
      </c>
      <c r="L5" s="133">
        <v>872.33921603468389</v>
      </c>
      <c r="M5" s="133">
        <v>765.08510176416382</v>
      </c>
      <c r="N5" s="133">
        <v>776.93857077871917</v>
      </c>
      <c r="O5" s="133">
        <v>718.00221684240682</v>
      </c>
      <c r="P5" s="133">
        <v>629.94837644045253</v>
      </c>
      <c r="Q5" s="133">
        <v>606.71359468553817</v>
      </c>
      <c r="R5" s="133">
        <v>633.84605377775176</v>
      </c>
      <c r="S5" s="133">
        <v>631.54549422617993</v>
      </c>
      <c r="T5" s="133">
        <v>583.51995260331466</v>
      </c>
      <c r="U5" s="133">
        <v>470.19869810757126</v>
      </c>
      <c r="V5" s="133">
        <v>483.86851035444545</v>
      </c>
      <c r="W5" s="133">
        <v>598.04557491673143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318.53146311854925</v>
      </c>
      <c r="C7" s="133">
        <v>409.2586638216041</v>
      </c>
      <c r="D7" s="133">
        <v>439.03034028970137</v>
      </c>
      <c r="E7" s="133">
        <v>414.47719324688876</v>
      </c>
      <c r="F7" s="133">
        <v>359.87268897595698</v>
      </c>
      <c r="G7" s="133">
        <v>286.72922955961263</v>
      </c>
      <c r="H7" s="133">
        <v>524.13757254620725</v>
      </c>
      <c r="I7" s="133">
        <v>511.45496773515504</v>
      </c>
      <c r="J7" s="133">
        <v>508.79845696975724</v>
      </c>
      <c r="K7" s="133">
        <v>483.65244576421696</v>
      </c>
      <c r="L7" s="133">
        <v>615.57421943916574</v>
      </c>
      <c r="M7" s="133">
        <v>571.12571740847636</v>
      </c>
      <c r="N7" s="133">
        <v>397.55193569354805</v>
      </c>
      <c r="O7" s="133">
        <v>319.76943859820256</v>
      </c>
      <c r="P7" s="133">
        <v>309.76774347138701</v>
      </c>
      <c r="Q7" s="133">
        <v>305.39355589369319</v>
      </c>
      <c r="R7" s="133">
        <v>305.67984987700152</v>
      </c>
      <c r="S7" s="133">
        <v>316.74346656182246</v>
      </c>
      <c r="T7" s="133">
        <v>333.66226658950541</v>
      </c>
      <c r="U7" s="133">
        <v>292.35767089290044</v>
      </c>
      <c r="V7" s="133">
        <v>298.32871075306446</v>
      </c>
      <c r="W7" s="133">
        <v>333.09831654838717</v>
      </c>
      <c r="DA7" s="157" t="s">
        <v>276</v>
      </c>
    </row>
    <row r="8" spans="1:105" ht="12" customHeight="1" x14ac:dyDescent="0.25">
      <c r="A8" s="132" t="s">
        <v>73</v>
      </c>
      <c r="B8" s="133">
        <v>4.6218615894597172E-2</v>
      </c>
      <c r="C8" s="133">
        <v>5.6574430238011827E-2</v>
      </c>
      <c r="D8" s="133">
        <v>6.2465746002514172E-2</v>
      </c>
      <c r="E8" s="133">
        <v>7.0505012183801133E-2</v>
      </c>
      <c r="F8" s="133">
        <v>7.1743394325447643E-2</v>
      </c>
      <c r="G8" s="133">
        <v>7.5283133664534735E-2</v>
      </c>
      <c r="H8" s="133">
        <v>7.6444166465354513E-2</v>
      </c>
      <c r="I8" s="133">
        <v>8.0840194561505957E-2</v>
      </c>
      <c r="J8" s="133">
        <v>8.4948914113946228E-2</v>
      </c>
      <c r="K8" s="133">
        <v>8.9908646114414945E-2</v>
      </c>
      <c r="L8" s="133">
        <v>8.5143741178858451E-2</v>
      </c>
      <c r="M8" s="133">
        <v>7.1814324341836239E-2</v>
      </c>
      <c r="N8" s="133">
        <v>7.4596367798158023E-2</v>
      </c>
      <c r="O8" s="133">
        <v>6.9521313380190561E-2</v>
      </c>
      <c r="P8" s="133">
        <v>8.9402896916519134E-2</v>
      </c>
      <c r="Q8" s="133">
        <v>9.0425026652013518E-2</v>
      </c>
      <c r="R8" s="133">
        <v>9.1331040601574112E-2</v>
      </c>
      <c r="S8" s="133">
        <v>8.2778708778566759E-2</v>
      </c>
      <c r="T8" s="133">
        <v>8.0743605100118035E-2</v>
      </c>
      <c r="U8" s="133">
        <v>8.4071798934766309E-2</v>
      </c>
      <c r="V8" s="133">
        <v>9.2567791676889208E-2</v>
      </c>
      <c r="W8" s="133">
        <v>0.11559880760619638</v>
      </c>
      <c r="DA8" s="157" t="s">
        <v>277</v>
      </c>
    </row>
    <row r="9" spans="1:105" ht="12" customHeight="1" x14ac:dyDescent="0.25">
      <c r="A9" s="132" t="s">
        <v>78</v>
      </c>
      <c r="B9" s="133">
        <v>815.66897715447567</v>
      </c>
      <c r="C9" s="133">
        <v>1063.4051500683956</v>
      </c>
      <c r="D9" s="133">
        <v>1292.6891277233688</v>
      </c>
      <c r="E9" s="133">
        <v>1399.49845634287</v>
      </c>
      <c r="F9" s="133">
        <v>1462.4678080690289</v>
      </c>
      <c r="G9" s="133">
        <v>1419.2767378991205</v>
      </c>
      <c r="H9" s="133">
        <v>1283.9205240560066</v>
      </c>
      <c r="I9" s="133">
        <v>1311.1198620512546</v>
      </c>
      <c r="J9" s="133">
        <v>1440.4087371224368</v>
      </c>
      <c r="K9" s="133">
        <v>1535.2571231267193</v>
      </c>
      <c r="L9" s="133">
        <v>1706.0704475616583</v>
      </c>
      <c r="M9" s="133">
        <v>1554.7739571630482</v>
      </c>
      <c r="N9" s="133">
        <v>1600.8078934036876</v>
      </c>
      <c r="O9" s="133">
        <v>1483.9162600603813</v>
      </c>
      <c r="P9" s="133">
        <v>1264.4337273270103</v>
      </c>
      <c r="Q9" s="133">
        <v>1365.1408057219846</v>
      </c>
      <c r="R9" s="133">
        <v>1604.2519306172935</v>
      </c>
      <c r="S9" s="133">
        <v>1165.7214798124171</v>
      </c>
      <c r="T9" s="133">
        <v>1078.669424505397</v>
      </c>
      <c r="U9" s="133">
        <v>1098.9649137354534</v>
      </c>
      <c r="V9" s="133">
        <v>959.9558992245577</v>
      </c>
      <c r="W9" s="133">
        <v>1320.0753615330593</v>
      </c>
      <c r="DA9" s="157" t="s">
        <v>278</v>
      </c>
    </row>
    <row r="10" spans="1:105" ht="12" customHeight="1" x14ac:dyDescent="0.25">
      <c r="A10" s="132" t="s">
        <v>128</v>
      </c>
      <c r="B10" s="133">
        <v>198.24906706792774</v>
      </c>
      <c r="C10" s="133">
        <v>132.99959353415429</v>
      </c>
      <c r="D10" s="133">
        <v>132.50249513457985</v>
      </c>
      <c r="E10" s="133">
        <v>131.9786561079961</v>
      </c>
      <c r="F10" s="133">
        <v>136.82832139948673</v>
      </c>
      <c r="G10" s="133">
        <v>141.11417195116908</v>
      </c>
      <c r="H10" s="133">
        <v>101.38061763494832</v>
      </c>
      <c r="I10" s="133">
        <v>121.09293550340264</v>
      </c>
      <c r="J10" s="133">
        <v>109.40664070086665</v>
      </c>
      <c r="K10" s="133">
        <v>160.75002143544916</v>
      </c>
      <c r="L10" s="133">
        <v>180.4559772517774</v>
      </c>
      <c r="M10" s="133">
        <v>175.70910245817868</v>
      </c>
      <c r="N10" s="133">
        <v>151.70713724071425</v>
      </c>
      <c r="O10" s="133">
        <v>175.14510133353139</v>
      </c>
      <c r="P10" s="133">
        <v>149.46570691851412</v>
      </c>
      <c r="Q10" s="133">
        <v>159.10052132807024</v>
      </c>
      <c r="R10" s="133">
        <v>180.07867125355676</v>
      </c>
      <c r="S10" s="133">
        <v>181.82666842287844</v>
      </c>
      <c r="T10" s="133">
        <v>171.77185921022479</v>
      </c>
      <c r="U10" s="133">
        <v>164.52995556503126</v>
      </c>
      <c r="V10" s="133">
        <v>174.62323964864447</v>
      </c>
      <c r="W10" s="133">
        <v>196.31463785764825</v>
      </c>
      <c r="DA10" s="157" t="s">
        <v>279</v>
      </c>
    </row>
    <row r="11" spans="1:105" ht="12" customHeight="1" x14ac:dyDescent="0.25">
      <c r="A11" s="132" t="s">
        <v>25</v>
      </c>
      <c r="B11" s="133">
        <v>0.57325881341358553</v>
      </c>
      <c r="C11" s="133">
        <v>0.47773000859845233</v>
      </c>
      <c r="D11" s="133">
        <v>1.2181427343078253</v>
      </c>
      <c r="E11" s="133">
        <v>1.671883061049011</v>
      </c>
      <c r="F11" s="133">
        <v>1.6718830610490105</v>
      </c>
      <c r="G11" s="133">
        <v>2.1496130696474625</v>
      </c>
      <c r="H11" s="133">
        <v>2.3884780739466893</v>
      </c>
      <c r="I11" s="133">
        <v>1.9585554600171966</v>
      </c>
      <c r="J11" s="133">
        <v>3.081083404987103</v>
      </c>
      <c r="K11" s="133">
        <v>3.3438521066208082</v>
      </c>
      <c r="L11" s="133">
        <v>2.9378331900257941</v>
      </c>
      <c r="M11" s="133">
        <v>2.4123817712811704</v>
      </c>
      <c r="N11" s="133">
        <v>3.6065348237317307</v>
      </c>
      <c r="O11" s="133">
        <v>5.1829750644883932</v>
      </c>
      <c r="P11" s="133">
        <v>5.70842648323302</v>
      </c>
      <c r="Q11" s="133">
        <v>5.6128976784178883</v>
      </c>
      <c r="R11" s="133">
        <v>5.374032674118653</v>
      </c>
      <c r="S11" s="133">
        <v>5.5841788478073919</v>
      </c>
      <c r="T11" s="133">
        <v>5.917798796216684</v>
      </c>
      <c r="U11" s="133">
        <v>6.2720550300945819</v>
      </c>
      <c r="V11" s="133">
        <v>6.4098882201203837</v>
      </c>
      <c r="W11" s="133">
        <v>7.1010318142734352</v>
      </c>
      <c r="DA11" s="157" t="s">
        <v>280</v>
      </c>
    </row>
    <row r="12" spans="1:105" ht="12" customHeight="1" x14ac:dyDescent="0.25">
      <c r="A12" s="132" t="s">
        <v>169</v>
      </c>
      <c r="B12" s="133">
        <v>470.45203339099601</v>
      </c>
      <c r="C12" s="133">
        <v>550.90481932582975</v>
      </c>
      <c r="D12" s="133">
        <v>691.69330435194627</v>
      </c>
      <c r="E12" s="133">
        <v>623.97791468248533</v>
      </c>
      <c r="F12" s="133">
        <v>941.10319036905378</v>
      </c>
      <c r="G12" s="133">
        <v>840.12170469885257</v>
      </c>
      <c r="H12" s="133">
        <v>1076.6943565951535</v>
      </c>
      <c r="I12" s="133">
        <v>733.02244868729861</v>
      </c>
      <c r="J12" s="133">
        <v>1061.5728896161763</v>
      </c>
      <c r="K12" s="133">
        <v>982.87904090370614</v>
      </c>
      <c r="L12" s="133">
        <v>1068.7963794685588</v>
      </c>
      <c r="M12" s="133">
        <v>894.85917628505638</v>
      </c>
      <c r="N12" s="133">
        <v>906.22313990313069</v>
      </c>
      <c r="O12" s="133">
        <v>971.50182011638924</v>
      </c>
      <c r="P12" s="133">
        <v>841.33424922765448</v>
      </c>
      <c r="Q12" s="133">
        <v>774.8497116212227</v>
      </c>
      <c r="R12" s="133">
        <v>939.45949845420444</v>
      </c>
      <c r="S12" s="133">
        <v>1004.2154580211741</v>
      </c>
      <c r="T12" s="133">
        <v>874.16612482224707</v>
      </c>
      <c r="U12" s="133">
        <v>938.18302442525737</v>
      </c>
      <c r="V12" s="133">
        <v>967.38994969697285</v>
      </c>
      <c r="W12" s="133">
        <v>871.0184909580704</v>
      </c>
      <c r="DA12" s="157" t="s">
        <v>281</v>
      </c>
    </row>
    <row r="13" spans="1:105" ht="12" customHeight="1" x14ac:dyDescent="0.25">
      <c r="A13" s="132" t="s">
        <v>77</v>
      </c>
      <c r="B13" s="133">
        <v>0.83236913880455465</v>
      </c>
      <c r="C13" s="133">
        <v>1.1613192284487286</v>
      </c>
      <c r="D13" s="133">
        <v>1.2409595296739533</v>
      </c>
      <c r="E13" s="133">
        <v>1.80087840225993</v>
      </c>
      <c r="F13" s="133">
        <v>2.099825727830984</v>
      </c>
      <c r="G13" s="133">
        <v>3.2148327022254075</v>
      </c>
      <c r="H13" s="133">
        <v>4.2467083890796502</v>
      </c>
      <c r="I13" s="133">
        <v>5.2152015815552071</v>
      </c>
      <c r="J13" s="133">
        <v>5.9764305707864045</v>
      </c>
      <c r="K13" s="133">
        <v>6.6494847509151409</v>
      </c>
      <c r="L13" s="133">
        <v>6.6600537197215814</v>
      </c>
      <c r="M13" s="133">
        <v>6.6536802407455724</v>
      </c>
      <c r="N13" s="133">
        <v>6.9374387790537062</v>
      </c>
      <c r="O13" s="133">
        <v>6.7313758274978319</v>
      </c>
      <c r="P13" s="133">
        <v>8.9459288091849256</v>
      </c>
      <c r="Q13" s="133">
        <v>9.45339281061867</v>
      </c>
      <c r="R13" s="133">
        <v>9.6757532591345736</v>
      </c>
      <c r="S13" s="133">
        <v>9.717213119052273</v>
      </c>
      <c r="T13" s="133">
        <v>9.6545083502439262</v>
      </c>
      <c r="U13" s="133">
        <v>9.9830146070988413</v>
      </c>
      <c r="V13" s="133">
        <v>10.340368880719726</v>
      </c>
      <c r="W13" s="133">
        <v>11.939902434677423</v>
      </c>
      <c r="DA13" s="157" t="s">
        <v>282</v>
      </c>
    </row>
    <row r="14" spans="1:105" ht="12" customHeight="1" x14ac:dyDescent="0.25">
      <c r="A14" s="60" t="s">
        <v>76</v>
      </c>
      <c r="B14" s="65">
        <v>684.18926155834072</v>
      </c>
      <c r="C14" s="65">
        <v>725.59822004603029</v>
      </c>
      <c r="D14" s="65">
        <v>541.7585880937537</v>
      </c>
      <c r="E14" s="65">
        <v>581.93880759840783</v>
      </c>
      <c r="F14" s="65">
        <v>552.61901461099308</v>
      </c>
      <c r="G14" s="65">
        <v>651.23734160936601</v>
      </c>
      <c r="H14" s="65">
        <v>798.36325057640875</v>
      </c>
      <c r="I14" s="65">
        <v>666.58695796463155</v>
      </c>
      <c r="J14" s="65">
        <v>848.73929928472296</v>
      </c>
      <c r="K14" s="65">
        <v>706.84786944566054</v>
      </c>
      <c r="L14" s="65">
        <v>927.38353357638914</v>
      </c>
      <c r="M14" s="65">
        <v>913.99771886123949</v>
      </c>
      <c r="N14" s="65">
        <v>891.10300478430781</v>
      </c>
      <c r="O14" s="65">
        <v>718.20029325884627</v>
      </c>
      <c r="P14" s="65">
        <v>796.20011527508132</v>
      </c>
      <c r="Q14" s="65">
        <v>733.14063230553165</v>
      </c>
      <c r="R14" s="65">
        <v>874.58116688116365</v>
      </c>
      <c r="S14" s="65">
        <v>810.28072725449022</v>
      </c>
      <c r="T14" s="65">
        <v>964.83828790341329</v>
      </c>
      <c r="U14" s="65">
        <v>961.37092105344993</v>
      </c>
      <c r="V14" s="65">
        <v>963.14509900456835</v>
      </c>
      <c r="W14" s="65">
        <v>1180.6879416210518</v>
      </c>
      <c r="DA14" s="109" t="s">
        <v>283</v>
      </c>
    </row>
    <row r="15" spans="1:105" ht="12" customHeight="1" x14ac:dyDescent="0.25">
      <c r="A15" s="134" t="s">
        <v>80</v>
      </c>
      <c r="B15" s="135">
        <v>16.538585087982383</v>
      </c>
      <c r="C15" s="135">
        <v>19.173518018128252</v>
      </c>
      <c r="D15" s="135">
        <v>23.745774703781926</v>
      </c>
      <c r="E15" s="135">
        <v>24.255938559353943</v>
      </c>
      <c r="F15" s="135">
        <v>25.266196058069994</v>
      </c>
      <c r="G15" s="135">
        <v>23.66287942494219</v>
      </c>
      <c r="H15" s="135">
        <v>25.552268451707299</v>
      </c>
      <c r="I15" s="135">
        <v>24.139662167329156</v>
      </c>
      <c r="J15" s="135">
        <v>26.981219240791074</v>
      </c>
      <c r="K15" s="135">
        <v>28.197350096029975</v>
      </c>
      <c r="L15" s="135">
        <v>32.157111601874128</v>
      </c>
      <c r="M15" s="135">
        <v>29.297281606245605</v>
      </c>
      <c r="N15" s="135">
        <v>28.503983664630976</v>
      </c>
      <c r="O15" s="135">
        <v>26.796189604105351</v>
      </c>
      <c r="P15" s="135">
        <v>23.339517439570713</v>
      </c>
      <c r="Q15" s="135">
        <v>24.139479634260663</v>
      </c>
      <c r="R15" s="135">
        <v>27.642425144486957</v>
      </c>
      <c r="S15" s="135">
        <v>23.367696312183309</v>
      </c>
      <c r="T15" s="135">
        <v>22.027110502720749</v>
      </c>
      <c r="U15" s="135">
        <v>21.644462012140277</v>
      </c>
      <c r="V15" s="135">
        <v>20.602751316825323</v>
      </c>
      <c r="W15" s="135">
        <v>25.743565710723082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20.266030201405446</v>
      </c>
      <c r="C16" s="131">
        <f t="shared" si="4"/>
        <v>20.068774565526027</v>
      </c>
      <c r="D16" s="131">
        <f t="shared" si="4"/>
        <v>20.812917186969077</v>
      </c>
      <c r="E16" s="131">
        <f t="shared" si="4"/>
        <v>21.02652933193885</v>
      </c>
      <c r="F16" s="131">
        <f t="shared" si="4"/>
        <v>22.233885205889216</v>
      </c>
      <c r="G16" s="131">
        <f t="shared" si="4"/>
        <v>23.872853930668132</v>
      </c>
      <c r="H16" s="131">
        <f t="shared" si="4"/>
        <v>27.461879210423657</v>
      </c>
      <c r="I16" s="131">
        <f t="shared" si="4"/>
        <v>29.427466272127614</v>
      </c>
      <c r="J16" s="131">
        <f t="shared" si="4"/>
        <v>31.137077652795679</v>
      </c>
      <c r="K16" s="131">
        <f t="shared" si="4"/>
        <v>34.262683765234357</v>
      </c>
      <c r="L16" s="131">
        <f t="shared" si="4"/>
        <v>40.963742501265379</v>
      </c>
      <c r="M16" s="131">
        <f t="shared" si="4"/>
        <v>38.0214813332164</v>
      </c>
      <c r="N16" s="131">
        <f t="shared" si="4"/>
        <v>41.058544789758244</v>
      </c>
      <c r="O16" s="131">
        <f t="shared" si="4"/>
        <v>40.971958921393195</v>
      </c>
      <c r="P16" s="131">
        <f t="shared" si="4"/>
        <v>40.553358876294709</v>
      </c>
      <c r="Q16" s="131">
        <f t="shared" si="4"/>
        <v>46.743029498731254</v>
      </c>
      <c r="R16" s="131">
        <f t="shared" ref="R16:W16" si="5">SUM(R17:R18)</f>
        <v>39.894488921587943</v>
      </c>
      <c r="S16" s="131">
        <f t="shared" si="5"/>
        <v>39.712847056903527</v>
      </c>
      <c r="T16" s="131">
        <f t="shared" si="5"/>
        <v>40.942633782708796</v>
      </c>
      <c r="U16" s="131">
        <f t="shared" si="5"/>
        <v>44.675190004214144</v>
      </c>
      <c r="V16" s="131">
        <f t="shared" si="5"/>
        <v>38.667811911759763</v>
      </c>
      <c r="W16" s="131">
        <f t="shared" si="5"/>
        <v>40.91716785939601</v>
      </c>
      <c r="DA16" s="156" t="s">
        <v>214</v>
      </c>
    </row>
    <row r="17" spans="1:105" ht="12.95" customHeight="1" x14ac:dyDescent="0.25">
      <c r="A17" s="132" t="s">
        <v>73</v>
      </c>
      <c r="B17" s="133">
        <v>4.4567268301659586E-2</v>
      </c>
      <c r="C17" s="133">
        <v>4.7717624868539477E-2</v>
      </c>
      <c r="D17" s="133">
        <v>5.5465978924498671E-2</v>
      </c>
      <c r="E17" s="133">
        <v>6.1943460433561776E-2</v>
      </c>
      <c r="F17" s="133">
        <v>7.6814462532076327E-2</v>
      </c>
      <c r="G17" s="133">
        <v>9.3505588728725719E-2</v>
      </c>
      <c r="H17" s="133">
        <v>0.11465921459867977</v>
      </c>
      <c r="I17" s="133">
        <v>0.13847557248075007</v>
      </c>
      <c r="J17" s="133">
        <v>0.15504443256989078</v>
      </c>
      <c r="K17" s="133">
        <v>0.17676036293231653</v>
      </c>
      <c r="L17" s="133">
        <v>0.21246359058310232</v>
      </c>
      <c r="M17" s="133">
        <v>0.22150249858430968</v>
      </c>
      <c r="N17" s="133">
        <v>0.26637105498981628</v>
      </c>
      <c r="O17" s="133">
        <v>0.32768642858705549</v>
      </c>
      <c r="P17" s="133">
        <v>0.43250671767245752</v>
      </c>
      <c r="Q17" s="133">
        <v>0.59980947171985599</v>
      </c>
      <c r="R17" s="133">
        <v>0.76652913426117752</v>
      </c>
      <c r="S17" s="133">
        <v>0.92132992247141976</v>
      </c>
      <c r="T17" s="133">
        <v>1.0576209833246906</v>
      </c>
      <c r="U17" s="133">
        <v>1.2315598431054551</v>
      </c>
      <c r="V17" s="133">
        <v>1.0774255438288902</v>
      </c>
      <c r="W17" s="133">
        <v>1.1419940961990593</v>
      </c>
      <c r="DA17" s="157" t="s">
        <v>285</v>
      </c>
    </row>
    <row r="18" spans="1:105" ht="12" customHeight="1" x14ac:dyDescent="0.25">
      <c r="A18" s="132" t="s">
        <v>72</v>
      </c>
      <c r="B18" s="133">
        <v>20.221462933103787</v>
      </c>
      <c r="C18" s="133">
        <v>20.021056940657488</v>
      </c>
      <c r="D18" s="133">
        <v>20.757451208044579</v>
      </c>
      <c r="E18" s="133">
        <v>20.964585871505289</v>
      </c>
      <c r="F18" s="133">
        <v>22.157070743357139</v>
      </c>
      <c r="G18" s="133">
        <v>23.779348341939407</v>
      </c>
      <c r="H18" s="133">
        <v>27.347219995824979</v>
      </c>
      <c r="I18" s="133">
        <v>29.288990699646863</v>
      </c>
      <c r="J18" s="133">
        <v>30.982033220225787</v>
      </c>
      <c r="K18" s="133">
        <v>34.085923402302043</v>
      </c>
      <c r="L18" s="133">
        <v>40.751278910682274</v>
      </c>
      <c r="M18" s="133">
        <v>37.799978834632093</v>
      </c>
      <c r="N18" s="133">
        <v>40.792173734768426</v>
      </c>
      <c r="O18" s="133">
        <v>40.644272492806138</v>
      </c>
      <c r="P18" s="133">
        <v>40.120852158622249</v>
      </c>
      <c r="Q18" s="133">
        <v>46.143220027011395</v>
      </c>
      <c r="R18" s="133">
        <v>39.127959787326766</v>
      </c>
      <c r="S18" s="133">
        <v>38.791517134432105</v>
      </c>
      <c r="T18" s="133">
        <v>39.885012799384107</v>
      </c>
      <c r="U18" s="133">
        <v>43.443630161108686</v>
      </c>
      <c r="V18" s="133">
        <v>37.590386367930876</v>
      </c>
      <c r="W18" s="133">
        <v>39.775173763196953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349.89322685426782</v>
      </c>
      <c r="C19" s="131">
        <f t="shared" si="6"/>
        <v>384.45917925831219</v>
      </c>
      <c r="D19" s="131">
        <f t="shared" si="6"/>
        <v>463.25939605761209</v>
      </c>
      <c r="E19" s="131">
        <f t="shared" si="6"/>
        <v>506.94722503706458</v>
      </c>
      <c r="F19" s="131">
        <f t="shared" si="6"/>
        <v>549.70710555594292</v>
      </c>
      <c r="G19" s="131">
        <f t="shared" si="6"/>
        <v>562.20929287713977</v>
      </c>
      <c r="H19" s="131">
        <f t="shared" si="6"/>
        <v>612.66475683543945</v>
      </c>
      <c r="I19" s="131">
        <f t="shared" si="6"/>
        <v>672.66773167864028</v>
      </c>
      <c r="J19" s="131">
        <f t="shared" si="6"/>
        <v>713.2482730277668</v>
      </c>
      <c r="K19" s="131">
        <f t="shared" si="6"/>
        <v>732.57785971449459</v>
      </c>
      <c r="L19" s="131">
        <f t="shared" si="6"/>
        <v>736.61439055749997</v>
      </c>
      <c r="M19" s="131">
        <f t="shared" si="6"/>
        <v>750.82728443741064</v>
      </c>
      <c r="N19" s="131">
        <f t="shared" si="6"/>
        <v>770.27573684525498</v>
      </c>
      <c r="O19" s="131">
        <f t="shared" si="6"/>
        <v>784.14469206460319</v>
      </c>
      <c r="P19" s="131">
        <f t="shared" si="6"/>
        <v>793.77248814573943</v>
      </c>
      <c r="Q19" s="131">
        <f t="shared" si="6"/>
        <v>808.67343295440651</v>
      </c>
      <c r="R19" s="131">
        <f t="shared" ref="R19:W19" si="7">SUM(R20:R27)</f>
        <v>827.19270156119478</v>
      </c>
      <c r="S19" s="131">
        <f t="shared" si="7"/>
        <v>812.59118542508611</v>
      </c>
      <c r="T19" s="131">
        <f t="shared" si="7"/>
        <v>797.7591462100014</v>
      </c>
      <c r="U19" s="131">
        <f t="shared" si="7"/>
        <v>789.56639793893146</v>
      </c>
      <c r="V19" s="131">
        <f t="shared" si="7"/>
        <v>730.42057856523809</v>
      </c>
      <c r="W19" s="131">
        <f t="shared" si="7"/>
        <v>792.38013348271329</v>
      </c>
      <c r="DA19" s="156" t="s">
        <v>215</v>
      </c>
    </row>
    <row r="20" spans="1:105" ht="12" customHeight="1" x14ac:dyDescent="0.25">
      <c r="A20" s="132" t="s">
        <v>29</v>
      </c>
      <c r="B20" s="133">
        <v>9.8352584748388274</v>
      </c>
      <c r="C20" s="133">
        <v>20.659957467013662</v>
      </c>
      <c r="D20" s="133">
        <v>28.064855878430528</v>
      </c>
      <c r="E20" s="133">
        <v>29.703356363617427</v>
      </c>
      <c r="F20" s="133">
        <v>30.34660531914907</v>
      </c>
      <c r="G20" s="133">
        <v>29.563149861949373</v>
      </c>
      <c r="H20" s="133">
        <v>26.136491755754275</v>
      </c>
      <c r="I20" s="133">
        <v>31.874117352703006</v>
      </c>
      <c r="J20" s="133">
        <v>32.785767506612054</v>
      </c>
      <c r="K20" s="133">
        <v>34.009365066580017</v>
      </c>
      <c r="L20" s="133">
        <v>36.408247421894053</v>
      </c>
      <c r="M20" s="133">
        <v>36.939575793875889</v>
      </c>
      <c r="N20" s="133">
        <v>37.790491989982961</v>
      </c>
      <c r="O20" s="133">
        <v>38.979554438761511</v>
      </c>
      <c r="P20" s="133">
        <v>39.604332072015161</v>
      </c>
      <c r="Q20" s="133">
        <v>40.072131883678715</v>
      </c>
      <c r="R20" s="133">
        <v>44.322217933339687</v>
      </c>
      <c r="S20" s="133">
        <v>36.334643349056137</v>
      </c>
      <c r="T20" s="133">
        <v>25.588387895396473</v>
      </c>
      <c r="U20" s="133">
        <v>21.036211608678961</v>
      </c>
      <c r="V20" s="133">
        <v>24.128394202734171</v>
      </c>
      <c r="W20" s="133">
        <v>32.72605019074858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53.937439171211004</v>
      </c>
      <c r="C21" s="133">
        <v>66.462824622704176</v>
      </c>
      <c r="D21" s="133">
        <v>65.156825848076622</v>
      </c>
      <c r="E21" s="133">
        <v>100.53209208093406</v>
      </c>
      <c r="F21" s="133">
        <v>86.646186166173308</v>
      </c>
      <c r="G21" s="133">
        <v>74.054661394190489</v>
      </c>
      <c r="H21" s="133">
        <v>82.844869440787548</v>
      </c>
      <c r="I21" s="133">
        <v>73.290022795216373</v>
      </c>
      <c r="J21" s="133">
        <v>68.437366859791169</v>
      </c>
      <c r="K21" s="133">
        <v>61.220039406702462</v>
      </c>
      <c r="L21" s="133">
        <v>58.903796969651346</v>
      </c>
      <c r="M21" s="133">
        <v>57.341607645766345</v>
      </c>
      <c r="N21" s="133">
        <v>74.514108463544062</v>
      </c>
      <c r="O21" s="133">
        <v>44.769718698889378</v>
      </c>
      <c r="P21" s="133">
        <v>50.605058345795733</v>
      </c>
      <c r="Q21" s="133">
        <v>45.832783071981609</v>
      </c>
      <c r="R21" s="133">
        <v>47.900339492783893</v>
      </c>
      <c r="S21" s="133">
        <v>47.857272616386545</v>
      </c>
      <c r="T21" s="133">
        <v>43.306913744620815</v>
      </c>
      <c r="U21" s="133">
        <v>47.652277993617304</v>
      </c>
      <c r="V21" s="133">
        <v>31.209209255945641</v>
      </c>
      <c r="W21" s="133">
        <v>28.940546835194141</v>
      </c>
      <c r="DA21" s="157" t="s">
        <v>288</v>
      </c>
    </row>
    <row r="22" spans="1:105" ht="12" customHeight="1" x14ac:dyDescent="0.25">
      <c r="A22" s="132" t="s">
        <v>168</v>
      </c>
      <c r="B22" s="133">
        <v>22.000695092972695</v>
      </c>
      <c r="C22" s="133">
        <v>22.216486651310671</v>
      </c>
      <c r="D22" s="133">
        <v>26.642746554666513</v>
      </c>
      <c r="E22" s="133">
        <v>28.381362213128387</v>
      </c>
      <c r="F22" s="133">
        <v>30.138746965573478</v>
      </c>
      <c r="G22" s="133">
        <v>29.598285487678847</v>
      </c>
      <c r="H22" s="133">
        <v>32.516683687670302</v>
      </c>
      <c r="I22" s="133">
        <v>35.955952299238689</v>
      </c>
      <c r="J22" s="133">
        <v>38.612463064636863</v>
      </c>
      <c r="K22" s="133">
        <v>39.654175044037459</v>
      </c>
      <c r="L22" s="133">
        <v>42.419933613285018</v>
      </c>
      <c r="M22" s="133">
        <v>42.077635987912316</v>
      </c>
      <c r="N22" s="133">
        <v>41.984263790544794</v>
      </c>
      <c r="O22" s="133">
        <v>42.20149863309571</v>
      </c>
      <c r="P22" s="133">
        <v>41.861147328269183</v>
      </c>
      <c r="Q22" s="133">
        <v>42.772136281715163</v>
      </c>
      <c r="R22" s="133">
        <v>41.832187956188122</v>
      </c>
      <c r="S22" s="133">
        <v>44.089723463972746</v>
      </c>
      <c r="T22" s="133">
        <v>41.345472017545156</v>
      </c>
      <c r="U22" s="133">
        <v>34.6610737330668</v>
      </c>
      <c r="V22" s="133">
        <v>34.123825790357451</v>
      </c>
      <c r="W22" s="133">
        <v>38.223093597786431</v>
      </c>
      <c r="DA22" s="157" t="s">
        <v>289</v>
      </c>
    </row>
    <row r="23" spans="1:105" ht="12" customHeight="1" x14ac:dyDescent="0.25">
      <c r="A23" s="132" t="s">
        <v>153</v>
      </c>
      <c r="B23" s="133">
        <v>33.608762764966087</v>
      </c>
      <c r="C23" s="133">
        <v>44.526483603632947</v>
      </c>
      <c r="D23" s="133">
        <v>58.039983312062105</v>
      </c>
      <c r="E23" s="133">
        <v>80.468076753682027</v>
      </c>
      <c r="F23" s="133">
        <v>87.136145789483706</v>
      </c>
      <c r="G23" s="133">
        <v>94.825086813194318</v>
      </c>
      <c r="H23" s="133">
        <v>101.8768023817411</v>
      </c>
      <c r="I23" s="133">
        <v>111.72465884386527</v>
      </c>
      <c r="J23" s="133">
        <v>124.00557655439925</v>
      </c>
      <c r="K23" s="133">
        <v>128.30005475899745</v>
      </c>
      <c r="L23" s="133">
        <v>143.69359068470155</v>
      </c>
      <c r="M23" s="133">
        <v>145.91941582001266</v>
      </c>
      <c r="N23" s="133">
        <v>146.05720296467268</v>
      </c>
      <c r="O23" s="133">
        <v>148.82193737779667</v>
      </c>
      <c r="P23" s="133">
        <v>151.163468269714</v>
      </c>
      <c r="Q23" s="133">
        <v>153.09926434945172</v>
      </c>
      <c r="R23" s="133">
        <v>152.07391716110627</v>
      </c>
      <c r="S23" s="133">
        <v>118.2680245495329</v>
      </c>
      <c r="T23" s="133">
        <v>107.39657251733321</v>
      </c>
      <c r="U23" s="133">
        <v>90.021639864281326</v>
      </c>
      <c r="V23" s="133">
        <v>74.604824421770033</v>
      </c>
      <c r="W23" s="133">
        <v>97.501559636512042</v>
      </c>
      <c r="DA23" s="157" t="s">
        <v>290</v>
      </c>
    </row>
    <row r="24" spans="1:105" ht="12" customHeight="1" x14ac:dyDescent="0.25">
      <c r="A24" s="132" t="s">
        <v>128</v>
      </c>
      <c r="B24" s="133">
        <v>6.131414445399832</v>
      </c>
      <c r="C24" s="133">
        <v>6.1759008768517685</v>
      </c>
      <c r="D24" s="133">
        <v>7.4134979866583386</v>
      </c>
      <c r="E24" s="133">
        <v>7.4357892918319486</v>
      </c>
      <c r="F24" s="133">
        <v>7.5062443786731734</v>
      </c>
      <c r="G24" s="133">
        <v>7.5196199662857355</v>
      </c>
      <c r="H24" s="133">
        <v>8.6795715310017858</v>
      </c>
      <c r="I24" s="133">
        <v>10.535095451025548</v>
      </c>
      <c r="J24" s="133">
        <v>11.568767725616567</v>
      </c>
      <c r="K24" s="133">
        <v>11.863908057242179</v>
      </c>
      <c r="L24" s="133">
        <v>11.934392481670672</v>
      </c>
      <c r="M24" s="133">
        <v>12.119358418863397</v>
      </c>
      <c r="N24" s="133">
        <v>12.380051065390566</v>
      </c>
      <c r="O24" s="133">
        <v>12.444494539211563</v>
      </c>
      <c r="P24" s="133">
        <v>12.638936245716341</v>
      </c>
      <c r="Q24" s="133">
        <v>13.776176866254719</v>
      </c>
      <c r="R24" s="133">
        <v>15.798886785996158</v>
      </c>
      <c r="S24" s="133">
        <v>16.239453675143992</v>
      </c>
      <c r="T24" s="133">
        <v>14.385406481950717</v>
      </c>
      <c r="U24" s="133">
        <v>14.702718553627236</v>
      </c>
      <c r="V24" s="133">
        <v>17.661025183685705</v>
      </c>
      <c r="W24" s="133">
        <v>20.951140302282599</v>
      </c>
      <c r="DA24" s="157" t="s">
        <v>291</v>
      </c>
    </row>
    <row r="25" spans="1:105" ht="12" customHeight="1" x14ac:dyDescent="0.25">
      <c r="A25" s="132" t="s">
        <v>169</v>
      </c>
      <c r="B25" s="133">
        <v>45.264045714764947</v>
      </c>
      <c r="C25" s="133">
        <v>51.846685403318972</v>
      </c>
      <c r="D25" s="133">
        <v>63.943497023806287</v>
      </c>
      <c r="E25" s="133">
        <v>72.233951181658938</v>
      </c>
      <c r="F25" s="133">
        <v>93.242811350636273</v>
      </c>
      <c r="G25" s="133">
        <v>99.951898052652325</v>
      </c>
      <c r="H25" s="133">
        <v>107.8140698880796</v>
      </c>
      <c r="I25" s="133">
        <v>115.2148685955905</v>
      </c>
      <c r="J25" s="133">
        <v>122.0756916391978</v>
      </c>
      <c r="K25" s="133">
        <v>124.84047758296575</v>
      </c>
      <c r="L25" s="133">
        <v>124.4538354927484</v>
      </c>
      <c r="M25" s="133">
        <v>123.8902648155463</v>
      </c>
      <c r="N25" s="133">
        <v>125.16121091372138</v>
      </c>
      <c r="O25" s="133">
        <v>128.35965881740299</v>
      </c>
      <c r="P25" s="133">
        <v>124.48690296495049</v>
      </c>
      <c r="Q25" s="133">
        <v>124.02294530053153</v>
      </c>
      <c r="R25" s="133">
        <v>130.23577239704227</v>
      </c>
      <c r="S25" s="133">
        <v>152.52065547839538</v>
      </c>
      <c r="T25" s="133">
        <v>124.43138162659265</v>
      </c>
      <c r="U25" s="133">
        <v>123.04363077680637</v>
      </c>
      <c r="V25" s="133">
        <v>124.21624118866768</v>
      </c>
      <c r="W25" s="133">
        <v>103.80885212017562</v>
      </c>
      <c r="DA25" s="157" t="s">
        <v>292</v>
      </c>
    </row>
    <row r="26" spans="1:105" ht="12" customHeight="1" x14ac:dyDescent="0.25">
      <c r="A26" s="132" t="s">
        <v>24</v>
      </c>
      <c r="B26" s="65">
        <v>179.11561119011441</v>
      </c>
      <c r="C26" s="65">
        <v>172.57084063347997</v>
      </c>
      <c r="D26" s="65">
        <v>213.97408575657721</v>
      </c>
      <c r="E26" s="65">
        <v>188.16869345487731</v>
      </c>
      <c r="F26" s="65">
        <v>214.59483678143886</v>
      </c>
      <c r="G26" s="65">
        <v>226.55325510170454</v>
      </c>
      <c r="H26" s="65">
        <v>252.53349944877115</v>
      </c>
      <c r="I26" s="65">
        <v>293.71471883455206</v>
      </c>
      <c r="J26" s="65">
        <v>314.47287183572456</v>
      </c>
      <c r="K26" s="65">
        <v>330.70738064061771</v>
      </c>
      <c r="L26" s="65">
        <v>316.41211581960232</v>
      </c>
      <c r="M26" s="65">
        <v>329.33891004829701</v>
      </c>
      <c r="N26" s="65">
        <v>328.47129673736418</v>
      </c>
      <c r="O26" s="65">
        <v>364.29250711748483</v>
      </c>
      <c r="P26" s="65">
        <v>368.635686771385</v>
      </c>
      <c r="Q26" s="65">
        <v>383.60453002452471</v>
      </c>
      <c r="R26" s="65">
        <v>389.15379943920959</v>
      </c>
      <c r="S26" s="65">
        <v>391.37066422725013</v>
      </c>
      <c r="T26" s="65">
        <v>435.22986145364752</v>
      </c>
      <c r="U26" s="65">
        <v>452.59605091186285</v>
      </c>
      <c r="V26" s="65">
        <v>418.86837408527606</v>
      </c>
      <c r="W26" s="65">
        <v>464.77867583870699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2.3903697334479789E-2</v>
      </c>
      <c r="E27" s="146">
        <v>2.3903697334479793E-2</v>
      </c>
      <c r="F27" s="146">
        <v>9.5528804815133248E-2</v>
      </c>
      <c r="G27" s="146">
        <v>0.14333619948409279</v>
      </c>
      <c r="H27" s="146">
        <v>0.26276870163370591</v>
      </c>
      <c r="I27" s="146">
        <v>0.3582975064488394</v>
      </c>
      <c r="J27" s="146">
        <v>1.2897678417884781</v>
      </c>
      <c r="K27" s="146">
        <v>1.9824591573516772</v>
      </c>
      <c r="L27" s="146">
        <v>2.3884780739466893</v>
      </c>
      <c r="M27" s="146">
        <v>3.2005159071367153</v>
      </c>
      <c r="N27" s="146">
        <v>3.9171109200343941</v>
      </c>
      <c r="O27" s="146">
        <v>4.2753224419604479</v>
      </c>
      <c r="P27" s="146">
        <v>4.7769561478933795</v>
      </c>
      <c r="Q27" s="146">
        <v>5.4934651762682751</v>
      </c>
      <c r="R27" s="146">
        <v>5.875580395528802</v>
      </c>
      <c r="S27" s="146">
        <v>5.9107480653482352</v>
      </c>
      <c r="T27" s="146">
        <v>6.0751504729148742</v>
      </c>
      <c r="U27" s="146">
        <v>5.8527944969905406</v>
      </c>
      <c r="V27" s="146">
        <v>5.6086844368013766</v>
      </c>
      <c r="W27" s="146">
        <v>5.450214961306961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401.59853469033908</v>
      </c>
      <c r="C29" s="131">
        <f t="shared" si="8"/>
        <v>467.47017902619763</v>
      </c>
      <c r="D29" s="131">
        <f t="shared" si="8"/>
        <v>533.68171934056272</v>
      </c>
      <c r="E29" s="131">
        <f t="shared" si="8"/>
        <v>602.30282240854444</v>
      </c>
      <c r="F29" s="131">
        <f t="shared" si="8"/>
        <v>624.73094119071948</v>
      </c>
      <c r="G29" s="131">
        <f t="shared" si="8"/>
        <v>648.40726159402243</v>
      </c>
      <c r="H29" s="131">
        <f t="shared" si="8"/>
        <v>685.5234405312865</v>
      </c>
      <c r="I29" s="131">
        <f t="shared" si="8"/>
        <v>739.35068728064311</v>
      </c>
      <c r="J29" s="131">
        <f t="shared" si="8"/>
        <v>775.91418053486143</v>
      </c>
      <c r="K29" s="131">
        <f t="shared" si="8"/>
        <v>777.6878021025509</v>
      </c>
      <c r="L29" s="131">
        <f t="shared" si="8"/>
        <v>787.42559939620924</v>
      </c>
      <c r="M29" s="131">
        <f t="shared" si="8"/>
        <v>809.69236633079936</v>
      </c>
      <c r="N29" s="131">
        <f t="shared" si="8"/>
        <v>815.45453636135198</v>
      </c>
      <c r="O29" s="131">
        <f t="shared" si="8"/>
        <v>819.70276832829722</v>
      </c>
      <c r="P29" s="131">
        <f t="shared" si="8"/>
        <v>830.12255618763925</v>
      </c>
      <c r="Q29" s="131">
        <f t="shared" si="8"/>
        <v>835.23026995466262</v>
      </c>
      <c r="R29" s="131">
        <f t="shared" ref="R29:W29" si="9">SUM(R30:R33)</f>
        <v>838.33906804070102</v>
      </c>
      <c r="S29" s="131">
        <f t="shared" si="9"/>
        <v>827.01829555962468</v>
      </c>
      <c r="T29" s="131">
        <f t="shared" si="9"/>
        <v>836.43542620737242</v>
      </c>
      <c r="U29" s="131">
        <f t="shared" si="9"/>
        <v>842.53144390012767</v>
      </c>
      <c r="V29" s="131">
        <f t="shared" si="9"/>
        <v>786.91614745366257</v>
      </c>
      <c r="W29" s="131">
        <f t="shared" si="9"/>
        <v>815.66453487326726</v>
      </c>
      <c r="DA29" s="156" t="s">
        <v>216</v>
      </c>
    </row>
    <row r="30" spans="1:105" ht="12" customHeight="1" x14ac:dyDescent="0.25">
      <c r="A30" s="132" t="s">
        <v>52</v>
      </c>
      <c r="B30" s="133">
        <v>2.5495771658483193</v>
      </c>
      <c r="C30" s="133">
        <v>13.74878328787192</v>
      </c>
      <c r="D30" s="133">
        <v>17.314283352267339</v>
      </c>
      <c r="E30" s="133">
        <v>35.036867506340215</v>
      </c>
      <c r="F30" s="133">
        <v>36.495602311900598</v>
      </c>
      <c r="G30" s="133">
        <v>38.919457264450941</v>
      </c>
      <c r="H30" s="133">
        <v>45.945586277183203</v>
      </c>
      <c r="I30" s="133">
        <v>47.592264393089692</v>
      </c>
      <c r="J30" s="133">
        <v>41.147499864198508</v>
      </c>
      <c r="K30" s="133">
        <v>28.87265190886075</v>
      </c>
      <c r="L30" s="133">
        <v>22.399384457691696</v>
      </c>
      <c r="M30" s="133">
        <v>21.764153317260305</v>
      </c>
      <c r="N30" s="133">
        <v>22.170672275922897</v>
      </c>
      <c r="O30" s="133">
        <v>23.349111911600712</v>
      </c>
      <c r="P30" s="133">
        <v>20.809902961169072</v>
      </c>
      <c r="Q30" s="133">
        <v>25.582178234983143</v>
      </c>
      <c r="R30" s="133">
        <v>29.008001005926321</v>
      </c>
      <c r="S30" s="133">
        <v>30.660698148875717</v>
      </c>
      <c r="T30" s="133">
        <v>29.750523916600191</v>
      </c>
      <c r="U30" s="133">
        <v>34.855030690819461</v>
      </c>
      <c r="V30" s="133">
        <v>23.725356522214259</v>
      </c>
      <c r="W30" s="133">
        <v>22.697974231013941</v>
      </c>
      <c r="DA30" s="157" t="s">
        <v>295</v>
      </c>
    </row>
    <row r="31" spans="1:105" ht="12" customHeight="1" x14ac:dyDescent="0.25">
      <c r="A31" s="132" t="s">
        <v>153</v>
      </c>
      <c r="B31" s="133">
        <v>88.106366715708376</v>
      </c>
      <c r="C31" s="133">
        <v>106.12048011981204</v>
      </c>
      <c r="D31" s="133">
        <v>122.51684374007164</v>
      </c>
      <c r="E31" s="133">
        <v>138.33988343513016</v>
      </c>
      <c r="F31" s="133">
        <v>143.45952611782076</v>
      </c>
      <c r="G31" s="133">
        <v>157.99937796683921</v>
      </c>
      <c r="H31" s="133">
        <v>168.95086510810083</v>
      </c>
      <c r="I31" s="133">
        <v>175.79205327764905</v>
      </c>
      <c r="J31" s="133">
        <v>180.45411945971375</v>
      </c>
      <c r="K31" s="133">
        <v>185.79163031933874</v>
      </c>
      <c r="L31" s="133">
        <v>186.83285141242069</v>
      </c>
      <c r="M31" s="133">
        <v>215.9976610108661</v>
      </c>
      <c r="N31" s="133">
        <v>239.58095254591251</v>
      </c>
      <c r="O31" s="133">
        <v>245.0006223349022</v>
      </c>
      <c r="P31" s="133">
        <v>245.04452333554849</v>
      </c>
      <c r="Q31" s="133">
        <v>252.91690093319886</v>
      </c>
      <c r="R31" s="133">
        <v>241.29006676728699</v>
      </c>
      <c r="S31" s="133">
        <v>227.08893214867408</v>
      </c>
      <c r="T31" s="133">
        <v>219.41524286003937</v>
      </c>
      <c r="U31" s="133">
        <v>225.07631862752893</v>
      </c>
      <c r="V31" s="133">
        <v>187.76893908007435</v>
      </c>
      <c r="W31" s="133">
        <v>258.72584706161848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310.94259080878237</v>
      </c>
      <c r="C33" s="68">
        <v>347.60091561851368</v>
      </c>
      <c r="D33" s="68">
        <v>393.85059224822368</v>
      </c>
      <c r="E33" s="68">
        <v>428.92607146707405</v>
      </c>
      <c r="F33" s="68">
        <v>444.77581276099806</v>
      </c>
      <c r="G33" s="68">
        <v>451.48842636273224</v>
      </c>
      <c r="H33" s="68">
        <v>470.62698914600253</v>
      </c>
      <c r="I33" s="68">
        <v>515.9663696099044</v>
      </c>
      <c r="J33" s="68">
        <v>554.31256121094918</v>
      </c>
      <c r="K33" s="68">
        <v>563.02351987435145</v>
      </c>
      <c r="L33" s="68">
        <v>578.19336352609685</v>
      </c>
      <c r="M33" s="68">
        <v>571.93055200267293</v>
      </c>
      <c r="N33" s="68">
        <v>553.70291153951655</v>
      </c>
      <c r="O33" s="68">
        <v>551.35303408179425</v>
      </c>
      <c r="P33" s="68">
        <v>564.26812989092161</v>
      </c>
      <c r="Q33" s="68">
        <v>556.73119078648062</v>
      </c>
      <c r="R33" s="68">
        <v>568.04100026748779</v>
      </c>
      <c r="S33" s="68">
        <v>569.26866526207482</v>
      </c>
      <c r="T33" s="68">
        <v>587.26965943073287</v>
      </c>
      <c r="U33" s="68">
        <v>582.60009458177922</v>
      </c>
      <c r="V33" s="68">
        <v>575.42185185137396</v>
      </c>
      <c r="W33" s="68">
        <v>534.24071358063486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2320.8520388789634</v>
      </c>
      <c r="C3" s="126">
        <f t="shared" si="0"/>
        <v>2573.0981046008601</v>
      </c>
      <c r="D3" s="126">
        <f t="shared" si="0"/>
        <v>2978.2724355749087</v>
      </c>
      <c r="E3" s="126">
        <f t="shared" si="0"/>
        <v>3096.7968028194955</v>
      </c>
      <c r="F3" s="126">
        <f t="shared" si="0"/>
        <v>3395.9172927993454</v>
      </c>
      <c r="G3" s="126">
        <f t="shared" si="0"/>
        <v>3382.8814053313945</v>
      </c>
      <c r="H3" s="126">
        <f t="shared" si="0"/>
        <v>3863.0255393029229</v>
      </c>
      <c r="I3" s="126">
        <f t="shared" si="0"/>
        <v>3579.6429660109416</v>
      </c>
      <c r="J3" s="126">
        <f t="shared" si="0"/>
        <v>4197.1966802962725</v>
      </c>
      <c r="K3" s="126">
        <f t="shared" si="0"/>
        <v>4214.2070042896448</v>
      </c>
      <c r="L3" s="126">
        <f t="shared" si="0"/>
        <v>4771.9582611165715</v>
      </c>
      <c r="M3" s="126">
        <f t="shared" si="0"/>
        <v>4506.2291247245857</v>
      </c>
      <c r="N3" s="126">
        <f t="shared" si="0"/>
        <v>4509.4911309403251</v>
      </c>
      <c r="O3" s="126">
        <f t="shared" si="0"/>
        <v>4356.2464730806951</v>
      </c>
      <c r="P3" s="126">
        <f t="shared" si="0"/>
        <v>4128.6464315913781</v>
      </c>
      <c r="Q3" s="126">
        <f t="shared" si="0"/>
        <v>4143.5970781302285</v>
      </c>
      <c r="R3" s="126">
        <f t="shared" ref="R3:W3" si="1">SUM(R4,R16,R19,R29)</f>
        <v>4618.0233380700693</v>
      </c>
      <c r="S3" s="126">
        <f t="shared" si="1"/>
        <v>4364.7645585553519</v>
      </c>
      <c r="T3" s="126">
        <f t="shared" si="1"/>
        <v>4343.1822264804669</v>
      </c>
      <c r="U3" s="126">
        <f t="shared" si="1"/>
        <v>4369.2293029849498</v>
      </c>
      <c r="V3" s="126">
        <f t="shared" si="1"/>
        <v>4270.3341652219988</v>
      </c>
      <c r="W3" s="126">
        <f t="shared" si="1"/>
        <v>4864.2501822308477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1774.9622808271672</v>
      </c>
      <c r="C4" s="131">
        <f t="shared" si="2"/>
        <v>1959.8759330837395</v>
      </c>
      <c r="D4" s="131">
        <f t="shared" si="2"/>
        <v>2262.8011825475728</v>
      </c>
      <c r="E4" s="131">
        <f t="shared" si="2"/>
        <v>2306.3242212144496</v>
      </c>
      <c r="F4" s="131">
        <f t="shared" si="2"/>
        <v>2550.2192636290492</v>
      </c>
      <c r="G4" s="131">
        <f t="shared" si="2"/>
        <v>2502.7115465700526</v>
      </c>
      <c r="H4" s="131">
        <f t="shared" si="2"/>
        <v>2909.630740732654</v>
      </c>
      <c r="I4" s="131">
        <f t="shared" si="2"/>
        <v>2532.8794913084457</v>
      </c>
      <c r="J4" s="131">
        <f t="shared" si="2"/>
        <v>3081.0542098689598</v>
      </c>
      <c r="K4" s="131">
        <f t="shared" si="2"/>
        <v>3066.2142376043298</v>
      </c>
      <c r="L4" s="131">
        <f t="shared" si="2"/>
        <v>3588.9350441725032</v>
      </c>
      <c r="M4" s="131">
        <f t="shared" si="2"/>
        <v>3301.4100865650717</v>
      </c>
      <c r="N4" s="131">
        <f t="shared" si="2"/>
        <v>3274.860659645753</v>
      </c>
      <c r="O4" s="131">
        <f t="shared" si="2"/>
        <v>3096.6328485470171</v>
      </c>
      <c r="P4" s="131">
        <f t="shared" si="2"/>
        <v>2846.9120677392043</v>
      </c>
      <c r="Q4" s="131">
        <f t="shared" si="2"/>
        <v>2819.2622830807641</v>
      </c>
      <c r="R4" s="131">
        <f t="shared" ref="R4:W4" si="3">SUM(R5:R15)</f>
        <v>3284.2600745850268</v>
      </c>
      <c r="S4" s="131">
        <f t="shared" si="3"/>
        <v>3026.7509375089699</v>
      </c>
      <c r="T4" s="131">
        <f t="shared" si="3"/>
        <v>2984.7038186364166</v>
      </c>
      <c r="U4" s="131">
        <f t="shared" si="3"/>
        <v>2979.4871493687615</v>
      </c>
      <c r="V4" s="131">
        <f t="shared" si="3"/>
        <v>2960.7984082438516</v>
      </c>
      <c r="W4" s="131">
        <f t="shared" si="3"/>
        <v>3474.501845970316</v>
      </c>
      <c r="DA4" s="156" t="s">
        <v>301</v>
      </c>
    </row>
    <row r="5" spans="1:105" ht="12" customHeight="1" x14ac:dyDescent="0.25">
      <c r="A5" s="132" t="s">
        <v>29</v>
      </c>
      <c r="B5" s="133">
        <v>271.32560278808609</v>
      </c>
      <c r="C5" s="133">
        <v>209.36484371502928</v>
      </c>
      <c r="D5" s="133">
        <v>371.69138923932161</v>
      </c>
      <c r="E5" s="133">
        <v>375.2356994595886</v>
      </c>
      <c r="F5" s="133">
        <v>360.14127738747698</v>
      </c>
      <c r="G5" s="133">
        <v>361.5706617313889</v>
      </c>
      <c r="H5" s="133">
        <v>425.12910717174134</v>
      </c>
      <c r="I5" s="133">
        <v>368.66000603557819</v>
      </c>
      <c r="J5" s="133">
        <v>415.87205675970557</v>
      </c>
      <c r="K5" s="133">
        <v>461.32596208549484</v>
      </c>
      <c r="L5" s="133">
        <v>534.89001497671995</v>
      </c>
      <c r="M5" s="133">
        <v>477.28933675666616</v>
      </c>
      <c r="N5" s="133">
        <v>493.5619642301815</v>
      </c>
      <c r="O5" s="133">
        <v>463.29520717961884</v>
      </c>
      <c r="P5" s="133">
        <v>407.81204202226428</v>
      </c>
      <c r="Q5" s="133">
        <v>394.56662244073834</v>
      </c>
      <c r="R5" s="133">
        <v>414.74031917926482</v>
      </c>
      <c r="S5" s="133">
        <v>417.36746211838192</v>
      </c>
      <c r="T5" s="133">
        <v>388.86604382020909</v>
      </c>
      <c r="U5" s="133">
        <v>315.66904029677238</v>
      </c>
      <c r="V5" s="133">
        <v>328.01497407185576</v>
      </c>
      <c r="W5" s="133">
        <v>409.86058640027392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145.40895224116116</v>
      </c>
      <c r="C7" s="133">
        <v>189.00997591313165</v>
      </c>
      <c r="D7" s="133">
        <v>204.73332462324294</v>
      </c>
      <c r="E7" s="133">
        <v>193.83928178052079</v>
      </c>
      <c r="F7" s="133">
        <v>168.84189283886735</v>
      </c>
      <c r="G7" s="133">
        <v>137.01539900868417</v>
      </c>
      <c r="H7" s="133">
        <v>259.39488397686563</v>
      </c>
      <c r="I7" s="133">
        <v>259.79830165018859</v>
      </c>
      <c r="J7" s="133">
        <v>262.796363131693</v>
      </c>
      <c r="K7" s="133">
        <v>254.01792939443456</v>
      </c>
      <c r="L7" s="133">
        <v>329.04079547520774</v>
      </c>
      <c r="M7" s="133">
        <v>310.35074858305398</v>
      </c>
      <c r="N7" s="133">
        <v>219.09850386702087</v>
      </c>
      <c r="O7" s="133">
        <v>178.65094743176979</v>
      </c>
      <c r="P7" s="133">
        <v>173.26731681094486</v>
      </c>
      <c r="Q7" s="133">
        <v>172.30680726099439</v>
      </c>
      <c r="R7" s="133">
        <v>175.72156827535721</v>
      </c>
      <c r="S7" s="133">
        <v>188.02709522814646</v>
      </c>
      <c r="T7" s="133">
        <v>204.06716264408578</v>
      </c>
      <c r="U7" s="133">
        <v>183.11518467229951</v>
      </c>
      <c r="V7" s="133">
        <v>192.24184107168585</v>
      </c>
      <c r="W7" s="133">
        <v>222.00149037998165</v>
      </c>
      <c r="DA7" s="157" t="s">
        <v>304</v>
      </c>
    </row>
    <row r="8" spans="1:105" ht="12" customHeight="1" x14ac:dyDescent="0.25">
      <c r="A8" s="132" t="s">
        <v>73</v>
      </c>
      <c r="B8" s="133">
        <v>4.6725002873281157E-2</v>
      </c>
      <c r="C8" s="133">
        <v>5.727884613384443E-2</v>
      </c>
      <c r="D8" s="133">
        <v>6.3773818584411793E-2</v>
      </c>
      <c r="E8" s="133">
        <v>7.3183240009645545E-2</v>
      </c>
      <c r="F8" s="133">
        <v>7.5696149991696562E-2</v>
      </c>
      <c r="G8" s="133">
        <v>8.1691568696234396E-2</v>
      </c>
      <c r="H8" s="133">
        <v>8.5182719069446133E-2</v>
      </c>
      <c r="I8" s="133">
        <v>9.4038818565242474E-2</v>
      </c>
      <c r="J8" s="133">
        <v>0.10157365744896719</v>
      </c>
      <c r="K8" s="133">
        <v>0.11095270257900366</v>
      </c>
      <c r="L8" s="133">
        <v>0.10704213749333504</v>
      </c>
      <c r="M8" s="133">
        <v>9.3827997131356963E-2</v>
      </c>
      <c r="N8" s="133">
        <v>0.10483795250649069</v>
      </c>
      <c r="O8" s="133">
        <v>0.10643817323586209</v>
      </c>
      <c r="P8" s="133">
        <v>0.14592966705621477</v>
      </c>
      <c r="Q8" s="133">
        <v>0.15436716390106625</v>
      </c>
      <c r="R8" s="133">
        <v>0.16108565769860464</v>
      </c>
      <c r="S8" s="133">
        <v>0.1517227417664862</v>
      </c>
      <c r="T8" s="133">
        <v>0.15413047161430191</v>
      </c>
      <c r="U8" s="133">
        <v>0.16728851564184891</v>
      </c>
      <c r="V8" s="133">
        <v>0.19095466161752231</v>
      </c>
      <c r="W8" s="133">
        <v>0.24515986220449409</v>
      </c>
      <c r="DA8" s="157" t="s">
        <v>305</v>
      </c>
    </row>
    <row r="9" spans="1:105" ht="12" customHeight="1" x14ac:dyDescent="0.25">
      <c r="A9" s="132" t="s">
        <v>78</v>
      </c>
      <c r="B9" s="133">
        <v>409.29303199597103</v>
      </c>
      <c r="C9" s="133">
        <v>545.75113644731789</v>
      </c>
      <c r="D9" s="133">
        <v>680.4124158027895</v>
      </c>
      <c r="E9" s="133">
        <v>753.23092909083073</v>
      </c>
      <c r="F9" s="133">
        <v>799.02657531535783</v>
      </c>
      <c r="G9" s="133">
        <v>783.83514053472061</v>
      </c>
      <c r="H9" s="133">
        <v>716.77610275191432</v>
      </c>
      <c r="I9" s="133">
        <v>747.4278166454568</v>
      </c>
      <c r="J9" s="133">
        <v>841.21479143729493</v>
      </c>
      <c r="K9" s="133">
        <v>917.98533545964438</v>
      </c>
      <c r="L9" s="133">
        <v>1035.3565262804852</v>
      </c>
      <c r="M9" s="133">
        <v>967.8617442128475</v>
      </c>
      <c r="N9" s="133">
        <v>1022.0709640528871</v>
      </c>
      <c r="O9" s="133">
        <v>966.98576082192153</v>
      </c>
      <c r="P9" s="133">
        <v>833.06810252347282</v>
      </c>
      <c r="Q9" s="133">
        <v>910.13739725366327</v>
      </c>
      <c r="R9" s="133">
        <v>1081.9151424918743</v>
      </c>
      <c r="S9" s="133">
        <v>794.65225176295428</v>
      </c>
      <c r="T9" s="133">
        <v>744.20416831538557</v>
      </c>
      <c r="U9" s="133">
        <v>768.61644665319375</v>
      </c>
      <c r="V9" s="133">
        <v>679.83830677354661</v>
      </c>
      <c r="W9" s="133">
        <v>946.56873218184126</v>
      </c>
      <c r="DA9" s="157" t="s">
        <v>306</v>
      </c>
    </row>
    <row r="10" spans="1:105" ht="12" customHeight="1" x14ac:dyDescent="0.25">
      <c r="A10" s="132" t="s">
        <v>128</v>
      </c>
      <c r="B10" s="133">
        <v>89.340176993974339</v>
      </c>
      <c r="C10" s="133">
        <v>59.9357535558878</v>
      </c>
      <c r="D10" s="133">
        <v>59.711738080515168</v>
      </c>
      <c r="E10" s="133">
        <v>59.475672044777873</v>
      </c>
      <c r="F10" s="133">
        <v>61.661154992623736</v>
      </c>
      <c r="G10" s="133">
        <v>63.592557003841414</v>
      </c>
      <c r="H10" s="133">
        <v>45.83824268099427</v>
      </c>
      <c r="I10" s="133">
        <v>56.240476908047626</v>
      </c>
      <c r="J10" s="133">
        <v>52.463431401690563</v>
      </c>
      <c r="K10" s="133">
        <v>80.607988922266472</v>
      </c>
      <c r="L10" s="133">
        <v>93.17611376269106</v>
      </c>
      <c r="M10" s="133">
        <v>93.189982467756195</v>
      </c>
      <c r="N10" s="133">
        <v>82.319405033776604</v>
      </c>
      <c r="O10" s="133">
        <v>96.781668459479519</v>
      </c>
      <c r="P10" s="133">
        <v>82.597013313833301</v>
      </c>
      <c r="Q10" s="133">
        <v>87.932694596803927</v>
      </c>
      <c r="R10" s="133">
        <v>99.538805671136402</v>
      </c>
      <c r="S10" s="133">
        <v>100.52527279076672</v>
      </c>
      <c r="T10" s="133">
        <v>94.983838883773828</v>
      </c>
      <c r="U10" s="133">
        <v>91.00062879850924</v>
      </c>
      <c r="V10" s="133">
        <v>96.616693410137941</v>
      </c>
      <c r="W10" s="133">
        <v>108.65930302665238</v>
      </c>
      <c r="DA10" s="157" t="s">
        <v>307</v>
      </c>
    </row>
    <row r="11" spans="1:105" ht="12" customHeight="1" x14ac:dyDescent="0.25">
      <c r="A11" s="132" t="s">
        <v>25</v>
      </c>
      <c r="B11" s="133">
        <v>0.43048227462639421</v>
      </c>
      <c r="C11" s="133">
        <v>0.3634270409283677</v>
      </c>
      <c r="D11" s="133">
        <v>0.94848030642783621</v>
      </c>
      <c r="E11" s="133">
        <v>1.3166892942128816</v>
      </c>
      <c r="F11" s="133">
        <v>1.3254856537287767</v>
      </c>
      <c r="G11" s="133">
        <v>1.7145044400128393</v>
      </c>
      <c r="H11" s="133">
        <v>1.9136123045729128</v>
      </c>
      <c r="I11" s="133">
        <v>1.5770790339477034</v>
      </c>
      <c r="J11" s="133">
        <v>2.494201226566525</v>
      </c>
      <c r="K11" s="133">
        <v>2.7165939586424974</v>
      </c>
      <c r="L11" s="133">
        <v>2.3912558073398462</v>
      </c>
      <c r="M11" s="133">
        <v>1.9746730127448282</v>
      </c>
      <c r="N11" s="133">
        <v>2.9823596525508522</v>
      </c>
      <c r="O11" s="133">
        <v>4.3247402605857097</v>
      </c>
      <c r="P11" s="133">
        <v>4.7851773949406562</v>
      </c>
      <c r="Q11" s="133">
        <v>4.7187238945656524</v>
      </c>
      <c r="R11" s="133">
        <v>4.5271228007829416</v>
      </c>
      <c r="S11" s="133">
        <v>4.7227954871138929</v>
      </c>
      <c r="T11" s="133">
        <v>5.027573741846485</v>
      </c>
      <c r="U11" s="133">
        <v>5.3492014640735901</v>
      </c>
      <c r="V11" s="133">
        <v>5.4837045768680843</v>
      </c>
      <c r="W11" s="133">
        <v>6.0899774675995602</v>
      </c>
      <c r="DA11" s="157" t="s">
        <v>308</v>
      </c>
    </row>
    <row r="12" spans="1:105" ht="12" customHeight="1" x14ac:dyDescent="0.25">
      <c r="A12" s="132" t="s">
        <v>169</v>
      </c>
      <c r="B12" s="133">
        <v>367.10031380632699</v>
      </c>
      <c r="C12" s="133">
        <v>431.58142526580406</v>
      </c>
      <c r="D12" s="133">
        <v>544.17184393818411</v>
      </c>
      <c r="E12" s="133">
        <v>492.84251010614321</v>
      </c>
      <c r="F12" s="133">
        <v>747.58617223683882</v>
      </c>
      <c r="G12" s="133">
        <v>669.59571789179074</v>
      </c>
      <c r="H12" s="133">
        <v>861.43085630282906</v>
      </c>
      <c r="I12" s="133">
        <v>588.19197881550474</v>
      </c>
      <c r="J12" s="133">
        <v>854.52861204651299</v>
      </c>
      <c r="K12" s="133">
        <v>793.44163315434105</v>
      </c>
      <c r="L12" s="133">
        <v>865.45791408957678</v>
      </c>
      <c r="M12" s="133">
        <v>727.26275222369588</v>
      </c>
      <c r="N12" s="133">
        <v>740.54004228937958</v>
      </c>
      <c r="O12" s="133">
        <v>798.85271224759538</v>
      </c>
      <c r="P12" s="133">
        <v>693.59700704834449</v>
      </c>
      <c r="Q12" s="133">
        <v>641.2372684225744</v>
      </c>
      <c r="R12" s="133">
        <v>781.88857991997384</v>
      </c>
      <c r="S12" s="133">
        <v>842.48548230225174</v>
      </c>
      <c r="T12" s="133">
        <v>738.19388756351464</v>
      </c>
      <c r="U12" s="133">
        <v>797.54051255254876</v>
      </c>
      <c r="V12" s="133">
        <v>827.35168911251151</v>
      </c>
      <c r="W12" s="133">
        <v>748.52910024536561</v>
      </c>
      <c r="DA12" s="157" t="s">
        <v>309</v>
      </c>
    </row>
    <row r="13" spans="1:105" ht="12" customHeight="1" x14ac:dyDescent="0.25">
      <c r="A13" s="132" t="s">
        <v>77</v>
      </c>
      <c r="B13" s="133">
        <v>1.1292464010487344</v>
      </c>
      <c r="C13" s="133">
        <v>1.5805337833628479</v>
      </c>
      <c r="D13" s="133">
        <v>1.7206196761669883</v>
      </c>
      <c r="E13" s="133">
        <v>2.5955050999799729</v>
      </c>
      <c r="F13" s="133">
        <v>3.1634450408164723</v>
      </c>
      <c r="G13" s="133">
        <v>5.1408011028649971</v>
      </c>
      <c r="H13" s="133">
        <v>7.122611254523262</v>
      </c>
      <c r="I13" s="133">
        <v>9.1731961365876344</v>
      </c>
      <c r="J13" s="133">
        <v>10.80137272008508</v>
      </c>
      <c r="K13" s="133">
        <v>12.344433815688726</v>
      </c>
      <c r="L13" s="133">
        <v>12.56438060285681</v>
      </c>
      <c r="M13" s="133">
        <v>12.9752607210085</v>
      </c>
      <c r="N13" s="133">
        <v>14.263689025815706</v>
      </c>
      <c r="O13" s="133">
        <v>14.802455528261257</v>
      </c>
      <c r="P13" s="133">
        <v>20.979169880833698</v>
      </c>
      <c r="Q13" s="133">
        <v>23.236484207333511</v>
      </c>
      <c r="R13" s="133">
        <v>24.572980585287755</v>
      </c>
      <c r="S13" s="133">
        <v>25.62556917204887</v>
      </c>
      <c r="T13" s="133">
        <v>26.425489497487284</v>
      </c>
      <c r="U13" s="133">
        <v>28.35611775281652</v>
      </c>
      <c r="V13" s="133">
        <v>30.369325089025018</v>
      </c>
      <c r="W13" s="133">
        <v>36.005096324189154</v>
      </c>
      <c r="DA13" s="157" t="s">
        <v>310</v>
      </c>
    </row>
    <row r="14" spans="1:105" ht="12" customHeight="1" x14ac:dyDescent="0.25">
      <c r="A14" s="60" t="s">
        <v>76</v>
      </c>
      <c r="B14" s="65">
        <v>474.34916423511686</v>
      </c>
      <c r="C14" s="65">
        <v>503.0580404980152</v>
      </c>
      <c r="D14" s="65">
        <v>375.60182235855819</v>
      </c>
      <c r="E14" s="65">
        <v>403.45881253903184</v>
      </c>
      <c r="F14" s="65">
        <v>383.13136795527771</v>
      </c>
      <c r="G14" s="65">
        <v>456.50219386311068</v>
      </c>
      <c r="H14" s="65">
        <v>566.38787311843703</v>
      </c>
      <c r="I14" s="65">
        <v>477.57693509723953</v>
      </c>
      <c r="J14" s="65">
        <v>613.80058824717059</v>
      </c>
      <c r="K14" s="65">
        <v>515.46605801520832</v>
      </c>
      <c r="L14" s="65">
        <v>683.79388943825825</v>
      </c>
      <c r="M14" s="65">
        <v>681.1144789839218</v>
      </c>
      <c r="N14" s="65">
        <v>671.41490987700297</v>
      </c>
      <c r="O14" s="65">
        <v>546.0367288404442</v>
      </c>
      <c r="P14" s="65">
        <v>607.32079163794401</v>
      </c>
      <c r="Q14" s="65">
        <v>560.83243820592895</v>
      </c>
      <c r="R14" s="65">
        <v>673.55204485916408</v>
      </c>
      <c r="S14" s="65">
        <v>629.82558959335631</v>
      </c>
      <c r="T14" s="65">
        <v>760.75441319577862</v>
      </c>
      <c r="U14" s="65">
        <v>768.02826665076623</v>
      </c>
      <c r="V14" s="65">
        <v>780.08816815977787</v>
      </c>
      <c r="W14" s="65">
        <v>970.79883437148453</v>
      </c>
      <c r="DA14" s="109" t="s">
        <v>311</v>
      </c>
    </row>
    <row r="15" spans="1:105" ht="12" customHeight="1" x14ac:dyDescent="0.25">
      <c r="A15" s="134" t="s">
        <v>80</v>
      </c>
      <c r="B15" s="135">
        <v>16.538585087982383</v>
      </c>
      <c r="C15" s="135">
        <v>19.173518018128252</v>
      </c>
      <c r="D15" s="135">
        <v>23.745774703781926</v>
      </c>
      <c r="E15" s="135">
        <v>24.255938559353943</v>
      </c>
      <c r="F15" s="135">
        <v>25.266196058069994</v>
      </c>
      <c r="G15" s="135">
        <v>23.66287942494219</v>
      </c>
      <c r="H15" s="135">
        <v>25.552268451707299</v>
      </c>
      <c r="I15" s="135">
        <v>24.139662167329156</v>
      </c>
      <c r="J15" s="135">
        <v>26.981219240791074</v>
      </c>
      <c r="K15" s="135">
        <v>28.197350096029975</v>
      </c>
      <c r="L15" s="135">
        <v>32.157111601874128</v>
      </c>
      <c r="M15" s="135">
        <v>29.297281606245605</v>
      </c>
      <c r="N15" s="135">
        <v>28.503983664630976</v>
      </c>
      <c r="O15" s="135">
        <v>26.796189604105351</v>
      </c>
      <c r="P15" s="135">
        <v>23.339517439570713</v>
      </c>
      <c r="Q15" s="135">
        <v>24.139479634260663</v>
      </c>
      <c r="R15" s="135">
        <v>27.642425144486957</v>
      </c>
      <c r="S15" s="135">
        <v>23.367696312183309</v>
      </c>
      <c r="T15" s="135">
        <v>22.027110502720749</v>
      </c>
      <c r="U15" s="135">
        <v>21.644462012140277</v>
      </c>
      <c r="V15" s="135">
        <v>20.602751316825323</v>
      </c>
      <c r="W15" s="135">
        <v>25.743565710723082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37.197622973452475</v>
      </c>
      <c r="C16" s="131">
        <f t="shared" si="4"/>
        <v>37.900874345293971</v>
      </c>
      <c r="D16" s="131">
        <f t="shared" si="4"/>
        <v>40.894389103361462</v>
      </c>
      <c r="E16" s="131">
        <f t="shared" si="4"/>
        <v>43.142680465620565</v>
      </c>
      <c r="F16" s="131">
        <f t="shared" si="4"/>
        <v>47.94479123312454</v>
      </c>
      <c r="G16" s="131">
        <f t="shared" si="4"/>
        <v>54.094180799946479</v>
      </c>
      <c r="H16" s="131">
        <f t="shared" si="4"/>
        <v>65.519027754793299</v>
      </c>
      <c r="I16" s="131">
        <f t="shared" si="4"/>
        <v>73.935288315863602</v>
      </c>
      <c r="J16" s="131">
        <f t="shared" si="4"/>
        <v>81.977687504202663</v>
      </c>
      <c r="K16" s="131">
        <f t="shared" si="4"/>
        <v>91.761299660482493</v>
      </c>
      <c r="L16" s="131">
        <f t="shared" si="4"/>
        <v>111.76065802165978</v>
      </c>
      <c r="M16" s="131">
        <f t="shared" si="4"/>
        <v>106.28566753207819</v>
      </c>
      <c r="N16" s="131">
        <f t="shared" si="4"/>
        <v>117.77191581821349</v>
      </c>
      <c r="O16" s="131">
        <f t="shared" si="4"/>
        <v>120.55818877028543</v>
      </c>
      <c r="P16" s="131">
        <f t="shared" si="4"/>
        <v>123.03083442568301</v>
      </c>
      <c r="Q16" s="131">
        <f t="shared" si="4"/>
        <v>146.78193810279382</v>
      </c>
      <c r="R16" s="131">
        <f t="shared" ref="R16:W16" si="5">SUM(R17:R18)</f>
        <v>129.09022333658874</v>
      </c>
      <c r="S16" s="131">
        <f t="shared" si="5"/>
        <v>132.67518470682498</v>
      </c>
      <c r="T16" s="131">
        <f t="shared" si="5"/>
        <v>140.9721053603341</v>
      </c>
      <c r="U16" s="131">
        <f t="shared" si="5"/>
        <v>157.91551028068844</v>
      </c>
      <c r="V16" s="131">
        <f t="shared" si="5"/>
        <v>139.81137250831779</v>
      </c>
      <c r="W16" s="131">
        <f t="shared" si="5"/>
        <v>151.49412136478398</v>
      </c>
      <c r="DA16" s="156" t="s">
        <v>313</v>
      </c>
    </row>
    <row r="17" spans="1:105" ht="12.95" customHeight="1" x14ac:dyDescent="0.25">
      <c r="A17" s="132" t="s">
        <v>73</v>
      </c>
      <c r="B17" s="133">
        <v>5.6133497483165214E-2</v>
      </c>
      <c r="C17" s="133">
        <v>6.0245960416269728E-2</v>
      </c>
      <c r="D17" s="133">
        <v>7.0264383164609784E-2</v>
      </c>
      <c r="E17" s="133">
        <v>7.8717425224626894E-2</v>
      </c>
      <c r="F17" s="133">
        <v>9.7970473806091793E-2</v>
      </c>
      <c r="G17" s="133">
        <v>0.11959701509117486</v>
      </c>
      <c r="H17" s="133">
        <v>0.14697994917068635</v>
      </c>
      <c r="I17" s="133">
        <v>0.17791138645591872</v>
      </c>
      <c r="J17" s="133">
        <v>0.19952278371436227</v>
      </c>
      <c r="K17" s="133">
        <v>0.2276382538518123</v>
      </c>
      <c r="L17" s="133">
        <v>0.27382019227111198</v>
      </c>
      <c r="M17" s="133">
        <v>0.28604764955538176</v>
      </c>
      <c r="N17" s="133">
        <v>0.34519807719991286</v>
      </c>
      <c r="O17" s="133">
        <v>0.42804177964236645</v>
      </c>
      <c r="P17" s="133">
        <v>0.57328112502221751</v>
      </c>
      <c r="Q17" s="133">
        <v>0.80606012784310987</v>
      </c>
      <c r="R17" s="133">
        <v>1.0542246562423252</v>
      </c>
      <c r="S17" s="133">
        <v>1.284529218011137</v>
      </c>
      <c r="T17" s="133">
        <v>1.4917538021116048</v>
      </c>
      <c r="U17" s="133">
        <v>1.7567914451126807</v>
      </c>
      <c r="V17" s="133">
        <v>1.5561058415908449</v>
      </c>
      <c r="W17" s="133">
        <v>1.6692058437076431</v>
      </c>
      <c r="DA17" s="157" t="s">
        <v>314</v>
      </c>
    </row>
    <row r="18" spans="1:105" ht="12" customHeight="1" x14ac:dyDescent="0.25">
      <c r="A18" s="132" t="s">
        <v>72</v>
      </c>
      <c r="B18" s="133">
        <v>37.141489475969308</v>
      </c>
      <c r="C18" s="133">
        <v>37.840628384877704</v>
      </c>
      <c r="D18" s="133">
        <v>40.824124720196849</v>
      </c>
      <c r="E18" s="133">
        <v>43.06396304039594</v>
      </c>
      <c r="F18" s="133">
        <v>47.846820759318447</v>
      </c>
      <c r="G18" s="133">
        <v>53.974583784855305</v>
      </c>
      <c r="H18" s="133">
        <v>65.372047805622614</v>
      </c>
      <c r="I18" s="133">
        <v>73.757376929407684</v>
      </c>
      <c r="J18" s="133">
        <v>81.778164720488306</v>
      </c>
      <c r="K18" s="133">
        <v>91.533661406630685</v>
      </c>
      <c r="L18" s="133">
        <v>111.48683782938866</v>
      </c>
      <c r="M18" s="133">
        <v>105.99961988252281</v>
      </c>
      <c r="N18" s="133">
        <v>117.42671774101358</v>
      </c>
      <c r="O18" s="133">
        <v>120.13014699064306</v>
      </c>
      <c r="P18" s="133">
        <v>122.45755330066079</v>
      </c>
      <c r="Q18" s="133">
        <v>145.97587797495072</v>
      </c>
      <c r="R18" s="133">
        <v>128.03599868034641</v>
      </c>
      <c r="S18" s="133">
        <v>131.39065548881385</v>
      </c>
      <c r="T18" s="133">
        <v>139.48035155822248</v>
      </c>
      <c r="U18" s="133">
        <v>156.15871883557577</v>
      </c>
      <c r="V18" s="133">
        <v>138.25526666672695</v>
      </c>
      <c r="W18" s="133">
        <v>149.82491552107635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217.20917500743278</v>
      </c>
      <c r="C19" s="131">
        <f t="shared" si="6"/>
        <v>238.06033706086012</v>
      </c>
      <c r="D19" s="131">
        <f t="shared" si="6"/>
        <v>289.37165063479233</v>
      </c>
      <c r="E19" s="131">
        <f t="shared" si="6"/>
        <v>314.43797732988889</v>
      </c>
      <c r="F19" s="131">
        <f t="shared" si="6"/>
        <v>347.61894270481429</v>
      </c>
      <c r="G19" s="131">
        <f t="shared" si="6"/>
        <v>359.53021570726077</v>
      </c>
      <c r="H19" s="131">
        <f t="shared" si="6"/>
        <v>394.42375983402917</v>
      </c>
      <c r="I19" s="131">
        <f t="shared" si="6"/>
        <v>437.45332928438086</v>
      </c>
      <c r="J19" s="131">
        <f t="shared" si="6"/>
        <v>468.12652833392735</v>
      </c>
      <c r="K19" s="131">
        <f t="shared" si="6"/>
        <v>485.61764476175023</v>
      </c>
      <c r="L19" s="131">
        <f t="shared" si="6"/>
        <v>490.694180960712</v>
      </c>
      <c r="M19" s="131">
        <f t="shared" si="6"/>
        <v>505.28453219781852</v>
      </c>
      <c r="N19" s="131">
        <f t="shared" si="6"/>
        <v>522.8796657045483</v>
      </c>
      <c r="O19" s="131">
        <f t="shared" si="6"/>
        <v>541.9429161893604</v>
      </c>
      <c r="P19" s="131">
        <f t="shared" si="6"/>
        <v>551.28559662223017</v>
      </c>
      <c r="Q19" s="131">
        <f t="shared" si="6"/>
        <v>566.65589397348549</v>
      </c>
      <c r="R19" s="131">
        <f t="shared" ref="R19:W19" si="7">SUM(R20:R27)</f>
        <v>586.98539353893125</v>
      </c>
      <c r="S19" s="131">
        <f t="shared" si="7"/>
        <v>590.5976450810499</v>
      </c>
      <c r="T19" s="131">
        <f t="shared" si="7"/>
        <v>588.71782279133492</v>
      </c>
      <c r="U19" s="131">
        <f t="shared" si="7"/>
        <v>595.27696533340691</v>
      </c>
      <c r="V19" s="131">
        <f t="shared" si="7"/>
        <v>563.16863071365151</v>
      </c>
      <c r="W19" s="131">
        <f t="shared" si="7"/>
        <v>618.49262648016088</v>
      </c>
      <c r="DA19" s="156" t="s">
        <v>316</v>
      </c>
    </row>
    <row r="20" spans="1:105" ht="12" customHeight="1" x14ac:dyDescent="0.25">
      <c r="A20" s="132" t="s">
        <v>29</v>
      </c>
      <c r="B20" s="133">
        <v>5.4630022015182611</v>
      </c>
      <c r="C20" s="133">
        <v>11.967416754286422</v>
      </c>
      <c r="D20" s="133">
        <v>16.586184461573566</v>
      </c>
      <c r="E20" s="133">
        <v>17.778942230710463</v>
      </c>
      <c r="F20" s="133">
        <v>18.267165237322054</v>
      </c>
      <c r="G20" s="133">
        <v>17.886966928138737</v>
      </c>
      <c r="H20" s="133">
        <v>15.896975040601012</v>
      </c>
      <c r="I20" s="133">
        <v>19.64797671541421</v>
      </c>
      <c r="J20" s="133">
        <v>20.506361031230778</v>
      </c>
      <c r="K20" s="133">
        <v>21.628048473675843</v>
      </c>
      <c r="L20" s="133">
        <v>23.542659429628085</v>
      </c>
      <c r="M20" s="133">
        <v>24.277242821776127</v>
      </c>
      <c r="N20" s="133">
        <v>25.251251346918494</v>
      </c>
      <c r="O20" s="133">
        <v>26.439160002571377</v>
      </c>
      <c r="P20" s="133">
        <v>27.067116078722737</v>
      </c>
      <c r="Q20" s="133">
        <v>27.616600316623014</v>
      </c>
      <c r="R20" s="133">
        <v>30.826280288243471</v>
      </c>
      <c r="S20" s="133">
        <v>25.464927054424109</v>
      </c>
      <c r="T20" s="133">
        <v>18.020167938388159</v>
      </c>
      <c r="U20" s="133">
        <v>14.847548827231575</v>
      </c>
      <c r="V20" s="133">
        <v>17.086225428272595</v>
      </c>
      <c r="W20" s="133">
        <v>23.348027406405397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29.273067418134687</v>
      </c>
      <c r="C21" s="133">
        <v>36.166122977339775</v>
      </c>
      <c r="D21" s="133">
        <v>35.583785642212064</v>
      </c>
      <c r="E21" s="133">
        <v>55.115018624469002</v>
      </c>
      <c r="F21" s="133">
        <v>47.634832539083881</v>
      </c>
      <c r="G21" s="133">
        <v>40.756580864429509</v>
      </c>
      <c r="H21" s="133">
        <v>45.665485122190042</v>
      </c>
      <c r="I21" s="133">
        <v>40.457016240269802</v>
      </c>
      <c r="J21" s="133">
        <v>37.86476274865219</v>
      </c>
      <c r="K21" s="133">
        <v>34.01394875203912</v>
      </c>
      <c r="L21" s="133">
        <v>33.077279241334146</v>
      </c>
      <c r="M21" s="133">
        <v>32.671494616100304</v>
      </c>
      <c r="N21" s="133">
        <v>43.33831798827088</v>
      </c>
      <c r="O21" s="133">
        <v>26.455269426442161</v>
      </c>
      <c r="P21" s="133">
        <v>30.026425897458818</v>
      </c>
      <c r="Q21" s="133">
        <v>27.369706243463735</v>
      </c>
      <c r="R21" s="133">
        <v>29.441335470652916</v>
      </c>
      <c r="S21" s="133">
        <v>30.542511224784306</v>
      </c>
      <c r="T21" s="133">
        <v>28.481751348954848</v>
      </c>
      <c r="U21" s="133">
        <v>32.018287998463194</v>
      </c>
      <c r="V21" s="133">
        <v>21.137896023715911</v>
      </c>
      <c r="W21" s="133">
        <v>19.631781356972901</v>
      </c>
      <c r="DA21" s="157" t="s">
        <v>318</v>
      </c>
    </row>
    <row r="22" spans="1:105" ht="12" customHeight="1" x14ac:dyDescent="0.25">
      <c r="A22" s="132" t="s">
        <v>168</v>
      </c>
      <c r="B22" s="133">
        <v>11.252381048737828</v>
      </c>
      <c r="C22" s="133">
        <v>11.379905759442877</v>
      </c>
      <c r="D22" s="133">
        <v>13.681833389524037</v>
      </c>
      <c r="E22" s="133">
        <v>14.6192817746991</v>
      </c>
      <c r="F22" s="133">
        <v>15.584463899694677</v>
      </c>
      <c r="G22" s="133">
        <v>15.375459596094666</v>
      </c>
      <c r="H22" s="133">
        <v>16.993931365649456</v>
      </c>
      <c r="I22" s="133">
        <v>18.921987934148351</v>
      </c>
      <c r="J22" s="133">
        <v>20.478209336173158</v>
      </c>
      <c r="K22" s="133">
        <v>21.202799591026825</v>
      </c>
      <c r="L22" s="133">
        <v>22.886298132463789</v>
      </c>
      <c r="M22" s="133">
        <v>22.929222387800579</v>
      </c>
      <c r="N22" s="133">
        <v>23.175550632477716</v>
      </c>
      <c r="O22" s="133">
        <v>23.647357271689437</v>
      </c>
      <c r="P22" s="133">
        <v>23.621294368995574</v>
      </c>
      <c r="Q22" s="133">
        <v>24.449738585461869</v>
      </c>
      <c r="R22" s="133">
        <v>24.321479878142998</v>
      </c>
      <c r="S22" s="133">
        <v>26.230697133587753</v>
      </c>
      <c r="T22" s="133">
        <v>25.112412089263135</v>
      </c>
      <c r="U22" s="133">
        <v>21.616901775336654</v>
      </c>
      <c r="V22" s="133">
        <v>21.817285627973551</v>
      </c>
      <c r="W22" s="133">
        <v>25.237479247978687</v>
      </c>
      <c r="DA22" s="157" t="s">
        <v>319</v>
      </c>
    </row>
    <row r="23" spans="1:105" ht="12" customHeight="1" x14ac:dyDescent="0.25">
      <c r="A23" s="132" t="s">
        <v>153</v>
      </c>
      <c r="B23" s="133">
        <v>17.561098263321092</v>
      </c>
      <c r="C23" s="133">
        <v>23.659943693354421</v>
      </c>
      <c r="D23" s="133">
        <v>31.481462407400329</v>
      </c>
      <c r="E23" s="133">
        <v>44.439238124797463</v>
      </c>
      <c r="F23" s="133">
        <v>48.716937351071337</v>
      </c>
      <c r="G23" s="133">
        <v>53.617013052388941</v>
      </c>
      <c r="H23" s="133">
        <v>58.175902820938461</v>
      </c>
      <c r="I23" s="133">
        <v>64.479811799634717</v>
      </c>
      <c r="J23" s="133">
        <v>72.433910492213258</v>
      </c>
      <c r="K23" s="133">
        <v>75.874427081836544</v>
      </c>
      <c r="L23" s="133">
        <v>86.12036643771259</v>
      </c>
      <c r="M23" s="133">
        <v>88.554699560274813</v>
      </c>
      <c r="N23" s="133">
        <v>89.853272585902971</v>
      </c>
      <c r="O23" s="133">
        <v>92.896029178768742</v>
      </c>
      <c r="P23" s="133">
        <v>95.394778717651675</v>
      </c>
      <c r="Q23" s="133">
        <v>97.682823327811278</v>
      </c>
      <c r="R23" s="133">
        <v>97.974523366755548</v>
      </c>
      <c r="S23" s="133">
        <v>76.78327513333322</v>
      </c>
      <c r="T23" s="133">
        <v>70.302435800723501</v>
      </c>
      <c r="U23" s="133">
        <v>59.42500471372059</v>
      </c>
      <c r="V23" s="133">
        <v>50.124350948772474</v>
      </c>
      <c r="W23" s="133">
        <v>67.172393991935408</v>
      </c>
      <c r="DA23" s="157" t="s">
        <v>320</v>
      </c>
    </row>
    <row r="24" spans="1:105" ht="12" customHeight="1" x14ac:dyDescent="0.25">
      <c r="A24" s="132" t="s">
        <v>128</v>
      </c>
      <c r="B24" s="133">
        <v>2.8194726733093192</v>
      </c>
      <c r="C24" s="133">
        <v>2.869303925411177</v>
      </c>
      <c r="D24" s="133">
        <v>3.4881044625284905</v>
      </c>
      <c r="E24" s="133">
        <v>3.5470944418914563</v>
      </c>
      <c r="F24" s="133">
        <v>3.6585189525580337</v>
      </c>
      <c r="G24" s="133">
        <v>3.7929723701720293</v>
      </c>
      <c r="H24" s="133">
        <v>4.5824913837930685</v>
      </c>
      <c r="I24" s="133">
        <v>5.8270479520752909</v>
      </c>
      <c r="J24" s="133">
        <v>6.656137921238872</v>
      </c>
      <c r="K24" s="133">
        <v>7.0586642358010456</v>
      </c>
      <c r="L24" s="133">
        <v>7.3221558135085241</v>
      </c>
      <c r="M24" s="133">
        <v>7.6641845199984342</v>
      </c>
      <c r="N24" s="133">
        <v>8.0721752506434896</v>
      </c>
      <c r="O24" s="133">
        <v>8.3304431068224361</v>
      </c>
      <c r="P24" s="133">
        <v>8.5282655960769418</v>
      </c>
      <c r="Q24" s="133">
        <v>9.4016362704435679</v>
      </c>
      <c r="R24" s="133">
        <v>10.925660319468447</v>
      </c>
      <c r="S24" s="133">
        <v>11.375757234837508</v>
      </c>
      <c r="T24" s="133">
        <v>10.210240525158421</v>
      </c>
      <c r="U24" s="133">
        <v>10.637651757251703</v>
      </c>
      <c r="V24" s="133">
        <v>13.099643629983825</v>
      </c>
      <c r="W24" s="133">
        <v>15.859939586723765</v>
      </c>
      <c r="DA24" s="157" t="s">
        <v>321</v>
      </c>
    </row>
    <row r="25" spans="1:105" ht="12" customHeight="1" x14ac:dyDescent="0.25">
      <c r="A25" s="132" t="s">
        <v>169</v>
      </c>
      <c r="B25" s="133">
        <v>35.403115232651601</v>
      </c>
      <c r="C25" s="133">
        <v>40.684022255110015</v>
      </c>
      <c r="D25" s="133">
        <v>50.393419766546515</v>
      </c>
      <c r="E25" s="133">
        <v>57.206608139370957</v>
      </c>
      <c r="F25" s="133">
        <v>74.236899008511116</v>
      </c>
      <c r="G25" s="133">
        <v>79.919040887343797</v>
      </c>
      <c r="H25" s="133">
        <v>86.516265805116149</v>
      </c>
      <c r="I25" s="133">
        <v>92.753123619973167</v>
      </c>
      <c r="J25" s="133">
        <v>98.603679859480621</v>
      </c>
      <c r="K25" s="133">
        <v>101.18030091698016</v>
      </c>
      <c r="L25" s="133">
        <v>101.22048129908194</v>
      </c>
      <c r="M25" s="133">
        <v>101.15315167576908</v>
      </c>
      <c r="N25" s="133">
        <v>102.65507321552882</v>
      </c>
      <c r="O25" s="133">
        <v>105.77330020793531</v>
      </c>
      <c r="P25" s="133">
        <v>102.79885305061616</v>
      </c>
      <c r="Q25" s="133">
        <v>102.84741775497204</v>
      </c>
      <c r="R25" s="133">
        <v>108.6399035100749</v>
      </c>
      <c r="S25" s="133">
        <v>128.11762909370702</v>
      </c>
      <c r="T25" s="133">
        <v>105.2282393875871</v>
      </c>
      <c r="U25" s="133">
        <v>104.69741939883555</v>
      </c>
      <c r="V25" s="133">
        <v>106.39880873682976</v>
      </c>
      <c r="W25" s="133">
        <v>89.449453093235277</v>
      </c>
      <c r="DA25" s="157" t="s">
        <v>322</v>
      </c>
    </row>
    <row r="26" spans="1:105" ht="12" customHeight="1" x14ac:dyDescent="0.25">
      <c r="A26" s="132" t="s">
        <v>24</v>
      </c>
      <c r="B26" s="65">
        <v>115.43703816975999</v>
      </c>
      <c r="C26" s="65">
        <v>111.33362169591544</v>
      </c>
      <c r="D26" s="65">
        <v>138.13295680767283</v>
      </c>
      <c r="E26" s="65">
        <v>121.70789029661597</v>
      </c>
      <c r="F26" s="65">
        <v>139.42459691175807</v>
      </c>
      <c r="G26" s="65">
        <v>148.03884580920896</v>
      </c>
      <c r="H26" s="65">
        <v>166.32993959410723</v>
      </c>
      <c r="I26" s="65">
        <v>195.0080675164165</v>
      </c>
      <c r="J26" s="65">
        <v>210.29369910314995</v>
      </c>
      <c r="K26" s="65">
        <v>222.676996553039</v>
      </c>
      <c r="L26" s="65">
        <v>214.13646253303622</v>
      </c>
      <c r="M26" s="65">
        <v>224.8340207089625</v>
      </c>
      <c r="N26" s="65">
        <v>226.61691376477157</v>
      </c>
      <c r="O26" s="65">
        <v>254.12603455317048</v>
      </c>
      <c r="P26" s="65">
        <v>259.07190676481486</v>
      </c>
      <c r="Q26" s="65">
        <v>271.79450629844172</v>
      </c>
      <c r="R26" s="65">
        <v>278.98063031006416</v>
      </c>
      <c r="S26" s="65">
        <v>286.17210014102773</v>
      </c>
      <c r="T26" s="65">
        <v>325.28742522834494</v>
      </c>
      <c r="U26" s="65">
        <v>346.18135636557707</v>
      </c>
      <c r="V26" s="65">
        <v>327.89573588130202</v>
      </c>
      <c r="W26" s="65">
        <v>372.34333683560249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2.3903697334479789E-2</v>
      </c>
      <c r="E27" s="146">
        <v>2.3903697334479793E-2</v>
      </c>
      <c r="F27" s="146">
        <v>9.5528804815133248E-2</v>
      </c>
      <c r="G27" s="146">
        <v>0.14333619948409279</v>
      </c>
      <c r="H27" s="146">
        <v>0.26276870163370591</v>
      </c>
      <c r="I27" s="146">
        <v>0.3582975064488394</v>
      </c>
      <c r="J27" s="146">
        <v>1.2897678417884781</v>
      </c>
      <c r="K27" s="146">
        <v>1.9824591573516772</v>
      </c>
      <c r="L27" s="146">
        <v>2.3884780739466893</v>
      </c>
      <c r="M27" s="146">
        <v>3.2005159071367153</v>
      </c>
      <c r="N27" s="146">
        <v>3.9171109200343941</v>
      </c>
      <c r="O27" s="146">
        <v>4.2753224419604479</v>
      </c>
      <c r="P27" s="146">
        <v>4.7769561478933795</v>
      </c>
      <c r="Q27" s="146">
        <v>5.4934651762682751</v>
      </c>
      <c r="R27" s="146">
        <v>5.875580395528802</v>
      </c>
      <c r="S27" s="146">
        <v>5.9107480653482352</v>
      </c>
      <c r="T27" s="146">
        <v>6.0751504729148742</v>
      </c>
      <c r="U27" s="146">
        <v>5.8527944969905406</v>
      </c>
      <c r="V27" s="146">
        <v>5.6086844368013766</v>
      </c>
      <c r="W27" s="146">
        <v>5.450214961306961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291.48296007091079</v>
      </c>
      <c r="C29" s="131">
        <f t="shared" si="8"/>
        <v>337.26096011096649</v>
      </c>
      <c r="D29" s="131">
        <f t="shared" si="8"/>
        <v>385.20521328918227</v>
      </c>
      <c r="E29" s="131">
        <f t="shared" si="8"/>
        <v>432.89192380953619</v>
      </c>
      <c r="F29" s="131">
        <f t="shared" si="8"/>
        <v>450.1342952323572</v>
      </c>
      <c r="G29" s="131">
        <f t="shared" si="8"/>
        <v>466.54546225413446</v>
      </c>
      <c r="H29" s="131">
        <f t="shared" si="8"/>
        <v>493.45201098144685</v>
      </c>
      <c r="I29" s="131">
        <f t="shared" si="8"/>
        <v>535.37485710225144</v>
      </c>
      <c r="J29" s="131">
        <f t="shared" si="8"/>
        <v>566.03825458918209</v>
      </c>
      <c r="K29" s="131">
        <f t="shared" si="8"/>
        <v>570.61382226308206</v>
      </c>
      <c r="L29" s="131">
        <f t="shared" si="8"/>
        <v>580.56837796169668</v>
      </c>
      <c r="M29" s="131">
        <f t="shared" si="8"/>
        <v>593.24883842961776</v>
      </c>
      <c r="N29" s="131">
        <f t="shared" si="8"/>
        <v>593.97888977181015</v>
      </c>
      <c r="O29" s="131">
        <f t="shared" si="8"/>
        <v>597.11251957403215</v>
      </c>
      <c r="P29" s="131">
        <f t="shared" si="8"/>
        <v>607.41793280426077</v>
      </c>
      <c r="Q29" s="131">
        <f t="shared" si="8"/>
        <v>610.89696297318483</v>
      </c>
      <c r="R29" s="131">
        <f t="shared" ref="R29:W29" si="9">SUM(R30:R33)</f>
        <v>617.68764660952263</v>
      </c>
      <c r="S29" s="131">
        <f t="shared" si="9"/>
        <v>614.74079125850699</v>
      </c>
      <c r="T29" s="131">
        <f t="shared" si="9"/>
        <v>628.78847969238177</v>
      </c>
      <c r="U29" s="131">
        <f t="shared" si="9"/>
        <v>636.54967800209272</v>
      </c>
      <c r="V29" s="131">
        <f t="shared" si="9"/>
        <v>606.55575375617786</v>
      </c>
      <c r="W29" s="131">
        <f t="shared" si="9"/>
        <v>619.76158841558686</v>
      </c>
      <c r="DA29" s="156" t="s">
        <v>325</v>
      </c>
    </row>
    <row r="30" spans="1:105" ht="12" customHeight="1" x14ac:dyDescent="0.25">
      <c r="A30" s="132" t="s">
        <v>52</v>
      </c>
      <c r="B30" s="133">
        <v>1.4894986459995516</v>
      </c>
      <c r="C30" s="133">
        <v>8.0763730372744451</v>
      </c>
      <c r="D30" s="133">
        <v>10.201005458725314</v>
      </c>
      <c r="E30" s="133">
        <v>20.681060494032959</v>
      </c>
      <c r="F30" s="133">
        <v>21.563745508873875</v>
      </c>
      <c r="G30" s="133">
        <v>23.015448211904964</v>
      </c>
      <c r="H30" s="133">
        <v>27.189560643651003</v>
      </c>
      <c r="I30" s="133">
        <v>28.174885896509597</v>
      </c>
      <c r="J30" s="133">
        <v>24.367325260284833</v>
      </c>
      <c r="K30" s="133">
        <v>17.103872472153853</v>
      </c>
      <c r="L30" s="133">
        <v>13.272079662736671</v>
      </c>
      <c r="M30" s="133">
        <v>12.896332412941479</v>
      </c>
      <c r="N30" s="133">
        <v>13.147524061841247</v>
      </c>
      <c r="O30" s="133">
        <v>13.878147957635994</v>
      </c>
      <c r="P30" s="133">
        <v>12.394365130002837</v>
      </c>
      <c r="Q30" s="133">
        <v>15.261246447275141</v>
      </c>
      <c r="R30" s="133">
        <v>17.331426699348285</v>
      </c>
      <c r="S30" s="133">
        <v>18.352203636674727</v>
      </c>
      <c r="T30" s="133">
        <v>17.828226037479006</v>
      </c>
      <c r="U30" s="133">
        <v>20.903935607052961</v>
      </c>
      <c r="V30" s="133">
        <v>14.237053272772597</v>
      </c>
      <c r="W30" s="133">
        <v>13.639499645751723</v>
      </c>
      <c r="DA30" s="157" t="s">
        <v>326</v>
      </c>
    </row>
    <row r="31" spans="1:105" ht="12" customHeight="1" x14ac:dyDescent="0.25">
      <c r="A31" s="132" t="s">
        <v>153</v>
      </c>
      <c r="B31" s="133">
        <v>51.744447340790671</v>
      </c>
      <c r="C31" s="133">
        <v>62.411691763936147</v>
      </c>
      <c r="D31" s="133">
        <v>72.167330866792042</v>
      </c>
      <c r="E31" s="133">
        <v>81.631145160934125</v>
      </c>
      <c r="F31" s="133">
        <v>84.816461892721989</v>
      </c>
      <c r="G31" s="133">
        <v>93.610323052656639</v>
      </c>
      <c r="H31" s="133">
        <v>100.30489776060094</v>
      </c>
      <c r="I31" s="133">
        <v>104.57767954069648</v>
      </c>
      <c r="J31" s="133">
        <v>107.57736797459259</v>
      </c>
      <c r="K31" s="133">
        <v>111.02383769022617</v>
      </c>
      <c r="L31" s="133">
        <v>111.85429397953268</v>
      </c>
      <c r="M31" s="133">
        <v>129.44979382656328</v>
      </c>
      <c r="N31" s="133">
        <v>143.7289587733755</v>
      </c>
      <c r="O31" s="133">
        <v>147.11975470738355</v>
      </c>
      <c r="P31" s="133">
        <v>147.25258273586005</v>
      </c>
      <c r="Q31" s="133">
        <v>152.07316748692307</v>
      </c>
      <c r="R31" s="133">
        <v>145.19642261486888</v>
      </c>
      <c r="S31" s="133">
        <v>136.82255565617703</v>
      </c>
      <c r="T31" s="133">
        <v>132.42980042768994</v>
      </c>
      <c r="U31" s="133">
        <v>136.32172546290673</v>
      </c>
      <c r="V31" s="133">
        <v>114.20846379058707</v>
      </c>
      <c r="W31" s="133">
        <v>158.19165262988543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238.24901408412055</v>
      </c>
      <c r="C33" s="68">
        <v>266.77289530975588</v>
      </c>
      <c r="D33" s="68">
        <v>302.83687696366491</v>
      </c>
      <c r="E33" s="68">
        <v>330.57971815456909</v>
      </c>
      <c r="F33" s="68">
        <v>343.75408783076136</v>
      </c>
      <c r="G33" s="68">
        <v>349.91969098957287</v>
      </c>
      <c r="H33" s="68">
        <v>365.95755257719492</v>
      </c>
      <c r="I33" s="68">
        <v>402.62229166504534</v>
      </c>
      <c r="J33" s="68">
        <v>434.0935613543046</v>
      </c>
      <c r="K33" s="68">
        <v>442.48611210070203</v>
      </c>
      <c r="L33" s="68">
        <v>455.44200431942733</v>
      </c>
      <c r="M33" s="68">
        <v>450.90271219011305</v>
      </c>
      <c r="N33" s="68">
        <v>437.10240693659335</v>
      </c>
      <c r="O33" s="68">
        <v>436.11461690901257</v>
      </c>
      <c r="P33" s="68">
        <v>447.77098493839793</v>
      </c>
      <c r="Q33" s="68">
        <v>443.56254903898656</v>
      </c>
      <c r="R33" s="68">
        <v>455.15979729530545</v>
      </c>
      <c r="S33" s="68">
        <v>459.56603196565521</v>
      </c>
      <c r="T33" s="68">
        <v>478.53045322721283</v>
      </c>
      <c r="U33" s="68">
        <v>479.32401693213302</v>
      </c>
      <c r="V33" s="68">
        <v>478.11023669281821</v>
      </c>
      <c r="W33" s="68">
        <v>447.93043613994968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0.61215421093514399</v>
      </c>
      <c r="C3" s="127">
        <f>IF(SER_hh_tes!C3=0,"",SER_hh_tes!C3/SER_hh_fec!C3)</f>
        <v>0.61754650753807361</v>
      </c>
      <c r="D3" s="127">
        <f>IF(SER_hh_tes!D3=0,"",SER_hh_tes!D3/SER_hh_fec!D3)</f>
        <v>0.61723080340783798</v>
      </c>
      <c r="E3" s="127">
        <f>IF(SER_hh_tes!E3=0,"",SER_hh_tes!E3/SER_hh_fec!E3)</f>
        <v>0.62054035756978232</v>
      </c>
      <c r="F3" s="127">
        <f>IF(SER_hh_tes!F3=0,"",SER_hh_tes!F3/SER_hh_fec!F3)</f>
        <v>0.63782935253187945</v>
      </c>
      <c r="G3" s="127">
        <f>IF(SER_hh_tes!G3=0,"",SER_hh_tes!G3/SER_hh_fec!G3)</f>
        <v>0.64534459202188976</v>
      </c>
      <c r="H3" s="127">
        <f>IF(SER_hh_tes!H3=0,"",SER_hh_tes!H3/SER_hh_fec!H3)</f>
        <v>0.65652611567343089</v>
      </c>
      <c r="I3" s="127">
        <f>IF(SER_hh_tes!I3=0,"",SER_hh_tes!I3/SER_hh_fec!I3)</f>
        <v>0.65695473893181111</v>
      </c>
      <c r="J3" s="127">
        <f>IF(SER_hh_tes!J3=0,"",SER_hh_tes!J3/SER_hh_fec!J3)</f>
        <v>0.67392807974918012</v>
      </c>
      <c r="K3" s="127">
        <f>IF(SER_hh_tes!K3=0,"",SER_hh_tes!K3/SER_hh_fec!K3)</f>
        <v>0.67779923326596825</v>
      </c>
      <c r="L3" s="127">
        <f>IF(SER_hh_tes!L3=0,"",SER_hh_tes!L3/SER_hh_fec!L3)</f>
        <v>0.68391015730437088</v>
      </c>
      <c r="M3" s="127">
        <f>IF(SER_hh_tes!M3=0,"",SER_hh_tes!M3/SER_hh_fec!M3)</f>
        <v>0.69193249877533491</v>
      </c>
      <c r="N3" s="127">
        <f>IF(SER_hh_tes!N3=0,"",SER_hh_tes!N3/SER_hh_fec!N3)</f>
        <v>0.70568382035419064</v>
      </c>
      <c r="O3" s="127">
        <f>IF(SER_hh_tes!O3=0,"",SER_hh_tes!O3/SER_hh_fec!O3)</f>
        <v>0.71765236720569037</v>
      </c>
      <c r="P3" s="127">
        <f>IF(SER_hh_tes!P3=0,"",SER_hh_tes!P3/SER_hh_fec!P3)</f>
        <v>0.72512773341683812</v>
      </c>
      <c r="Q3" s="127">
        <f>IF(SER_hh_tes!Q3=0,"",SER_hh_tes!Q3/SER_hh_fec!Q3)</f>
        <v>0.73024168720162264</v>
      </c>
      <c r="R3" s="127">
        <f>IF(SER_hh_tes!R3=0,"",SER_hh_tes!R3/SER_hh_fec!R3)</f>
        <v>0.73463963610629668</v>
      </c>
      <c r="S3" s="127">
        <f>IF(SER_hh_tes!S3=0,"",SER_hh_tes!S3/SER_hh_fec!S3)</f>
        <v>0.74887772801525576</v>
      </c>
      <c r="T3" s="127">
        <f>IF(SER_hh_tes!T3=0,"",SER_hh_tes!T3/SER_hh_fec!T3)</f>
        <v>0.75937123471092538</v>
      </c>
      <c r="U3" s="127">
        <f>IF(SER_hh_tes!U3=0,"",SER_hh_tes!U3/SER_hh_fec!U3)</f>
        <v>0.774636351911273</v>
      </c>
      <c r="V3" s="127">
        <f>IF(SER_hh_tes!V3=0,"",SER_hh_tes!V3/SER_hh_fec!V3)</f>
        <v>0.78487802623020919</v>
      </c>
      <c r="W3" s="127">
        <f>IF(SER_hh_tes!W3=0,"",SER_hh_tes!W3/SER_hh_fec!W3)</f>
        <v>0.78543030282107895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0.58782757542371589</v>
      </c>
      <c r="C4" s="136">
        <f>IF(SER_hh_tes!C4=0,"",SER_hh_tes!C4/SER_hh_fec!C4)</f>
        <v>0.59486646474896321</v>
      </c>
      <c r="D4" s="136">
        <f>IF(SER_hh_tes!D4=0,"",SER_hh_tes!D4/SER_hh_fec!D4)</f>
        <v>0.59430684606494355</v>
      </c>
      <c r="E4" s="136">
        <f>IF(SER_hh_tes!E4=0,"",SER_hh_tes!E4/SER_hh_fec!E4)</f>
        <v>0.59746119682351695</v>
      </c>
      <c r="F4" s="136">
        <f>IF(SER_hh_tes!F4=0,"",SER_hh_tes!F4/SER_hh_fec!F4)</f>
        <v>0.61785953654677395</v>
      </c>
      <c r="G4" s="136">
        <f>IF(SER_hh_tes!G4=0,"",SER_hh_tes!G4/SER_hh_fec!G4)</f>
        <v>0.62450889470235682</v>
      </c>
      <c r="H4" s="136">
        <f>IF(SER_hh_tes!H4=0,"",SER_hh_tes!H4/SER_hh_fec!H4)</f>
        <v>0.63830237545527491</v>
      </c>
      <c r="I4" s="136">
        <f>IF(SER_hh_tes!I4=0,"",SER_hh_tes!I4/SER_hh_fec!I4)</f>
        <v>0.63205109782620106</v>
      </c>
      <c r="J4" s="136">
        <f>IF(SER_hh_tes!J4=0,"",SER_hh_tes!J4/SER_hh_fec!J4)</f>
        <v>0.65447681725638618</v>
      </c>
      <c r="K4" s="136">
        <f>IF(SER_hh_tes!K4=0,"",SER_hh_tes!K4/SER_hh_fec!K4)</f>
        <v>0.65616140698746583</v>
      </c>
      <c r="L4" s="136">
        <f>IF(SER_hh_tes!L4=0,"",SER_hh_tes!L4/SER_hh_fec!L4)</f>
        <v>0.6630875979031754</v>
      </c>
      <c r="M4" s="136">
        <f>IF(SER_hh_tes!M4=0,"",SER_hh_tes!M4/SER_hh_fec!M4)</f>
        <v>0.67183954783935396</v>
      </c>
      <c r="N4" s="136">
        <f>IF(SER_hh_tes!N4=0,"",SER_hh_tes!N4/SER_hh_fec!N4)</f>
        <v>0.68749703424908004</v>
      </c>
      <c r="O4" s="136">
        <f>IF(SER_hh_tes!O4=0,"",SER_hh_tes!O4/SER_hh_fec!O4)</f>
        <v>0.69975419019454144</v>
      </c>
      <c r="P4" s="136">
        <f>IF(SER_hh_tes!P4=0,"",SER_hh_tes!P4/SER_hh_fec!P4)</f>
        <v>0.70656423454824846</v>
      </c>
      <c r="Q4" s="136">
        <f>IF(SER_hh_tes!Q4=0,"",SER_hh_tes!Q4/SER_hh_fec!Q4)</f>
        <v>0.70771099040392793</v>
      </c>
      <c r="R4" s="136">
        <f>IF(SER_hh_tes!R4=0,"",SER_hh_tes!R4/SER_hh_fec!R4)</f>
        <v>0.71698078961912981</v>
      </c>
      <c r="S4" s="136">
        <f>IF(SER_hh_tes!S4=0,"",SER_hh_tes!S4/SER_hh_fec!S4)</f>
        <v>0.72949838816281687</v>
      </c>
      <c r="T4" s="136">
        <f>IF(SER_hh_tes!T4=0,"",SER_hh_tes!T4/SER_hh_fec!T4)</f>
        <v>0.73800110226340443</v>
      </c>
      <c r="U4" s="136">
        <f>IF(SER_hh_tes!U4=0,"",SER_hh_tes!U4/SER_hh_fec!U4)</f>
        <v>0.75171449646081101</v>
      </c>
      <c r="V4" s="136">
        <f>IF(SER_hh_tes!V4=0,"",SER_hh_tes!V4/SER_hh_fec!V4)</f>
        <v>0.76215794701157435</v>
      </c>
      <c r="W4" s="136">
        <f>IF(SER_hh_tes!W4=0,"",SER_hh_tes!W4/SER_hh_fec!W4)</f>
        <v>0.76461146072736597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0.52741160031813139</v>
      </c>
      <c r="C5" s="137">
        <f>IF(SER_hh_tes!C5=0,"",SER_hh_tes!C5/SER_hh_fec!C5)</f>
        <v>0.53462184985043404</v>
      </c>
      <c r="D5" s="137">
        <f>IF(SER_hh_tes!D5=0,"",SER_hh_tes!D5/SER_hh_fec!D5)</f>
        <v>0.54378883091644936</v>
      </c>
      <c r="E5" s="137">
        <f>IF(SER_hh_tes!E5=0,"",SER_hh_tes!E5/SER_hh_fec!E5)</f>
        <v>0.55138152099260096</v>
      </c>
      <c r="F5" s="137">
        <f>IF(SER_hh_tes!F5=0,"",SER_hh_tes!F5/SER_hh_fec!F5)</f>
        <v>0.55792101658462179</v>
      </c>
      <c r="G5" s="137">
        <f>IF(SER_hh_tes!G5=0,"",SER_hh_tes!G5/SER_hh_fec!G5)</f>
        <v>0.56503746864799465</v>
      </c>
      <c r="H5" s="137">
        <f>IF(SER_hh_tes!H5=0,"",SER_hh_tes!H5/SER_hh_fec!H5)</f>
        <v>0.57323680920421338</v>
      </c>
      <c r="I5" s="137">
        <f>IF(SER_hh_tes!I5=0,"",SER_hh_tes!I5/SER_hh_fec!I5)</f>
        <v>0.58265414271941707</v>
      </c>
      <c r="J5" s="137">
        <f>IF(SER_hh_tes!J5=0,"",SER_hh_tes!J5/SER_hh_fec!J5)</f>
        <v>0.5918959230167119</v>
      </c>
      <c r="K5" s="137">
        <f>IF(SER_hh_tes!K5=0,"",SER_hh_tes!K5/SER_hh_fec!K5)</f>
        <v>0.60281179487849401</v>
      </c>
      <c r="L5" s="137">
        <f>IF(SER_hh_tes!L5=0,"",SER_hh_tes!L5/SER_hh_fec!L5)</f>
        <v>0.61316745268901551</v>
      </c>
      <c r="M5" s="137">
        <f>IF(SER_hh_tes!M5=0,"",SER_hh_tes!M5/SER_hh_fec!M5)</f>
        <v>0.62383823140211891</v>
      </c>
      <c r="N5" s="137">
        <f>IF(SER_hh_tes!N5=0,"",SER_hh_tes!N5/SER_hh_fec!N5)</f>
        <v>0.63526510691249161</v>
      </c>
      <c r="O5" s="137">
        <f>IF(SER_hh_tes!O5=0,"",SER_hh_tes!O5/SER_hh_fec!O5)</f>
        <v>0.64525595647472322</v>
      </c>
      <c r="P5" s="137">
        <f>IF(SER_hh_tes!P5=0,"",SER_hh_tes!P5/SER_hh_fec!P5)</f>
        <v>0.64737374882466059</v>
      </c>
      <c r="Q5" s="137">
        <f>IF(SER_hh_tes!Q5=0,"",SER_hh_tes!Q5/SER_hh_fec!Q5)</f>
        <v>0.65033423661001633</v>
      </c>
      <c r="R5" s="137">
        <f>IF(SER_hh_tes!R5=0,"",SER_hh_tes!R5/SER_hh_fec!R5)</f>
        <v>0.65432342239474928</v>
      </c>
      <c r="S5" s="137">
        <f>IF(SER_hh_tes!S5=0,"",SER_hh_tes!S5/SER_hh_fec!S5)</f>
        <v>0.66086681946765202</v>
      </c>
      <c r="T5" s="137">
        <f>IF(SER_hh_tes!T5=0,"",SER_hh_tes!T5/SER_hh_fec!T5)</f>
        <v>0.66641430526123902</v>
      </c>
      <c r="U5" s="137">
        <f>IF(SER_hh_tes!U5=0,"",SER_hh_tes!U5/SER_hh_fec!U5)</f>
        <v>0.6713524336993254</v>
      </c>
      <c r="V5" s="137">
        <f>IF(SER_hh_tes!V5=0,"",SER_hh_tes!V5/SER_hh_fec!V5)</f>
        <v>0.6779010558706885</v>
      </c>
      <c r="W5" s="137">
        <f>IF(SER_hh_tes!W5=0,"",SER_hh_tes!W5/SER_hh_fec!W5)</f>
        <v>0.68533336519936738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0.45649792588006816</v>
      </c>
      <c r="C7" s="137">
        <f>IF(SER_hh_tes!C7=0,"",SER_hh_tes!C7/SER_hh_fec!C7)</f>
        <v>0.46183500221640056</v>
      </c>
      <c r="D7" s="137">
        <f>IF(SER_hh_tes!D7=0,"",SER_hh_tes!D7/SER_hh_fec!D7)</f>
        <v>0.4663306970724308</v>
      </c>
      <c r="E7" s="137">
        <f>IF(SER_hh_tes!E7=0,"",SER_hh_tes!E7/SER_hh_fec!E7)</f>
        <v>0.46767176804601135</v>
      </c>
      <c r="F7" s="137">
        <f>IF(SER_hh_tes!F7=0,"",SER_hh_tes!F7/SER_hh_fec!F7)</f>
        <v>0.4691711763938487</v>
      </c>
      <c r="G7" s="137">
        <f>IF(SER_hh_tes!G7=0,"",SER_hh_tes!G7/SER_hh_fec!G7)</f>
        <v>0.4778564055681595</v>
      </c>
      <c r="H7" s="137">
        <f>IF(SER_hh_tes!H7=0,"",SER_hh_tes!H7/SER_hh_fec!H7)</f>
        <v>0.49489847239294743</v>
      </c>
      <c r="I7" s="137">
        <f>IF(SER_hh_tes!I7=0,"",SER_hh_tes!I7/SER_hh_fec!I7)</f>
        <v>0.50795928877304219</v>
      </c>
      <c r="J7" s="137">
        <f>IF(SER_hh_tes!J7=0,"",SER_hh_tes!J7/SER_hh_fec!J7)</f>
        <v>0.516503852422873</v>
      </c>
      <c r="K7" s="137">
        <f>IF(SER_hh_tes!K7=0,"",SER_hh_tes!K7/SER_hh_fec!K7)</f>
        <v>0.52520757750549985</v>
      </c>
      <c r="L7" s="137">
        <f>IF(SER_hh_tes!L7=0,"",SER_hh_tes!L7/SER_hh_fec!L7)</f>
        <v>0.53452660147949105</v>
      </c>
      <c r="M7" s="137">
        <f>IF(SER_hh_tes!M7=0,"",SER_hh_tes!M7/SER_hh_fec!M7)</f>
        <v>0.54340181001004928</v>
      </c>
      <c r="N7" s="137">
        <f>IF(SER_hh_tes!N7=0,"",SER_hh_tes!N7/SER_hh_fec!N7)</f>
        <v>0.55111919775913865</v>
      </c>
      <c r="O7" s="137">
        <f>IF(SER_hh_tes!O7=0,"",SER_hh_tes!O7/SER_hh_fec!O7)</f>
        <v>0.55868674697286724</v>
      </c>
      <c r="P7" s="137">
        <f>IF(SER_hh_tes!P7=0,"",SER_hh_tes!P7/SER_hh_fec!P7)</f>
        <v>0.55934589854075434</v>
      </c>
      <c r="Q7" s="137">
        <f>IF(SER_hh_tes!Q7=0,"",SER_hh_tes!Q7/SER_hh_fec!Q7)</f>
        <v>0.56421232188990267</v>
      </c>
      <c r="R7" s="137">
        <f>IF(SER_hh_tes!R7=0,"",SER_hh_tes!R7/SER_hh_fec!R7)</f>
        <v>0.57485492859952492</v>
      </c>
      <c r="S7" s="137">
        <f>IF(SER_hh_tes!S7=0,"",SER_hh_tes!S7/SER_hh_fec!S7)</f>
        <v>0.59362580472183801</v>
      </c>
      <c r="T7" s="137">
        <f>IF(SER_hh_tes!T7=0,"",SER_hh_tes!T7/SER_hh_fec!T7)</f>
        <v>0.61159796320374293</v>
      </c>
      <c r="U7" s="137">
        <f>IF(SER_hh_tes!U7=0,"",SER_hh_tes!U7/SER_hh_fec!U7)</f>
        <v>0.62633959325589306</v>
      </c>
      <c r="V7" s="137">
        <f>IF(SER_hh_tes!V7=0,"",SER_hh_tes!V7/SER_hh_fec!V7)</f>
        <v>0.64439604417025131</v>
      </c>
      <c r="W7" s="137">
        <f>IF(SER_hh_tes!W7=0,"",SER_hh_tes!W7/SER_hh_fec!W7)</f>
        <v>0.66647436913039104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1.0109563423499919</v>
      </c>
      <c r="C8" s="137">
        <f>IF(SER_hh_tes!C8=0,"",SER_hh_tes!C8/SER_hh_fec!C8)</f>
        <v>1.0124511354841592</v>
      </c>
      <c r="D8" s="137">
        <f>IF(SER_hh_tes!D8=0,"",SER_hh_tes!D8/SER_hh_fec!D8)</f>
        <v>1.0209406381194099</v>
      </c>
      <c r="E8" s="137">
        <f>IF(SER_hh_tes!E8=0,"",SER_hh_tes!E8/SER_hh_fec!E8)</f>
        <v>1.0379863465431718</v>
      </c>
      <c r="F8" s="137">
        <f>IF(SER_hh_tes!F8=0,"",SER_hh_tes!F8/SER_hh_fec!F8)</f>
        <v>1.0550957437045443</v>
      </c>
      <c r="G8" s="137">
        <f>IF(SER_hh_tes!G8=0,"",SER_hh_tes!G8/SER_hh_fec!G8)</f>
        <v>1.0851244458055633</v>
      </c>
      <c r="H8" s="137">
        <f>IF(SER_hh_tes!H8=0,"",SER_hh_tes!H8/SER_hh_fec!H8)</f>
        <v>1.1143128770728639</v>
      </c>
      <c r="I8" s="137">
        <f>IF(SER_hh_tes!I8=0,"",SER_hh_tes!I8/SER_hh_fec!I8)</f>
        <v>1.1632680880511064</v>
      </c>
      <c r="J8" s="137">
        <f>IF(SER_hh_tes!J8=0,"",SER_hh_tes!J8/SER_hh_fec!J8)</f>
        <v>1.1957028351500922</v>
      </c>
      <c r="K8" s="137">
        <f>IF(SER_hh_tes!K8=0,"",SER_hh_tes!K8/SER_hh_fec!K8)</f>
        <v>1.2340604310491865</v>
      </c>
      <c r="L8" s="137">
        <f>IF(SER_hh_tes!L8=0,"",SER_hh_tes!L8/SER_hh_fec!L8)</f>
        <v>1.2571932594373014</v>
      </c>
      <c r="M8" s="137">
        <f>IF(SER_hh_tes!M8=0,"",SER_hh_tes!M8/SER_hh_fec!M8)</f>
        <v>1.3065359591038639</v>
      </c>
      <c r="N8" s="137">
        <f>IF(SER_hh_tes!N8=0,"",SER_hh_tes!N8/SER_hh_fec!N8)</f>
        <v>1.4054029117095888</v>
      </c>
      <c r="O8" s="137">
        <f>IF(SER_hh_tes!O8=0,"",SER_hh_tes!O8/SER_hh_fec!O8)</f>
        <v>1.5310149946935645</v>
      </c>
      <c r="P8" s="137">
        <f>IF(SER_hh_tes!P8=0,"",SER_hh_tes!P8/SER_hh_fec!P8)</f>
        <v>1.6322700056629942</v>
      </c>
      <c r="Q8" s="137">
        <f>IF(SER_hh_tes!Q8=0,"",SER_hh_tes!Q8/SER_hh_fec!Q8)</f>
        <v>1.7071287630925893</v>
      </c>
      <c r="R8" s="137">
        <f>IF(SER_hh_tes!R8=0,"",SER_hh_tes!R8/SER_hh_fec!R8)</f>
        <v>1.7637558560328972</v>
      </c>
      <c r="S8" s="137">
        <f>IF(SER_hh_tes!S8=0,"",SER_hh_tes!S8/SER_hh_fec!S8)</f>
        <v>1.8328715681268344</v>
      </c>
      <c r="T8" s="137">
        <f>IF(SER_hh_tes!T8=0,"",SER_hh_tes!T8/SER_hh_fec!T8)</f>
        <v>1.9088876626599447</v>
      </c>
      <c r="U8" s="137">
        <f>IF(SER_hh_tes!U8=0,"",SER_hh_tes!U8/SER_hh_fec!U8)</f>
        <v>1.9898291432023811</v>
      </c>
      <c r="V8" s="137">
        <f>IF(SER_hh_tes!V8=0,"",SER_hh_tes!V8/SER_hh_fec!V8)</f>
        <v>2.0628628830647227</v>
      </c>
      <c r="W8" s="137">
        <f>IF(SER_hh_tes!W8=0,"",SER_hh_tes!W8/SER_hh_fec!W8)</f>
        <v>2.1207819291671735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0.50178815605298788</v>
      </c>
      <c r="C9" s="137">
        <f>IF(SER_hh_tes!C9=0,"",SER_hh_tes!C9/SER_hh_fec!C9)</f>
        <v>0.51321092098549315</v>
      </c>
      <c r="D9" s="137">
        <f>IF(SER_hh_tes!D9=0,"",SER_hh_tes!D9/SER_hh_fec!D9)</f>
        <v>0.52635424961073507</v>
      </c>
      <c r="E9" s="137">
        <f>IF(SER_hh_tes!E9=0,"",SER_hh_tes!E9/SER_hh_fec!E9)</f>
        <v>0.53821490525909732</v>
      </c>
      <c r="F9" s="137">
        <f>IF(SER_hh_tes!F9=0,"",SER_hh_tes!F9/SER_hh_fec!F9)</f>
        <v>0.54635498361523149</v>
      </c>
      <c r="G9" s="137">
        <f>IF(SER_hh_tes!G9=0,"",SER_hh_tes!G9/SER_hh_fec!G9)</f>
        <v>0.55227787478218648</v>
      </c>
      <c r="H9" s="137">
        <f>IF(SER_hh_tes!H9=0,"",SER_hh_tes!H9/SER_hh_fec!H9)</f>
        <v>0.55827139555925309</v>
      </c>
      <c r="I9" s="137">
        <f>IF(SER_hh_tes!I9=0,"",SER_hh_tes!I9/SER_hh_fec!I9)</f>
        <v>0.57006825865340915</v>
      </c>
      <c r="J9" s="137">
        <f>IF(SER_hh_tes!J9=0,"",SER_hh_tes!J9/SER_hh_fec!J9)</f>
        <v>0.5840111697168846</v>
      </c>
      <c r="K9" s="137">
        <f>IF(SER_hh_tes!K9=0,"",SER_hh_tes!K9/SER_hh_fec!K9)</f>
        <v>0.59793589075819864</v>
      </c>
      <c r="L9" s="137">
        <f>IF(SER_hh_tes!L9=0,"",SER_hh_tes!L9/SER_hh_fec!L9)</f>
        <v>0.60686622159139592</v>
      </c>
      <c r="M9" s="137">
        <f>IF(SER_hh_tes!M9=0,"",SER_hh_tes!M9/SER_hh_fec!M9)</f>
        <v>0.62250961932683602</v>
      </c>
      <c r="N9" s="137">
        <f>IF(SER_hh_tes!N9=0,"",SER_hh_tes!N9/SER_hh_fec!N9)</f>
        <v>0.6384719667265808</v>
      </c>
      <c r="O9" s="137">
        <f>IF(SER_hh_tes!O9=0,"",SER_hh_tes!O9/SER_hh_fec!O9)</f>
        <v>0.65164442687795221</v>
      </c>
      <c r="P9" s="137">
        <f>IF(SER_hh_tes!P9=0,"",SER_hh_tes!P9/SER_hh_fec!P9)</f>
        <v>0.65884679008409841</v>
      </c>
      <c r="Q9" s="137">
        <f>IF(SER_hh_tes!Q9=0,"",SER_hh_tes!Q9/SER_hh_fec!Q9)</f>
        <v>0.66669855112294962</v>
      </c>
      <c r="R9" s="137">
        <f>IF(SER_hh_tes!R9=0,"",SER_hh_tes!R9/SER_hh_fec!R9)</f>
        <v>0.67440476264570781</v>
      </c>
      <c r="S9" s="137">
        <f>IF(SER_hh_tes!S9=0,"",SER_hh_tes!S9/SER_hh_fec!S9)</f>
        <v>0.68168277373667874</v>
      </c>
      <c r="T9" s="137">
        <f>IF(SER_hh_tes!T9=0,"",SER_hh_tes!T9/SER_hh_fec!T9)</f>
        <v>0.68992793473925151</v>
      </c>
      <c r="U9" s="137">
        <f>IF(SER_hh_tes!U9=0,"",SER_hh_tes!U9/SER_hh_fec!U9)</f>
        <v>0.69940035122742572</v>
      </c>
      <c r="V9" s="137">
        <f>IF(SER_hh_tes!V9=0,"",SER_hh_tes!V9/SER_hh_fec!V9)</f>
        <v>0.70819743628088838</v>
      </c>
      <c r="W9" s="137">
        <f>IF(SER_hh_tes!W9=0,"",SER_hh_tes!W9/SER_hh_fec!W9)</f>
        <v>0.71705658613501499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0.450646140813177</v>
      </c>
      <c r="C10" s="137">
        <f>IF(SER_hh_tes!C10=0,"",SER_hh_tes!C10/SER_hh_fec!C10)</f>
        <v>0.450646140813177</v>
      </c>
      <c r="D10" s="137">
        <f>IF(SER_hh_tes!D10=0,"",SER_hh_tes!D10/SER_hh_fec!D10)</f>
        <v>0.450646140813177</v>
      </c>
      <c r="E10" s="137">
        <f>IF(SER_hh_tes!E10=0,"",SER_hh_tes!E10/SER_hh_fec!E10)</f>
        <v>0.450646140813177</v>
      </c>
      <c r="F10" s="137">
        <f>IF(SER_hh_tes!F10=0,"",SER_hh_tes!F10/SER_hh_fec!F10)</f>
        <v>0.450646140813177</v>
      </c>
      <c r="G10" s="137">
        <f>IF(SER_hh_tes!G10=0,"",SER_hh_tes!G10/SER_hh_fec!G10)</f>
        <v>0.450646140813177</v>
      </c>
      <c r="H10" s="137">
        <f>IF(SER_hh_tes!H10=0,"",SER_hh_tes!H10/SER_hh_fec!H10)</f>
        <v>0.45214010084303069</v>
      </c>
      <c r="I10" s="137">
        <f>IF(SER_hh_tes!I10=0,"",SER_hh_tes!I10/SER_hh_fec!I10)</f>
        <v>0.46444061062891073</v>
      </c>
      <c r="J10" s="137">
        <f>IF(SER_hh_tes!J10=0,"",SER_hh_tes!J10/SER_hh_fec!J10)</f>
        <v>0.47952693790437334</v>
      </c>
      <c r="K10" s="137">
        <f>IF(SER_hh_tes!K10=0,"",SER_hh_tes!K10/SER_hh_fec!K10)</f>
        <v>0.5014493198972011</v>
      </c>
      <c r="L10" s="137">
        <f>IF(SER_hh_tes!L10=0,"",SER_hh_tes!L10/SER_hh_fec!L10)</f>
        <v>0.51633708775791365</v>
      </c>
      <c r="M10" s="137">
        <f>IF(SER_hh_tes!M10=0,"",SER_hh_tes!M10/SER_hh_fec!M10)</f>
        <v>0.53036513853877754</v>
      </c>
      <c r="N10" s="137">
        <f>IF(SER_hh_tes!N10=0,"",SER_hh_tes!N10/SER_hh_fec!N10)</f>
        <v>0.54262051562650027</v>
      </c>
      <c r="O10" s="137">
        <f>IF(SER_hh_tes!O10=0,"",SER_hh_tes!O10/SER_hh_fec!O10)</f>
        <v>0.55257993356706425</v>
      </c>
      <c r="P10" s="137">
        <f>IF(SER_hh_tes!P10=0,"",SER_hh_tes!P10/SER_hh_fec!P10)</f>
        <v>0.55261514508383947</v>
      </c>
      <c r="Q10" s="137">
        <f>IF(SER_hh_tes!Q10=0,"",SER_hh_tes!Q10/SER_hh_fec!Q10)</f>
        <v>0.55268640141966574</v>
      </c>
      <c r="R10" s="137">
        <f>IF(SER_hh_tes!R10=0,"",SER_hh_tes!R10/SER_hh_fec!R10)</f>
        <v>0.5527517777548594</v>
      </c>
      <c r="S10" s="137">
        <f>IF(SER_hh_tes!S10=0,"",SER_hh_tes!S10/SER_hh_fec!S10)</f>
        <v>0.55286319472659973</v>
      </c>
      <c r="T10" s="137">
        <f>IF(SER_hh_tes!T10=0,"",SER_hh_tes!T10/SER_hh_fec!T10)</f>
        <v>0.55296507425891495</v>
      </c>
      <c r="U10" s="137">
        <f>IF(SER_hh_tes!U10=0,"",SER_hh_tes!U10/SER_hh_fec!U10)</f>
        <v>0.55309459293290086</v>
      </c>
      <c r="V10" s="137">
        <f>IF(SER_hh_tes!V10=0,"",SER_hh_tes!V10/SER_hh_fec!V10)</f>
        <v>0.55328657058784525</v>
      </c>
      <c r="W10" s="137">
        <f>IF(SER_hh_tes!W10=0,"",SER_hh_tes!W10/SER_hh_fec!W10)</f>
        <v>0.55349567516938525</v>
      </c>
      <c r="DA10" s="164" t="s">
        <v>336</v>
      </c>
    </row>
    <row r="11" spans="1:105" ht="12" customHeight="1" x14ac:dyDescent="0.25">
      <c r="A11" s="132" t="s">
        <v>25</v>
      </c>
      <c r="B11" s="137">
        <f>IF(SER_hh_tes!B11=0,"",SER_hh_tes!B11/SER_hh_fec!B11)</f>
        <v>0.75093878114668744</v>
      </c>
      <c r="C11" s="137">
        <f>IF(SER_hh_tes!C11=0,"",SER_hh_tes!C11/SER_hh_fec!C11)</f>
        <v>0.76073730849476529</v>
      </c>
      <c r="D11" s="137">
        <f>IF(SER_hh_tes!D11=0,"",SER_hh_tes!D11/SER_hh_fec!D11)</f>
        <v>0.77862821795409964</v>
      </c>
      <c r="E11" s="137">
        <f>IF(SER_hh_tes!E11=0,"",SER_hh_tes!E11/SER_hh_fec!E11)</f>
        <v>0.78754867782842086</v>
      </c>
      <c r="F11" s="137">
        <f>IF(SER_hh_tes!F11=0,"",SER_hh_tes!F11/SER_hh_fec!F11)</f>
        <v>0.79281002637655207</v>
      </c>
      <c r="G11" s="137">
        <f>IF(SER_hh_tes!G11=0,"",SER_hh_tes!G11/SER_hh_fec!G11)</f>
        <v>0.79758746549397319</v>
      </c>
      <c r="H11" s="137">
        <f>IF(SER_hh_tes!H11=0,"",SER_hh_tes!H11/SER_hh_fec!H11)</f>
        <v>0.80118479020026556</v>
      </c>
      <c r="I11" s="137">
        <f>IF(SER_hh_tes!I11=0,"",SER_hh_tes!I11/SER_hh_fec!I11)</f>
        <v>0.80522561966861861</v>
      </c>
      <c r="J11" s="137">
        <f>IF(SER_hh_tes!J11=0,"",SER_hh_tes!J11/SER_hh_fec!J11)</f>
        <v>0.80952084014647618</v>
      </c>
      <c r="K11" s="137">
        <f>IF(SER_hh_tes!K11=0,"",SER_hh_tes!K11/SER_hh_fec!K11)</f>
        <v>0.81241450639029666</v>
      </c>
      <c r="L11" s="137">
        <f>IF(SER_hh_tes!L11=0,"",SER_hh_tes!L11/SER_hh_fec!L11)</f>
        <v>0.81395220649639777</v>
      </c>
      <c r="M11" s="137">
        <f>IF(SER_hh_tes!M11=0,"",SER_hh_tes!M11/SER_hh_fec!M11)</f>
        <v>0.81855742579919955</v>
      </c>
      <c r="N11" s="137">
        <f>IF(SER_hh_tes!N11=0,"",SER_hh_tes!N11/SER_hh_fec!N11)</f>
        <v>0.82693216572492823</v>
      </c>
      <c r="O11" s="137">
        <f>IF(SER_hh_tes!O11=0,"",SER_hh_tes!O11/SER_hh_fec!O11)</f>
        <v>0.83441270829509595</v>
      </c>
      <c r="P11" s="137">
        <f>IF(SER_hh_tes!P11=0,"",SER_hh_tes!P11/SER_hh_fec!P11)</f>
        <v>0.83826557265751578</v>
      </c>
      <c r="Q11" s="137">
        <f>IF(SER_hh_tes!Q11=0,"",SER_hh_tes!Q11/SER_hh_fec!Q11)</f>
        <v>0.8406930189925933</v>
      </c>
      <c r="R11" s="137">
        <f>IF(SER_hh_tes!R11=0,"",SER_hh_tes!R11/SER_hh_fec!R11)</f>
        <v>0.8424070107696906</v>
      </c>
      <c r="S11" s="137">
        <f>IF(SER_hh_tes!S11=0,"",SER_hh_tes!S11/SER_hh_fec!S11)</f>
        <v>0.8457457427188747</v>
      </c>
      <c r="T11" s="137">
        <f>IF(SER_hh_tes!T11=0,"",SER_hh_tes!T11/SER_hh_fec!T11)</f>
        <v>0.84956821192715604</v>
      </c>
      <c r="U11" s="137">
        <f>IF(SER_hh_tes!U11=0,"",SER_hh_tes!U11/SER_hh_fec!U11)</f>
        <v>0.85286264843134274</v>
      </c>
      <c r="V11" s="137">
        <f>IF(SER_hh_tes!V11=0,"",SER_hh_tes!V11/SER_hh_fec!V11)</f>
        <v>0.85550705231566349</v>
      </c>
      <c r="W11" s="137">
        <f>IF(SER_hh_tes!W11=0,"",SER_hh_tes!W11/SER_hh_fec!W11)</f>
        <v>0.85761867104417078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0.78031401237717113</v>
      </c>
      <c r="C12" s="137">
        <f>IF(SER_hh_tes!C12=0,"",SER_hh_tes!C12/SER_hh_fec!C12)</f>
        <v>0.78340470100434445</v>
      </c>
      <c r="D12" s="137">
        <f>IF(SER_hh_tes!D12=0,"",SER_hh_tes!D12/SER_hh_fec!D12)</f>
        <v>0.78672417459357025</v>
      </c>
      <c r="E12" s="137">
        <f>IF(SER_hh_tes!E12=0,"",SER_hh_tes!E12/SER_hh_fec!E12)</f>
        <v>0.78983966981736664</v>
      </c>
      <c r="F12" s="137">
        <f>IF(SER_hh_tes!F12=0,"",SER_hh_tes!F12/SER_hh_fec!F12)</f>
        <v>0.79437215800285699</v>
      </c>
      <c r="G12" s="137">
        <f>IF(SER_hh_tes!G12=0,"",SER_hh_tes!G12/SER_hh_fec!G12)</f>
        <v>0.79702228158932276</v>
      </c>
      <c r="H12" s="137">
        <f>IF(SER_hh_tes!H12=0,"",SER_hh_tes!H12/SER_hh_fec!H12)</f>
        <v>0.80007000224924052</v>
      </c>
      <c r="I12" s="137">
        <f>IF(SER_hh_tes!I12=0,"",SER_hh_tes!I12/SER_hh_fec!I12)</f>
        <v>0.80242014397900474</v>
      </c>
      <c r="J12" s="137">
        <f>IF(SER_hh_tes!J12=0,"",SER_hh_tes!J12/SER_hh_fec!J12)</f>
        <v>0.8049646146817836</v>
      </c>
      <c r="K12" s="137">
        <f>IF(SER_hh_tes!K12=0,"",SER_hh_tes!K12/SER_hh_fec!K12)</f>
        <v>0.80726274560175049</v>
      </c>
      <c r="L12" s="137">
        <f>IF(SER_hh_tes!L12=0,"",SER_hh_tes!L12/SER_hh_fec!L12)</f>
        <v>0.80975004286589303</v>
      </c>
      <c r="M12" s="137">
        <f>IF(SER_hh_tes!M12=0,"",SER_hh_tes!M12/SER_hh_fec!M12)</f>
        <v>0.81271195680517572</v>
      </c>
      <c r="N12" s="137">
        <f>IF(SER_hh_tes!N12=0,"",SER_hh_tes!N12/SER_hh_fec!N12)</f>
        <v>0.81717185280497084</v>
      </c>
      <c r="O12" s="137">
        <f>IF(SER_hh_tes!O12=0,"",SER_hh_tes!O12/SER_hh_fec!O12)</f>
        <v>0.82228637734501631</v>
      </c>
      <c r="P12" s="137">
        <f>IF(SER_hh_tes!P12=0,"",SER_hh_tes!P12/SER_hh_fec!P12)</f>
        <v>0.82440125037708512</v>
      </c>
      <c r="Q12" s="137">
        <f>IF(SER_hh_tes!Q12=0,"",SER_hh_tes!Q12/SER_hh_fec!Q12)</f>
        <v>0.82756340849751342</v>
      </c>
      <c r="R12" s="137">
        <f>IF(SER_hh_tes!R12=0,"",SER_hh_tes!R12/SER_hh_fec!R12)</f>
        <v>0.83227492106525158</v>
      </c>
      <c r="S12" s="137">
        <f>IF(SER_hh_tes!S12=0,"",SER_hh_tes!S12/SER_hh_fec!S12)</f>
        <v>0.83894892831303913</v>
      </c>
      <c r="T12" s="137">
        <f>IF(SER_hh_tes!T12=0,"",SER_hh_tes!T12/SER_hh_fec!T12)</f>
        <v>0.84445492292854396</v>
      </c>
      <c r="U12" s="137">
        <f>IF(SER_hh_tes!U12=0,"",SER_hh_tes!U12/SER_hh_fec!U12)</f>
        <v>0.85009053861439465</v>
      </c>
      <c r="V12" s="137">
        <f>IF(SER_hh_tes!V12=0,"",SER_hh_tes!V12/SER_hh_fec!V12)</f>
        <v>0.85524114590158062</v>
      </c>
      <c r="W12" s="137">
        <f>IF(SER_hh_tes!W12=0,"",SER_hh_tes!W12/SER_hh_fec!W12)</f>
        <v>0.85937222689959947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1.3566653884724196</v>
      </c>
      <c r="C13" s="137">
        <f>IF(SER_hh_tes!C13=0,"",SER_hh_tes!C13/SER_hh_fec!C13)</f>
        <v>1.3609813259305965</v>
      </c>
      <c r="D13" s="137">
        <f>IF(SER_hh_tes!D13=0,"",SER_hh_tes!D13/SER_hh_fec!D13)</f>
        <v>1.3865236013128162</v>
      </c>
      <c r="E13" s="137">
        <f>IF(SER_hh_tes!E13=0,"",SER_hh_tes!E13/SER_hh_fec!E13)</f>
        <v>1.4412439489100777</v>
      </c>
      <c r="F13" s="137">
        <f>IF(SER_hh_tes!F13=0,"",SER_hh_tes!F13/SER_hh_fec!F13)</f>
        <v>1.5065274221990577</v>
      </c>
      <c r="G13" s="137">
        <f>IF(SER_hh_tes!G13=0,"",SER_hh_tes!G13/SER_hh_fec!G13)</f>
        <v>1.5990882198337644</v>
      </c>
      <c r="H13" s="137">
        <f>IF(SER_hh_tes!H13=0,"",SER_hh_tes!H13/SER_hh_fec!H13)</f>
        <v>1.6772075221456115</v>
      </c>
      <c r="I13" s="137">
        <f>IF(SER_hh_tes!I13=0,"",SER_hh_tes!I13/SER_hh_fec!I13)</f>
        <v>1.7589341453321403</v>
      </c>
      <c r="J13" s="137">
        <f>IF(SER_hh_tes!J13=0,"",SER_hh_tes!J13/SER_hh_fec!J13)</f>
        <v>1.8073284031581729</v>
      </c>
      <c r="K13" s="137">
        <f>IF(SER_hh_tes!K13=0,"",SER_hh_tes!K13/SER_hh_fec!K13)</f>
        <v>1.8564496766444667</v>
      </c>
      <c r="L13" s="137">
        <f>IF(SER_hh_tes!L13=0,"",SER_hh_tes!L13/SER_hh_fec!L13)</f>
        <v>1.8865284172786003</v>
      </c>
      <c r="M13" s="137">
        <f>IF(SER_hh_tes!M13=0,"",SER_hh_tes!M13/SER_hh_fec!M13)</f>
        <v>1.9500878087815305</v>
      </c>
      <c r="N13" s="137">
        <f>IF(SER_hh_tes!N13=0,"",SER_hh_tes!N13/SER_hh_fec!N13)</f>
        <v>2.0560453908266889</v>
      </c>
      <c r="O13" s="137">
        <f>IF(SER_hh_tes!O13=0,"",SER_hh_tes!O13/SER_hh_fec!O13)</f>
        <v>2.1990237817049034</v>
      </c>
      <c r="P13" s="137">
        <f>IF(SER_hh_tes!P13=0,"",SER_hh_tes!P13/SER_hh_fec!P13)</f>
        <v>2.3451080741100974</v>
      </c>
      <c r="Q13" s="137">
        <f>IF(SER_hh_tes!Q13=0,"",SER_hh_tes!Q13/SER_hh_fec!Q13)</f>
        <v>2.4580047262219731</v>
      </c>
      <c r="R13" s="137">
        <f>IF(SER_hh_tes!R13=0,"",SER_hh_tes!R13/SER_hh_fec!R13)</f>
        <v>2.5396452273200723</v>
      </c>
      <c r="S13" s="137">
        <f>IF(SER_hh_tes!S13=0,"",SER_hh_tes!S13/SER_hh_fec!S13)</f>
        <v>2.6371315374163729</v>
      </c>
      <c r="T13" s="137">
        <f>IF(SER_hh_tes!T13=0,"",SER_hh_tes!T13/SER_hh_fec!T13)</f>
        <v>2.7371139512059806</v>
      </c>
      <c r="U13" s="137">
        <f>IF(SER_hh_tes!U13=0,"",SER_hh_tes!U13/SER_hh_fec!U13)</f>
        <v>2.8404363680538656</v>
      </c>
      <c r="V13" s="137">
        <f>IF(SER_hh_tes!V13=0,"",SER_hh_tes!V13/SER_hh_fec!V13)</f>
        <v>2.9369672822456607</v>
      </c>
      <c r="W13" s="137">
        <f>IF(SER_hh_tes!W13=0,"",SER_hh_tes!W13/SER_hh_fec!W13)</f>
        <v>3.0155268454806174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0.69330109501385262</v>
      </c>
      <c r="C14" s="138">
        <f>IF(SER_hh_tes!C14=0,"",SER_hh_tes!C14/SER_hh_fec!C14)</f>
        <v>0.69330109501385262</v>
      </c>
      <c r="D14" s="138">
        <f>IF(SER_hh_tes!D14=0,"",SER_hh_tes!D14/SER_hh_fec!D14)</f>
        <v>0.69330109501385262</v>
      </c>
      <c r="E14" s="138">
        <f>IF(SER_hh_tes!E14=0,"",SER_hh_tes!E14/SER_hh_fec!E14)</f>
        <v>0.69330109501385262</v>
      </c>
      <c r="F14" s="138">
        <f>IF(SER_hh_tes!F14=0,"",SER_hh_tes!F14/SER_hh_fec!F14)</f>
        <v>0.69330109501385262</v>
      </c>
      <c r="G14" s="138">
        <f>IF(SER_hh_tes!G14=0,"",SER_hh_tes!G14/SER_hh_fec!G14)</f>
        <v>0.70097668652565692</v>
      </c>
      <c r="H14" s="138">
        <f>IF(SER_hh_tes!H14=0,"",SER_hh_tes!H14/SER_hh_fec!H14)</f>
        <v>0.70943630322351603</v>
      </c>
      <c r="I14" s="138">
        <f>IF(SER_hh_tes!I14=0,"",SER_hh_tes!I14/SER_hh_fec!I14)</f>
        <v>0.71645106372240075</v>
      </c>
      <c r="J14" s="138">
        <f>IF(SER_hh_tes!J14=0,"",SER_hh_tes!J14/SER_hh_fec!J14)</f>
        <v>0.72319095953781387</v>
      </c>
      <c r="K14" s="138">
        <f>IF(SER_hh_tes!K14=0,"",SER_hh_tes!K14/SER_hh_fec!K14)</f>
        <v>0.72924610838745008</v>
      </c>
      <c r="L14" s="138">
        <f>IF(SER_hh_tes!L14=0,"",SER_hh_tes!L14/SER_hh_fec!L14)</f>
        <v>0.73733667321141161</v>
      </c>
      <c r="M14" s="138">
        <f>IF(SER_hh_tes!M14=0,"",SER_hh_tes!M14/SER_hh_fec!M14)</f>
        <v>0.74520369682380649</v>
      </c>
      <c r="N14" s="138">
        <f>IF(SER_hh_tes!N14=0,"",SER_hh_tes!N14/SER_hh_fec!N14)</f>
        <v>0.75346498246801386</v>
      </c>
      <c r="O14" s="138">
        <f>IF(SER_hh_tes!O14=0,"",SER_hh_tes!O14/SER_hh_fec!O14)</f>
        <v>0.76028474781428046</v>
      </c>
      <c r="P14" s="138">
        <f>IF(SER_hh_tes!P14=0,"",SER_hh_tes!P14/SER_hh_fec!P14)</f>
        <v>0.76277405640429874</v>
      </c>
      <c r="Q14" s="138">
        <f>IF(SER_hh_tes!Q14=0,"",SER_hh_tes!Q14/SER_hh_fec!Q14)</f>
        <v>0.76497252163239216</v>
      </c>
      <c r="R14" s="138">
        <f>IF(SER_hh_tes!R14=0,"",SER_hh_tes!R14/SER_hh_fec!R14)</f>
        <v>0.77014240686329005</v>
      </c>
      <c r="S14" s="138">
        <f>IF(SER_hh_tes!S14=0,"",SER_hh_tes!S14/SER_hh_fec!S14)</f>
        <v>0.77729306450052449</v>
      </c>
      <c r="T14" s="138">
        <f>IF(SER_hh_tes!T14=0,"",SER_hh_tes!T14/SER_hh_fec!T14)</f>
        <v>0.78847867330067567</v>
      </c>
      <c r="U14" s="138">
        <f>IF(SER_hh_tes!U14=0,"",SER_hh_tes!U14/SER_hh_fec!U14)</f>
        <v>0.79888859734718942</v>
      </c>
      <c r="V14" s="138">
        <f>IF(SER_hh_tes!V14=0,"",SER_hh_tes!V14/SER_hh_fec!V14)</f>
        <v>0.80993836646837136</v>
      </c>
      <c r="W14" s="138">
        <f>IF(SER_hh_tes!W14=0,"",SER_hh_tes!W14/SER_hh_fec!W14)</f>
        <v>0.82223151448350074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1.8354666702743208</v>
      </c>
      <c r="C16" s="136">
        <f>IF(SER_hh_tes!C16=0,"",SER_hh_tes!C16/SER_hh_fec!C16)</f>
        <v>1.8885495086680466</v>
      </c>
      <c r="D16" s="136">
        <f>IF(SER_hh_tes!D16=0,"",SER_hh_tes!D16/SER_hh_fec!D16)</f>
        <v>1.9648561869532326</v>
      </c>
      <c r="E16" s="136">
        <f>IF(SER_hh_tes!E16=0,"",SER_hh_tes!E16/SER_hh_fec!E16)</f>
        <v>2.0518212865538277</v>
      </c>
      <c r="F16" s="136">
        <f>IF(SER_hh_tes!F16=0,"",SER_hh_tes!F16/SER_hh_fec!F16)</f>
        <v>2.1563838613516424</v>
      </c>
      <c r="G16" s="136">
        <f>IF(SER_hh_tes!G16=0,"",SER_hh_tes!G16/SER_hh_fec!G16)</f>
        <v>2.2659285294103308</v>
      </c>
      <c r="H16" s="136">
        <f>IF(SER_hh_tes!H16=0,"",SER_hh_tes!H16/SER_hh_fec!H16)</f>
        <v>2.3858173453011315</v>
      </c>
      <c r="I16" s="136">
        <f>IF(SER_hh_tes!I16=0,"",SER_hh_tes!I16/SER_hh_fec!I16)</f>
        <v>2.5124585185878479</v>
      </c>
      <c r="J16" s="136">
        <f>IF(SER_hh_tes!J16=0,"",SER_hh_tes!J16/SER_hh_fec!J16)</f>
        <v>2.6327996614943152</v>
      </c>
      <c r="K16" s="136">
        <f>IF(SER_hh_tes!K16=0,"",SER_hh_tes!K16/SER_hh_fec!K16)</f>
        <v>2.6781702300153967</v>
      </c>
      <c r="L16" s="136">
        <f>IF(SER_hh_tes!L16=0,"",SER_hh_tes!L16/SER_hh_fec!L16)</f>
        <v>2.7282824077464958</v>
      </c>
      <c r="M16" s="136">
        <f>IF(SER_hh_tes!M16=0,"",SER_hh_tes!M16/SER_hh_fec!M16)</f>
        <v>2.7954110099130909</v>
      </c>
      <c r="N16" s="136">
        <f>IF(SER_hh_tes!N16=0,"",SER_hh_tes!N16/SER_hh_fec!N16)</f>
        <v>2.868389915455329</v>
      </c>
      <c r="O16" s="136">
        <f>IF(SER_hh_tes!O16=0,"",SER_hh_tes!O16/SER_hh_fec!O16)</f>
        <v>2.9424560588275139</v>
      </c>
      <c r="P16" s="136">
        <f>IF(SER_hh_tes!P16=0,"",SER_hh_tes!P16/SER_hh_fec!P16)</f>
        <v>3.0338013381574704</v>
      </c>
      <c r="Q16" s="136">
        <f>IF(SER_hh_tes!Q16=0,"",SER_hh_tes!Q16/SER_hh_fec!Q16)</f>
        <v>3.1401888084035701</v>
      </c>
      <c r="R16" s="136">
        <f>IF(SER_hh_tes!R16=0,"",SER_hh_tes!R16/SER_hh_fec!R16)</f>
        <v>3.2357908780411688</v>
      </c>
      <c r="S16" s="136">
        <f>IF(SER_hh_tes!S16=0,"",SER_hh_tes!S16/SER_hh_fec!S16)</f>
        <v>3.3408630843494573</v>
      </c>
      <c r="T16" s="136">
        <f>IF(SER_hh_tes!T16=0,"",SER_hh_tes!T16/SER_hh_fec!T16)</f>
        <v>3.4431616223934891</v>
      </c>
      <c r="U16" s="136">
        <f>IF(SER_hh_tes!U16=0,"",SER_hh_tes!U16/SER_hh_fec!U16)</f>
        <v>3.53474736796402</v>
      </c>
      <c r="V16" s="136">
        <f>IF(SER_hh_tes!V16=0,"",SER_hh_tes!V16/SER_hh_fec!V16)</f>
        <v>3.6157042665710795</v>
      </c>
      <c r="W16" s="136">
        <f>IF(SER_hh_tes!W16=0,"",SER_hh_tes!W16/SER_hh_fec!W16)</f>
        <v>3.7024586326542548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1.2595229553496086</v>
      </c>
      <c r="C17" s="137">
        <f>IF(SER_hh_tes!C17=0,"",SER_hh_tes!C17/SER_hh_fec!C17)</f>
        <v>1.2625515327354497</v>
      </c>
      <c r="D17" s="137">
        <f>IF(SER_hh_tes!D17=0,"",SER_hh_tes!D17/SER_hh_fec!D17)</f>
        <v>1.2668014614914662</v>
      </c>
      <c r="E17" s="137">
        <f>IF(SER_hh_tes!E17=0,"",SER_hh_tes!E17/SER_hh_fec!E17)</f>
        <v>1.2707947646718292</v>
      </c>
      <c r="F17" s="137">
        <f>IF(SER_hh_tes!F17=0,"",SER_hh_tes!F17/SER_hh_fec!F17)</f>
        <v>1.2754170318536187</v>
      </c>
      <c r="G17" s="137">
        <f>IF(SER_hh_tes!G17=0,"",SER_hh_tes!G17/SER_hh_fec!G17)</f>
        <v>1.2790360096886233</v>
      </c>
      <c r="H17" s="137">
        <f>IF(SER_hh_tes!H17=0,"",SER_hh_tes!H17/SER_hh_fec!H17)</f>
        <v>1.2818851906942919</v>
      </c>
      <c r="I17" s="137">
        <f>IF(SER_hh_tes!I17=0,"",SER_hh_tes!I17/SER_hh_fec!I17)</f>
        <v>1.284785347109872</v>
      </c>
      <c r="J17" s="137">
        <f>IF(SER_hh_tes!J17=0,"",SER_hh_tes!J17/SER_hh_fec!J17)</f>
        <v>1.2868748681086732</v>
      </c>
      <c r="K17" s="137">
        <f>IF(SER_hh_tes!K17=0,"",SER_hh_tes!K17/SER_hh_fec!K17)</f>
        <v>1.2878354065100979</v>
      </c>
      <c r="L17" s="137">
        <f>IF(SER_hh_tes!L17=0,"",SER_hh_tes!L17/SER_hh_fec!L17)</f>
        <v>1.2887864293341631</v>
      </c>
      <c r="M17" s="137">
        <f>IF(SER_hh_tes!M17=0,"",SER_hh_tes!M17/SER_hh_fec!M17)</f>
        <v>1.2913969430755856</v>
      </c>
      <c r="N17" s="137">
        <f>IF(SER_hh_tes!N17=0,"",SER_hh_tes!N17/SER_hh_fec!N17)</f>
        <v>1.2959293839682027</v>
      </c>
      <c r="O17" s="137">
        <f>IF(SER_hh_tes!O17=0,"",SER_hh_tes!O17/SER_hh_fec!O17)</f>
        <v>1.3062542183636692</v>
      </c>
      <c r="P17" s="137">
        <f>IF(SER_hh_tes!P17=0,"",SER_hh_tes!P17/SER_hh_fec!P17)</f>
        <v>1.3254849036966176</v>
      </c>
      <c r="Q17" s="137">
        <f>IF(SER_hh_tes!Q17=0,"",SER_hh_tes!Q17/SER_hh_fec!Q17)</f>
        <v>1.3438602853867307</v>
      </c>
      <c r="R17" s="137">
        <f>IF(SER_hh_tes!R17=0,"",SER_hh_tes!R17/SER_hh_fec!R17)</f>
        <v>1.3753223577841491</v>
      </c>
      <c r="S17" s="137">
        <f>IF(SER_hh_tes!S17=0,"",SER_hh_tes!S17/SER_hh_fec!S17)</f>
        <v>1.3942119827883739</v>
      </c>
      <c r="T17" s="137">
        <f>IF(SER_hh_tes!T17=0,"",SER_hh_tes!T17/SER_hh_fec!T17)</f>
        <v>1.4104805271754286</v>
      </c>
      <c r="U17" s="137">
        <f>IF(SER_hh_tes!U17=0,"",SER_hh_tes!U17/SER_hh_fec!U17)</f>
        <v>1.4264767197043557</v>
      </c>
      <c r="V17" s="137">
        <f>IF(SER_hh_tes!V17=0,"",SER_hh_tes!V17/SER_hh_fec!V17)</f>
        <v>1.444281556626966</v>
      </c>
      <c r="W17" s="137">
        <f>IF(SER_hh_tes!W17=0,"",SER_hh_tes!W17/SER_hh_fec!W17)</f>
        <v>1.4616589081005953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1.836736026411145</v>
      </c>
      <c r="C18" s="137">
        <f>IF(SER_hh_tes!C18=0,"",SER_hh_tes!C18/SER_hh_fec!C18)</f>
        <v>1.8900414946642186</v>
      </c>
      <c r="D18" s="137">
        <f>IF(SER_hh_tes!D18=0,"",SER_hh_tes!D18/SER_hh_fec!D18)</f>
        <v>1.9667214587682809</v>
      </c>
      <c r="E18" s="137">
        <f>IF(SER_hh_tes!E18=0,"",SER_hh_tes!E18/SER_hh_fec!E18)</f>
        <v>2.0541289632116109</v>
      </c>
      <c r="F18" s="137">
        <f>IF(SER_hh_tes!F18=0,"",SER_hh_tes!F18/SER_hh_fec!F18)</f>
        <v>2.1594380102642083</v>
      </c>
      <c r="G18" s="137">
        <f>IF(SER_hh_tes!G18=0,"",SER_hh_tes!G18/SER_hh_fec!G18)</f>
        <v>2.2698092062371975</v>
      </c>
      <c r="H18" s="137">
        <f>IF(SER_hh_tes!H18=0,"",SER_hh_tes!H18/SER_hh_fec!H18)</f>
        <v>2.3904458228515648</v>
      </c>
      <c r="I18" s="137">
        <f>IF(SER_hh_tes!I18=0,"",SER_hh_tes!I18/SER_hh_fec!I18)</f>
        <v>2.5182628410031547</v>
      </c>
      <c r="J18" s="137">
        <f>IF(SER_hh_tes!J18=0,"",SER_hh_tes!J18/SER_hh_fec!J18)</f>
        <v>2.6395351182795075</v>
      </c>
      <c r="K18" s="137">
        <f>IF(SER_hh_tes!K18=0,"",SER_hh_tes!K18/SER_hh_fec!K18)</f>
        <v>2.6853801296886335</v>
      </c>
      <c r="L18" s="137">
        <f>IF(SER_hh_tes!L18=0,"",SER_hh_tes!L18/SER_hh_fec!L18)</f>
        <v>2.7357874601615073</v>
      </c>
      <c r="M18" s="137">
        <f>IF(SER_hh_tes!M18=0,"",SER_hh_tes!M18/SER_hh_fec!M18)</f>
        <v>2.8042243183852436</v>
      </c>
      <c r="N18" s="137">
        <f>IF(SER_hh_tes!N18=0,"",SER_hh_tes!N18/SER_hh_fec!N18)</f>
        <v>2.8786580118167904</v>
      </c>
      <c r="O18" s="137">
        <f>IF(SER_hh_tes!O18=0,"",SER_hh_tes!O18/SER_hh_fec!O18)</f>
        <v>2.9556476133729683</v>
      </c>
      <c r="P18" s="137">
        <f>IF(SER_hh_tes!P18=0,"",SER_hh_tes!P18/SER_hh_fec!P18)</f>
        <v>3.0522171567171914</v>
      </c>
      <c r="Q18" s="137">
        <f>IF(SER_hh_tes!Q18=0,"",SER_hh_tes!Q18/SER_hh_fec!Q18)</f>
        <v>3.1635390397440646</v>
      </c>
      <c r="R18" s="137">
        <f>IF(SER_hh_tes!R18=0,"",SER_hh_tes!R18/SER_hh_fec!R18)</f>
        <v>3.2722380460484999</v>
      </c>
      <c r="S18" s="137">
        <f>IF(SER_hh_tes!S18=0,"",SER_hh_tes!S18/SER_hh_fec!S18)</f>
        <v>3.3870976232633332</v>
      </c>
      <c r="T18" s="137">
        <f>IF(SER_hh_tes!T18=0,"",SER_hh_tes!T18/SER_hh_fec!T18)</f>
        <v>3.4970617224015608</v>
      </c>
      <c r="U18" s="137">
        <f>IF(SER_hh_tes!U18=0,"",SER_hh_tes!U18/SER_hh_fec!U18)</f>
        <v>3.5945135859150907</v>
      </c>
      <c r="V18" s="137">
        <f>IF(SER_hh_tes!V18=0,"",SER_hh_tes!V18/SER_hh_fec!V18)</f>
        <v>3.6779421555686733</v>
      </c>
      <c r="W18" s="137">
        <f>IF(SER_hh_tes!W18=0,"",SER_hh_tes!W18/SER_hh_fec!W18)</f>
        <v>3.7667947452112922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0.62078702397374907</v>
      </c>
      <c r="C19" s="136">
        <f>IF(SER_hh_tes!C19=0,"",SER_hh_tes!C19/SER_hh_fec!C19)</f>
        <v>0.61920835788111339</v>
      </c>
      <c r="D19" s="136">
        <f>IF(SER_hh_tes!D19=0,"",SER_hh_tes!D19/SER_hh_fec!D19)</f>
        <v>0.62464280940090278</v>
      </c>
      <c r="E19" s="136">
        <f>IF(SER_hh_tes!E19=0,"",SER_hh_tes!E19/SER_hh_fec!E19)</f>
        <v>0.62025781343787667</v>
      </c>
      <c r="F19" s="136">
        <f>IF(SER_hh_tes!F19=0,"",SER_hh_tes!F19/SER_hh_fec!F19)</f>
        <v>0.63237120130228619</v>
      </c>
      <c r="G19" s="136">
        <f>IF(SER_hh_tes!G19=0,"",SER_hh_tes!G19/SER_hh_fec!G19)</f>
        <v>0.63949532720696123</v>
      </c>
      <c r="H19" s="136">
        <f>IF(SER_hh_tes!H19=0,"",SER_hh_tes!H19/SER_hh_fec!H19)</f>
        <v>0.64378398697408767</v>
      </c>
      <c r="I19" s="136">
        <f>IF(SER_hh_tes!I19=0,"",SER_hh_tes!I19/SER_hh_fec!I19)</f>
        <v>0.65032602083158864</v>
      </c>
      <c r="J19" s="136">
        <f>IF(SER_hh_tes!J19=0,"",SER_hh_tes!J19/SER_hh_fec!J19)</f>
        <v>0.6563304056057675</v>
      </c>
      <c r="K19" s="136">
        <f>IF(SER_hh_tes!K19=0,"",SER_hh_tes!K19/SER_hh_fec!K19)</f>
        <v>0.66288878147506203</v>
      </c>
      <c r="L19" s="136">
        <f>IF(SER_hh_tes!L19=0,"",SER_hh_tes!L19/SER_hh_fec!L19)</f>
        <v>0.66614797002449888</v>
      </c>
      <c r="M19" s="136">
        <f>IF(SER_hh_tes!M19=0,"",SER_hh_tes!M19/SER_hh_fec!M19)</f>
        <v>0.67297039235384803</v>
      </c>
      <c r="N19" s="136">
        <f>IF(SER_hh_tes!N19=0,"",SER_hh_tes!N19/SER_hh_fec!N19)</f>
        <v>0.67882141510267058</v>
      </c>
      <c r="O19" s="136">
        <f>IF(SER_hh_tes!O19=0,"",SER_hh_tes!O19/SER_hh_fec!O19)</f>
        <v>0.69112616800664572</v>
      </c>
      <c r="P19" s="136">
        <f>IF(SER_hh_tes!P19=0,"",SER_hh_tes!P19/SER_hh_fec!P19)</f>
        <v>0.69451335849399232</v>
      </c>
      <c r="Q19" s="136">
        <f>IF(SER_hh_tes!Q19=0,"",SER_hh_tes!Q19/SER_hh_fec!Q19)</f>
        <v>0.70072277742977851</v>
      </c>
      <c r="R19" s="136">
        <f>IF(SER_hh_tes!R19=0,"",SER_hh_tes!R19/SER_hh_fec!R19)</f>
        <v>0.7096114272177324</v>
      </c>
      <c r="S19" s="136">
        <f>IF(SER_hh_tes!S19=0,"",SER_hh_tes!S19/SER_hh_fec!S19)</f>
        <v>0.7268078409835248</v>
      </c>
      <c r="T19" s="136">
        <f>IF(SER_hh_tes!T19=0,"",SER_hh_tes!T19/SER_hh_fec!T19)</f>
        <v>0.73796436629804729</v>
      </c>
      <c r="U19" s="136">
        <f>IF(SER_hh_tes!U19=0,"",SER_hh_tes!U19/SER_hh_fec!U19)</f>
        <v>0.75392894997470272</v>
      </c>
      <c r="V19" s="136">
        <f>IF(SER_hh_tes!V19=0,"",SER_hh_tes!V19/SER_hh_fec!V19)</f>
        <v>0.77101966625841944</v>
      </c>
      <c r="W19" s="136">
        <f>IF(SER_hh_tes!W19=0,"",SER_hh_tes!W19/SER_hh_fec!W19)</f>
        <v>0.78055039537870241</v>
      </c>
      <c r="DA19" s="163" t="s">
        <v>241</v>
      </c>
    </row>
    <row r="20" spans="1:105" ht="12" customHeight="1" x14ac:dyDescent="0.25">
      <c r="A20" s="132" t="s">
        <v>29</v>
      </c>
      <c r="B20" s="137">
        <f>IF(SER_hh_tes!B20=0,"",SER_hh_tes!B20/SER_hh_fec!B20)</f>
        <v>0.55545080136877489</v>
      </c>
      <c r="C20" s="137">
        <f>IF(SER_hh_tes!C20=0,"",SER_hh_tes!C20/SER_hh_fec!C20)</f>
        <v>0.57925660173279525</v>
      </c>
      <c r="D20" s="137">
        <f>IF(SER_hh_tes!D20=0,"",SER_hh_tes!D20/SER_hh_fec!D20)</f>
        <v>0.59099482047655949</v>
      </c>
      <c r="E20" s="137">
        <f>IF(SER_hh_tes!E20=0,"",SER_hh_tes!E20/SER_hh_fec!E20)</f>
        <v>0.59854994206941714</v>
      </c>
      <c r="F20" s="137">
        <f>IF(SER_hh_tes!F20=0,"",SER_hh_tes!F20/SER_hh_fec!F20)</f>
        <v>0.60195086222033722</v>
      </c>
      <c r="G20" s="137">
        <f>IF(SER_hh_tes!G20=0,"",SER_hh_tes!G20/SER_hh_fec!G20)</f>
        <v>0.60504266330432499</v>
      </c>
      <c r="H20" s="137">
        <f>IF(SER_hh_tes!H20=0,"",SER_hh_tes!H20/SER_hh_fec!H20)</f>
        <v>0.60822910699562782</v>
      </c>
      <c r="I20" s="137">
        <f>IF(SER_hh_tes!I20=0,"",SER_hh_tes!I20/SER_hh_fec!I20)</f>
        <v>0.61642418197810933</v>
      </c>
      <c r="J20" s="137">
        <f>IF(SER_hh_tes!J20=0,"",SER_hh_tes!J20/SER_hh_fec!J20)</f>
        <v>0.62546533422147788</v>
      </c>
      <c r="K20" s="137">
        <f>IF(SER_hh_tes!K20=0,"",SER_hh_tes!K20/SER_hh_fec!K20)</f>
        <v>0.6359439063721033</v>
      </c>
      <c r="L20" s="137">
        <f>IF(SER_hh_tes!L20=0,"",SER_hh_tes!L20/SER_hh_fec!L20)</f>
        <v>0.64662984616696317</v>
      </c>
      <c r="M20" s="137">
        <f>IF(SER_hh_tes!M20=0,"",SER_hh_tes!M20/SER_hh_fec!M20)</f>
        <v>0.65721498690845781</v>
      </c>
      <c r="N20" s="137">
        <f>IF(SER_hh_tes!N20=0,"",SER_hh_tes!N20/SER_hh_fec!N20)</f>
        <v>0.66819059549718973</v>
      </c>
      <c r="O20" s="137">
        <f>IF(SER_hh_tes!O20=0,"",SER_hh_tes!O20/SER_hh_fec!O20)</f>
        <v>0.67828276601027826</v>
      </c>
      <c r="P20" s="137">
        <f>IF(SER_hh_tes!P20=0,"",SER_hh_tes!P20/SER_hh_fec!P20)</f>
        <v>0.683438267043737</v>
      </c>
      <c r="Q20" s="137">
        <f>IF(SER_hh_tes!Q20=0,"",SER_hh_tes!Q20/SER_hh_fec!Q20)</f>
        <v>0.68917222564520431</v>
      </c>
      <c r="R20" s="137">
        <f>IF(SER_hh_tes!R20=0,"",SER_hh_tes!R20/SER_hh_fec!R20)</f>
        <v>0.69550400962799253</v>
      </c>
      <c r="S20" s="137">
        <f>IF(SER_hh_tes!S20=0,"",SER_hh_tes!S20/SER_hh_fec!S20)</f>
        <v>0.70084428268058419</v>
      </c>
      <c r="T20" s="137">
        <f>IF(SER_hh_tes!T20=0,"",SER_hh_tes!T20/SER_hh_fec!T20)</f>
        <v>0.70423224831721853</v>
      </c>
      <c r="U20" s="137">
        <f>IF(SER_hh_tes!U20=0,"",SER_hh_tes!U20/SER_hh_fec!U20)</f>
        <v>0.70580906407624677</v>
      </c>
      <c r="V20" s="137">
        <f>IF(SER_hh_tes!V20=0,"",SER_hh_tes!V20/SER_hh_fec!V20)</f>
        <v>0.70813769390158698</v>
      </c>
      <c r="W20" s="137">
        <f>IF(SER_hh_tes!W20=0,"",SER_hh_tes!W20/SER_hh_fec!W20)</f>
        <v>0.7134385992296044</v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0.54272260359292557</v>
      </c>
      <c r="C21" s="137">
        <f>IF(SER_hh_tes!C21=0,"",SER_hh_tes!C21/SER_hh_fec!C21)</f>
        <v>0.54415567172547119</v>
      </c>
      <c r="D21" s="137">
        <f>IF(SER_hh_tes!D21=0,"",SER_hh_tes!D21/SER_hh_fec!D21)</f>
        <v>0.54612521679894677</v>
      </c>
      <c r="E21" s="137">
        <f>IF(SER_hh_tes!E21=0,"",SER_hh_tes!E21/SER_hh_fec!E21)</f>
        <v>0.5482330814333225</v>
      </c>
      <c r="F21" s="137">
        <f>IF(SER_hh_tes!F21=0,"",SER_hh_tes!F21/SER_hh_fec!F21)</f>
        <v>0.54976259944930539</v>
      </c>
      <c r="G21" s="137">
        <f>IF(SER_hh_tes!G21=0,"",SER_hh_tes!G21/SER_hh_fec!G21)</f>
        <v>0.55035807465898179</v>
      </c>
      <c r="H21" s="137">
        <f>IF(SER_hh_tes!H21=0,"",SER_hh_tes!H21/SER_hh_fec!H21)</f>
        <v>0.55121681560291358</v>
      </c>
      <c r="I21" s="137">
        <f>IF(SER_hh_tes!I21=0,"",SER_hh_tes!I21/SER_hh_fec!I21)</f>
        <v>0.55201260277013342</v>
      </c>
      <c r="J21" s="137">
        <f>IF(SER_hh_tes!J21=0,"",SER_hh_tes!J21/SER_hh_fec!J21)</f>
        <v>0.5532761484851747</v>
      </c>
      <c r="K21" s="137">
        <f>IF(SER_hh_tes!K21=0,"",SER_hh_tes!K21/SER_hh_fec!K21)</f>
        <v>0.55560154945465812</v>
      </c>
      <c r="L21" s="137">
        <f>IF(SER_hh_tes!L21=0,"",SER_hh_tes!L21/SER_hh_fec!L21)</f>
        <v>0.56154748832874657</v>
      </c>
      <c r="M21" s="137">
        <f>IF(SER_hh_tes!M21=0,"",SER_hh_tes!M21/SER_hh_fec!M21)</f>
        <v>0.56976942149811716</v>
      </c>
      <c r="N21" s="137">
        <f>IF(SER_hh_tes!N21=0,"",SER_hh_tes!N21/SER_hh_fec!N21)</f>
        <v>0.58161224608188256</v>
      </c>
      <c r="O21" s="137">
        <f>IF(SER_hh_tes!O21=0,"",SER_hh_tes!O21/SER_hh_fec!O21)</f>
        <v>0.59091882181288868</v>
      </c>
      <c r="P21" s="137">
        <f>IF(SER_hh_tes!P21=0,"",SER_hh_tes!P21/SER_hh_fec!P21)</f>
        <v>0.59334831099850738</v>
      </c>
      <c r="Q21" s="137">
        <f>IF(SER_hh_tes!Q21=0,"",SER_hh_tes!Q21/SER_hh_fec!Q21)</f>
        <v>0.59716439650803843</v>
      </c>
      <c r="R21" s="137">
        <f>IF(SER_hh_tes!R21=0,"",SER_hh_tes!R21/SER_hh_fec!R21)</f>
        <v>0.61463730283348417</v>
      </c>
      <c r="S21" s="137">
        <f>IF(SER_hh_tes!S21=0,"",SER_hh_tes!S21/SER_hh_fec!S21)</f>
        <v>0.63819999667775495</v>
      </c>
      <c r="T21" s="137">
        <f>IF(SER_hh_tes!T21=0,"",SER_hh_tes!T21/SER_hh_fec!T21)</f>
        <v>0.65767215638848397</v>
      </c>
      <c r="U21" s="137">
        <f>IF(SER_hh_tes!U21=0,"",SER_hh_tes!U21/SER_hh_fec!U21)</f>
        <v>0.67191516012627606</v>
      </c>
      <c r="V21" s="137">
        <f>IF(SER_hh_tes!V21=0,"",SER_hh_tes!V21/SER_hh_fec!V21)</f>
        <v>0.67729675078803697</v>
      </c>
      <c r="W21" s="137">
        <f>IF(SER_hh_tes!W21=0,"",SER_hh_tes!W21/SER_hh_fec!W21)</f>
        <v>0.67834866662225612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0.51145570633956849</v>
      </c>
      <c r="C22" s="137">
        <f>IF(SER_hh_tes!C22=0,"",SER_hh_tes!C22/SER_hh_fec!C22)</f>
        <v>0.51222796556680195</v>
      </c>
      <c r="D22" s="137">
        <f>IF(SER_hh_tes!D22=0,"",SER_hh_tes!D22/SER_hh_fec!D22)</f>
        <v>0.51352939012692167</v>
      </c>
      <c r="E22" s="137">
        <f>IF(SER_hh_tes!E22=0,"",SER_hh_tes!E22/SER_hh_fec!E22)</f>
        <v>0.51510148332262395</v>
      </c>
      <c r="F22" s="137">
        <f>IF(SER_hh_tes!F22=0,"",SER_hh_tes!F22/SER_hh_fec!F22)</f>
        <v>0.51709063809110278</v>
      </c>
      <c r="G22" s="137">
        <f>IF(SER_hh_tes!G22=0,"",SER_hh_tes!G22/SER_hh_fec!G22)</f>
        <v>0.51947129175759699</v>
      </c>
      <c r="H22" s="137">
        <f>IF(SER_hh_tes!H22=0,"",SER_hh_tes!H22/SER_hh_fec!H22)</f>
        <v>0.52262191092055388</v>
      </c>
      <c r="I22" s="137">
        <f>IF(SER_hh_tes!I22=0,"",SER_hh_tes!I22/SER_hh_fec!I22)</f>
        <v>0.52625467340351861</v>
      </c>
      <c r="J22" s="137">
        <f>IF(SER_hh_tes!J22=0,"",SER_hh_tes!J22/SER_hh_fec!J22)</f>
        <v>0.53035231919530357</v>
      </c>
      <c r="K22" s="137">
        <f>IF(SER_hh_tes!K22=0,"",SER_hh_tes!K22/SER_hh_fec!K22)</f>
        <v>0.53469274212564788</v>
      </c>
      <c r="L22" s="137">
        <f>IF(SER_hh_tes!L22=0,"",SER_hh_tes!L22/SER_hh_fec!L22)</f>
        <v>0.5395175377006316</v>
      </c>
      <c r="M22" s="137">
        <f>IF(SER_hh_tes!M22=0,"",SER_hh_tes!M22/SER_hh_fec!M22)</f>
        <v>0.54492658271932104</v>
      </c>
      <c r="N22" s="137">
        <f>IF(SER_hh_tes!N22=0,"",SER_hh_tes!N22/SER_hh_fec!N22)</f>
        <v>0.55200564545083297</v>
      </c>
      <c r="O22" s="137">
        <f>IF(SER_hh_tes!O22=0,"",SER_hh_tes!O22/SER_hh_fec!O22)</f>
        <v>0.56034401709953618</v>
      </c>
      <c r="P22" s="137">
        <f>IF(SER_hh_tes!P22=0,"",SER_hh_tes!P22/SER_hh_fec!P22)</f>
        <v>0.5642772804042071</v>
      </c>
      <c r="Q22" s="137">
        <f>IF(SER_hh_tes!Q22=0,"",SER_hh_tes!Q22/SER_hh_fec!Q22)</f>
        <v>0.57162771633443032</v>
      </c>
      <c r="R22" s="137">
        <f>IF(SER_hh_tes!R22=0,"",SER_hh_tes!R22/SER_hh_fec!R22)</f>
        <v>0.5814058758680154</v>
      </c>
      <c r="S22" s="137">
        <f>IF(SER_hh_tes!S22=0,"",SER_hh_tes!S22/SER_hh_fec!S22)</f>
        <v>0.59493902598463277</v>
      </c>
      <c r="T22" s="137">
        <f>IF(SER_hh_tes!T22=0,"",SER_hh_tes!T22/SER_hh_fec!T22)</f>
        <v>0.60737998295451934</v>
      </c>
      <c r="U22" s="137">
        <f>IF(SER_hh_tes!U22=0,"",SER_hh_tes!U22/SER_hh_fec!U22)</f>
        <v>0.62366509306127016</v>
      </c>
      <c r="V22" s="137">
        <f>IF(SER_hh_tes!V22=0,"",SER_hh_tes!V22/SER_hh_fec!V22)</f>
        <v>0.63935637703725989</v>
      </c>
      <c r="W22" s="137">
        <f>IF(SER_hh_tes!W22=0,"",SER_hh_tes!W22/SER_hh_fec!W22)</f>
        <v>0.66026783476888007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0.52251546378335756</v>
      </c>
      <c r="C23" s="137">
        <f>IF(SER_hh_tes!C23=0,"",SER_hh_tes!C23/SER_hh_fec!C23)</f>
        <v>0.53136789116273242</v>
      </c>
      <c r="D23" s="137">
        <f>IF(SER_hh_tes!D23=0,"",SER_hh_tes!D23/SER_hh_fec!D23)</f>
        <v>0.54240991487083567</v>
      </c>
      <c r="E23" s="137">
        <f>IF(SER_hh_tes!E23=0,"",SER_hh_tes!E23/SER_hh_fec!E23)</f>
        <v>0.55225923021409895</v>
      </c>
      <c r="F23" s="137">
        <f>IF(SER_hh_tes!F23=0,"",SER_hh_tes!F23/SER_hh_fec!F23)</f>
        <v>0.55908988066523924</v>
      </c>
      <c r="G23" s="137">
        <f>IF(SER_hh_tes!G23=0,"",SER_hh_tes!G23/SER_hh_fec!G23)</f>
        <v>0.56543067720058726</v>
      </c>
      <c r="H23" s="137">
        <f>IF(SER_hh_tes!H23=0,"",SER_hh_tes!H23/SER_hh_fec!H23)</f>
        <v>0.5710417039096729</v>
      </c>
      <c r="I23" s="137">
        <f>IF(SER_hh_tes!I23=0,"",SER_hh_tes!I23/SER_hh_fec!I23)</f>
        <v>0.5771314270893857</v>
      </c>
      <c r="J23" s="137">
        <f>IF(SER_hh_tes!J23=0,"",SER_hh_tes!J23/SER_hh_fec!J23)</f>
        <v>0.58411817036661784</v>
      </c>
      <c r="K23" s="137">
        <f>IF(SER_hh_tes!K23=0,"",SER_hh_tes!K23/SER_hh_fec!K23)</f>
        <v>0.59138265548180224</v>
      </c>
      <c r="L23" s="137">
        <f>IF(SER_hh_tes!L23=0,"",SER_hh_tes!L23/SER_hh_fec!L23)</f>
        <v>0.59933338729548125</v>
      </c>
      <c r="M23" s="137">
        <f>IF(SER_hh_tes!M23=0,"",SER_hh_tes!M23/SER_hh_fec!M23)</f>
        <v>0.6068740000268672</v>
      </c>
      <c r="N23" s="137">
        <f>IF(SER_hh_tes!N23=0,"",SER_hh_tes!N23/SER_hh_fec!N23)</f>
        <v>0.61519234082304086</v>
      </c>
      <c r="O23" s="137">
        <f>IF(SER_hh_tes!O23=0,"",SER_hh_tes!O23/SER_hh_fec!O23)</f>
        <v>0.62420924505870778</v>
      </c>
      <c r="P23" s="137">
        <f>IF(SER_hh_tes!P23=0,"",SER_hh_tes!P23/SER_hh_fec!P23)</f>
        <v>0.63107032280738073</v>
      </c>
      <c r="Q23" s="137">
        <f>IF(SER_hh_tes!Q23=0,"",SER_hh_tes!Q23/SER_hh_fec!Q23)</f>
        <v>0.63803587654639893</v>
      </c>
      <c r="R23" s="137">
        <f>IF(SER_hh_tes!R23=0,"",SER_hh_tes!R23/SER_hh_fec!R23)</f>
        <v>0.64425593287612815</v>
      </c>
      <c r="S23" s="137">
        <f>IF(SER_hh_tes!S23=0,"",SER_hh_tes!S23/SER_hh_fec!S23)</f>
        <v>0.64923106161441735</v>
      </c>
      <c r="T23" s="137">
        <f>IF(SER_hh_tes!T23=0,"",SER_hh_tes!T23/SER_hh_fec!T23)</f>
        <v>0.65460595392257115</v>
      </c>
      <c r="U23" s="137">
        <f>IF(SER_hh_tes!U23=0,"",SER_hh_tes!U23/SER_hh_fec!U23)</f>
        <v>0.66011910917542804</v>
      </c>
      <c r="V23" s="137">
        <f>IF(SER_hh_tes!V23=0,"",SER_hh_tes!V23/SER_hh_fec!V23)</f>
        <v>0.67186473981092776</v>
      </c>
      <c r="W23" s="137">
        <f>IF(SER_hh_tes!W23=0,"",SER_hh_tes!W23/SER_hh_fec!W23)</f>
        <v>0.68893661026916464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0.45984049821076156</v>
      </c>
      <c r="C24" s="137">
        <f>IF(SER_hh_tes!C24=0,"",SER_hh_tes!C24/SER_hh_fec!C24)</f>
        <v>0.46459682281588616</v>
      </c>
      <c r="D24" s="137">
        <f>IF(SER_hh_tes!D24=0,"",SER_hh_tes!D24/SER_hh_fec!D24)</f>
        <v>0.47050723812238687</v>
      </c>
      <c r="E24" s="137">
        <f>IF(SER_hh_tes!E24=0,"",SER_hh_tes!E24/SER_hh_fec!E24)</f>
        <v>0.47702998332508717</v>
      </c>
      <c r="F24" s="137">
        <f>IF(SER_hh_tes!F24=0,"",SER_hh_tes!F24/SER_hh_fec!F24)</f>
        <v>0.48739672837626485</v>
      </c>
      <c r="G24" s="137">
        <f>IF(SER_hh_tes!G24=0,"",SER_hh_tes!G24/SER_hh_fec!G24)</f>
        <v>0.5044101147634914</v>
      </c>
      <c r="H24" s="137">
        <f>IF(SER_hh_tes!H24=0,"",SER_hh_tes!H24/SER_hh_fec!H24)</f>
        <v>0.52796285708635238</v>
      </c>
      <c r="I24" s="137">
        <f>IF(SER_hh_tes!I24=0,"",SER_hh_tes!I24/SER_hh_fec!I24)</f>
        <v>0.55310822565998219</v>
      </c>
      <c r="J24" s="137">
        <f>IF(SER_hh_tes!J24=0,"",SER_hh_tes!J24/SER_hh_fec!J24)</f>
        <v>0.57535409812924809</v>
      </c>
      <c r="K24" s="137">
        <f>IF(SER_hh_tes!K24=0,"",SER_hh_tes!K24/SER_hh_fec!K24)</f>
        <v>0.59496956666755096</v>
      </c>
      <c r="L24" s="137">
        <f>IF(SER_hh_tes!L24=0,"",SER_hh_tes!L24/SER_hh_fec!L24)</f>
        <v>0.61353402150584457</v>
      </c>
      <c r="M24" s="137">
        <f>IF(SER_hh_tes!M24=0,"",SER_hh_tes!M24/SER_hh_fec!M24)</f>
        <v>0.63239193487910828</v>
      </c>
      <c r="N24" s="137">
        <f>IF(SER_hh_tes!N24=0,"",SER_hh_tes!N24/SER_hh_fec!N24)</f>
        <v>0.65203085253904236</v>
      </c>
      <c r="O24" s="137">
        <f>IF(SER_hh_tes!O24=0,"",SER_hh_tes!O24/SER_hh_fec!O24)</f>
        <v>0.66940791211518524</v>
      </c>
      <c r="P24" s="137">
        <f>IF(SER_hh_tes!P24=0,"",SER_hh_tes!P24/SER_hh_fec!P24)</f>
        <v>0.67476134306535407</v>
      </c>
      <c r="Q24" s="137">
        <f>IF(SER_hh_tes!Q24=0,"",SER_hh_tes!Q24/SER_hh_fec!Q24)</f>
        <v>0.68245612420041157</v>
      </c>
      <c r="R24" s="137">
        <f>IF(SER_hh_tes!R24=0,"",SER_hh_tes!R24/SER_hh_fec!R24)</f>
        <v>0.69154621255674487</v>
      </c>
      <c r="S24" s="137">
        <f>IF(SER_hh_tes!S24=0,"",SER_hh_tes!S24/SER_hh_fec!S24)</f>
        <v>0.70050122759050526</v>
      </c>
      <c r="T24" s="137">
        <f>IF(SER_hh_tes!T24=0,"",SER_hh_tes!T24/SER_hh_fec!T24)</f>
        <v>0.70976378303728493</v>
      </c>
      <c r="U24" s="137">
        <f>IF(SER_hh_tes!U24=0,"",SER_hh_tes!U24/SER_hh_fec!U24)</f>
        <v>0.72351597552871205</v>
      </c>
      <c r="V24" s="137">
        <f>IF(SER_hh_tes!V24=0,"",SER_hh_tes!V24/SER_hh_fec!V24)</f>
        <v>0.74172611690087864</v>
      </c>
      <c r="W24" s="137">
        <f>IF(SER_hh_tes!W24=0,"",SER_hh_tes!W24/SER_hh_fec!W24)</f>
        <v>0.7569964860096825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0.7821465066500507</v>
      </c>
      <c r="C25" s="137">
        <f>IF(SER_hh_tes!C25=0,"",SER_hh_tes!C25/SER_hh_fec!C25)</f>
        <v>0.78469861551661746</v>
      </c>
      <c r="D25" s="137">
        <f>IF(SER_hh_tes!D25=0,"",SER_hh_tes!D25/SER_hh_fec!D25)</f>
        <v>0.78809295881620223</v>
      </c>
      <c r="E25" s="137">
        <f>IF(SER_hh_tes!E25=0,"",SER_hh_tes!E25/SER_hh_fec!E25)</f>
        <v>0.79196288176876573</v>
      </c>
      <c r="F25" s="137">
        <f>IF(SER_hh_tes!F25=0,"",SER_hh_tes!F25/SER_hh_fec!F25)</f>
        <v>0.79616753220091041</v>
      </c>
      <c r="G25" s="137">
        <f>IF(SER_hh_tes!G25=0,"",SER_hh_tes!G25/SER_hh_fec!G25)</f>
        <v>0.79957502002857728</v>
      </c>
      <c r="H25" s="137">
        <f>IF(SER_hh_tes!H25=0,"",SER_hh_tes!H25/SER_hh_fec!H25)</f>
        <v>0.80245802699895818</v>
      </c>
      <c r="I25" s="137">
        <f>IF(SER_hh_tes!I25=0,"",SER_hh_tes!I25/SER_hh_fec!I25)</f>
        <v>0.8050447372859566</v>
      </c>
      <c r="J25" s="137">
        <f>IF(SER_hh_tes!J25=0,"",SER_hh_tes!J25/SER_hh_fec!J25)</f>
        <v>0.80772575223992871</v>
      </c>
      <c r="K25" s="137">
        <f>IF(SER_hh_tes!K25=0,"",SER_hh_tes!K25/SER_hh_fec!K25)</f>
        <v>0.8104767209796867</v>
      </c>
      <c r="L25" s="137">
        <f>IF(SER_hh_tes!L25=0,"",SER_hh_tes!L25/SER_hh_fec!L25)</f>
        <v>0.81331749156882993</v>
      </c>
      <c r="M25" s="137">
        <f>IF(SER_hh_tes!M25=0,"",SER_hh_tes!M25/SER_hh_fec!M25)</f>
        <v>0.81647377077101813</v>
      </c>
      <c r="N25" s="137">
        <f>IF(SER_hh_tes!N25=0,"",SER_hh_tes!N25/SER_hh_fec!N25)</f>
        <v>0.82018280636716645</v>
      </c>
      <c r="O25" s="137">
        <f>IF(SER_hh_tes!O25=0,"",SER_hh_tes!O25/SER_hh_fec!O25)</f>
        <v>0.82403849606987722</v>
      </c>
      <c r="P25" s="137">
        <f>IF(SER_hh_tes!P25=0,"",SER_hh_tes!P25/SER_hh_fec!P25)</f>
        <v>0.82578046848477993</v>
      </c>
      <c r="Q25" s="137">
        <f>IF(SER_hh_tes!Q25=0,"",SER_hh_tes!Q25/SER_hh_fec!Q25)</f>
        <v>0.82926121054255642</v>
      </c>
      <c r="R25" s="137">
        <f>IF(SER_hh_tes!R25=0,"",SER_hh_tes!R25/SER_hh_fec!R25)</f>
        <v>0.8341786708099731</v>
      </c>
      <c r="S25" s="137">
        <f>IF(SER_hh_tes!S25=0,"",SER_hh_tes!S25/SER_hh_fec!S25)</f>
        <v>0.84000182592878336</v>
      </c>
      <c r="T25" s="137">
        <f>IF(SER_hh_tes!T25=0,"",SER_hh_tes!T25/SER_hh_fec!T25)</f>
        <v>0.84567283600022658</v>
      </c>
      <c r="U25" s="137">
        <f>IF(SER_hh_tes!U25=0,"",SER_hh_tes!U25/SER_hh_fec!U25)</f>
        <v>0.8508967001205473</v>
      </c>
      <c r="V25" s="137">
        <f>IF(SER_hh_tes!V25=0,"",SER_hh_tes!V25/SER_hh_fec!V25)</f>
        <v>0.85656116880259126</v>
      </c>
      <c r="W25" s="137">
        <f>IF(SER_hh_tes!W25=0,"",SER_hh_tes!W25/SER_hh_fec!W25)</f>
        <v>0.8616746189398472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0.64448340042920327</v>
      </c>
      <c r="C26" s="138">
        <f>IF(SER_hh_tes!C26=0,"",SER_hh_tes!C26/SER_hh_fec!C26)</f>
        <v>0.64514735680273394</v>
      </c>
      <c r="D26" s="138">
        <f>IF(SER_hh_tes!D26=0,"",SER_hh_tes!D26/SER_hh_fec!D26)</f>
        <v>0.64555928031778886</v>
      </c>
      <c r="E26" s="138">
        <f>IF(SER_hh_tes!E26=0,"",SER_hh_tes!E26/SER_hh_fec!E26)</f>
        <v>0.64680201611646637</v>
      </c>
      <c r="F26" s="138">
        <f>IF(SER_hh_tes!F26=0,"",SER_hh_tes!F26/SER_hh_fec!F26)</f>
        <v>0.64971086444991977</v>
      </c>
      <c r="G26" s="138">
        <f>IF(SER_hh_tes!G26=0,"",SER_hh_tes!G26/SER_hh_fec!G26)</f>
        <v>0.65343950031859488</v>
      </c>
      <c r="H26" s="138">
        <f>IF(SER_hh_tes!H26=0,"",SER_hh_tes!H26/SER_hh_fec!H26)</f>
        <v>0.65864505088303682</v>
      </c>
      <c r="I26" s="138">
        <f>IF(SER_hh_tes!I26=0,"",SER_hh_tes!I26/SER_hh_fec!I26)</f>
        <v>0.66393699399948525</v>
      </c>
      <c r="J26" s="138">
        <f>IF(SER_hh_tes!J26=0,"",SER_hh_tes!J26/SER_hh_fec!J26)</f>
        <v>0.66871809283760386</v>
      </c>
      <c r="K26" s="138">
        <f>IF(SER_hh_tes!K26=0,"",SER_hh_tes!K26/SER_hh_fec!K26)</f>
        <v>0.67333543062053347</v>
      </c>
      <c r="L26" s="138">
        <f>IF(SER_hh_tes!L26=0,"",SER_hh_tes!L26/SER_hh_fec!L26)</f>
        <v>0.67676442154674932</v>
      </c>
      <c r="M26" s="138">
        <f>IF(SER_hh_tes!M26=0,"",SER_hh_tes!M26/SER_hh_fec!M26)</f>
        <v>0.68268283476128266</v>
      </c>
      <c r="N26" s="138">
        <f>IF(SER_hh_tes!N26=0,"",SER_hh_tes!N26/SER_hh_fec!N26)</f>
        <v>0.68991390120144247</v>
      </c>
      <c r="O26" s="138">
        <f>IF(SER_hh_tes!O26=0,"",SER_hh_tes!O26/SER_hh_fec!O26)</f>
        <v>0.69758787125208288</v>
      </c>
      <c r="P26" s="138">
        <f>IF(SER_hh_tes!P26=0,"",SER_hh_tes!P26/SER_hh_fec!P26)</f>
        <v>0.70278574772247215</v>
      </c>
      <c r="Q26" s="138">
        <f>IF(SER_hh_tes!Q26=0,"",SER_hh_tes!Q26/SER_hh_fec!Q26)</f>
        <v>0.70852788490549179</v>
      </c>
      <c r="R26" s="138">
        <f>IF(SER_hh_tes!R26=0,"",SER_hh_tes!R26/SER_hh_fec!R26)</f>
        <v>0.7168904189348515</v>
      </c>
      <c r="S26" s="138">
        <f>IF(SER_hh_tes!S26=0,"",SER_hh_tes!S26/SER_hh_fec!S26)</f>
        <v>0.73120477924952842</v>
      </c>
      <c r="T26" s="138">
        <f>IF(SER_hh_tes!T26=0,"",SER_hh_tes!T26/SER_hh_fec!T26)</f>
        <v>0.74739224956187533</v>
      </c>
      <c r="U26" s="138">
        <f>IF(SER_hh_tes!U26=0,"",SER_hh_tes!U26/SER_hh_fec!U26)</f>
        <v>0.76487931272955667</v>
      </c>
      <c r="V26" s="138">
        <f>IF(SER_hh_tes!V26=0,"",SER_hh_tes!V26/SER_hh_fec!V26)</f>
        <v>0.78281330405371397</v>
      </c>
      <c r="W26" s="138">
        <f>IF(SER_hh_tes!W26=0,"",SER_hh_tes!W26/SER_hh_fec!W26)</f>
        <v>0.80111966445899829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0.72580683167996318</v>
      </c>
      <c r="C29" s="136">
        <f>IF(SER_hh_tes!C29=0,"",SER_hh_tes!C29/SER_hh_fec!C29)</f>
        <v>0.72145983902871791</v>
      </c>
      <c r="D29" s="136">
        <f>IF(SER_hh_tes!D29=0,"",SER_hh_tes!D29/SER_hh_fec!D29)</f>
        <v>0.72178828565677</v>
      </c>
      <c r="E29" s="136">
        <f>IF(SER_hh_tes!E29=0,"",SER_hh_tes!E29/SER_hh_fec!E29)</f>
        <v>0.71872803464285251</v>
      </c>
      <c r="F29" s="136">
        <f>IF(SER_hh_tes!F29=0,"",SER_hh_tes!F29/SER_hh_fec!F29)</f>
        <v>0.7205250541527749</v>
      </c>
      <c r="G29" s="136">
        <f>IF(SER_hh_tes!G29=0,"",SER_hh_tes!G29/SER_hh_fec!G29)</f>
        <v>0.7195253506371827</v>
      </c>
      <c r="H29" s="136">
        <f>IF(SER_hh_tes!H29=0,"",SER_hh_tes!H29/SER_hh_fec!H29)</f>
        <v>0.71981785276228827</v>
      </c>
      <c r="I29" s="136">
        <f>IF(SER_hh_tes!I29=0,"",SER_hh_tes!I29/SER_hh_fec!I29)</f>
        <v>0.72411491097868363</v>
      </c>
      <c r="J29" s="136">
        <f>IF(SER_hh_tes!J29=0,"",SER_hh_tes!J29/SER_hh_fec!J29)</f>
        <v>0.72951141864554481</v>
      </c>
      <c r="K29" s="136">
        <f>IF(SER_hh_tes!K29=0,"",SER_hh_tes!K29/SER_hh_fec!K29)</f>
        <v>0.7337312231468397</v>
      </c>
      <c r="L29" s="136">
        <f>IF(SER_hh_tes!L29=0,"",SER_hh_tes!L29/SER_hh_fec!L29)</f>
        <v>0.73729934409913933</v>
      </c>
      <c r="M29" s="136">
        <f>IF(SER_hh_tes!M29=0,"",SER_hh_tes!M29/SER_hh_fec!M29)</f>
        <v>0.73268424292794465</v>
      </c>
      <c r="N29" s="136">
        <f>IF(SER_hh_tes!N29=0,"",SER_hh_tes!N29/SER_hh_fec!N29)</f>
        <v>0.72840221408566741</v>
      </c>
      <c r="O29" s="136">
        <f>IF(SER_hh_tes!O29=0,"",SER_hh_tes!O29/SER_hh_fec!O29)</f>
        <v>0.72845004634031441</v>
      </c>
      <c r="P29" s="136">
        <f>IF(SER_hh_tes!P29=0,"",SER_hh_tes!P29/SER_hh_fec!P29)</f>
        <v>0.73172079023348602</v>
      </c>
      <c r="Q29" s="136">
        <f>IF(SER_hh_tes!Q29=0,"",SER_hh_tes!Q29/SER_hh_fec!Q29)</f>
        <v>0.73141142622422572</v>
      </c>
      <c r="R29" s="136">
        <f>IF(SER_hh_tes!R29=0,"",SER_hh_tes!R29/SER_hh_fec!R29)</f>
        <v>0.73679930967923601</v>
      </c>
      <c r="S29" s="136">
        <f>IF(SER_hh_tes!S29=0,"",SER_hh_tes!S29/SER_hh_fec!S29)</f>
        <v>0.74332187638306813</v>
      </c>
      <c r="T29" s="136">
        <f>IF(SER_hh_tes!T29=0,"",SER_hh_tes!T29/SER_hh_fec!T29)</f>
        <v>0.7517477858912327</v>
      </c>
      <c r="U29" s="136">
        <f>IF(SER_hh_tes!U29=0,"",SER_hh_tes!U29/SER_hh_fec!U29)</f>
        <v>0.75552038159604673</v>
      </c>
      <c r="V29" s="136">
        <f>IF(SER_hh_tes!V29=0,"",SER_hh_tes!V29/SER_hh_fec!V29)</f>
        <v>0.77080100048638889</v>
      </c>
      <c r="W29" s="136">
        <f>IF(SER_hh_tes!W29=0,"",SER_hh_tes!W29/SER_hh_fec!W29)</f>
        <v>0.7598241212140987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0.58421398887291631</v>
      </c>
      <c r="C30" s="137">
        <f>IF(SER_hh_tes!C30=0,"",SER_hh_tes!C30/SER_hh_fec!C30)</f>
        <v>0.58742456464484227</v>
      </c>
      <c r="D30" s="137">
        <f>IF(SER_hh_tes!D30=0,"",SER_hh_tes!D30/SER_hh_fec!D30)</f>
        <v>0.58916706231387117</v>
      </c>
      <c r="E30" s="137">
        <f>IF(SER_hh_tes!E30=0,"",SER_hh_tes!E30/SER_hh_fec!E30)</f>
        <v>0.59026568200740404</v>
      </c>
      <c r="F30" s="137">
        <f>IF(SER_hh_tes!F30=0,"",SER_hh_tes!F30/SER_hh_fec!F30)</f>
        <v>0.59085873757020591</v>
      </c>
      <c r="G30" s="137">
        <f>IF(SER_hh_tes!G30=0,"",SER_hh_tes!G30/SER_hh_fec!G30)</f>
        <v>0.5913609754503768</v>
      </c>
      <c r="H30" s="137">
        <f>IF(SER_hh_tes!H30=0,"",SER_hh_tes!H30/SER_hh_fec!H30)</f>
        <v>0.59177742296333413</v>
      </c>
      <c r="I30" s="137">
        <f>IF(SER_hh_tes!I30=0,"",SER_hh_tes!I30/SER_hh_fec!I30)</f>
        <v>0.59200557602803483</v>
      </c>
      <c r="J30" s="137">
        <f>IF(SER_hh_tes!J30=0,"",SER_hh_tes!J30/SER_hh_fec!J30)</f>
        <v>0.59219455229857798</v>
      </c>
      <c r="K30" s="137">
        <f>IF(SER_hh_tes!K30=0,"",SER_hh_tes!K30/SER_hh_fec!K30)</f>
        <v>0.59239007646903519</v>
      </c>
      <c r="L30" s="137">
        <f>IF(SER_hh_tes!L30=0,"",SER_hh_tes!L30/SER_hh_fec!L30)</f>
        <v>0.5925198385609739</v>
      </c>
      <c r="M30" s="137">
        <f>IF(SER_hh_tes!M30=0,"",SER_hh_tes!M30/SER_hh_fec!M30)</f>
        <v>0.59254923566054363</v>
      </c>
      <c r="N30" s="137">
        <f>IF(SER_hh_tes!N30=0,"",SER_hh_tes!N30/SER_hh_fec!N30)</f>
        <v>0.59301422610081667</v>
      </c>
      <c r="O30" s="137">
        <f>IF(SER_hh_tes!O30=0,"",SER_hh_tes!O30/SER_hh_fec!O30)</f>
        <v>0.59437583794100579</v>
      </c>
      <c r="P30" s="137">
        <f>IF(SER_hh_tes!P30=0,"",SER_hh_tes!P30/SER_hh_fec!P30)</f>
        <v>0.59559937175730771</v>
      </c>
      <c r="Q30" s="137">
        <f>IF(SER_hh_tes!Q30=0,"",SER_hh_tes!Q30/SER_hh_fec!Q30)</f>
        <v>0.59655774059167788</v>
      </c>
      <c r="R30" s="137">
        <f>IF(SER_hh_tes!R30=0,"",SER_hh_tes!R30/SER_hh_fec!R30)</f>
        <v>0.59747056323555292</v>
      </c>
      <c r="S30" s="137">
        <f>IF(SER_hh_tes!S30=0,"",SER_hh_tes!S30/SER_hh_fec!S30)</f>
        <v>0.59855791761700883</v>
      </c>
      <c r="T30" s="137">
        <f>IF(SER_hh_tes!T30=0,"",SER_hh_tes!T30/SER_hh_fec!T30)</f>
        <v>0.59925754878996318</v>
      </c>
      <c r="U30" s="137">
        <f>IF(SER_hh_tes!U30=0,"",SER_hh_tes!U30/SER_hh_fec!U30)</f>
        <v>0.59973941186512547</v>
      </c>
      <c r="V30" s="137">
        <f>IF(SER_hh_tes!V30=0,"",SER_hh_tes!V30/SER_hh_fec!V30)</f>
        <v>0.60007752715717122</v>
      </c>
      <c r="W30" s="137">
        <f>IF(SER_hh_tes!W30=0,"",SER_hh_tes!W30/SER_hh_fec!W30)</f>
        <v>0.60091264123099819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0.5872952122490056</v>
      </c>
      <c r="C31" s="137">
        <f>IF(SER_hh_tes!C31=0,"",SER_hh_tes!C31/SER_hh_fec!C31)</f>
        <v>0.58812108363505478</v>
      </c>
      <c r="D31" s="137">
        <f>IF(SER_hh_tes!D31=0,"",SER_hh_tes!D31/SER_hh_fec!D31)</f>
        <v>0.58904007533772473</v>
      </c>
      <c r="E31" s="137">
        <f>IF(SER_hh_tes!E31=0,"",SER_hh_tes!E31/SER_hh_fec!E31)</f>
        <v>0.59007672360236085</v>
      </c>
      <c r="F31" s="137">
        <f>IF(SER_hh_tes!F31=0,"",SER_hh_tes!F31/SER_hh_fec!F31)</f>
        <v>0.59122223659838202</v>
      </c>
      <c r="G31" s="137">
        <f>IF(SER_hh_tes!G31=0,"",SER_hh_tes!G31/SER_hh_fec!G31)</f>
        <v>0.59247273158444658</v>
      </c>
      <c r="H31" s="137">
        <f>IF(SER_hh_tes!H31=0,"",SER_hh_tes!H31/SER_hh_fec!H31)</f>
        <v>0.59369271472165752</v>
      </c>
      <c r="I31" s="137">
        <f>IF(SER_hh_tes!I31=0,"",SER_hh_tes!I31/SER_hh_fec!I31)</f>
        <v>0.59489423777037664</v>
      </c>
      <c r="J31" s="137">
        <f>IF(SER_hh_tes!J31=0,"",SER_hh_tes!J31/SER_hh_fec!J31)</f>
        <v>0.59614803084952106</v>
      </c>
      <c r="K31" s="137">
        <f>IF(SER_hh_tes!K31=0,"",SER_hh_tes!K31/SER_hh_fec!K31)</f>
        <v>0.59757179319325826</v>
      </c>
      <c r="L31" s="137">
        <f>IF(SER_hh_tes!L31=0,"",SER_hh_tes!L31/SER_hh_fec!L31)</f>
        <v>0.59868643621255879</v>
      </c>
      <c r="M31" s="137">
        <f>IF(SER_hh_tes!M31=0,"",SER_hh_tes!M31/SER_hh_fec!M31)</f>
        <v>0.59931109078098355</v>
      </c>
      <c r="N31" s="137">
        <f>IF(SER_hh_tes!N31=0,"",SER_hh_tes!N31/SER_hh_fec!N31)</f>
        <v>0.59991813725605647</v>
      </c>
      <c r="O31" s="137">
        <f>IF(SER_hh_tes!O31=0,"",SER_hh_tes!O31/SER_hh_fec!O31)</f>
        <v>0.60048726940080599</v>
      </c>
      <c r="P31" s="137">
        <f>IF(SER_hh_tes!P31=0,"",SER_hh_tes!P31/SER_hh_fec!P31)</f>
        <v>0.60092174569525747</v>
      </c>
      <c r="Q31" s="137">
        <f>IF(SER_hh_tes!Q31=0,"",SER_hh_tes!Q31/SER_hh_fec!Q31)</f>
        <v>0.60127720577712229</v>
      </c>
      <c r="R31" s="137">
        <f>IF(SER_hh_tes!R31=0,"",SER_hh_tes!R31/SER_hh_fec!R31)</f>
        <v>0.60175051779029121</v>
      </c>
      <c r="S31" s="137">
        <f>IF(SER_hh_tes!S31=0,"",SER_hh_tes!S31/SER_hh_fec!S31)</f>
        <v>0.60250649101031462</v>
      </c>
      <c r="T31" s="137">
        <f>IF(SER_hh_tes!T31=0,"",SER_hh_tes!T31/SER_hh_fec!T31)</f>
        <v>0.60355788732583304</v>
      </c>
      <c r="U31" s="137">
        <f>IF(SER_hh_tes!U31=0,"",SER_hh_tes!U31/SER_hh_fec!U31)</f>
        <v>0.60566889619560937</v>
      </c>
      <c r="V31" s="137">
        <f>IF(SER_hh_tes!V31=0,"",SER_hh_tes!V31/SER_hh_fec!V31)</f>
        <v>0.60823938373472253</v>
      </c>
      <c r="W31" s="137">
        <f>IF(SER_hh_tes!W31=0,"",SER_hh_tes!W31/SER_hh_fec!W31)</f>
        <v>0.61142577916542795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0.76621544016990084</v>
      </c>
      <c r="C33" s="150">
        <f>IF(SER_hh_tes!C33=0,"",SER_hh_tes!C33/SER_hh_fec!C33)</f>
        <v>0.76746890851845384</v>
      </c>
      <c r="D33" s="150">
        <f>IF(SER_hh_tes!D33=0,"",SER_hh_tes!D33/SER_hh_fec!D33)</f>
        <v>0.76891309274152997</v>
      </c>
      <c r="E33" s="150">
        <f>IF(SER_hh_tes!E33=0,"",SER_hh_tes!E33/SER_hh_fec!E33)</f>
        <v>0.77071490903752538</v>
      </c>
      <c r="F33" s="150">
        <f>IF(SER_hh_tes!F33=0,"",SER_hh_tes!F33/SER_hh_fec!F33)</f>
        <v>0.7728704618555301</v>
      </c>
      <c r="G33" s="150">
        <f>IF(SER_hh_tes!G33=0,"",SER_hh_tes!G33/SER_hh_fec!G33)</f>
        <v>0.77503579395951649</v>
      </c>
      <c r="H33" s="150">
        <f>IF(SER_hh_tes!H33=0,"",SER_hh_tes!H33/SER_hh_fec!H33)</f>
        <v>0.77759576271063358</v>
      </c>
      <c r="I33" s="150">
        <f>IF(SER_hh_tes!I33=0,"",SER_hh_tes!I33/SER_hh_fec!I33)</f>
        <v>0.78032661696429428</v>
      </c>
      <c r="J33" s="150">
        <f>IF(SER_hh_tes!J33=0,"",SER_hh_tes!J33/SER_hh_fec!J33)</f>
        <v>0.78312055639869571</v>
      </c>
      <c r="K33" s="150">
        <f>IF(SER_hh_tes!K33=0,"",SER_hh_tes!K33/SER_hh_fec!K33)</f>
        <v>0.78591052856806154</v>
      </c>
      <c r="L33" s="150">
        <f>IF(SER_hh_tes!L33=0,"",SER_hh_tes!L33/SER_hh_fec!L33)</f>
        <v>0.78769842936613177</v>
      </c>
      <c r="M33" s="150">
        <f>IF(SER_hh_tes!M33=0,"",SER_hh_tes!M33/SER_hh_fec!M33)</f>
        <v>0.78838717500093569</v>
      </c>
      <c r="N33" s="150">
        <f>IF(SER_hh_tes!N33=0,"",SER_hh_tes!N33/SER_hh_fec!N33)</f>
        <v>0.78941684760384057</v>
      </c>
      <c r="O33" s="150">
        <f>IF(SER_hh_tes!O33=0,"",SER_hh_tes!O33/SER_hh_fec!O33)</f>
        <v>0.79098978322537739</v>
      </c>
      <c r="P33" s="150">
        <f>IF(SER_hh_tes!P33=0,"",SER_hh_tes!P33/SER_hh_fec!P33)</f>
        <v>0.79354292971491458</v>
      </c>
      <c r="Q33" s="150">
        <f>IF(SER_hh_tes!Q33=0,"",SER_hh_tes!Q33/SER_hh_fec!Q33)</f>
        <v>0.79672660052039934</v>
      </c>
      <c r="R33" s="150">
        <f>IF(SER_hh_tes!R33=0,"",SER_hh_tes!R33/SER_hh_fec!R33)</f>
        <v>0.8012798320560891</v>
      </c>
      <c r="S33" s="150">
        <f>IF(SER_hh_tes!S33=0,"",SER_hh_tes!S33/SER_hh_fec!S33)</f>
        <v>0.80729198708677263</v>
      </c>
      <c r="T33" s="150">
        <f>IF(SER_hh_tes!T33=0,"",SER_hh_tes!T33/SER_hh_fec!T33)</f>
        <v>0.81483939369705238</v>
      </c>
      <c r="U33" s="150">
        <f>IF(SER_hh_tes!U33=0,"",SER_hh_tes!U33/SER_hh_fec!U33)</f>
        <v>0.82273247359531732</v>
      </c>
      <c r="V33" s="150">
        <f>IF(SER_hh_tes!V33=0,"",SER_hh_tes!V33/SER_hh_fec!V33)</f>
        <v>0.83088647946638905</v>
      </c>
      <c r="W33" s="150">
        <f>IF(SER_hh_tes!W33=0,"",SER_hh_tes!W33/SER_hh_fec!W33)</f>
        <v>0.83844309269840389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5564.9049011410652</v>
      </c>
      <c r="C3" s="126">
        <f t="shared" si="0"/>
        <v>6053.5794638810939</v>
      </c>
      <c r="D3" s="126">
        <f t="shared" si="0"/>
        <v>8033.7274994673744</v>
      </c>
      <c r="E3" s="126">
        <f t="shared" si="0"/>
        <v>8432.6680077526053</v>
      </c>
      <c r="F3" s="126">
        <f t="shared" si="0"/>
        <v>8196.7497572265438</v>
      </c>
      <c r="G3" s="126">
        <f t="shared" si="0"/>
        <v>7810.9536642045368</v>
      </c>
      <c r="H3" s="126">
        <f t="shared" si="0"/>
        <v>8711.4783252655725</v>
      </c>
      <c r="I3" s="126">
        <f t="shared" si="0"/>
        <v>8362.6883262225747</v>
      </c>
      <c r="J3" s="126">
        <f t="shared" si="0"/>
        <v>8934.4987620150459</v>
      </c>
      <c r="K3" s="126">
        <f t="shared" si="0"/>
        <v>9324.8304902917953</v>
      </c>
      <c r="L3" s="126">
        <f t="shared" si="0"/>
        <v>10591.386856389017</v>
      </c>
      <c r="M3" s="126">
        <f t="shared" si="0"/>
        <v>9725.4673728693415</v>
      </c>
      <c r="N3" s="126">
        <f t="shared" si="0"/>
        <v>9410.0359062527968</v>
      </c>
      <c r="O3" s="126">
        <f t="shared" si="0"/>
        <v>8678.864716562286</v>
      </c>
      <c r="P3" s="126">
        <f t="shared" si="0"/>
        <v>7762.6033160983206</v>
      </c>
      <c r="Q3" s="126">
        <f t="shared" si="0"/>
        <v>7905.1902130663711</v>
      </c>
      <c r="R3" s="126">
        <f t="shared" ref="R3:W3" si="1">SUM(R4,R16,R19,R29)</f>
        <v>8574.0191112363264</v>
      </c>
      <c r="S3" s="126">
        <f t="shared" si="1"/>
        <v>7432.5976440091117</v>
      </c>
      <c r="T3" s="126">
        <f t="shared" si="1"/>
        <v>6972.9088688224583</v>
      </c>
      <c r="U3" s="126">
        <f t="shared" si="1"/>
        <v>6381.9702451852827</v>
      </c>
      <c r="V3" s="126">
        <f t="shared" si="1"/>
        <v>5983.5275463986673</v>
      </c>
      <c r="W3" s="126">
        <f t="shared" si="1"/>
        <v>7692.333467810271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5025.1880325067505</v>
      </c>
      <c r="C4" s="131">
        <f t="shared" si="2"/>
        <v>5339.6984670157999</v>
      </c>
      <c r="D4" s="131">
        <f t="shared" si="2"/>
        <v>7197.1793225050342</v>
      </c>
      <c r="E4" s="131">
        <f t="shared" si="2"/>
        <v>7354.7181959059344</v>
      </c>
      <c r="F4" s="131">
        <f t="shared" si="2"/>
        <v>7122.4270062711576</v>
      </c>
      <c r="G4" s="131">
        <f t="shared" si="2"/>
        <v>6721.2598605633812</v>
      </c>
      <c r="H4" s="131">
        <f t="shared" si="2"/>
        <v>7544.5560326017585</v>
      </c>
      <c r="I4" s="131">
        <f t="shared" si="2"/>
        <v>7142.6072642384242</v>
      </c>
      <c r="J4" s="131">
        <f t="shared" si="2"/>
        <v>7695.6129670031896</v>
      </c>
      <c r="K4" s="131">
        <f t="shared" si="2"/>
        <v>8104.4828196619919</v>
      </c>
      <c r="L4" s="131">
        <f t="shared" si="2"/>
        <v>9338.3823425331357</v>
      </c>
      <c r="M4" s="131">
        <f t="shared" si="2"/>
        <v>8407.6895160380009</v>
      </c>
      <c r="N4" s="131">
        <f t="shared" si="2"/>
        <v>7991.8143969755811</v>
      </c>
      <c r="O4" s="131">
        <f t="shared" si="2"/>
        <v>7307.5353374873876</v>
      </c>
      <c r="P4" s="131">
        <f t="shared" si="2"/>
        <v>6380.5089298112944</v>
      </c>
      <c r="Q4" s="131">
        <f t="shared" si="2"/>
        <v>6497.1525991918606</v>
      </c>
      <c r="R4" s="131">
        <f t="shared" ref="R4:W4" si="3">SUM(R5:R15)</f>
        <v>7164.8180192298278</v>
      </c>
      <c r="S4" s="131">
        <f t="shared" si="3"/>
        <v>6159.7778590961389</v>
      </c>
      <c r="T4" s="131">
        <f t="shared" si="3"/>
        <v>5810.9878740638142</v>
      </c>
      <c r="U4" s="131">
        <f t="shared" si="3"/>
        <v>5262.8210478054498</v>
      </c>
      <c r="V4" s="131">
        <f t="shared" si="3"/>
        <v>5045.6774986121491</v>
      </c>
      <c r="W4" s="131">
        <f t="shared" si="3"/>
        <v>6489.8627059251885</v>
      </c>
      <c r="DA4" s="156" t="s">
        <v>233</v>
      </c>
    </row>
    <row r="5" spans="1:105" ht="12" customHeight="1" x14ac:dyDescent="0.25">
      <c r="A5" s="132" t="s">
        <v>29</v>
      </c>
      <c r="B5" s="133">
        <v>2151.5130253787629</v>
      </c>
      <c r="C5" s="133">
        <v>1604.3003475354069</v>
      </c>
      <c r="D5" s="133">
        <v>2818.9578077477822</v>
      </c>
      <c r="E5" s="133">
        <v>2807.2154797261846</v>
      </c>
      <c r="F5" s="133">
        <v>2636.1915870713874</v>
      </c>
      <c r="G5" s="133">
        <v>2571.258810796578</v>
      </c>
      <c r="H5" s="133">
        <v>2975.9368894859767</v>
      </c>
      <c r="I5" s="133">
        <v>2542.4143433592008</v>
      </c>
      <c r="J5" s="133">
        <v>2812.3386155816534</v>
      </c>
      <c r="K5" s="133">
        <v>3060.0584665696392</v>
      </c>
      <c r="L5" s="133">
        <v>3503.7547414421247</v>
      </c>
      <c r="M5" s="133">
        <v>3067.5248088295502</v>
      </c>
      <c r="N5" s="133">
        <v>3096.9394138596999</v>
      </c>
      <c r="O5" s="133">
        <v>2868.2312163675047</v>
      </c>
      <c r="P5" s="133">
        <v>2510.9098040787444</v>
      </c>
      <c r="Q5" s="133">
        <v>2419.9687399427098</v>
      </c>
      <c r="R5" s="133">
        <v>2528.5923520876945</v>
      </c>
      <c r="S5" s="133">
        <v>2517.905581768573</v>
      </c>
      <c r="T5" s="133">
        <v>2326.8801734910107</v>
      </c>
      <c r="U5" s="133">
        <v>1874.5140442943814</v>
      </c>
      <c r="V5" s="133">
        <v>1925.0111413000225</v>
      </c>
      <c r="W5" s="133">
        <v>2390.0321828761348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987.55618927991952</v>
      </c>
      <c r="C7" s="133">
        <v>1267.4039656391512</v>
      </c>
      <c r="D7" s="133">
        <v>1361.7831013353721</v>
      </c>
      <c r="E7" s="133">
        <v>1284.5875798763896</v>
      </c>
      <c r="F7" s="133">
        <v>1114.9920574997923</v>
      </c>
      <c r="G7" s="133">
        <v>889.55415229525795</v>
      </c>
      <c r="H7" s="133">
        <v>1626.0942588537173</v>
      </c>
      <c r="I7" s="133">
        <v>1586.7475072549382</v>
      </c>
      <c r="J7" s="133">
        <v>1578.5058983139661</v>
      </c>
      <c r="K7" s="133">
        <v>1500.4924404048872</v>
      </c>
      <c r="L7" s="133">
        <v>1909.9711026071507</v>
      </c>
      <c r="M7" s="133">
        <v>1771.9941038635177</v>
      </c>
      <c r="N7" s="133">
        <v>1233.3725992720545</v>
      </c>
      <c r="O7" s="133">
        <v>992.05871797250927</v>
      </c>
      <c r="P7" s="133">
        <v>961.02927097920826</v>
      </c>
      <c r="Q7" s="133">
        <v>947.45870920344464</v>
      </c>
      <c r="R7" s="133">
        <v>947.32783487473512</v>
      </c>
      <c r="S7" s="133">
        <v>981.42325456667027</v>
      </c>
      <c r="T7" s="133">
        <v>1033.5684257072264</v>
      </c>
      <c r="U7" s="133">
        <v>904.07709374123567</v>
      </c>
      <c r="V7" s="133">
        <v>922.74563771497787</v>
      </c>
      <c r="W7" s="133">
        <v>1030.2307743451915</v>
      </c>
      <c r="DA7" s="157" t="s">
        <v>359</v>
      </c>
    </row>
    <row r="8" spans="1:105" ht="12" customHeight="1" x14ac:dyDescent="0.25">
      <c r="A8" s="132" t="s">
        <v>73</v>
      </c>
      <c r="B8" s="133">
        <v>0.10667972342728252</v>
      </c>
      <c r="C8" s="133">
        <v>0.13063170924482265</v>
      </c>
      <c r="D8" s="133">
        <v>0.14509339784198516</v>
      </c>
      <c r="E8" s="133">
        <v>0.16388923270165848</v>
      </c>
      <c r="F8" s="133">
        <v>0.16535961337912425</v>
      </c>
      <c r="G8" s="133">
        <v>0.17277729657901314</v>
      </c>
      <c r="H8" s="133">
        <v>0.17518644330786551</v>
      </c>
      <c r="I8" s="133">
        <v>0.18578964541478329</v>
      </c>
      <c r="J8" s="133">
        <v>0.19461492397530572</v>
      </c>
      <c r="K8" s="133">
        <v>0.20659850816749403</v>
      </c>
      <c r="L8" s="133">
        <v>0.19568498452369951</v>
      </c>
      <c r="M8" s="133">
        <v>0.164543334629739</v>
      </c>
      <c r="N8" s="133">
        <v>0.17040237861735694</v>
      </c>
      <c r="O8" s="133">
        <v>0.15887838213855152</v>
      </c>
      <c r="P8" s="133">
        <v>0.20359254770392457</v>
      </c>
      <c r="Q8" s="133">
        <v>0.20563023226883384</v>
      </c>
      <c r="R8" s="133">
        <v>0.20759563443567644</v>
      </c>
      <c r="S8" s="133">
        <v>0.18674653756266138</v>
      </c>
      <c r="T8" s="133">
        <v>0.18138051772324087</v>
      </c>
      <c r="U8" s="133">
        <v>0.18814764103868978</v>
      </c>
      <c r="V8" s="133">
        <v>0.20526830889025782</v>
      </c>
      <c r="W8" s="133">
        <v>0.26136714534330441</v>
      </c>
      <c r="DA8" s="157" t="s">
        <v>360</v>
      </c>
    </row>
    <row r="9" spans="1:105" ht="12" customHeight="1" x14ac:dyDescent="0.25">
      <c r="A9" s="132" t="s">
        <v>78</v>
      </c>
      <c r="B9" s="133">
        <v>1882.6903230831224</v>
      </c>
      <c r="C9" s="133">
        <v>2455.4278635906853</v>
      </c>
      <c r="D9" s="133">
        <v>3002.6161520143605</v>
      </c>
      <c r="E9" s="133">
        <v>3253.1407494726404</v>
      </c>
      <c r="F9" s="133">
        <v>3370.8066588637948</v>
      </c>
      <c r="G9" s="133">
        <v>3257.2873356254986</v>
      </c>
      <c r="H9" s="133">
        <v>2942.3496978187563</v>
      </c>
      <c r="I9" s="133">
        <v>3013.2596239788704</v>
      </c>
      <c r="J9" s="133">
        <v>3299.9248994805885</v>
      </c>
      <c r="K9" s="133">
        <v>3527.8234630278289</v>
      </c>
      <c r="L9" s="133">
        <v>3921.0441602058841</v>
      </c>
      <c r="M9" s="133">
        <v>3562.3490696555591</v>
      </c>
      <c r="N9" s="133">
        <v>3656.7661509139107</v>
      </c>
      <c r="O9" s="133">
        <v>3391.222103906076</v>
      </c>
      <c r="P9" s="133">
        <v>2879.4288868475114</v>
      </c>
      <c r="Q9" s="133">
        <v>3104.3863779057447</v>
      </c>
      <c r="R9" s="133">
        <v>3646.4677850765215</v>
      </c>
      <c r="S9" s="133">
        <v>2629.8362626037565</v>
      </c>
      <c r="T9" s="133">
        <v>2423.09738865912</v>
      </c>
      <c r="U9" s="133">
        <v>2459.4175302951426</v>
      </c>
      <c r="V9" s="133">
        <v>2128.694230179497</v>
      </c>
      <c r="W9" s="133">
        <v>2984.6703095528478</v>
      </c>
      <c r="DA9" s="157" t="s">
        <v>361</v>
      </c>
    </row>
    <row r="10" spans="1:105" ht="12" customHeight="1" x14ac:dyDescent="0.25">
      <c r="A10" s="132" t="s">
        <v>128</v>
      </c>
      <c r="B10" s="133">
        <v>3.3218150415188674</v>
      </c>
      <c r="C10" s="133">
        <v>12.4356585413113</v>
      </c>
      <c r="D10" s="133">
        <v>13.677168009676745</v>
      </c>
      <c r="E10" s="133">
        <v>9.6104975980177123</v>
      </c>
      <c r="F10" s="133">
        <v>0.27134322280349826</v>
      </c>
      <c r="G10" s="133">
        <v>2.9867845494669676</v>
      </c>
      <c r="H10" s="133">
        <v>0</v>
      </c>
      <c r="I10" s="133">
        <v>0</v>
      </c>
      <c r="J10" s="133">
        <v>4.6489387030061744</v>
      </c>
      <c r="K10" s="133">
        <v>15.901851151468554</v>
      </c>
      <c r="L10" s="133">
        <v>3.4166532934524581</v>
      </c>
      <c r="M10" s="133">
        <v>5.6569903547447176</v>
      </c>
      <c r="N10" s="133">
        <v>4.5658305512989505</v>
      </c>
      <c r="O10" s="133">
        <v>55.864420859158798</v>
      </c>
      <c r="P10" s="133">
        <v>28.937375358125379</v>
      </c>
      <c r="Q10" s="133">
        <v>25.133141907692067</v>
      </c>
      <c r="R10" s="133">
        <v>42.222451556441449</v>
      </c>
      <c r="S10" s="133">
        <v>30.4260136195768</v>
      </c>
      <c r="T10" s="133">
        <v>27.260505688732888</v>
      </c>
      <c r="U10" s="133">
        <v>24.6242318336515</v>
      </c>
      <c r="V10" s="133">
        <v>69.021221108761296</v>
      </c>
      <c r="W10" s="133">
        <v>84.668072005671533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0.10286815743624028</v>
      </c>
      <c r="C16" s="131">
        <f t="shared" si="4"/>
        <v>0.11018113432969902</v>
      </c>
      <c r="D16" s="131">
        <f t="shared" si="4"/>
        <v>0.12883456713161703</v>
      </c>
      <c r="E16" s="131">
        <f t="shared" si="4"/>
        <v>0.1439878653573855</v>
      </c>
      <c r="F16" s="131">
        <f t="shared" si="4"/>
        <v>0.17704779576792226</v>
      </c>
      <c r="G16" s="131">
        <f t="shared" si="4"/>
        <v>0.21459843724848907</v>
      </c>
      <c r="H16" s="131">
        <f t="shared" si="4"/>
        <v>0.26276354268470659</v>
      </c>
      <c r="I16" s="131">
        <f t="shared" si="4"/>
        <v>0.31824920325041345</v>
      </c>
      <c r="J16" s="131">
        <f t="shared" si="4"/>
        <v>0.35520124974063666</v>
      </c>
      <c r="K16" s="131">
        <f t="shared" si="4"/>
        <v>0.40617258587665966</v>
      </c>
      <c r="L16" s="131">
        <f t="shared" si="4"/>
        <v>0.48830288473896055</v>
      </c>
      <c r="M16" s="131">
        <f t="shared" si="4"/>
        <v>0.50751378753345577</v>
      </c>
      <c r="N16" s="131">
        <f t="shared" si="4"/>
        <v>0.60847816998135773</v>
      </c>
      <c r="O16" s="131">
        <f t="shared" si="4"/>
        <v>0.74886803904234112</v>
      </c>
      <c r="P16" s="131">
        <f t="shared" si="4"/>
        <v>0.98492495866459484</v>
      </c>
      <c r="Q16" s="131">
        <f t="shared" si="4"/>
        <v>1.3639914253102858</v>
      </c>
      <c r="R16" s="131">
        <f t="shared" ref="R16:W16" si="5">SUM(R17:R18)</f>
        <v>1.7423222257432194</v>
      </c>
      <c r="S16" s="131">
        <f t="shared" si="5"/>
        <v>2.0784954913305169</v>
      </c>
      <c r="T16" s="131">
        <f t="shared" si="5"/>
        <v>2.3758146700600449</v>
      </c>
      <c r="U16" s="131">
        <f t="shared" si="5"/>
        <v>2.7561570254737209</v>
      </c>
      <c r="V16" s="131">
        <f t="shared" si="5"/>
        <v>2.3891821910248567</v>
      </c>
      <c r="W16" s="131">
        <f t="shared" si="5"/>
        <v>2.5820312778594428</v>
      </c>
      <c r="DA16" s="156" t="s">
        <v>234</v>
      </c>
    </row>
    <row r="17" spans="1:105" ht="12.95" customHeight="1" x14ac:dyDescent="0.25">
      <c r="A17" s="132" t="s">
        <v>73</v>
      </c>
      <c r="B17" s="133">
        <v>0.10286815743624028</v>
      </c>
      <c r="C17" s="133">
        <v>0.11018113432969902</v>
      </c>
      <c r="D17" s="133">
        <v>0.12883456713161703</v>
      </c>
      <c r="E17" s="133">
        <v>0.1439878653573855</v>
      </c>
      <c r="F17" s="133">
        <v>0.17704779576792226</v>
      </c>
      <c r="G17" s="133">
        <v>0.21459843724848907</v>
      </c>
      <c r="H17" s="133">
        <v>0.26276354268470659</v>
      </c>
      <c r="I17" s="133">
        <v>0.31824920325041345</v>
      </c>
      <c r="J17" s="133">
        <v>0.35520124974063666</v>
      </c>
      <c r="K17" s="133">
        <v>0.40617258587665966</v>
      </c>
      <c r="L17" s="133">
        <v>0.48830288473896055</v>
      </c>
      <c r="M17" s="133">
        <v>0.50751378753345577</v>
      </c>
      <c r="N17" s="133">
        <v>0.60847816998135773</v>
      </c>
      <c r="O17" s="133">
        <v>0.74886803904234112</v>
      </c>
      <c r="P17" s="133">
        <v>0.98492495866459484</v>
      </c>
      <c r="Q17" s="133">
        <v>1.3639914253102858</v>
      </c>
      <c r="R17" s="133">
        <v>1.7423222257432194</v>
      </c>
      <c r="S17" s="133">
        <v>2.0784954913305169</v>
      </c>
      <c r="T17" s="133">
        <v>2.3758146700600449</v>
      </c>
      <c r="U17" s="133">
        <v>2.7561570254737209</v>
      </c>
      <c r="V17" s="133">
        <v>2.3891821910248567</v>
      </c>
      <c r="W17" s="133">
        <v>2.5820312778594428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329.51520747233047</v>
      </c>
      <c r="C19" s="131">
        <f t="shared" si="6"/>
        <v>432.41358607216017</v>
      </c>
      <c r="D19" s="131">
        <f t="shared" si="6"/>
        <v>506.09911334948367</v>
      </c>
      <c r="E19" s="131">
        <f t="shared" si="6"/>
        <v>663.67123655591615</v>
      </c>
      <c r="F19" s="131">
        <f t="shared" si="6"/>
        <v>647.07264707787249</v>
      </c>
      <c r="G19" s="131">
        <f t="shared" si="6"/>
        <v>624.04519811909199</v>
      </c>
      <c r="H19" s="131">
        <f t="shared" si="6"/>
        <v>658.09397194493886</v>
      </c>
      <c r="I19" s="131">
        <f t="shared" si="6"/>
        <v>690.01900867311861</v>
      </c>
      <c r="J19" s="131">
        <f t="shared" si="6"/>
        <v>716.41028176861005</v>
      </c>
      <c r="K19" s="131">
        <f t="shared" si="6"/>
        <v>716.73840497070546</v>
      </c>
      <c r="L19" s="131">
        <f t="shared" si="6"/>
        <v>763.94391068184166</v>
      </c>
      <c r="M19" s="131">
        <f t="shared" si="6"/>
        <v>764.8713387194523</v>
      </c>
      <c r="N19" s="131">
        <f t="shared" si="6"/>
        <v>811.76012123115322</v>
      </c>
      <c r="O19" s="131">
        <f t="shared" si="6"/>
        <v>748.99058356563432</v>
      </c>
      <c r="P19" s="131">
        <f t="shared" si="6"/>
        <v>768.1052918380401</v>
      </c>
      <c r="Q19" s="131">
        <f t="shared" si="6"/>
        <v>763.94537063680343</v>
      </c>
      <c r="R19" s="131">
        <f t="shared" ref="R19:W19" si="7">SUM(R20:R27)</f>
        <v>782.37058389781328</v>
      </c>
      <c r="S19" s="131">
        <f t="shared" si="7"/>
        <v>677.43317143132174</v>
      </c>
      <c r="T19" s="131">
        <f t="shared" si="7"/>
        <v>588.05894680959659</v>
      </c>
      <c r="U19" s="131">
        <f t="shared" si="7"/>
        <v>520.60325782194934</v>
      </c>
      <c r="V19" s="131">
        <f t="shared" si="7"/>
        <v>456.40547675705386</v>
      </c>
      <c r="W19" s="131">
        <f t="shared" si="7"/>
        <v>554.94841116826058</v>
      </c>
      <c r="DA19" s="156" t="s">
        <v>235</v>
      </c>
    </row>
    <row r="20" spans="1:105" ht="12" customHeight="1" x14ac:dyDescent="0.25">
      <c r="A20" s="132" t="s">
        <v>29</v>
      </c>
      <c r="B20" s="133">
        <v>41.132836453108609</v>
      </c>
      <c r="C20" s="133">
        <v>84.63656862568746</v>
      </c>
      <c r="D20" s="133">
        <v>115.74418335492292</v>
      </c>
      <c r="E20" s="133">
        <v>122.52630389212341</v>
      </c>
      <c r="F20" s="133">
        <v>123.93298407515371</v>
      </c>
      <c r="G20" s="133">
        <v>118.7901857279597</v>
      </c>
      <c r="H20" s="133">
        <v>104.8779618595981</v>
      </c>
      <c r="I20" s="133">
        <v>128.07645846337482</v>
      </c>
      <c r="J20" s="133">
        <v>131.23164513740946</v>
      </c>
      <c r="K20" s="133">
        <v>135.98847186757914</v>
      </c>
      <c r="L20" s="133">
        <v>146.2339044115464</v>
      </c>
      <c r="M20" s="133">
        <v>148.10517799140516</v>
      </c>
      <c r="N20" s="133">
        <v>150.6359299366801</v>
      </c>
      <c r="O20" s="133">
        <v>155.7131332170965</v>
      </c>
      <c r="P20" s="133">
        <v>157.85881732963432</v>
      </c>
      <c r="Q20" s="133">
        <v>159.8337458576739</v>
      </c>
      <c r="R20" s="133">
        <v>176.81394500422871</v>
      </c>
      <c r="S20" s="133">
        <v>144.86240838794401</v>
      </c>
      <c r="T20" s="133">
        <v>102.03783469572691</v>
      </c>
      <c r="U20" s="133">
        <v>83.863852150002913</v>
      </c>
      <c r="V20" s="133">
        <v>95.991838005573626</v>
      </c>
      <c r="W20" s="133">
        <v>130.78654279015305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142.49574557319858</v>
      </c>
      <c r="C21" s="133">
        <v>175.58619565624321</v>
      </c>
      <c r="D21" s="133">
        <v>172.13591562871889</v>
      </c>
      <c r="E21" s="133">
        <v>265.592798531531</v>
      </c>
      <c r="F21" s="133">
        <v>228.90802916377726</v>
      </c>
      <c r="G21" s="133">
        <v>195.64284754119916</v>
      </c>
      <c r="H21" s="133">
        <v>218.86544150542898</v>
      </c>
      <c r="I21" s="133">
        <v>193.6227711540165</v>
      </c>
      <c r="J21" s="133">
        <v>180.80268113577003</v>
      </c>
      <c r="K21" s="133">
        <v>161.73543448341658</v>
      </c>
      <c r="L21" s="133">
        <v>155.61622122325039</v>
      </c>
      <c r="M21" s="133">
        <v>151.48911886440689</v>
      </c>
      <c r="N21" s="133">
        <v>196.85664733786993</v>
      </c>
      <c r="O21" s="133">
        <v>118.27581255480986</v>
      </c>
      <c r="P21" s="133">
        <v>133.69202597605405</v>
      </c>
      <c r="Q21" s="133">
        <v>121.08429128060253</v>
      </c>
      <c r="R21" s="133">
        <v>126.5465082160726</v>
      </c>
      <c r="S21" s="133">
        <v>126.43273109287125</v>
      </c>
      <c r="T21" s="133">
        <v>114.4112708600324</v>
      </c>
      <c r="U21" s="133">
        <v>125.89116178482017</v>
      </c>
      <c r="V21" s="133">
        <v>82.450698624372521</v>
      </c>
      <c r="W21" s="133">
        <v>76.45718561993182</v>
      </c>
      <c r="DA21" s="157" t="s">
        <v>371</v>
      </c>
    </row>
    <row r="22" spans="1:105" ht="12" customHeight="1" x14ac:dyDescent="0.25">
      <c r="A22" s="132" t="s">
        <v>168</v>
      </c>
      <c r="B22" s="133">
        <v>68.209659400080469</v>
      </c>
      <c r="C22" s="133">
        <v>68.80065292084852</v>
      </c>
      <c r="D22" s="133">
        <v>82.64039794462731</v>
      </c>
      <c r="E22" s="133">
        <v>87.962247363610473</v>
      </c>
      <c r="F22" s="133">
        <v>93.37875454020768</v>
      </c>
      <c r="G22" s="133">
        <v>91.826277344742024</v>
      </c>
      <c r="H22" s="133">
        <v>100.88037078628166</v>
      </c>
      <c r="I22" s="133">
        <v>111.55042238506134</v>
      </c>
      <c r="J22" s="133">
        <v>119.79203132603503</v>
      </c>
      <c r="K22" s="133">
        <v>123.02385815511263</v>
      </c>
      <c r="L22" s="133">
        <v>131.61832451284945</v>
      </c>
      <c r="M22" s="133">
        <v>130.55150661648244</v>
      </c>
      <c r="N22" s="133">
        <v>130.25276928794543</v>
      </c>
      <c r="O22" s="133">
        <v>130.92672274749043</v>
      </c>
      <c r="P22" s="133">
        <v>129.87081046079209</v>
      </c>
      <c r="Q22" s="133">
        <v>132.69707971655524</v>
      </c>
      <c r="R22" s="133">
        <v>129.64150584526382</v>
      </c>
      <c r="S22" s="133">
        <v>136.61112055332953</v>
      </c>
      <c r="T22" s="133">
        <v>128.07374013277297</v>
      </c>
      <c r="U22" s="133">
        <v>107.18474637876409</v>
      </c>
      <c r="V22" s="133">
        <v>105.54670152502159</v>
      </c>
      <c r="W22" s="133">
        <v>118.21917241480851</v>
      </c>
      <c r="DA22" s="157" t="s">
        <v>372</v>
      </c>
    </row>
    <row r="23" spans="1:105" ht="12" customHeight="1" x14ac:dyDescent="0.25">
      <c r="A23" s="132" t="s">
        <v>153</v>
      </c>
      <c r="B23" s="133">
        <v>77.57422949826703</v>
      </c>
      <c r="C23" s="133">
        <v>102.81271301069229</v>
      </c>
      <c r="D23" s="133">
        <v>134.81338058622183</v>
      </c>
      <c r="E23" s="133">
        <v>187.04842319237389</v>
      </c>
      <c r="F23" s="133">
        <v>200.83799372153732</v>
      </c>
      <c r="G23" s="133">
        <v>217.62672925465816</v>
      </c>
      <c r="H23" s="133">
        <v>233.47019779363012</v>
      </c>
      <c r="I23" s="133">
        <v>256.76935667066601</v>
      </c>
      <c r="J23" s="133">
        <v>284.09234073642318</v>
      </c>
      <c r="K23" s="133">
        <v>294.81702880149243</v>
      </c>
      <c r="L23" s="133">
        <v>330.24950137230542</v>
      </c>
      <c r="M23" s="133">
        <v>334.33535003351744</v>
      </c>
      <c r="N23" s="133">
        <v>333.64218036354396</v>
      </c>
      <c r="O23" s="133">
        <v>340.1056091677126</v>
      </c>
      <c r="P23" s="133">
        <v>344.23667113974631</v>
      </c>
      <c r="Q23" s="133">
        <v>348.15402830367128</v>
      </c>
      <c r="R23" s="133">
        <v>345.66431200428309</v>
      </c>
      <c r="S23" s="133">
        <v>266.8094781241586</v>
      </c>
      <c r="T23" s="133">
        <v>241.25311101407587</v>
      </c>
      <c r="U23" s="133">
        <v>201.46302800111587</v>
      </c>
      <c r="V23" s="133">
        <v>165.43557825777418</v>
      </c>
      <c r="W23" s="133">
        <v>220.44954300505358</v>
      </c>
      <c r="DA23" s="157" t="s">
        <v>373</v>
      </c>
    </row>
    <row r="24" spans="1:105" ht="12" customHeight="1" x14ac:dyDescent="0.25">
      <c r="A24" s="132" t="s">
        <v>128</v>
      </c>
      <c r="B24" s="133">
        <v>0.10273654767584135</v>
      </c>
      <c r="C24" s="133">
        <v>0.57745585868870375</v>
      </c>
      <c r="D24" s="133">
        <v>0.76523583499270009</v>
      </c>
      <c r="E24" s="133">
        <v>0.5414635762773703</v>
      </c>
      <c r="F24" s="133">
        <v>1.4885577196501817E-2</v>
      </c>
      <c r="G24" s="133">
        <v>0.1591582505330322</v>
      </c>
      <c r="H24" s="133">
        <v>0</v>
      </c>
      <c r="I24" s="133">
        <v>0</v>
      </c>
      <c r="J24" s="133">
        <v>0.49158343297237844</v>
      </c>
      <c r="K24" s="133">
        <v>1.1736116631046996</v>
      </c>
      <c r="L24" s="133">
        <v>0.22595916189001014</v>
      </c>
      <c r="M24" s="133">
        <v>0.39018521364038322</v>
      </c>
      <c r="N24" s="133">
        <v>0.37259430511375746</v>
      </c>
      <c r="O24" s="133">
        <v>3.9693058785248585</v>
      </c>
      <c r="P24" s="133">
        <v>2.4469669318133489</v>
      </c>
      <c r="Q24" s="133">
        <v>2.176225478300537</v>
      </c>
      <c r="R24" s="133">
        <v>3.7043128279649067</v>
      </c>
      <c r="S24" s="133">
        <v>2.7174332730184201</v>
      </c>
      <c r="T24" s="133">
        <v>2.2829901069884291</v>
      </c>
      <c r="U24" s="133">
        <v>2.2004695072463387</v>
      </c>
      <c r="V24" s="133">
        <v>6.9806603443119393</v>
      </c>
      <c r="W24" s="133">
        <v>9.0359673383136911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210.0987930045485</v>
      </c>
      <c r="C29" s="131">
        <f t="shared" si="8"/>
        <v>281.3572296588045</v>
      </c>
      <c r="D29" s="131">
        <f t="shared" si="8"/>
        <v>330.32022904572466</v>
      </c>
      <c r="E29" s="131">
        <f t="shared" si="8"/>
        <v>414.13458742539677</v>
      </c>
      <c r="F29" s="131">
        <f t="shared" si="8"/>
        <v>427.07305608174534</v>
      </c>
      <c r="G29" s="131">
        <f t="shared" si="8"/>
        <v>465.43400708481596</v>
      </c>
      <c r="H29" s="131">
        <f t="shared" si="8"/>
        <v>508.56555717619091</v>
      </c>
      <c r="I29" s="131">
        <f t="shared" si="8"/>
        <v>529.74380410778281</v>
      </c>
      <c r="J29" s="131">
        <f t="shared" si="8"/>
        <v>522.12031199350452</v>
      </c>
      <c r="K29" s="131">
        <f t="shared" si="8"/>
        <v>503.20309307322088</v>
      </c>
      <c r="L29" s="131">
        <f t="shared" si="8"/>
        <v>488.57230028930064</v>
      </c>
      <c r="M29" s="131">
        <f t="shared" si="8"/>
        <v>552.39900432435411</v>
      </c>
      <c r="N29" s="131">
        <f t="shared" si="8"/>
        <v>605.8529098760813</v>
      </c>
      <c r="O29" s="131">
        <f t="shared" si="8"/>
        <v>621.58992747022114</v>
      </c>
      <c r="P29" s="131">
        <f t="shared" si="8"/>
        <v>613.00416949032092</v>
      </c>
      <c r="Q29" s="131">
        <f t="shared" si="8"/>
        <v>642.7282518123975</v>
      </c>
      <c r="R29" s="131">
        <f t="shared" ref="R29:W29" si="9">SUM(R30:R33)</f>
        <v>625.08818588294207</v>
      </c>
      <c r="S29" s="131">
        <f t="shared" si="9"/>
        <v>593.30811799032017</v>
      </c>
      <c r="T29" s="131">
        <f t="shared" si="9"/>
        <v>571.4862332789869</v>
      </c>
      <c r="U29" s="131">
        <f t="shared" si="9"/>
        <v>595.7897825324103</v>
      </c>
      <c r="V29" s="131">
        <f t="shared" si="9"/>
        <v>479.05538883843923</v>
      </c>
      <c r="W29" s="131">
        <f t="shared" si="9"/>
        <v>644.94031943896289</v>
      </c>
      <c r="DA29" s="156" t="s">
        <v>236</v>
      </c>
    </row>
    <row r="30" spans="1:105" ht="12" customHeight="1" x14ac:dyDescent="0.25">
      <c r="A30" s="132" t="s">
        <v>52</v>
      </c>
      <c r="B30" s="133">
        <v>6.7356534668014332</v>
      </c>
      <c r="C30" s="133">
        <v>36.322509103756822</v>
      </c>
      <c r="D30" s="133">
        <v>45.742099611281205</v>
      </c>
      <c r="E30" s="133">
        <v>92.562877188469045</v>
      </c>
      <c r="F30" s="133">
        <v>96.416666076222697</v>
      </c>
      <c r="G30" s="133">
        <v>102.82017769880083</v>
      </c>
      <c r="H30" s="133">
        <v>121.38230277457103</v>
      </c>
      <c r="I30" s="133">
        <v>125.73261360598337</v>
      </c>
      <c r="J30" s="133">
        <v>108.70637838423002</v>
      </c>
      <c r="K30" s="133">
        <v>76.277815996583485</v>
      </c>
      <c r="L30" s="133">
        <v>59.176279736749535</v>
      </c>
      <c r="M30" s="133">
        <v>57.498081135593146</v>
      </c>
      <c r="N30" s="133">
        <v>58.572051702130253</v>
      </c>
      <c r="O30" s="133">
        <v>61.68533696519011</v>
      </c>
      <c r="P30" s="133">
        <v>54.977074983946117</v>
      </c>
      <c r="Q30" s="133">
        <v>67.584809679397509</v>
      </c>
      <c r="R30" s="133">
        <v>76.635390823927381</v>
      </c>
      <c r="S30" s="133">
        <v>81.001603147128819</v>
      </c>
      <c r="T30" s="133">
        <v>78.597040419967698</v>
      </c>
      <c r="U30" s="133">
        <v>92.082487815179775</v>
      </c>
      <c r="V30" s="133">
        <v>62.67932661562741</v>
      </c>
      <c r="W30" s="133">
        <v>59.965115340068195</v>
      </c>
      <c r="DA30" s="157" t="s">
        <v>378</v>
      </c>
    </row>
    <row r="31" spans="1:105" ht="12" customHeight="1" x14ac:dyDescent="0.25">
      <c r="A31" s="132" t="s">
        <v>153</v>
      </c>
      <c r="B31" s="133">
        <v>203.36313953774706</v>
      </c>
      <c r="C31" s="133">
        <v>245.0347205550477</v>
      </c>
      <c r="D31" s="133">
        <v>284.57812943444344</v>
      </c>
      <c r="E31" s="133">
        <v>321.57171023692774</v>
      </c>
      <c r="F31" s="133">
        <v>330.65639000552267</v>
      </c>
      <c r="G31" s="133">
        <v>362.61382938601514</v>
      </c>
      <c r="H31" s="133">
        <v>387.18325440161988</v>
      </c>
      <c r="I31" s="133">
        <v>404.01119050179938</v>
      </c>
      <c r="J31" s="133">
        <v>413.41393360927447</v>
      </c>
      <c r="K31" s="133">
        <v>426.92527707663737</v>
      </c>
      <c r="L31" s="133">
        <v>429.39602055255108</v>
      </c>
      <c r="M31" s="133">
        <v>494.900923188761</v>
      </c>
      <c r="N31" s="133">
        <v>547.28085817395106</v>
      </c>
      <c r="O31" s="133">
        <v>559.90459050503102</v>
      </c>
      <c r="P31" s="133">
        <v>558.02709450637485</v>
      </c>
      <c r="Q31" s="133">
        <v>575.14344213300001</v>
      </c>
      <c r="R31" s="133">
        <v>548.45279505901465</v>
      </c>
      <c r="S31" s="133">
        <v>512.30651484319139</v>
      </c>
      <c r="T31" s="133">
        <v>492.88919285901926</v>
      </c>
      <c r="U31" s="133">
        <v>503.70729471723047</v>
      </c>
      <c r="V31" s="133">
        <v>416.37606222281181</v>
      </c>
      <c r="W31" s="133">
        <v>584.97520409889466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139094.0307200361</v>
      </c>
      <c r="C3" s="126">
        <f>IF(SER_hh_fec!C3=0,0,11630*1000*SER_hh_fec!C3/SER_hh_num!C3)</f>
        <v>153202.97078736543</v>
      </c>
      <c r="D3" s="126">
        <f>IF(SER_hh_fec!D3=0,0,11630*1000*SER_hh_fec!D3/SER_hh_num!D3)</f>
        <v>176921.25405661992</v>
      </c>
      <c r="E3" s="126">
        <f>IF(SER_hh_fec!E3=0,0,11630*1000*SER_hh_fec!E3/SER_hh_num!E3)</f>
        <v>179828.71814641557</v>
      </c>
      <c r="F3" s="126">
        <f>IF(SER_hh_fec!F3=0,0,11630*1000*SER_hh_fec!F3/SER_hh_num!F3)</f>
        <v>186582.56021047596</v>
      </c>
      <c r="G3" s="126">
        <f>IF(SER_hh_fec!G3=0,0,11630*1000*SER_hh_fec!G3/SER_hh_num!G3)</f>
        <v>179707.89988469036</v>
      </c>
      <c r="H3" s="126">
        <f>IF(SER_hh_fec!H3=0,0,11630*1000*SER_hh_fec!H3/SER_hh_num!H3)</f>
        <v>194260.0988358504</v>
      </c>
      <c r="I3" s="126">
        <f>IF(SER_hh_fec!I3=0,0,11630*1000*SER_hh_fec!I3/SER_hh_num!I3)</f>
        <v>172770.93819210498</v>
      </c>
      <c r="J3" s="126">
        <f>IF(SER_hh_fec!J3=0,0,11630*1000*SER_hh_fec!J3/SER_hh_num!J3)</f>
        <v>190212.03809467191</v>
      </c>
      <c r="K3" s="126">
        <f>IF(SER_hh_fec!K3=0,0,11630*1000*SER_hh_fec!K3/SER_hh_num!K3)</f>
        <v>184334.06540034467</v>
      </c>
      <c r="L3" s="126">
        <f>IF(SER_hh_fec!L3=0,0,11630*1000*SER_hh_fec!L3/SER_hh_num!L3)</f>
        <v>206559.34664983486</v>
      </c>
      <c r="M3" s="126">
        <f>IF(SER_hh_fec!M3=0,0,11630*1000*SER_hh_fec!M3/SER_hh_num!M3)</f>
        <v>187952.6301231882</v>
      </c>
      <c r="N3" s="126">
        <f>IF(SER_hh_fec!N3=0,0,11630*1000*SER_hh_fec!N3/SER_hh_num!N3)</f>
        <v>180778.47650636977</v>
      </c>
      <c r="O3" s="126">
        <f>IF(SER_hh_fec!O3=0,0,11630*1000*SER_hh_fec!O3/SER_hh_num!O3)</f>
        <v>170662.8154939262</v>
      </c>
      <c r="P3" s="126">
        <f>IF(SER_hh_fec!P3=0,0,11630*1000*SER_hh_fec!P3/SER_hh_num!P3)</f>
        <v>156631.29581923856</v>
      </c>
      <c r="Q3" s="126">
        <f>IF(SER_hh_fec!Q3=0,0,11630*1000*SER_hh_fec!Q3/SER_hh_num!Q3)</f>
        <v>154191.49770343013</v>
      </c>
      <c r="R3" s="126">
        <f>IF(SER_hh_fec!R3=0,0,11630*1000*SER_hh_fec!R3/SER_hh_num!R3)</f>
        <v>168235.28458524166</v>
      </c>
      <c r="S3" s="126">
        <f>IF(SER_hh_fec!S3=0,0,11630*1000*SER_hh_fec!S3/SER_hh_num!S3)</f>
        <v>152917.07845627665</v>
      </c>
      <c r="T3" s="126">
        <f>IF(SER_hh_fec!T3=0,0,11630*1000*SER_hh_fec!T3/SER_hh_num!T3)</f>
        <v>147197.57676776472</v>
      </c>
      <c r="U3" s="126">
        <f>IF(SER_hh_fec!U3=0,0,11630*1000*SER_hh_fec!U3/SER_hh_num!U3)</f>
        <v>142676.73418606425</v>
      </c>
      <c r="V3" s="126">
        <f>IF(SER_hh_fec!V3=0,0,11630*1000*SER_hh_fec!V3/SER_hh_num!V3)</f>
        <v>135548.61851309545</v>
      </c>
      <c r="W3" s="126">
        <f>IF(SER_hh_fec!W3=0,0,11630*1000*SER_hh_fec!W3/SER_hh_num!W3)</f>
        <v>152127.68389005304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110779.92151127619</v>
      </c>
      <c r="C4" s="131">
        <f>IF(SER_hh_fec!C4=0,0,11630*1000*SER_hh_fec!C4/SER_hh_num!C4)</f>
        <v>121140.56790705516</v>
      </c>
      <c r="D4" s="131">
        <f>IF(SER_hh_fec!D4=0,0,11630*1000*SER_hh_fec!D4/SER_hh_num!D4)</f>
        <v>139604.31522819362</v>
      </c>
      <c r="E4" s="131">
        <f>IF(SER_hh_fec!E4=0,0,11630*1000*SER_hh_fec!E4/SER_hh_num!E4)</f>
        <v>139099.96660686267</v>
      </c>
      <c r="F4" s="131">
        <f>IF(SER_hh_fec!F4=0,0,11630*1000*SER_hh_fec!F4/SER_hh_num!F4)</f>
        <v>144645.92811963928</v>
      </c>
      <c r="G4" s="131">
        <f>IF(SER_hh_fec!G4=0,0,11630*1000*SER_hh_fec!G4/SER_hh_num!G4)</f>
        <v>137386.55704467918</v>
      </c>
      <c r="H4" s="131">
        <f>IF(SER_hh_fec!H4=0,0,11630*1000*SER_hh_fec!H4/SER_hh_num!H4)</f>
        <v>150494.09101574231</v>
      </c>
      <c r="I4" s="131">
        <f>IF(SER_hh_fec!I4=0,0,11630*1000*SER_hh_fec!I4/SER_hh_num!I4)</f>
        <v>127065.82678615068</v>
      </c>
      <c r="J4" s="131">
        <f>IF(SER_hh_fec!J4=0,0,11630*1000*SER_hh_fec!J4/SER_hh_num!J4)</f>
        <v>143779.61031951508</v>
      </c>
      <c r="K4" s="131">
        <f>IF(SER_hh_fec!K4=0,0,11630*1000*SER_hh_fec!K4/SER_hh_num!K4)</f>
        <v>138542.37318941916</v>
      </c>
      <c r="L4" s="131">
        <f>IF(SER_hh_fec!L4=0,0,11630*1000*SER_hh_fec!L4/SER_hh_num!L4)</f>
        <v>160229.3097214076</v>
      </c>
      <c r="M4" s="131">
        <f>IF(SER_hh_fec!M4=0,0,11630*1000*SER_hh_fec!M4/SER_hh_num!M4)</f>
        <v>141818.46328031691</v>
      </c>
      <c r="N4" s="131">
        <f>IF(SER_hh_fec!N4=0,0,11630*1000*SER_hh_fec!N4/SER_hh_num!N4)</f>
        <v>134757.00257246901</v>
      </c>
      <c r="O4" s="131">
        <f>IF(SER_hh_fec!O4=0,0,11630*1000*SER_hh_fec!O4/SER_hh_num!O4)</f>
        <v>124418.45172723962</v>
      </c>
      <c r="P4" s="131">
        <f>IF(SER_hh_fec!P4=0,0,11630*1000*SER_hh_fec!P4/SER_hh_num!P4)</f>
        <v>110842.87127271574</v>
      </c>
      <c r="Q4" s="131">
        <f>IF(SER_hh_fec!Q4=0,0,11630*1000*SER_hh_fec!Q4/SER_hh_num!Q4)</f>
        <v>108250.29081886142</v>
      </c>
      <c r="R4" s="131">
        <f>IF(SER_hh_fec!R4=0,0,11630*1000*SER_hh_fec!R4/SER_hh_num!R4)</f>
        <v>122592.90636251618</v>
      </c>
      <c r="S4" s="131">
        <f>IF(SER_hh_fec!S4=0,0,11630*1000*SER_hh_fec!S4/SER_hh_num!S4)</f>
        <v>108857.51936389974</v>
      </c>
      <c r="T4" s="131">
        <f>IF(SER_hh_fec!T4=0,0,11630*1000*SER_hh_fec!T4/SER_hh_num!T4)</f>
        <v>104085.67949421902</v>
      </c>
      <c r="U4" s="131">
        <f>IF(SER_hh_fec!U4=0,0,11630*1000*SER_hh_fec!U4/SER_hh_num!U4)</f>
        <v>100261.63603655252</v>
      </c>
      <c r="V4" s="131">
        <f>IF(SER_hh_fec!V4=0,0,11630*1000*SER_hh_fec!V4/SER_hh_num!V4)</f>
        <v>96783.040453500231</v>
      </c>
      <c r="W4" s="131">
        <f>IF(SER_hh_fec!W4=0,0,11630*1000*SER_hh_fec!W4/SER_hh_num!W4)</f>
        <v>111622.50013895684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136271.53093861815</v>
      </c>
      <c r="C5" s="133">
        <f>IF(SER_hh_fec!C5=0,0,11630*1000*SER_hh_fec!C5/SER_hh_num!C5)</f>
        <v>100518.6164273075</v>
      </c>
      <c r="D5" s="133">
        <f>IF(SER_hh_fec!D5=0,0,11630*1000*SER_hh_fec!D5/SER_hh_num!D5)</f>
        <v>165426.38499958586</v>
      </c>
      <c r="E5" s="133">
        <f>IF(SER_hh_fec!E5=0,0,11630*1000*SER_hh_fec!E5/SER_hh_num!E5)</f>
        <v>159768.69224541704</v>
      </c>
      <c r="F5" s="133">
        <f>IF(SER_hh_fec!F5=0,0,11630*1000*SER_hh_fec!F5/SER_hh_num!F5)</f>
        <v>150464.59660856842</v>
      </c>
      <c r="G5" s="133">
        <f>IF(SER_hh_fec!G5=0,0,11630*1000*SER_hh_fec!G5/SER_hh_num!G5)</f>
        <v>147843.15477095102</v>
      </c>
      <c r="H5" s="133">
        <f>IF(SER_hh_fec!H5=0,0,11630*1000*SER_hh_fec!H5/SER_hh_num!H5)</f>
        <v>167913.01949932444</v>
      </c>
      <c r="I5" s="133">
        <f>IF(SER_hh_fec!I5=0,0,11630*1000*SER_hh_fec!I5/SER_hh_num!I5)</f>
        <v>138304.61057266948</v>
      </c>
      <c r="J5" s="133">
        <f>IF(SER_hh_fec!J5=0,0,11630*1000*SER_hh_fec!J5/SER_hh_num!J5)</f>
        <v>149850.72148295221</v>
      </c>
      <c r="K5" s="133">
        <f>IF(SER_hh_fec!K5=0,0,11630*1000*SER_hh_fec!K5/SER_hh_num!K5)</f>
        <v>155410.85489421475</v>
      </c>
      <c r="L5" s="133">
        <f>IF(SER_hh_fec!L5=0,0,11630*1000*SER_hh_fec!L5/SER_hh_num!L5)</f>
        <v>172756.18766083856</v>
      </c>
      <c r="M5" s="133">
        <f>IF(SER_hh_fec!M5=0,0,11630*1000*SER_hh_fec!M5/SER_hh_num!M5)</f>
        <v>148272.81863011071</v>
      </c>
      <c r="N5" s="133">
        <f>IF(SER_hh_fec!N5=0,0,11630*1000*SER_hh_fec!N5/SER_hh_num!N5)</f>
        <v>147556.17928864039</v>
      </c>
      <c r="O5" s="133">
        <f>IF(SER_hh_fec!O5=0,0,11630*1000*SER_hh_fec!O5/SER_hh_num!O5)</f>
        <v>135609.49149354961</v>
      </c>
      <c r="P5" s="133">
        <f>IF(SER_hh_fec!P5=0,0,11630*1000*SER_hh_fec!P5/SER_hh_num!P5)</f>
        <v>120606.33042366532</v>
      </c>
      <c r="Q5" s="133">
        <f>IF(SER_hh_fec!Q5=0,0,11630*1000*SER_hh_fec!Q5/SER_hh_num!Q5)</f>
        <v>117985.7431310629</v>
      </c>
      <c r="R5" s="133">
        <f>IF(SER_hh_fec!R5=0,0,11630*1000*SER_hh_fec!R5/SER_hh_num!R5)</f>
        <v>125929.60595545358</v>
      </c>
      <c r="S5" s="133">
        <f>IF(SER_hh_fec!S5=0,0,11630*1000*SER_hh_fec!S5/SER_hh_num!S5)</f>
        <v>125556.59382891875</v>
      </c>
      <c r="T5" s="133">
        <f>IF(SER_hh_fec!T5=0,0,11630*1000*SER_hh_fec!T5/SER_hh_num!T5)</f>
        <v>119863.68482322691</v>
      </c>
      <c r="U5" s="133">
        <f>IF(SER_hh_fec!U5=0,0,11630*1000*SER_hh_fec!U5/SER_hh_num!U5)</f>
        <v>100847.14003266917</v>
      </c>
      <c r="V5" s="133">
        <f>IF(SER_hh_fec!V5=0,0,11630*1000*SER_hh_fec!V5/SER_hh_num!V5)</f>
        <v>105352.29045741221</v>
      </c>
      <c r="W5" s="133">
        <f>IF(SER_hh_fec!W5=0,0,11630*1000*SER_hh_fec!W5/SER_hh_num!W5)</f>
        <v>131335.30859134294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132011.77899390098</v>
      </c>
      <c r="C7" s="133">
        <f>IF(SER_hh_fec!C7=0,0,11630*1000*SER_hh_fec!C7/SER_hh_num!C7)</f>
        <v>166793.32971653561</v>
      </c>
      <c r="D7" s="133">
        <f>IF(SER_hh_fec!D7=0,0,11630*1000*SER_hh_fec!D7/SER_hh_num!D7)</f>
        <v>180111.95235945281</v>
      </c>
      <c r="E7" s="133">
        <f>IF(SER_hh_fec!E7=0,0,11630*1000*SER_hh_fec!E7/SER_hh_num!E7)</f>
        <v>182703.53360702613</v>
      </c>
      <c r="F7" s="133">
        <f>IF(SER_hh_fec!F7=0,0,11630*1000*SER_hh_fec!F7/SER_hh_num!F7)</f>
        <v>171721.23661903443</v>
      </c>
      <c r="G7" s="133">
        <f>IF(SER_hh_fec!G7=0,0,11630*1000*SER_hh_fec!G7/SER_hh_num!G7)</f>
        <v>133321.19759678692</v>
      </c>
      <c r="H7" s="133">
        <f>IF(SER_hh_fec!H7=0,0,11630*1000*SER_hh_fec!H7/SER_hh_num!H7)</f>
        <v>204895.78760657998</v>
      </c>
      <c r="I7" s="133">
        <f>IF(SER_hh_fec!I7=0,0,11630*1000*SER_hh_fec!I7/SER_hh_num!I7)</f>
        <v>177613.06118185798</v>
      </c>
      <c r="J7" s="133">
        <f>IF(SER_hh_fec!J7=0,0,11630*1000*SER_hh_fec!J7/SER_hh_num!J7)</f>
        <v>172364.40727875044</v>
      </c>
      <c r="K7" s="133">
        <f>IF(SER_hh_fec!K7=0,0,11630*1000*SER_hh_fec!K7/SER_hh_num!K7)</f>
        <v>161507.78029593281</v>
      </c>
      <c r="L7" s="133">
        <f>IF(SER_hh_fec!L7=0,0,11630*1000*SER_hh_fec!L7/SER_hh_num!L7)</f>
        <v>204184.98630730528</v>
      </c>
      <c r="M7" s="133">
        <f>IF(SER_hh_fec!M7=0,0,11630*1000*SER_hh_fec!M7/SER_hh_num!M7)</f>
        <v>195050.17394391424</v>
      </c>
      <c r="N7" s="133">
        <f>IF(SER_hh_fec!N7=0,0,11630*1000*SER_hh_fec!N7/SER_hh_num!N7)</f>
        <v>154029.64748747787</v>
      </c>
      <c r="O7" s="133">
        <f>IF(SER_hh_fec!O7=0,0,11630*1000*SER_hh_fec!O7/SER_hh_num!O7)</f>
        <v>137542.30927052934</v>
      </c>
      <c r="P7" s="133">
        <f>IF(SER_hh_fec!P7=0,0,11630*1000*SER_hh_fec!P7/SER_hh_num!P7)</f>
        <v>139666.55584994861</v>
      </c>
      <c r="Q7" s="133">
        <f>IF(SER_hh_fec!Q7=0,0,11630*1000*SER_hh_fec!Q7/SER_hh_num!Q7)</f>
        <v>137528.40528378834</v>
      </c>
      <c r="R7" s="133">
        <f>IF(SER_hh_fec!R7=0,0,11630*1000*SER_hh_fec!R7/SER_hh_num!R7)</f>
        <v>136060.72893336668</v>
      </c>
      <c r="S7" s="133">
        <f>IF(SER_hh_fec!S7=0,0,11630*1000*SER_hh_fec!S7/SER_hh_num!S7)</f>
        <v>132858.53872374247</v>
      </c>
      <c r="T7" s="133">
        <f>IF(SER_hh_fec!T7=0,0,11630*1000*SER_hh_fec!T7/SER_hh_num!T7)</f>
        <v>132374.99159975632</v>
      </c>
      <c r="U7" s="133">
        <f>IF(SER_hh_fec!U7=0,0,11630*1000*SER_hh_fec!U7/SER_hh_num!U7)</f>
        <v>114276.5193246236</v>
      </c>
      <c r="V7" s="133">
        <f>IF(SER_hh_fec!V7=0,0,11630*1000*SER_hh_fec!V7/SER_hh_num!V7)</f>
        <v>114865.47968052961</v>
      </c>
      <c r="W7" s="133">
        <f>IF(SER_hh_fec!W7=0,0,11630*1000*SER_hh_fec!W7/SER_hh_num!W7)</f>
        <v>126241.24555951879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61881.843408096363</v>
      </c>
      <c r="C8" s="133">
        <f>IF(SER_hh_fec!C8=0,0,11630*1000*SER_hh_fec!C8/SER_hh_num!C8)</f>
        <v>73227.879166514729</v>
      </c>
      <c r="D8" s="133">
        <f>IF(SER_hh_fec!D8=0,0,11630*1000*SER_hh_fec!D8/SER_hh_num!D8)</f>
        <v>77811.639639309316</v>
      </c>
      <c r="E8" s="133">
        <f>IF(SER_hh_fec!E8=0,0,11630*1000*SER_hh_fec!E8/SER_hh_num!E8)</f>
        <v>82554.400062157132</v>
      </c>
      <c r="F8" s="133">
        <f>IF(SER_hh_fec!F8=0,0,11630*1000*SER_hh_fec!F8/SER_hh_num!F8)</f>
        <v>82001.553290608863</v>
      </c>
      <c r="G8" s="133">
        <f>IF(SER_hh_fec!G8=0,0,11630*1000*SER_hh_fec!G8/SER_hh_num!G8)</f>
        <v>80356.588446453767</v>
      </c>
      <c r="H8" s="133">
        <f>IF(SER_hh_fec!H8=0,0,11630*1000*SER_hh_fec!H8/SER_hh_num!H8)</f>
        <v>78321.079023235492</v>
      </c>
      <c r="I8" s="133">
        <f>IF(SER_hh_fec!I8=0,0,11630*1000*SER_hh_fec!I8/SER_hh_num!I8)</f>
        <v>74634.47382489116</v>
      </c>
      <c r="J8" s="133">
        <f>IF(SER_hh_fec!J8=0,0,11630*1000*SER_hh_fec!J8/SER_hh_num!J8)</f>
        <v>76949.843860019639</v>
      </c>
      <c r="K8" s="133">
        <f>IF(SER_hh_fec!K8=0,0,11630*1000*SER_hh_fec!K8/SER_hh_num!K8)</f>
        <v>79868.452542908475</v>
      </c>
      <c r="L8" s="133">
        <f>IF(SER_hh_fec!L8=0,0,11630*1000*SER_hh_fec!L8/SER_hh_num!L8)</f>
        <v>79616.984875010967</v>
      </c>
      <c r="M8" s="133">
        <f>IF(SER_hh_fec!M8=0,0,11630*1000*SER_hh_fec!M8/SER_hh_num!M8)</f>
        <v>67109.778323632418</v>
      </c>
      <c r="N8" s="133">
        <f>IF(SER_hh_fec!N8=0,0,11630*1000*SER_hh_fec!N8/SER_hh_num!N8)</f>
        <v>62933.255339876079</v>
      </c>
      <c r="O8" s="133">
        <f>IF(SER_hh_fec!O8=0,0,11630*1000*SER_hh_fec!O8/SER_hh_num!O8)</f>
        <v>49928.573318546165</v>
      </c>
      <c r="P8" s="133">
        <f>IF(SER_hh_fec!P8=0,0,11630*1000*SER_hh_fec!P8/SER_hh_num!P8)</f>
        <v>52773.725232103534</v>
      </c>
      <c r="Q8" s="133">
        <f>IF(SER_hh_fec!Q8=0,0,11630*1000*SER_hh_fec!Q8/SER_hh_num!Q8)</f>
        <v>48523.196599028088</v>
      </c>
      <c r="R8" s="133">
        <f>IF(SER_hh_fec!R8=0,0,11630*1000*SER_hh_fec!R8/SER_hh_num!R8)</f>
        <v>47809.573533310773</v>
      </c>
      <c r="S8" s="133">
        <f>IF(SER_hh_fec!S8=0,0,11630*1000*SER_hh_fec!S8/SER_hh_num!S8)</f>
        <v>42212.489623900867</v>
      </c>
      <c r="T8" s="133">
        <f>IF(SER_hh_fec!T8=0,0,11630*1000*SER_hh_fec!T8/SER_hh_num!T8)</f>
        <v>38877.214489721584</v>
      </c>
      <c r="U8" s="133">
        <f>IF(SER_hh_fec!U8=0,0,11630*1000*SER_hh_fec!U8/SER_hh_num!U8)</f>
        <v>36681.886604069696</v>
      </c>
      <c r="V8" s="133">
        <f>IF(SER_hh_fec!V8=0,0,11630*1000*SER_hh_fec!V8/SER_hh_num!V8)</f>
        <v>35951.463862043187</v>
      </c>
      <c r="W8" s="133">
        <f>IF(SER_hh_fec!W8=0,0,11630*1000*SER_hh_fec!W8/SER_hh_num!W8)</f>
        <v>41509.238257903286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118988.82668902479</v>
      </c>
      <c r="C9" s="133">
        <f>IF(SER_hh_fec!C9=0,0,11630*1000*SER_hh_fec!C9/SER_hh_num!C9)</f>
        <v>144537.64276741495</v>
      </c>
      <c r="D9" s="133">
        <f>IF(SER_hh_fec!D9=0,0,11630*1000*SER_hh_fec!D9/SER_hh_num!D9)</f>
        <v>159904.55573069589</v>
      </c>
      <c r="E9" s="133">
        <f>IF(SER_hh_fec!E9=0,0,11630*1000*SER_hh_fec!E9/SER_hh_num!E9)</f>
        <v>160096.11707576024</v>
      </c>
      <c r="F9" s="133">
        <f>IF(SER_hh_fec!F9=0,0,11630*1000*SER_hh_fec!F9/SER_hh_num!F9)</f>
        <v>163879.91043781335</v>
      </c>
      <c r="G9" s="133">
        <f>IF(SER_hh_fec!G9=0,0,11630*1000*SER_hh_fec!G9/SER_hh_num!G9)</f>
        <v>162384.25082931112</v>
      </c>
      <c r="H9" s="133">
        <f>IF(SER_hh_fec!H9=0,0,11630*1000*SER_hh_fec!H9/SER_hh_num!H9)</f>
        <v>151441.10736705948</v>
      </c>
      <c r="I9" s="133">
        <f>IF(SER_hh_fec!I9=0,0,11630*1000*SER_hh_fec!I9/SER_hh_num!I9)</f>
        <v>147994.86485882589</v>
      </c>
      <c r="J9" s="133">
        <f>IF(SER_hh_fec!J9=0,0,11630*1000*SER_hh_fec!J9/SER_hh_num!J9)</f>
        <v>151255.48869415239</v>
      </c>
      <c r="K9" s="133">
        <f>IF(SER_hh_fec!K9=0,0,11630*1000*SER_hh_fec!K9/SER_hh_num!K9)</f>
        <v>150485.41294106492</v>
      </c>
      <c r="L9" s="133">
        <f>IF(SER_hh_fec!L9=0,0,11630*1000*SER_hh_fec!L9/SER_hh_num!L9)</f>
        <v>172444.62582026937</v>
      </c>
      <c r="M9" s="133">
        <f>IF(SER_hh_fec!M9=0,0,11630*1000*SER_hh_fec!M9/SER_hh_num!M9)</f>
        <v>147469.37790450422</v>
      </c>
      <c r="N9" s="133">
        <f>IF(SER_hh_fec!N9=0,0,11630*1000*SER_hh_fec!N9/SER_hh_num!N9)</f>
        <v>145124.64105793758</v>
      </c>
      <c r="O9" s="133">
        <f>IF(SER_hh_fec!O9=0,0,11630*1000*SER_hh_fec!O9/SER_hh_num!O9)</f>
        <v>134730.89216782086</v>
      </c>
      <c r="P9" s="133">
        <f>IF(SER_hh_fec!P9=0,0,11630*1000*SER_hh_fec!P9/SER_hh_num!P9)</f>
        <v>110604.4558376604</v>
      </c>
      <c r="Q9" s="133">
        <f>IF(SER_hh_fec!Q9=0,0,11630*1000*SER_hh_fec!Q9/SER_hh_num!Q9)</f>
        <v>117627.44253241959</v>
      </c>
      <c r="R9" s="133">
        <f>IF(SER_hh_fec!R9=0,0,11630*1000*SER_hh_fec!R9/SER_hh_num!R9)</f>
        <v>140340.37813290884</v>
      </c>
      <c r="S9" s="133">
        <f>IF(SER_hh_fec!S9=0,0,11630*1000*SER_hh_fec!S9/SER_hh_num!S9)</f>
        <v>108213.69450984777</v>
      </c>
      <c r="T9" s="133">
        <f>IF(SER_hh_fec!T9=0,0,11630*1000*SER_hh_fec!T9/SER_hh_num!T9)</f>
        <v>105091.37179372049</v>
      </c>
      <c r="U9" s="133">
        <f>IF(SER_hh_fec!U9=0,0,11630*1000*SER_hh_fec!U9/SER_hh_num!U9)</f>
        <v>108889.28100268537</v>
      </c>
      <c r="V9" s="133">
        <f>IF(SER_hh_fec!V9=0,0,11630*1000*SER_hh_fec!V9/SER_hh_num!V9)</f>
        <v>95828.327942365591</v>
      </c>
      <c r="W9" s="133">
        <f>IF(SER_hh_fec!W9=0,0,11630*1000*SER_hh_fec!W9/SER_hh_num!W9)</f>
        <v>132341.65172270261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164710.94089379191</v>
      </c>
      <c r="C10" s="133">
        <f>IF(SER_hh_fec!C10=0,0,11630*1000*SER_hh_fec!C10/SER_hh_num!C10)</f>
        <v>140319.38317257434</v>
      </c>
      <c r="D10" s="133">
        <f>IF(SER_hh_fec!D10=0,0,11630*1000*SER_hh_fec!D10/SER_hh_num!D10)</f>
        <v>163334.31909579388</v>
      </c>
      <c r="E10" s="133">
        <f>IF(SER_hh_fec!E10=0,0,11630*1000*SER_hh_fec!E10/SER_hh_num!E10)</f>
        <v>180224.10794172704</v>
      </c>
      <c r="F10" s="133">
        <f>IF(SER_hh_fec!F10=0,0,11630*1000*SER_hh_fec!F10/SER_hh_num!F10)</f>
        <v>197371.21755265541</v>
      </c>
      <c r="G10" s="133">
        <f>IF(SER_hh_fec!G10=0,0,11630*1000*SER_hh_fec!G10/SER_hh_num!G10)</f>
        <v>208366.51858557595</v>
      </c>
      <c r="H10" s="133">
        <f>IF(SER_hh_fec!H10=0,0,11630*1000*SER_hh_fec!H10/SER_hh_num!H10)</f>
        <v>155597.60211700859</v>
      </c>
      <c r="I10" s="133">
        <f>IF(SER_hh_fec!I10=0,0,11630*1000*SER_hh_fec!I10/SER_hh_num!I10)</f>
        <v>184873.81289970755</v>
      </c>
      <c r="J10" s="133">
        <f>IF(SER_hh_fec!J10=0,0,11630*1000*SER_hh_fec!J10/SER_hh_num!J10)</f>
        <v>160564.73587796488</v>
      </c>
      <c r="K10" s="133">
        <f>IF(SER_hh_fec!K10=0,0,11630*1000*SER_hh_fec!K10/SER_hh_num!K10)</f>
        <v>196933.31643885662</v>
      </c>
      <c r="L10" s="133">
        <f>IF(SER_hh_fec!L10=0,0,11630*1000*SER_hh_fec!L10/SER_hh_num!L10)</f>
        <v>206069.91322020435</v>
      </c>
      <c r="M10" s="133">
        <f>IF(SER_hh_fec!M10=0,0,11630*1000*SER_hh_fec!M10/SER_hh_num!M10)</f>
        <v>184546.40534451359</v>
      </c>
      <c r="N10" s="133">
        <f>IF(SER_hh_fec!N10=0,0,11630*1000*SER_hh_fec!N10/SER_hh_num!N10)</f>
        <v>155657.05500802945</v>
      </c>
      <c r="O10" s="133">
        <f>IF(SER_hh_fec!O10=0,0,11630*1000*SER_hh_fec!O10/SER_hh_num!O10)</f>
        <v>166075.41516511061</v>
      </c>
      <c r="P10" s="133">
        <f>IF(SER_hh_fec!P10=0,0,11630*1000*SER_hh_fec!P10/SER_hh_num!P10)</f>
        <v>137783.51692903636</v>
      </c>
      <c r="Q10" s="133">
        <f>IF(SER_hh_fec!Q10=0,0,11630*1000*SER_hh_fec!Q10/SER_hh_num!Q10)</f>
        <v>139113.58479688139</v>
      </c>
      <c r="R10" s="133">
        <f>IF(SER_hh_fec!R10=0,0,11630*1000*SER_hh_fec!R10/SER_hh_num!R10)</f>
        <v>153329.85676224899</v>
      </c>
      <c r="S10" s="133">
        <f>IF(SER_hh_fec!S10=0,0,11630*1000*SER_hh_fec!S10/SER_hh_num!S10)</f>
        <v>148342.31418737309</v>
      </c>
      <c r="T10" s="133">
        <f>IF(SER_hh_fec!T10=0,0,11630*1000*SER_hh_fec!T10/SER_hh_num!T10)</f>
        <v>138106.69015820365</v>
      </c>
      <c r="U10" s="133">
        <f>IF(SER_hh_fec!U10=0,0,11630*1000*SER_hh_fec!U10/SER_hh_num!U10)</f>
        <v>130954.36937594754</v>
      </c>
      <c r="V10" s="133">
        <f>IF(SER_hh_fec!V10=0,0,11630*1000*SER_hh_fec!V10/SER_hh_num!V10)</f>
        <v>135857.47932805592</v>
      </c>
      <c r="W10" s="133">
        <f>IF(SER_hh_fec!W10=0,0,11630*1000*SER_hh_fec!W10/SER_hh_num!W10)</f>
        <v>151579.62029620324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93703.84956920566</v>
      </c>
      <c r="C11" s="133">
        <f>IF(SER_hh_fec!C11=0,0,11630*1000*SER_hh_fec!C11/SER_hh_num!C11)</f>
        <v>67613.405989281033</v>
      </c>
      <c r="D11" s="133">
        <f>IF(SER_hh_fec!D11=0,0,11630*1000*SER_hh_fec!D11/SER_hh_num!D11)</f>
        <v>111286.67816547125</v>
      </c>
      <c r="E11" s="133">
        <f>IF(SER_hh_fec!E11=0,0,11630*1000*SER_hh_fec!E11/SER_hh_num!E11)</f>
        <v>118081.54518113163</v>
      </c>
      <c r="F11" s="133">
        <f>IF(SER_hh_fec!F11=0,0,11630*1000*SER_hh_fec!F11/SER_hh_num!F11)</f>
        <v>102518.60065672519</v>
      </c>
      <c r="G11" s="133">
        <f>IF(SER_hh_fec!G11=0,0,11630*1000*SER_hh_fec!G11/SER_hh_num!G11)</f>
        <v>115731.54782626657</v>
      </c>
      <c r="H11" s="133">
        <f>IF(SER_hh_fec!H11=0,0,11630*1000*SER_hh_fec!H11/SER_hh_num!H11)</f>
        <v>118755.55658949711</v>
      </c>
      <c r="I11" s="133">
        <f>IF(SER_hh_fec!I11=0,0,11630*1000*SER_hh_fec!I11/SER_hh_num!I11)</f>
        <v>88146.498098165248</v>
      </c>
      <c r="J11" s="133">
        <f>IF(SER_hh_fec!J11=0,0,11630*1000*SER_hh_fec!J11/SER_hh_num!J11)</f>
        <v>123956.30791979568</v>
      </c>
      <c r="K11" s="133">
        <f>IF(SER_hh_fec!K11=0,0,11630*1000*SER_hh_fec!K11/SER_hh_num!K11)</f>
        <v>129082.66890885159</v>
      </c>
      <c r="L11" s="133">
        <f>IF(SER_hh_fec!L11=0,0,11630*1000*SER_hh_fec!L11/SER_hh_num!L11)</f>
        <v>117028.83658770937</v>
      </c>
      <c r="M11" s="133">
        <f>IF(SER_hh_fec!M11=0,0,11630*1000*SER_hh_fec!M11/SER_hh_num!M11)</f>
        <v>88357.739117940335</v>
      </c>
      <c r="N11" s="133">
        <f>IF(SER_hh_fec!N11=0,0,11630*1000*SER_hh_fec!N11/SER_hh_num!N11)</f>
        <v>101688.28446926181</v>
      </c>
      <c r="O11" s="133">
        <f>IF(SER_hh_fec!O11=0,0,11630*1000*SER_hh_fec!O11/SER_hh_num!O11)</f>
        <v>110380.64904078726</v>
      </c>
      <c r="P11" s="133">
        <f>IF(SER_hh_fec!P11=0,0,11630*1000*SER_hh_fec!P11/SER_hh_num!P11)</f>
        <v>103242.07330795852</v>
      </c>
      <c r="Q11" s="133">
        <f>IF(SER_hh_fec!Q11=0,0,11630*1000*SER_hh_fec!Q11/SER_hh_num!Q11)</f>
        <v>96254.793284452215</v>
      </c>
      <c r="R11" s="133">
        <f>IF(SER_hh_fec!R11=0,0,11630*1000*SER_hh_fec!R11/SER_hh_num!R11)</f>
        <v>93124.841087254463</v>
      </c>
      <c r="S11" s="133">
        <f>IF(SER_hh_fec!S11=0,0,11630*1000*SER_hh_fec!S11/SER_hh_num!S11)</f>
        <v>92013.88357875224</v>
      </c>
      <c r="T11" s="133">
        <f>IF(SER_hh_fec!T11=0,0,11630*1000*SER_hh_fec!T11/SER_hh_num!T11)</f>
        <v>90864.178686427142</v>
      </c>
      <c r="U11" s="133">
        <f>IF(SER_hh_fec!U11=0,0,11630*1000*SER_hh_fec!U11/SER_hh_num!U11)</f>
        <v>89967.635026636155</v>
      </c>
      <c r="V11" s="133">
        <f>IF(SER_hh_fec!V11=0,0,11630*1000*SER_hh_fec!V11/SER_hh_num!V11)</f>
        <v>87764.299113028144</v>
      </c>
      <c r="W11" s="133">
        <f>IF(SER_hh_fec!W11=0,0,11630*1000*SER_hh_fec!W11/SER_hh_num!W11)</f>
        <v>95568.107783013373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81360.380038349133</v>
      </c>
      <c r="C12" s="133">
        <f>IF(SER_hh_fec!C12=0,0,11630*1000*SER_hh_fec!C12/SER_hh_num!C12)</f>
        <v>90729.558755768638</v>
      </c>
      <c r="D12" s="133">
        <f>IF(SER_hh_fec!D12=0,0,11630*1000*SER_hh_fec!D12/SER_hh_num!D12)</f>
        <v>107440.19305577055</v>
      </c>
      <c r="E12" s="133">
        <f>IF(SER_hh_fec!E12=0,0,11630*1000*SER_hh_fec!E12/SER_hh_num!E12)</f>
        <v>92198.806309840817</v>
      </c>
      <c r="F12" s="133">
        <f>IF(SER_hh_fec!F12=0,0,11630*1000*SER_hh_fec!F12/SER_hh_num!F12)</f>
        <v>122524.6751054382</v>
      </c>
      <c r="G12" s="133">
        <f>IF(SER_hh_fec!G12=0,0,11630*1000*SER_hh_fec!G12/SER_hh_num!G12)</f>
        <v>105694.50541391382</v>
      </c>
      <c r="H12" s="133">
        <f>IF(SER_hh_fec!H12=0,0,11630*1000*SER_hh_fec!H12/SER_hh_num!H12)</f>
        <v>128289.84351022361</v>
      </c>
      <c r="I12" s="133">
        <f>IF(SER_hh_fec!I12=0,0,11630*1000*SER_hh_fec!I12/SER_hh_num!I12)</f>
        <v>86409.912280494507</v>
      </c>
      <c r="J12" s="133">
        <f>IF(SER_hh_fec!J12=0,0,11630*1000*SER_hh_fec!J12/SER_hh_num!J12)</f>
        <v>123572.30285564784</v>
      </c>
      <c r="K12" s="133">
        <f>IF(SER_hh_fec!K12=0,0,11630*1000*SER_hh_fec!K12/SER_hh_num!K12)</f>
        <v>116051.81283708291</v>
      </c>
      <c r="L12" s="133">
        <f>IF(SER_hh_fec!L12=0,0,11630*1000*SER_hh_fec!L12/SER_hh_num!L12)</f>
        <v>129162.02076736723</v>
      </c>
      <c r="M12" s="133">
        <f>IF(SER_hh_fec!M12=0,0,11630*1000*SER_hh_fec!M12/SER_hh_num!M12)</f>
        <v>110380.25081623357</v>
      </c>
      <c r="N12" s="133">
        <f>IF(SER_hh_fec!N12=0,0,11630*1000*SER_hh_fec!N12/SER_hh_num!N12)</f>
        <v>109246.38681497492</v>
      </c>
      <c r="O12" s="133">
        <f>IF(SER_hh_fec!O12=0,0,11630*1000*SER_hh_fec!O12/SER_hh_num!O12)</f>
        <v>111955.84986955431</v>
      </c>
      <c r="P12" s="133">
        <f>IF(SER_hh_fec!P12=0,0,11630*1000*SER_hh_fec!P12/SER_hh_num!P12)</f>
        <v>95851.276664280886</v>
      </c>
      <c r="Q12" s="133">
        <f>IF(SER_hh_fec!Q12=0,0,11630*1000*SER_hh_fec!Q12/SER_hh_num!Q12)</f>
        <v>86926.858208399717</v>
      </c>
      <c r="R12" s="133">
        <f>IF(SER_hh_fec!R12=0,0,11630*1000*SER_hh_fec!R12/SER_hh_num!R12)</f>
        <v>101690.02509566264</v>
      </c>
      <c r="S12" s="133">
        <f>IF(SER_hh_fec!S12=0,0,11630*1000*SER_hh_fec!S12/SER_hh_num!S12)</f>
        <v>101641.16984601646</v>
      </c>
      <c r="T12" s="133">
        <f>IF(SER_hh_fec!T12=0,0,11630*1000*SER_hh_fec!T12/SER_hh_num!T12)</f>
        <v>86256.391633594467</v>
      </c>
      <c r="U12" s="133">
        <f>IF(SER_hh_fec!U12=0,0,11630*1000*SER_hh_fec!U12/SER_hh_num!U12)</f>
        <v>90096.58546218877</v>
      </c>
      <c r="V12" s="133">
        <f>IF(SER_hh_fec!V12=0,0,11630*1000*SER_hh_fec!V12/SER_hh_num!V12)</f>
        <v>92299.620133004471</v>
      </c>
      <c r="W12" s="133">
        <f>IF(SER_hh_fec!W12=0,0,11630*1000*SER_hh_fec!W12/SER_hh_num!W12)</f>
        <v>83237.055415014082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44113.495094578037</v>
      </c>
      <c r="C13" s="133">
        <f>IF(SER_hh_fec!C13=0,0,11630*1000*SER_hh_fec!C13/SER_hh_num!C13)</f>
        <v>56699.428175874149</v>
      </c>
      <c r="D13" s="133">
        <f>IF(SER_hh_fec!D13=0,0,11630*1000*SER_hh_fec!D13/SER_hh_num!D13)</f>
        <v>51278.574870200384</v>
      </c>
      <c r="E13" s="133">
        <f>IF(SER_hh_fec!E13=0,0,11630*1000*SER_hh_fec!E13/SER_hh_num!E13)</f>
        <v>56447.6268805238</v>
      </c>
      <c r="F13" s="133">
        <f>IF(SER_hh_fec!F13=0,0,11630*1000*SER_hh_fec!F13/SER_hh_num!F13)</f>
        <v>50144.639371851481</v>
      </c>
      <c r="G13" s="133">
        <f>IF(SER_hh_fec!G13=0,0,11630*1000*SER_hh_fec!G13/SER_hh_num!G13)</f>
        <v>53218.995801305166</v>
      </c>
      <c r="H13" s="133">
        <f>IF(SER_hh_fec!H13=0,0,11630*1000*SER_hh_fec!H13/SER_hh_num!H13)</f>
        <v>53431.911986332772</v>
      </c>
      <c r="I13" s="133">
        <f>IF(SER_hh_fec!I13=0,0,11630*1000*SER_hh_fec!I13/SER_hh_num!I13)</f>
        <v>50604.152989524409</v>
      </c>
      <c r="J13" s="133">
        <f>IF(SER_hh_fec!J13=0,0,11630*1000*SER_hh_fec!J13/SER_hh_num!J13)</f>
        <v>51835.021607946423</v>
      </c>
      <c r="K13" s="133">
        <f>IF(SER_hh_fec!K13=0,0,11630*1000*SER_hh_fec!K13/SER_hh_num!K13)</f>
        <v>52632.613186752758</v>
      </c>
      <c r="L13" s="133">
        <f>IF(SER_hh_fec!L13=0,0,11630*1000*SER_hh_fec!L13/SER_hh_num!L13)</f>
        <v>51599.540685103195</v>
      </c>
      <c r="M13" s="133">
        <f>IF(SER_hh_fec!M13=0,0,11630*1000*SER_hh_fec!M13/SER_hh_num!M13)</f>
        <v>47486.173020043039</v>
      </c>
      <c r="N13" s="133">
        <f>IF(SER_hh_fec!N13=0,0,11630*1000*SER_hh_fec!N13/SER_hh_num!N13)</f>
        <v>42760.52233478141</v>
      </c>
      <c r="O13" s="133">
        <f>IF(SER_hh_fec!O13=0,0,11630*1000*SER_hh_fec!O13/SER_hh_num!O13)</f>
        <v>34102.650078045386</v>
      </c>
      <c r="P13" s="133">
        <f>IF(SER_hh_fec!P13=0,0,11630*1000*SER_hh_fec!P13/SER_hh_num!P13)</f>
        <v>36279.655347679291</v>
      </c>
      <c r="Q13" s="133">
        <f>IF(SER_hh_fec!Q13=0,0,11630*1000*SER_hh_fec!Q13/SER_hh_num!Q13)</f>
        <v>33556.591380414699</v>
      </c>
      <c r="R13" s="133">
        <f>IF(SER_hh_fec!R13=0,0,11630*1000*SER_hh_fec!R13/SER_hh_num!R13)</f>
        <v>32258.375644505737</v>
      </c>
      <c r="S13" s="133">
        <f>IF(SER_hh_fec!S13=0,0,11630*1000*SER_hh_fec!S13/SER_hh_num!S13)</f>
        <v>30030.588379652196</v>
      </c>
      <c r="T13" s="133">
        <f>IF(SER_hh_fec!T13=0,0,11630*1000*SER_hh_fec!T13/SER_hh_num!T13)</f>
        <v>27702.865972077034</v>
      </c>
      <c r="U13" s="133">
        <f>IF(SER_hh_fec!U13=0,0,11630*1000*SER_hh_fec!U13/SER_hh_num!U13)</f>
        <v>26408.835752129693</v>
      </c>
      <c r="V13" s="133">
        <f>IF(SER_hh_fec!V13=0,0,11630*1000*SER_hh_fec!V13/SER_hh_num!V13)</f>
        <v>25397.192730050061</v>
      </c>
      <c r="W13" s="133">
        <f>IF(SER_hh_fec!W13=0,0,11630*1000*SER_hh_fec!W13/SER_hh_num!W13)</f>
        <v>28478.381977246958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94996.503774571145</v>
      </c>
      <c r="C14" s="65">
        <f>IF(SER_hh_fec!C14=0,0,11630*1000*SER_hh_fec!C14/SER_hh_num!C14)</f>
        <v>112637.20305549898</v>
      </c>
      <c r="D14" s="65">
        <f>IF(SER_hh_fec!D14=0,0,11630*1000*SER_hh_fec!D14/SER_hh_num!D14)</f>
        <v>101556.0899039019</v>
      </c>
      <c r="E14" s="65">
        <f>IF(SER_hh_fec!E14=0,0,11630*1000*SER_hh_fec!E14/SER_hh_num!E14)</f>
        <v>117929.14708687624</v>
      </c>
      <c r="F14" s="65">
        <f>IF(SER_hh_fec!F14=0,0,11630*1000*SER_hh_fec!F14/SER_hh_num!F14)</f>
        <v>115315.95731900174</v>
      </c>
      <c r="G14" s="65">
        <f>IF(SER_hh_fec!G14=0,0,11630*1000*SER_hh_fec!G14/SER_hh_num!G14)</f>
        <v>124175.04088277074</v>
      </c>
      <c r="H14" s="65">
        <f>IF(SER_hh_fec!H14=0,0,11630*1000*SER_hh_fec!H14/SER_hh_num!H14)</f>
        <v>140263.96355307594</v>
      </c>
      <c r="I14" s="65">
        <f>IF(SER_hh_fec!I14=0,0,11630*1000*SER_hh_fec!I14/SER_hh_num!I14)</f>
        <v>111846.91137339617</v>
      </c>
      <c r="J14" s="65">
        <f>IF(SER_hh_fec!J14=0,0,11630*1000*SER_hh_fec!J14/SER_hh_num!J14)</f>
        <v>137665.71703005864</v>
      </c>
      <c r="K14" s="65">
        <f>IF(SER_hh_fec!K14=0,0,11630*1000*SER_hh_fec!K14/SER_hh_num!K14)</f>
        <v>114570.33624928784</v>
      </c>
      <c r="L14" s="65">
        <f>IF(SER_hh_fec!L14=0,0,11630*1000*SER_hh_fec!L14/SER_hh_num!L14)</f>
        <v>142326.26966900035</v>
      </c>
      <c r="M14" s="65">
        <f>IF(SER_hh_fec!M14=0,0,11630*1000*SER_hh_fec!M14/SER_hh_num!M14)</f>
        <v>134588.34751330878</v>
      </c>
      <c r="N14" s="65">
        <f>IF(SER_hh_fec!N14=0,0,11630*1000*SER_hh_fec!N14/SER_hh_num!N14)</f>
        <v>127249.93270762634</v>
      </c>
      <c r="O14" s="65">
        <f>IF(SER_hh_fec!O14=0,0,11630*1000*SER_hh_fec!O14/SER_hh_num!O14)</f>
        <v>103239.1039422594</v>
      </c>
      <c r="P14" s="65">
        <f>IF(SER_hh_fec!P14=0,0,11630*1000*SER_hh_fec!P14/SER_hh_num!P14)</f>
        <v>108891.2389258148</v>
      </c>
      <c r="Q14" s="65">
        <f>IF(SER_hh_fec!Q14=0,0,11630*1000*SER_hh_fec!Q14/SER_hh_num!Q14)</f>
        <v>98641.59374796848</v>
      </c>
      <c r="R14" s="65">
        <f>IF(SER_hh_fec!R14=0,0,11630*1000*SER_hh_fec!R14/SER_hh_num!R14)</f>
        <v>110968.22853938733</v>
      </c>
      <c r="S14" s="65">
        <f>IF(SER_hh_fec!S14=0,0,11630*1000*SER_hh_fec!S14/SER_hh_num!S14)</f>
        <v>96045.431143912807</v>
      </c>
      <c r="T14" s="65">
        <f>IF(SER_hh_fec!T14=0,0,11630*1000*SER_hh_fec!T14/SER_hh_num!T14)</f>
        <v>102547.47129393593</v>
      </c>
      <c r="U14" s="65">
        <f>IF(SER_hh_fec!U14=0,0,11630*1000*SER_hh_fec!U14/SER_hh_num!U14)</f>
        <v>95188.663080512095</v>
      </c>
      <c r="V14" s="65">
        <f>IF(SER_hh_fec!V14=0,0,11630*1000*SER_hh_fec!V14/SER_hh_num!V14)</f>
        <v>90163.293778996958</v>
      </c>
      <c r="W14" s="65">
        <f>IF(SER_hh_fec!W14=0,0,11630*1000*SER_hh_fec!W14/SER_hh_num!W14)</f>
        <v>104604.22277843075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825.44848083974114</v>
      </c>
      <c r="C15" s="135">
        <f>IF(SER_hh_fec!C15=0,0,11630*1000*SER_hh_fec!C15/SER_hh_num!C15)</f>
        <v>924.71492720855645</v>
      </c>
      <c r="D15" s="135">
        <f>IF(SER_hh_fec!D15=0,0,11630*1000*SER_hh_fec!D15/SER_hh_num!D15)</f>
        <v>1083.5660039977515</v>
      </c>
      <c r="E15" s="135">
        <f>IF(SER_hh_fec!E15=0,0,11630*1000*SER_hh_fec!E15/SER_hh_num!E15)</f>
        <v>1064.5681760477892</v>
      </c>
      <c r="F15" s="135">
        <f>IF(SER_hh_fec!F15=0,0,11630*1000*SER_hh_fec!F15/SER_hh_num!F15)</f>
        <v>1066.0324961348981</v>
      </c>
      <c r="G15" s="135">
        <f>IF(SER_hh_fec!G15=0,0,11630*1000*SER_hh_fec!G15/SER_hh_num!G15)</f>
        <v>991.55100018718417</v>
      </c>
      <c r="H15" s="135">
        <f>IF(SER_hh_fec!H15=0,0,11630*1000*SER_hh_fec!H15/SER_hh_num!H15)</f>
        <v>1042.1777263291556</v>
      </c>
      <c r="I15" s="135">
        <f>IF(SER_hh_fec!I15=0,0,11630*1000*SER_hh_fec!I15/SER_hh_num!I15)</f>
        <v>947.57930567273797</v>
      </c>
      <c r="J15" s="135">
        <f>IF(SER_hh_fec!J15=0,0,11630*1000*SER_hh_fec!J15/SER_hh_num!J15)</f>
        <v>1019.6337521511258</v>
      </c>
      <c r="K15" s="135">
        <f>IF(SER_hh_fec!K15=0,0,11630*1000*SER_hh_fec!K15/SER_hh_num!K15)</f>
        <v>1027.8417150543594</v>
      </c>
      <c r="L15" s="135">
        <f>IF(SER_hh_fec!L15=0,0,11630*1000*SER_hh_fec!L15/SER_hh_num!L15)</f>
        <v>1185.1009382422144</v>
      </c>
      <c r="M15" s="135">
        <f>IF(SER_hh_fec!M15=0,0,11630*1000*SER_hh_fec!M15/SER_hh_num!M15)</f>
        <v>1056.9518718916208</v>
      </c>
      <c r="N15" s="135">
        <f>IF(SER_hh_fec!N15=0,0,11630*1000*SER_hh_fec!N15/SER_hh_num!N15)</f>
        <v>1011.3729149244392</v>
      </c>
      <c r="O15" s="135">
        <f>IF(SER_hh_fec!O15=0,0,11630*1000*SER_hh_fec!O15/SER_hh_num!O15)</f>
        <v>943.06481461722899</v>
      </c>
      <c r="P15" s="135">
        <f>IF(SER_hh_fec!P15=0,0,11630*1000*SER_hh_fec!P15/SER_hh_num!P15)</f>
        <v>810.61413592887573</v>
      </c>
      <c r="Q15" s="135">
        <f>IF(SER_hh_fec!Q15=0,0,11630*1000*SER_hh_fec!Q15/SER_hh_num!Q15)</f>
        <v>829.9306233006148</v>
      </c>
      <c r="R15" s="135">
        <f>IF(SER_hh_fec!R15=0,0,11630*1000*SER_hh_fec!R15/SER_hh_num!R15)</f>
        <v>947.18834470296622</v>
      </c>
      <c r="S15" s="135">
        <f>IF(SER_hh_fec!S15=0,0,11630*1000*SER_hh_fec!S15/SER_hh_num!S15)</f>
        <v>796.04305118682248</v>
      </c>
      <c r="T15" s="135">
        <f>IF(SER_hh_fec!T15=0,0,11630*1000*SER_hh_fec!T15/SER_hh_num!T15)</f>
        <v>756.98789120148751</v>
      </c>
      <c r="U15" s="135">
        <f>IF(SER_hh_fec!U15=0,0,11630*1000*SER_hh_fec!U15/SER_hh_num!U15)</f>
        <v>744.95300383499944</v>
      </c>
      <c r="V15" s="135">
        <f>IF(SER_hh_fec!V15=0,0,11630*1000*SER_hh_fec!V15/SER_hh_num!V15)</f>
        <v>709.23051974294719</v>
      </c>
      <c r="W15" s="135">
        <f>IF(SER_hh_fec!W15=0,0,11630*1000*SER_hh_fec!W15/SER_hh_num!W15)</f>
        <v>887.6037968102255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13787.363697121309</v>
      </c>
      <c r="C16" s="131">
        <f>IF(SER_hh_fec!C16=0,0,11630*1000*SER_hh_fec!C16/SER_hh_num!C16)</f>
        <v>13447.921410819345</v>
      </c>
      <c r="D16" s="131">
        <f>IF(SER_hh_fec!D16=0,0,11630*1000*SER_hh_fec!D16/SER_hh_num!D16)</f>
        <v>13148.56100758237</v>
      </c>
      <c r="E16" s="131">
        <f>IF(SER_hh_fec!E16=0,0,11630*1000*SER_hh_fec!E16/SER_hh_num!E16)</f>
        <v>12365.470871646052</v>
      </c>
      <c r="F16" s="131">
        <f>IF(SER_hh_fec!F16=0,0,11630*1000*SER_hh_fec!F16/SER_hh_num!F16)</f>
        <v>11735.621171655484</v>
      </c>
      <c r="G16" s="131">
        <f>IF(SER_hh_fec!G16=0,0,11630*1000*SER_hh_fec!G16/SER_hh_num!G16)</f>
        <v>11262.343944804576</v>
      </c>
      <c r="H16" s="131">
        <f>IF(SER_hh_fec!H16=0,0,11630*1000*SER_hh_fec!H16/SER_hh_num!H16)</f>
        <v>11301.294448520059</v>
      </c>
      <c r="I16" s="131">
        <f>IF(SER_hh_fec!I16=0,0,11630*1000*SER_hh_fec!I16/SER_hh_num!I16)</f>
        <v>10321.363341434493</v>
      </c>
      <c r="J16" s="131">
        <f>IF(SER_hh_fec!J16=0,0,11630*1000*SER_hh_fec!J16/SER_hh_num!J16)</f>
        <v>9676.4285777667574</v>
      </c>
      <c r="K16" s="131">
        <f>IF(SER_hh_fec!K16=0,0,11630*1000*SER_hh_fec!K16/SER_hh_num!K16)</f>
        <v>9536.7063484313985</v>
      </c>
      <c r="L16" s="131">
        <f>IF(SER_hh_fec!L16=0,0,11630*1000*SER_hh_fec!L16/SER_hh_num!L16)</f>
        <v>10608.574678215533</v>
      </c>
      <c r="M16" s="131">
        <f>IF(SER_hh_fec!M16=0,0,11630*1000*SER_hh_fec!M16/SER_hh_num!M16)</f>
        <v>9170.7954915390255</v>
      </c>
      <c r="N16" s="131">
        <f>IF(SER_hh_fec!N16=0,0,11630*1000*SER_hh_fec!N16/SER_hh_num!N16)</f>
        <v>9377.9016017637969</v>
      </c>
      <c r="O16" s="131">
        <f>IF(SER_hh_fec!O16=0,0,11630*1000*SER_hh_fec!O16/SER_hh_num!O16)</f>
        <v>9126.9038790660197</v>
      </c>
      <c r="P16" s="131">
        <f>IF(SER_hh_fec!P16=0,0,11630*1000*SER_hh_fec!P16/SER_hh_num!P16)</f>
        <v>8709.7678490430699</v>
      </c>
      <c r="Q16" s="131">
        <f>IF(SER_hh_fec!Q16=0,0,11630*1000*SER_hh_fec!Q16/SER_hh_num!Q16)</f>
        <v>9636.0145010553642</v>
      </c>
      <c r="R16" s="131">
        <f>IF(SER_hh_fec!R16=0,0,11630*1000*SER_hh_fec!R16/SER_hh_num!R16)</f>
        <v>8101.8978348992732</v>
      </c>
      <c r="S16" s="131">
        <f>IF(SER_hh_fec!S16=0,0,11630*1000*SER_hh_fec!S16/SER_hh_num!S16)</f>
        <v>7905.3292264792344</v>
      </c>
      <c r="T16" s="131">
        <f>IF(SER_hh_fec!T16=0,0,11630*1000*SER_hh_fec!T16/SER_hh_num!T16)</f>
        <v>7893.3561866247519</v>
      </c>
      <c r="U16" s="131">
        <f>IF(SER_hh_fec!U16=0,0,11630*1000*SER_hh_fec!U16/SER_hh_num!U16)</f>
        <v>8334.6499211751125</v>
      </c>
      <c r="V16" s="131">
        <f>IF(SER_hh_fec!V16=0,0,11630*1000*SER_hh_fec!V16/SER_hh_num!V16)</f>
        <v>7221.8130236852494</v>
      </c>
      <c r="W16" s="131">
        <f>IF(SER_hh_fec!W16=0,0,11630*1000*SER_hh_fec!W16/SER_hh_num!W16)</f>
        <v>7349.838560423118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20091.929590907679</v>
      </c>
      <c r="C17" s="133">
        <f>IF(SER_hh_fec!C17=0,0,11630*1000*SER_hh_fec!C17/SER_hh_num!C17)</f>
        <v>20115.699009701071</v>
      </c>
      <c r="D17" s="133">
        <f>IF(SER_hh_fec!D17=0,0,11630*1000*SER_hh_fec!D17/SER_hh_num!D17)</f>
        <v>20393.917754163282</v>
      </c>
      <c r="E17" s="133">
        <f>IF(SER_hh_fec!E17=0,0,11630*1000*SER_hh_fec!E17/SER_hh_num!E17)</f>
        <v>19965.244289542745</v>
      </c>
      <c r="F17" s="133">
        <f>IF(SER_hh_fec!F17=0,0,11630*1000*SER_hh_fec!F17/SER_hh_num!F17)</f>
        <v>19841.733869378855</v>
      </c>
      <c r="G17" s="133">
        <f>IF(SER_hh_fec!G17=0,0,11630*1000*SER_hh_fec!G17/SER_hh_num!G17)</f>
        <v>19952.251896503767</v>
      </c>
      <c r="H17" s="133">
        <f>IF(SER_hh_fec!H17=0,0,11630*1000*SER_hh_fec!H17/SER_hh_num!H17)</f>
        <v>21033.719744065977</v>
      </c>
      <c r="I17" s="133">
        <f>IF(SER_hh_fec!I17=0,0,11630*1000*SER_hh_fec!I17/SER_hh_num!I17)</f>
        <v>20183.913140664041</v>
      </c>
      <c r="J17" s="133">
        <f>IF(SER_hh_fec!J17=0,0,11630*1000*SER_hh_fec!J17/SER_hh_num!J17)</f>
        <v>19796.875914754644</v>
      </c>
      <c r="K17" s="133">
        <f>IF(SER_hh_fec!K17=0,0,11630*1000*SER_hh_fec!K17/SER_hh_num!K17)</f>
        <v>19832.449637964535</v>
      </c>
      <c r="L17" s="133">
        <f>IF(SER_hh_fec!L17=0,0,11630*1000*SER_hh_fec!L17/SER_hh_num!L17)</f>
        <v>22457.717190022926</v>
      </c>
      <c r="M17" s="133">
        <f>IF(SER_hh_fec!M17=0,0,11630*1000*SER_hh_fec!M17/SER_hh_num!M17)</f>
        <v>19851.49383512338</v>
      </c>
      <c r="N17" s="133">
        <f>IF(SER_hh_fec!N17=0,0,11630*1000*SER_hh_fec!N17/SER_hh_num!N17)</f>
        <v>20756.900870256126</v>
      </c>
      <c r="O17" s="133">
        <f>IF(SER_hh_fec!O17=0,0,11630*1000*SER_hh_fec!O17/SER_hh_num!O17)</f>
        <v>20559.166469891607</v>
      </c>
      <c r="P17" s="133">
        <f>IF(SER_hh_fec!P17=0,0,11630*1000*SER_hh_fec!P17/SER_hh_num!P17)</f>
        <v>19935.104974045797</v>
      </c>
      <c r="Q17" s="133">
        <f>IF(SER_hh_fec!Q17=0,0,11630*1000*SER_hh_fec!Q17/SER_hh_num!Q17)</f>
        <v>22516.386536893318</v>
      </c>
      <c r="R17" s="133">
        <f>IF(SER_hh_fec!R17=0,0,11630*1000*SER_hh_fec!R17/SER_hh_num!R17)</f>
        <v>19061.736201799245</v>
      </c>
      <c r="S17" s="133">
        <f>IF(SER_hh_fec!S17=0,0,11630*1000*SER_hh_fec!S17/SER_hh_num!S17)</f>
        <v>18943.045572215582</v>
      </c>
      <c r="T17" s="133">
        <f>IF(SER_hh_fec!T17=0,0,11630*1000*SER_hh_fec!T17/SER_hh_num!T17)</f>
        <v>19268.690521475019</v>
      </c>
      <c r="U17" s="133">
        <f>IF(SER_hh_fec!U17=0,0,11630*1000*SER_hh_fec!U17/SER_hh_num!U17)</f>
        <v>20652.915579318629</v>
      </c>
      <c r="V17" s="133">
        <f>IF(SER_hh_fec!V17=0,0,11630*1000*SER_hh_fec!V17/SER_hh_num!V17)</f>
        <v>16863.012337537366</v>
      </c>
      <c r="W17" s="133">
        <f>IF(SER_hh_fec!W17=0,0,11630*1000*SER_hh_fec!W17/SER_hh_num!W17)</f>
        <v>17398.124305099944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13777.835341131164</v>
      </c>
      <c r="C18" s="133">
        <f>IF(SER_hh_fec!C18=0,0,11630*1000*SER_hh_fec!C18/SER_hh_num!C18)</f>
        <v>13437.305677702834</v>
      </c>
      <c r="D18" s="133">
        <f>IF(SER_hh_fec!D18=0,0,11630*1000*SER_hh_fec!D18/SER_hh_num!D18)</f>
        <v>13136.090678771745</v>
      </c>
      <c r="E18" s="133">
        <f>IF(SER_hh_fec!E18=0,0,11630*1000*SER_hh_fec!E18/SER_hh_num!E18)</f>
        <v>12351.579098740316</v>
      </c>
      <c r="F18" s="133">
        <f>IF(SER_hh_fec!F18=0,0,11630*1000*SER_hh_fec!F18/SER_hh_num!F18)</f>
        <v>11719.023197544753</v>
      </c>
      <c r="G18" s="133">
        <f>IF(SER_hh_fec!G18=0,0,11630*1000*SER_hh_fec!G18/SER_hh_num!G18)</f>
        <v>11243.088811996178</v>
      </c>
      <c r="H18" s="133">
        <f>IF(SER_hh_fec!H18=0,0,11630*1000*SER_hh_fec!H18/SER_hh_num!H18)</f>
        <v>11279.412436555887</v>
      </c>
      <c r="I18" s="133">
        <f>IF(SER_hh_fec!I18=0,0,11630*1000*SER_hh_fec!I18/SER_hh_num!I18)</f>
        <v>10297.573720968192</v>
      </c>
      <c r="J18" s="133">
        <f>IF(SER_hh_fec!J18=0,0,11630*1000*SER_hh_fec!J18/SER_hh_num!J18)</f>
        <v>9651.7366627735155</v>
      </c>
      <c r="K18" s="133">
        <f>IF(SER_hh_fec!K18=0,0,11630*1000*SER_hh_fec!K18/SER_hh_num!K18)</f>
        <v>9511.1015133318124</v>
      </c>
      <c r="L18" s="133">
        <f>IF(SER_hh_fec!L18=0,0,11630*1000*SER_hh_fec!L18/SER_hh_num!L18)</f>
        <v>10579.472292419132</v>
      </c>
      <c r="M18" s="133">
        <f>IF(SER_hh_fec!M18=0,0,11630*1000*SER_hh_fec!M18/SER_hh_num!M18)</f>
        <v>9141.9728714577286</v>
      </c>
      <c r="N18" s="133">
        <f>IF(SER_hh_fec!N18=0,0,11630*1000*SER_hh_fec!N18/SER_hh_num!N18)</f>
        <v>9344.4508774737424</v>
      </c>
      <c r="O18" s="133">
        <f>IF(SER_hh_fec!O18=0,0,11630*1000*SER_hh_fec!O18/SER_hh_num!O18)</f>
        <v>9086.1689843169424</v>
      </c>
      <c r="P18" s="133">
        <f>IF(SER_hh_fec!P18=0,0,11630*1000*SER_hh_fec!P18/SER_hh_num!P18)</f>
        <v>8657.2167425095922</v>
      </c>
      <c r="Q18" s="133">
        <f>IF(SER_hh_fec!Q18=0,0,11630*1000*SER_hh_fec!Q18/SER_hh_num!Q18)</f>
        <v>9564.8906696544218</v>
      </c>
      <c r="R18" s="133">
        <f>IF(SER_hh_fec!R18=0,0,11630*1000*SER_hh_fec!R18/SER_hh_num!R18)</f>
        <v>8011.6565068500004</v>
      </c>
      <c r="S18" s="133">
        <f>IF(SER_hh_fec!S18=0,0,11630*1000*SER_hh_fec!S18/SER_hh_num!S18)</f>
        <v>7797.4199548323759</v>
      </c>
      <c r="T18" s="133">
        <f>IF(SER_hh_fec!T18=0,0,11630*1000*SER_hh_fec!T18/SER_hh_num!T18)</f>
        <v>7771.6961055470492</v>
      </c>
      <c r="U18" s="133">
        <f>IF(SER_hh_fec!U18=0,0,11630*1000*SER_hh_fec!U18/SER_hh_num!U18)</f>
        <v>8196.0690721851552</v>
      </c>
      <c r="V18" s="133">
        <f>IF(SER_hh_fec!V18=0,0,11630*1000*SER_hh_fec!V18/SER_hh_num!V18)</f>
        <v>7105.3753799489332</v>
      </c>
      <c r="W18" s="133">
        <f>IF(SER_hh_fec!W18=0,0,11630*1000*SER_hh_fec!W18/SER_hh_num!W18)</f>
        <v>7229.95030716582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12836.818937900056</v>
      </c>
      <c r="C19" s="131">
        <f>IF(SER_hh_fec!C19=0,0,11630*1000*SER_hh_fec!C19/SER_hh_num!C19)</f>
        <v>14136.137030620614</v>
      </c>
      <c r="D19" s="131">
        <f>IF(SER_hh_fec!D19=0,0,11630*1000*SER_hh_fec!D19/SER_hh_num!D19)</f>
        <v>16985.855119104515</v>
      </c>
      <c r="E19" s="131">
        <f>IF(SER_hh_fec!E19=0,0,11630*1000*SER_hh_fec!E19/SER_hh_num!E19)</f>
        <v>18267.500182182444</v>
      </c>
      <c r="F19" s="131">
        <f>IF(SER_hh_fec!F19=0,0,11630*1000*SER_hh_fec!F19/SER_hh_num!F19)</f>
        <v>19264.147531064817</v>
      </c>
      <c r="G19" s="131">
        <f>IF(SER_hh_fec!G19=0,0,11630*1000*SER_hh_fec!G19/SER_hh_num!G19)</f>
        <v>19273.921728090558</v>
      </c>
      <c r="H19" s="131">
        <f>IF(SER_hh_fec!H19=0,0,11630*1000*SER_hh_fec!H19/SER_hh_num!H19)</f>
        <v>20226.974683996828</v>
      </c>
      <c r="I19" s="131">
        <f>IF(SER_hh_fec!I19=0,0,11630*1000*SER_hh_fec!I19/SER_hh_num!I19)</f>
        <v>21328.829566589739</v>
      </c>
      <c r="J19" s="131">
        <f>IF(SER_hh_fec!J19=0,0,11630*1000*SER_hh_fec!J19/SER_hh_num!J19)</f>
        <v>21783.765792942522</v>
      </c>
      <c r="K19" s="131">
        <f>IF(SER_hh_fec!K19=0,0,11630*1000*SER_hh_fec!K19/SER_hh_num!K19)</f>
        <v>21719.238736235697</v>
      </c>
      <c r="L19" s="131">
        <f>IF(SER_hh_fec!L19=0,0,11630*1000*SER_hh_fec!L19/SER_hh_num!L19)</f>
        <v>21806.575415002586</v>
      </c>
      <c r="M19" s="131">
        <f>IF(SER_hh_fec!M19=0,0,11630*1000*SER_hh_fec!M19/SER_hh_num!M19)</f>
        <v>21669.002138768647</v>
      </c>
      <c r="N19" s="131">
        <f>IF(SER_hh_fec!N19=0,0,11630*1000*SER_hh_fec!N19/SER_hh_num!N19)</f>
        <v>21790.919849572827</v>
      </c>
      <c r="O19" s="131">
        <f>IF(SER_hh_fec!O19=0,0,11630*1000*SER_hh_fec!O19/SER_hh_num!O19)</f>
        <v>22046.354730338291</v>
      </c>
      <c r="P19" s="131">
        <f>IF(SER_hh_fec!P19=0,0,11630*1000*SER_hh_fec!P19/SER_hh_num!P19)</f>
        <v>21836.418365675425</v>
      </c>
      <c r="Q19" s="131">
        <f>IF(SER_hh_fec!Q19=0,0,11630*1000*SER_hh_fec!Q19/SER_hh_num!Q19)</f>
        <v>21974.68742183776</v>
      </c>
      <c r="R19" s="131">
        <f>IF(SER_hh_fec!R19=0,0,11630*1000*SER_hh_fec!R19/SER_hh_num!R19)</f>
        <v>22138.185077800765</v>
      </c>
      <c r="S19" s="131">
        <f>IF(SER_hh_fec!S19=0,0,11630*1000*SER_hh_fec!S19/SER_hh_num!S19)</f>
        <v>21319.557749186297</v>
      </c>
      <c r="T19" s="131">
        <f>IF(SER_hh_fec!T19=0,0,11630*1000*SER_hh_fec!T19/SER_hh_num!T19)</f>
        <v>20531.399000118185</v>
      </c>
      <c r="U19" s="131">
        <f>IF(SER_hh_fec!U19=0,0,11630*1000*SER_hh_fec!U19/SER_hh_num!U19)</f>
        <v>19972.611455541621</v>
      </c>
      <c r="V19" s="131">
        <f>IF(SER_hh_fec!V19=0,0,11630*1000*SER_hh_fec!V19/SER_hh_num!V19)</f>
        <v>18197.360781712101</v>
      </c>
      <c r="W19" s="131">
        <f>IF(SER_hh_fec!W19=0,0,11630*1000*SER_hh_fec!W19/SER_hh_num!W19)</f>
        <v>19464.066543286182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10775.303552408861</v>
      </c>
      <c r="C20" s="133">
        <f>IF(SER_hh_fec!C20=0,0,11630*1000*SER_hh_fec!C20/SER_hh_num!C20)</f>
        <v>16583.725103260007</v>
      </c>
      <c r="D20" s="133">
        <f>IF(SER_hh_fec!D20=0,0,11630*1000*SER_hh_fec!D20/SER_hh_num!D20)</f>
        <v>19611.148012858397</v>
      </c>
      <c r="E20" s="133">
        <f>IF(SER_hh_fec!E20=0,0,11630*1000*SER_hh_fec!E20/SER_hh_num!E20)</f>
        <v>19515.517174467765</v>
      </c>
      <c r="F20" s="133">
        <f>IF(SER_hh_fec!F20=0,0,11630*1000*SER_hh_fec!F20/SER_hh_num!F20)</f>
        <v>20472.994646233183</v>
      </c>
      <c r="G20" s="133">
        <f>IF(SER_hh_fec!G20=0,0,11630*1000*SER_hh_fec!G20/SER_hh_num!G20)</f>
        <v>20773.632971126255</v>
      </c>
      <c r="H20" s="133">
        <f>IF(SER_hh_fec!H20=0,0,11630*1000*SER_hh_fec!H20/SER_hh_num!H20)</f>
        <v>19285.449868437528</v>
      </c>
      <c r="I20" s="133">
        <f>IF(SER_hh_fec!I20=0,0,11630*1000*SER_hh_fec!I20/SER_hh_num!I20)</f>
        <v>22882.28347036042</v>
      </c>
      <c r="J20" s="133">
        <f>IF(SER_hh_fec!J20=0,0,11630*1000*SER_hh_fec!J20/SER_hh_num!J20)</f>
        <v>22742.658066558448</v>
      </c>
      <c r="K20" s="133">
        <f>IF(SER_hh_fec!K20=0,0,11630*1000*SER_hh_fec!K20/SER_hh_num!K20)</f>
        <v>22374.616834473396</v>
      </c>
      <c r="L20" s="133">
        <f>IF(SER_hh_fec!L20=0,0,11630*1000*SER_hh_fec!L20/SER_hh_num!L20)</f>
        <v>22815.380946710007</v>
      </c>
      <c r="M20" s="133">
        <f>IF(SER_hh_fec!M20=0,0,11630*1000*SER_hh_fec!M20/SER_hh_num!M20)</f>
        <v>22317.799588845497</v>
      </c>
      <c r="N20" s="133">
        <f>IF(SER_hh_fec!N20=0,0,11630*1000*SER_hh_fec!N20/SER_hh_num!N20)</f>
        <v>22186.743844344608</v>
      </c>
      <c r="O20" s="133">
        <f>IF(SER_hh_fec!O20=0,0,11630*1000*SER_hh_fec!O20/SER_hh_num!O20)</f>
        <v>22424.506390359893</v>
      </c>
      <c r="P20" s="133">
        <f>IF(SER_hh_fec!P20=0,0,11630*1000*SER_hh_fec!P20/SER_hh_num!P20)</f>
        <v>22167.483387829652</v>
      </c>
      <c r="Q20" s="133">
        <f>IF(SER_hh_fec!Q20=0,0,11630*1000*SER_hh_fec!Q20/SER_hh_num!Q20)</f>
        <v>22203.433551199003</v>
      </c>
      <c r="R20" s="133">
        <f>IF(SER_hh_fec!R20=0,0,11630*1000*SER_hh_fec!R20/SER_hh_num!R20)</f>
        <v>25042.68979856775</v>
      </c>
      <c r="S20" s="133">
        <f>IF(SER_hh_fec!S20=0,0,11630*1000*SER_hh_fec!S20/SER_hh_num!S20)</f>
        <v>23203.801497016753</v>
      </c>
      <c r="T20" s="133">
        <f>IF(SER_hh_fec!T20=0,0,11630*1000*SER_hh_fec!T20/SER_hh_num!T20)</f>
        <v>19383.2452124255</v>
      </c>
      <c r="U20" s="133">
        <f>IF(SER_hh_fec!U20=0,0,11630*1000*SER_hh_fec!U20/SER_hh_num!U20)</f>
        <v>16400.686568975379</v>
      </c>
      <c r="V20" s="133">
        <f>IF(SER_hh_fec!V20=0,0,11630*1000*SER_hh_fec!V20/SER_hh_num!V20)</f>
        <v>19355.621883082731</v>
      </c>
      <c r="W20" s="133">
        <f>IF(SER_hh_fec!W20=0,0,11630*1000*SER_hh_fec!W20/SER_hh_num!W20)</f>
        <v>26601.236139777862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14096.926647201341</v>
      </c>
      <c r="C21" s="133">
        <f>IF(SER_hh_fec!C21=0,0,11630*1000*SER_hh_fec!C21/SER_hh_num!C21)</f>
        <v>17386.439145389188</v>
      </c>
      <c r="D21" s="133">
        <f>IF(SER_hh_fec!D21=0,0,11630*1000*SER_hh_fec!D21/SER_hh_num!D21)</f>
        <v>16705.288390404912</v>
      </c>
      <c r="E21" s="133">
        <f>IF(SER_hh_fec!E21=0,0,11630*1000*SER_hh_fec!E21/SER_hh_num!E21)</f>
        <v>25304.451274633033</v>
      </c>
      <c r="F21" s="133">
        <f>IF(SER_hh_fec!F21=0,0,11630*1000*SER_hh_fec!F21/SER_hh_num!F21)</f>
        <v>22300.658131727185</v>
      </c>
      <c r="G21" s="133">
        <f>IF(SER_hh_fec!G21=0,0,11630*1000*SER_hh_fec!G21/SER_hh_num!G21)</f>
        <v>20659.65581742522</v>
      </c>
      <c r="H21" s="133">
        <f>IF(SER_hh_fec!H21=0,0,11630*1000*SER_hh_fec!H21/SER_hh_num!H21)</f>
        <v>25081.150453605813</v>
      </c>
      <c r="I21" s="133">
        <f>IF(SER_hh_fec!I21=0,0,11630*1000*SER_hh_fec!I21/SER_hh_num!I21)</f>
        <v>24720.436577512988</v>
      </c>
      <c r="J21" s="133">
        <f>IF(SER_hh_fec!J21=0,0,11630*1000*SER_hh_fec!J21/SER_hh_num!J21)</f>
        <v>25401.0851508989</v>
      </c>
      <c r="K21" s="133">
        <f>IF(SER_hh_fec!K21=0,0,11630*1000*SER_hh_fec!K21/SER_hh_num!K21)</f>
        <v>25017.831229181422</v>
      </c>
      <c r="L21" s="133">
        <f>IF(SER_hh_fec!L21=0,0,11630*1000*SER_hh_fec!L21/SER_hh_num!L21)</f>
        <v>24626.021807593948</v>
      </c>
      <c r="M21" s="133">
        <f>IF(SER_hh_fec!M21=0,0,11630*1000*SER_hh_fec!M21/SER_hh_num!M21)</f>
        <v>24388.279625774423</v>
      </c>
      <c r="N21" s="133">
        <f>IF(SER_hh_fec!N21=0,0,11630*1000*SER_hh_fec!N21/SER_hh_num!N21)</f>
        <v>32225.352429929597</v>
      </c>
      <c r="O21" s="133">
        <f>IF(SER_hh_fec!O21=0,0,11630*1000*SER_hh_fec!O21/SER_hh_num!O21)</f>
        <v>21515.366715954533</v>
      </c>
      <c r="P21" s="133">
        <f>IF(SER_hh_fec!P21=0,0,11630*1000*SER_hh_fec!P21/SER_hh_num!P21)</f>
        <v>25600.510236838822</v>
      </c>
      <c r="Q21" s="133">
        <f>IF(SER_hh_fec!Q21=0,0,11630*1000*SER_hh_fec!Q21/SER_hh_num!Q21)</f>
        <v>24723.465274235154</v>
      </c>
      <c r="R21" s="133">
        <f>IF(SER_hh_fec!R21=0,0,11630*1000*SER_hh_fec!R21/SER_hh_num!R21)</f>
        <v>25374.463823541664</v>
      </c>
      <c r="S21" s="133">
        <f>IF(SER_hh_fec!S21=0,0,11630*1000*SER_hh_fec!S21/SER_hh_num!S21)</f>
        <v>24752.711400427088</v>
      </c>
      <c r="T21" s="133">
        <f>IF(SER_hh_fec!T21=0,0,11630*1000*SER_hh_fec!T21/SER_hh_num!T21)</f>
        <v>22629.089632852727</v>
      </c>
      <c r="U21" s="133">
        <f>IF(SER_hh_fec!U21=0,0,11630*1000*SER_hh_fec!U21/SER_hh_num!U21)</f>
        <v>25646.305852875124</v>
      </c>
      <c r="V21" s="133">
        <f>IF(SER_hh_fec!V21=0,0,11630*1000*SER_hh_fec!V21/SER_hh_num!V21)</f>
        <v>19393.417120548871</v>
      </c>
      <c r="W21" s="133">
        <f>IF(SER_hh_fec!W21=0,0,11630*1000*SER_hh_fec!W21/SER_hh_num!W21)</f>
        <v>21244.557553872699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16003.818487664708</v>
      </c>
      <c r="C22" s="133">
        <f>IF(SER_hh_fec!C22=0,0,11630*1000*SER_hh_fec!C22/SER_hh_num!C22)</f>
        <v>16761.690827922092</v>
      </c>
      <c r="D22" s="133">
        <f>IF(SER_hh_fec!D22=0,0,11630*1000*SER_hh_fec!D22/SER_hh_num!D22)</f>
        <v>20446.850320148165</v>
      </c>
      <c r="E22" s="133">
        <f>IF(SER_hh_fec!E22=0,0,11630*1000*SER_hh_fec!E22/SER_hh_num!E22)</f>
        <v>22092.614535783257</v>
      </c>
      <c r="F22" s="133">
        <f>IF(SER_hh_fec!F22=0,0,11630*1000*SER_hh_fec!F22/SER_hh_num!F22)</f>
        <v>23568.169925733531</v>
      </c>
      <c r="G22" s="133">
        <f>IF(SER_hh_fec!G22=0,0,11630*1000*SER_hh_fec!G22/SER_hh_num!G22)</f>
        <v>23098.264077155127</v>
      </c>
      <c r="H22" s="133">
        <f>IF(SER_hh_fec!H22=0,0,11630*1000*SER_hh_fec!H22/SER_hh_num!H22)</f>
        <v>24713.848838384583</v>
      </c>
      <c r="I22" s="133">
        <f>IF(SER_hh_fec!I22=0,0,11630*1000*SER_hh_fec!I22/SER_hh_num!I22)</f>
        <v>26330.450453000842</v>
      </c>
      <c r="J22" s="133">
        <f>IF(SER_hh_fec!J22=0,0,11630*1000*SER_hh_fec!J22/SER_hh_num!J22)</f>
        <v>27018.330488218118</v>
      </c>
      <c r="K22" s="133">
        <f>IF(SER_hh_fec!K22=0,0,11630*1000*SER_hh_fec!K22/SER_hh_num!K22)</f>
        <v>26694.953036744409</v>
      </c>
      <c r="L22" s="133">
        <f>IF(SER_hh_fec!L22=0,0,11630*1000*SER_hh_fec!L22/SER_hh_num!L22)</f>
        <v>27533.189662602301</v>
      </c>
      <c r="M22" s="133">
        <f>IF(SER_hh_fec!M22=0,0,11630*1000*SER_hh_fec!M22/SER_hh_num!M22)</f>
        <v>26942.0053131112</v>
      </c>
      <c r="N22" s="133">
        <f>IF(SER_hh_fec!N22=0,0,11630*1000*SER_hh_fec!N22/SER_hh_num!N22)</f>
        <v>26791.553814341627</v>
      </c>
      <c r="O22" s="133">
        <f>IF(SER_hh_fec!O22=0,0,11630*1000*SER_hh_fec!O22/SER_hh_num!O22)</f>
        <v>26981.276691898798</v>
      </c>
      <c r="P22" s="133">
        <f>IF(SER_hh_fec!P22=0,0,11630*1000*SER_hh_fec!P22/SER_hh_num!P22)</f>
        <v>26746.245971826407</v>
      </c>
      <c r="Q22" s="133">
        <f>IF(SER_hh_fec!Q22=0,0,11630*1000*SER_hh_fec!Q22/SER_hh_num!Q22)</f>
        <v>27008.317054560903</v>
      </c>
      <c r="R22" s="133">
        <f>IF(SER_hh_fec!R22=0,0,11630*1000*SER_hh_fec!R22/SER_hh_num!R22)</f>
        <v>26146.050354194576</v>
      </c>
      <c r="S22" s="133">
        <f>IF(SER_hh_fec!S22=0,0,11630*1000*SER_hh_fec!S22/SER_hh_num!S22)</f>
        <v>27168.260224060385</v>
      </c>
      <c r="T22" s="133">
        <f>IF(SER_hh_fec!T22=0,0,11630*1000*SER_hh_fec!T22/SER_hh_num!T22)</f>
        <v>25840.408444602359</v>
      </c>
      <c r="U22" s="133">
        <f>IF(SER_hh_fec!U22=0,0,11630*1000*SER_hh_fec!U22/SER_hh_num!U22)</f>
        <v>21724.211486400676</v>
      </c>
      <c r="V22" s="133">
        <f>IF(SER_hh_fec!V22=0,0,11630*1000*SER_hh_fec!V22/SER_hh_num!V22)</f>
        <v>21940.904253718705</v>
      </c>
      <c r="W22" s="133">
        <f>IF(SER_hh_fec!W22=0,0,11630*1000*SER_hh_fec!W22/SER_hh_num!W22)</f>
        <v>24642.69687499437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14180.130667921156</v>
      </c>
      <c r="C23" s="133">
        <f>IF(SER_hh_fec!C23=0,0,11630*1000*SER_hh_fec!C23/SER_hh_num!C23)</f>
        <v>16839.194664450224</v>
      </c>
      <c r="D23" s="133">
        <f>IF(SER_hh_fec!D23=0,0,11630*1000*SER_hh_fec!D23/SER_hh_num!D23)</f>
        <v>18530.130068530485</v>
      </c>
      <c r="E23" s="133">
        <f>IF(SER_hh_fec!E23=0,0,11630*1000*SER_hh_fec!E23/SER_hh_num!E23)</f>
        <v>21940.905058876509</v>
      </c>
      <c r="F23" s="133">
        <f>IF(SER_hh_fec!F23=0,0,11630*1000*SER_hh_fec!F23/SER_hh_num!F23)</f>
        <v>21796.162288150368</v>
      </c>
      <c r="G23" s="133">
        <f>IF(SER_hh_fec!G23=0,0,11630*1000*SER_hh_fec!G23/SER_hh_num!G23)</f>
        <v>22099.479641026548</v>
      </c>
      <c r="H23" s="133">
        <f>IF(SER_hh_fec!H23=0,0,11630*1000*SER_hh_fec!H23/SER_hh_num!H23)</f>
        <v>22669.091025376169</v>
      </c>
      <c r="I23" s="133">
        <f>IF(SER_hh_fec!I23=0,0,11630*1000*SER_hh_fec!I23/SER_hh_num!I23)</f>
        <v>23622.083105777638</v>
      </c>
      <c r="J23" s="133">
        <f>IF(SER_hh_fec!J23=0,0,11630*1000*SER_hh_fec!J23/SER_hh_num!J23)</f>
        <v>24542.957164505595</v>
      </c>
      <c r="K23" s="133">
        <f>IF(SER_hh_fec!K23=0,0,11630*1000*SER_hh_fec!K23/SER_hh_num!K23)</f>
        <v>23832.777590710932</v>
      </c>
      <c r="L23" s="133">
        <f>IF(SER_hh_fec!L23=0,0,11630*1000*SER_hh_fec!L23/SER_hh_num!L23)</f>
        <v>24947.30328937466</v>
      </c>
      <c r="M23" s="133">
        <f>IF(SER_hh_fec!M23=0,0,11630*1000*SER_hh_fec!M23/SER_hh_num!M23)</f>
        <v>24427.114553433938</v>
      </c>
      <c r="N23" s="133">
        <f>IF(SER_hh_fec!N23=0,0,11630*1000*SER_hh_fec!N23/SER_hh_num!N23)</f>
        <v>23967.261037505159</v>
      </c>
      <c r="O23" s="133">
        <f>IF(SER_hh_fec!O23=0,0,11630*1000*SER_hh_fec!O23/SER_hh_num!O23)</f>
        <v>24148.391032255895</v>
      </c>
      <c r="P23" s="133">
        <f>IF(SER_hh_fec!P23=0,0,11630*1000*SER_hh_fec!P23/SER_hh_num!P23)</f>
        <v>24202.407232775844</v>
      </c>
      <c r="Q23" s="133">
        <f>IF(SER_hh_fec!Q23=0,0,11630*1000*SER_hh_fec!Q23/SER_hh_num!Q23)</f>
        <v>24856.51119274868</v>
      </c>
      <c r="R23" s="133">
        <f>IF(SER_hh_fec!R23=0,0,11630*1000*SER_hh_fec!R23/SER_hh_num!R23)</f>
        <v>25957.008504487534</v>
      </c>
      <c r="S23" s="133">
        <f>IF(SER_hh_fec!S23=0,0,11630*1000*SER_hh_fec!S23/SER_hh_num!S23)</f>
        <v>22758.819130273521</v>
      </c>
      <c r="T23" s="133">
        <f>IF(SER_hh_fec!T23=0,0,11630*1000*SER_hh_fec!T23/SER_hh_num!T23)</f>
        <v>23218.745427429425</v>
      </c>
      <c r="U23" s="133">
        <f>IF(SER_hh_fec!U23=0,0,11630*1000*SER_hh_fec!U23/SER_hh_num!U23)</f>
        <v>21577.866140298105</v>
      </c>
      <c r="V23" s="133">
        <f>IF(SER_hh_fec!V23=0,0,11630*1000*SER_hh_fec!V23/SER_hh_num!V23)</f>
        <v>19127.10363194118</v>
      </c>
      <c r="W23" s="133">
        <f>IF(SER_hh_fec!W23=0,0,11630*1000*SER_hh_fec!W23/SER_hh_num!W23)</f>
        <v>25937.018175493053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17765.06961010319</v>
      </c>
      <c r="C24" s="133">
        <f>IF(SER_hh_fec!C24=0,0,11630*1000*SER_hh_fec!C24/SER_hh_num!C24)</f>
        <v>18460.780577345053</v>
      </c>
      <c r="D24" s="133">
        <f>IF(SER_hh_fec!D24=0,0,11630*1000*SER_hh_fec!D24/SER_hh_num!D24)</f>
        <v>22804.440209786073</v>
      </c>
      <c r="E24" s="133">
        <f>IF(SER_hh_fec!E24=0,0,11630*1000*SER_hh_fec!E24/SER_hh_num!E24)</f>
        <v>23635.766395383551</v>
      </c>
      <c r="F24" s="133">
        <f>IF(SER_hh_fec!F24=0,0,11630*1000*SER_hh_fec!F24/SER_hh_num!F24)</f>
        <v>24030.006707944267</v>
      </c>
      <c r="G24" s="133">
        <f>IF(SER_hh_fec!G24=0,0,11630*1000*SER_hh_fec!G24/SER_hh_num!G24)</f>
        <v>23004.059138783294</v>
      </c>
      <c r="H24" s="133">
        <f>IF(SER_hh_fec!H24=0,0,11630*1000*SER_hh_fec!H24/SER_hh_num!H24)</f>
        <v>23912.204975663866</v>
      </c>
      <c r="I24" s="133">
        <f>IF(SER_hh_fec!I24=0,0,11630*1000*SER_hh_fec!I24/SER_hh_num!I24)</f>
        <v>25604.707896025073</v>
      </c>
      <c r="J24" s="133">
        <f>IF(SER_hh_fec!J24=0,0,11630*1000*SER_hh_fec!J24/SER_hh_num!J24)</f>
        <v>25474.740227752674</v>
      </c>
      <c r="K24" s="133">
        <f>IF(SER_hh_fec!K24=0,0,11630*1000*SER_hh_fec!K24/SER_hh_num!K24)</f>
        <v>24463.426080612626</v>
      </c>
      <c r="L24" s="133">
        <f>IF(SER_hh_fec!L24=0,0,11630*1000*SER_hh_fec!L24/SER_hh_num!L24)</f>
        <v>23566.152533636629</v>
      </c>
      <c r="M24" s="133">
        <f>IF(SER_hh_fec!M24=0,0,11630*1000*SER_hh_fec!M24/SER_hh_num!M24)</f>
        <v>23105.693359983401</v>
      </c>
      <c r="N24" s="133">
        <f>IF(SER_hh_fec!N24=0,0,11630*1000*SER_hh_fec!N24/SER_hh_num!N24)</f>
        <v>22920.298032378982</v>
      </c>
      <c r="O24" s="133">
        <f>IF(SER_hh_fec!O24=0,0,11630*1000*SER_hh_fec!O24/SER_hh_num!O24)</f>
        <v>22431.572099176748</v>
      </c>
      <c r="P24" s="133">
        <f>IF(SER_hh_fec!P24=0,0,11630*1000*SER_hh_fec!P24/SER_hh_num!P24)</f>
        <v>21734.981727528499</v>
      </c>
      <c r="Q24" s="133">
        <f>IF(SER_hh_fec!Q24=0,0,11630*1000*SER_hh_fec!Q24/SER_hh_num!Q24)</f>
        <v>22040.505918110946</v>
      </c>
      <c r="R24" s="133">
        <f>IF(SER_hh_fec!R24=0,0,11630*1000*SER_hh_fec!R24/SER_hh_num!R24)</f>
        <v>23508.261831270302</v>
      </c>
      <c r="S24" s="133">
        <f>IF(SER_hh_fec!S24=0,0,11630*1000*SER_hh_fec!S24/SER_hh_num!S24)</f>
        <v>23179.711620293816</v>
      </c>
      <c r="T24" s="133">
        <f>IF(SER_hh_fec!T24=0,0,11630*1000*SER_hh_fec!T24/SER_hh_num!T24)</f>
        <v>19929.391014275316</v>
      </c>
      <c r="U24" s="133">
        <f>IF(SER_hh_fec!U24=0,0,11630*1000*SER_hh_fec!U24/SER_hh_num!U24)</f>
        <v>18780.075217841037</v>
      </c>
      <c r="V24" s="133">
        <f>IF(SER_hh_fec!V24=0,0,11630*1000*SER_hh_fec!V24/SER_hh_num!V24)</f>
        <v>19509.854134178724</v>
      </c>
      <c r="W24" s="133">
        <f>IF(SER_hh_fec!W24=0,0,11630*1000*SER_hh_fec!W24/SER_hh_num!W24)</f>
        <v>20797.131453360886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10034.014314158152</v>
      </c>
      <c r="C25" s="133">
        <f>IF(SER_hh_fec!C25=0,0,11630*1000*SER_hh_fec!C25/SER_hh_num!C25)</f>
        <v>11217.320201246923</v>
      </c>
      <c r="D25" s="133">
        <f>IF(SER_hh_fec!D25=0,0,11630*1000*SER_hh_fec!D25/SER_hh_num!D25)</f>
        <v>13068.557004731429</v>
      </c>
      <c r="E25" s="133">
        <f>IF(SER_hh_fec!E25=0,0,11630*1000*SER_hh_fec!E25/SER_hh_num!E25)</f>
        <v>13624.873990419923</v>
      </c>
      <c r="F25" s="133">
        <f>IF(SER_hh_fec!F25=0,0,11630*1000*SER_hh_fec!F25/SER_hh_num!F25)</f>
        <v>15847.135865857133</v>
      </c>
      <c r="G25" s="133">
        <f>IF(SER_hh_fec!G25=0,0,11630*1000*SER_hh_fec!G25/SER_hh_num!G25)</f>
        <v>15826.742253640872</v>
      </c>
      <c r="H25" s="133">
        <f>IF(SER_hh_fec!H25=0,0,11630*1000*SER_hh_fec!H25/SER_hh_num!H25)</f>
        <v>16355.326961295583</v>
      </c>
      <c r="I25" s="133">
        <f>IF(SER_hh_fec!I25=0,0,11630*1000*SER_hh_fec!I25/SER_hh_num!I25)</f>
        <v>17104.040120587484</v>
      </c>
      <c r="J25" s="133">
        <f>IF(SER_hh_fec!J25=0,0,11630*1000*SER_hh_fec!J25/SER_hh_num!J25)</f>
        <v>17778.493293894513</v>
      </c>
      <c r="K25" s="133">
        <f>IF(SER_hh_fec!K25=0,0,11630*1000*SER_hh_fec!K25/SER_hh_num!K25)</f>
        <v>17958.005054860409</v>
      </c>
      <c r="L25" s="133">
        <f>IF(SER_hh_fec!L25=0,0,11630*1000*SER_hh_fec!L25/SER_hh_num!L25)</f>
        <v>17853.585644811075</v>
      </c>
      <c r="M25" s="133">
        <f>IF(SER_hh_fec!M25=0,0,11630*1000*SER_hh_fec!M25/SER_hh_num!M25)</f>
        <v>17795.814070364053</v>
      </c>
      <c r="N25" s="133">
        <f>IF(SER_hh_fec!N25=0,0,11630*1000*SER_hh_fec!N25/SER_hh_num!N25)</f>
        <v>18044.975964728746</v>
      </c>
      <c r="O25" s="133">
        <f>IF(SER_hh_fec!O25=0,0,11630*1000*SER_hh_fec!O25/SER_hh_num!O25)</f>
        <v>18622.303496286073</v>
      </c>
      <c r="P25" s="133">
        <f>IF(SER_hh_fec!P25=0,0,11630*1000*SER_hh_fec!P25/SER_hh_num!P25)</f>
        <v>18218.947939644739</v>
      </c>
      <c r="Q25" s="133">
        <f>IF(SER_hh_fec!Q25=0,0,11630*1000*SER_hh_fec!Q25/SER_hh_num!Q25)</f>
        <v>17857.11709224631</v>
      </c>
      <c r="R25" s="133">
        <f>IF(SER_hh_fec!R25=0,0,11630*1000*SER_hh_fec!R25/SER_hh_num!R25)</f>
        <v>18231.204795783018</v>
      </c>
      <c r="S25" s="133">
        <f>IF(SER_hh_fec!S25=0,0,11630*1000*SER_hh_fec!S25/SER_hh_num!S25)</f>
        <v>20926.861230674524</v>
      </c>
      <c r="T25" s="133">
        <f>IF(SER_hh_fec!T25=0,0,11630*1000*SER_hh_fec!T25/SER_hh_num!T25)</f>
        <v>17078.222604193448</v>
      </c>
      <c r="U25" s="133">
        <f>IF(SER_hh_fec!U25=0,0,11630*1000*SER_hh_fec!U25/SER_hh_num!U25)</f>
        <v>17303.074239856342</v>
      </c>
      <c r="V25" s="133">
        <f>IF(SER_hh_fec!V25=0,0,11630*1000*SER_hh_fec!V25/SER_hh_num!V25)</f>
        <v>17732.936391805353</v>
      </c>
      <c r="W25" s="133">
        <f>IF(SER_hh_fec!W25=0,0,11630*1000*SER_hh_fec!W25/SER_hh_num!W25)</f>
        <v>15099.717301758626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12870.260488908149</v>
      </c>
      <c r="C26" s="65">
        <f>IF(SER_hh_fec!C26=0,0,11630*1000*SER_hh_fec!C26/SER_hh_num!C26)</f>
        <v>13071.355408234196</v>
      </c>
      <c r="D26" s="65">
        <f>IF(SER_hh_fec!D26=0,0,11630*1000*SER_hh_fec!D26/SER_hh_num!D26)</f>
        <v>17412.446615774217</v>
      </c>
      <c r="E26" s="65">
        <f>IF(SER_hh_fec!E26=0,0,11630*1000*SER_hh_fec!E26/SER_hh_num!E26)</f>
        <v>16099.289742712042</v>
      </c>
      <c r="F26" s="65">
        <f>IF(SER_hh_fec!F26=0,0,11630*1000*SER_hh_fec!F26/SER_hh_num!F26)</f>
        <v>18349.630150670331</v>
      </c>
      <c r="G26" s="65">
        <f>IF(SER_hh_fec!G26=0,0,11630*1000*SER_hh_fec!G26/SER_hh_num!G26)</f>
        <v>18962.692486843494</v>
      </c>
      <c r="H26" s="65">
        <f>IF(SER_hh_fec!H26=0,0,11630*1000*SER_hh_fec!H26/SER_hh_num!H26)</f>
        <v>19627.361995553911</v>
      </c>
      <c r="I26" s="65">
        <f>IF(SER_hh_fec!I26=0,0,11630*1000*SER_hh_fec!I26/SER_hh_num!I26)</f>
        <v>21073.798466097614</v>
      </c>
      <c r="J26" s="65">
        <f>IF(SER_hh_fec!J26=0,0,11630*1000*SER_hh_fec!J26/SER_hh_num!J26)</f>
        <v>21242.420486866151</v>
      </c>
      <c r="K26" s="65">
        <f>IF(SER_hh_fec!K26=0,0,11630*1000*SER_hh_fec!K26/SER_hh_num!K26)</f>
        <v>21395.558227632835</v>
      </c>
      <c r="L26" s="65">
        <f>IF(SER_hh_fec!L26=0,0,11630*1000*SER_hh_fec!L26/SER_hh_num!L26)</f>
        <v>21074.527606705251</v>
      </c>
      <c r="M26" s="65">
        <f>IF(SER_hh_fec!M26=0,0,11630*1000*SER_hh_fec!M26/SER_hh_num!M26)</f>
        <v>21082.0878327348</v>
      </c>
      <c r="N26" s="65">
        <f>IF(SER_hh_fec!N26=0,0,11630*1000*SER_hh_fec!N26/SER_hh_num!N26)</f>
        <v>20281.522177835603</v>
      </c>
      <c r="O26" s="65">
        <f>IF(SER_hh_fec!O26=0,0,11630*1000*SER_hh_fec!O26/SER_hh_num!O26)</f>
        <v>21979.18093596019</v>
      </c>
      <c r="P26" s="65">
        <f>IF(SER_hh_fec!P26=0,0,11630*1000*SER_hh_fec!P26/SER_hh_num!P26)</f>
        <v>21231.979324651034</v>
      </c>
      <c r="Q26" s="65">
        <f>IF(SER_hh_fec!Q26=0,0,11630*1000*SER_hh_fec!Q26/SER_hh_num!Q26)</f>
        <v>21516.590470672145</v>
      </c>
      <c r="R26" s="65">
        <f>IF(SER_hh_fec!R26=0,0,11630*1000*SER_hh_fec!R26/SER_hh_num!R26)</f>
        <v>21111.660315307348</v>
      </c>
      <c r="S26" s="65">
        <f>IF(SER_hh_fec!S26=0,0,11630*1000*SER_hh_fec!S26/SER_hh_num!S26)</f>
        <v>19758.974117565551</v>
      </c>
      <c r="T26" s="65">
        <f>IF(SER_hh_fec!T26=0,0,11630*1000*SER_hh_fec!T26/SER_hh_num!T26)</f>
        <v>20348.853006850644</v>
      </c>
      <c r="U26" s="65">
        <f>IF(SER_hh_fec!U26=0,0,11630*1000*SER_hh_fec!U26/SER_hh_num!U26)</f>
        <v>19911.542231172556</v>
      </c>
      <c r="V26" s="65">
        <f>IF(SER_hh_fec!V26=0,0,11630*1000*SER_hh_fec!V26/SER_hh_num!V26)</f>
        <v>17513.297322858343</v>
      </c>
      <c r="W26" s="65">
        <f>IF(SER_hh_fec!W26=0,0,11630*1000*SER_hh_fec!W26/SER_hh_num!W26)</f>
        <v>18647.205510442029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0.87645224940867517</v>
      </c>
      <c r="E27" s="146">
        <f>IF(SER_hh_fec!E27=0,0,11630*1000*SER_hh_fec!E27/SER_hh_num!E19)</f>
        <v>0.86135355683329351</v>
      </c>
      <c r="F27" s="146">
        <f>IF(SER_hh_fec!F27=0,0,11630*1000*SER_hh_fec!F27/SER_hh_num!F19)</f>
        <v>3.3477482296028631</v>
      </c>
      <c r="G27" s="146">
        <f>IF(SER_hh_fec!G27=0,0,11630*1000*SER_hh_fec!G27/SER_hh_num!G19)</f>
        <v>4.9139185791831146</v>
      </c>
      <c r="H27" s="146">
        <f>IF(SER_hh_fec!H27=0,0,11630*1000*SER_hh_fec!H27/SER_hh_num!H19)</f>
        <v>8.675243379666588</v>
      </c>
      <c r="I27" s="146">
        <f>IF(SER_hh_fec!I27=0,0,11630*1000*SER_hh_fec!I27/SER_hh_num!I19)</f>
        <v>11.360834018469461</v>
      </c>
      <c r="J27" s="146">
        <f>IF(SER_hh_fec!J27=0,0,11630*1000*SER_hh_fec!J27/SER_hh_num!J19)</f>
        <v>39.391613909586525</v>
      </c>
      <c r="K27" s="146">
        <f>IF(SER_hh_fec!K27=0,0,11630*1000*SER_hh_fec!K27/SER_hh_num!K19)</f>
        <v>58.775327635670564</v>
      </c>
      <c r="L27" s="146">
        <f>IF(SER_hh_fec!L27=0,0,11630*1000*SER_hh_fec!L27/SER_hh_num!L19)</f>
        <v>70.707995817430202</v>
      </c>
      <c r="M27" s="146">
        <f>IF(SER_hh_fec!M27=0,0,11630*1000*SER_hh_fec!M27/SER_hh_num!M19)</f>
        <v>92.367429200276732</v>
      </c>
      <c r="N27" s="146">
        <f>IF(SER_hh_fec!N27=0,0,11630*1000*SER_hh_fec!N27/SER_hh_num!N19)</f>
        <v>110.81414877475738</v>
      </c>
      <c r="O27" s="146">
        <f>IF(SER_hh_fec!O27=0,0,11630*1000*SER_hh_fec!O27/SER_hh_num!O19)</f>
        <v>120.20138132143447</v>
      </c>
      <c r="P27" s="146">
        <f>IF(SER_hh_fec!P27=0,0,11630*1000*SER_hh_fec!P27/SER_hh_num!P19)</f>
        <v>131.41248218813698</v>
      </c>
      <c r="Q27" s="146">
        <f>IF(SER_hh_fec!Q27=0,0,11630*1000*SER_hh_fec!Q27/SER_hh_num!Q19)</f>
        <v>149.27803386617785</v>
      </c>
      <c r="R27" s="146">
        <f>IF(SER_hh_fec!R27=0,0,11630*1000*SER_hh_fec!R27/SER_hh_num!R19)</f>
        <v>157.2483485289693</v>
      </c>
      <c r="S27" s="146">
        <f>IF(SER_hh_fec!S27=0,0,11630*1000*SER_hh_fec!S27/SER_hh_num!S19)</f>
        <v>155.07740790242713</v>
      </c>
      <c r="T27" s="146">
        <f>IF(SER_hh_fec!T27=0,0,11630*1000*SER_hh_fec!T27/SER_hh_num!T19)</f>
        <v>156.35212574841205</v>
      </c>
      <c r="U27" s="146">
        <f>IF(SER_hh_fec!U27=0,0,11630*1000*SER_hh_fec!U27/SER_hh_num!U19)</f>
        <v>148.05036121428947</v>
      </c>
      <c r="V27" s="146">
        <f>IF(SER_hh_fec!V27=0,0,11630*1000*SER_hh_fec!V27/SER_hh_num!V19)</f>
        <v>139.73217239816927</v>
      </c>
      <c r="W27" s="146">
        <f>IF(SER_hh_fec!W27=0,0,11630*1000*SER_hh_fec!W27/SER_hh_num!W19)</f>
        <v>133.87936193683856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5324.6763461006231</v>
      </c>
      <c r="E28" s="147">
        <f>IF(SER_hh_fec!E27=0,0,11630*1000*SER_hh_fec!E27/SER_hh_num!E27)</f>
        <v>5686.249074740801</v>
      </c>
      <c r="F28" s="147">
        <f>IF(SER_hh_fec!F27=0,0,11630*1000*SER_hh_fec!F27/SER_hh_num!F27)</f>
        <v>6113.5585481182807</v>
      </c>
      <c r="G28" s="147">
        <f>IF(SER_hh_fec!G27=0,0,11630*1000*SER_hh_fec!G27/SER_hh_num!G27)</f>
        <v>6185.5830699898879</v>
      </c>
      <c r="H28" s="147">
        <f>IF(SER_hh_fec!H27=0,0,11630*1000*SER_hh_fec!H27/SER_hh_num!H27)</f>
        <v>6534.9467818219018</v>
      </c>
      <c r="I28" s="147">
        <f>IF(SER_hh_fec!I27=0,0,11630*1000*SER_hh_fec!I27/SER_hh_num!I27)</f>
        <v>6960.9545101645053</v>
      </c>
      <c r="J28" s="147">
        <f>IF(SER_hh_fec!J27=0,0,11630*1000*SER_hh_fec!J27/SER_hh_num!J27)</f>
        <v>7175.0607678022407</v>
      </c>
      <c r="K28" s="147">
        <f>IF(SER_hh_fec!K27=0,0,11630*1000*SER_hh_fec!K27/SER_hh_num!K27)</f>
        <v>7296.1232999574859</v>
      </c>
      <c r="L28" s="147">
        <f>IF(SER_hh_fec!L27=0,0,11630*1000*SER_hh_fec!L27/SER_hh_num!L27)</f>
        <v>7030.8460899582997</v>
      </c>
      <c r="M28" s="147">
        <f>IF(SER_hh_fec!M27=0,0,11630*1000*SER_hh_fec!M27/SER_hh_num!M27)</f>
        <v>7332.9612424300958</v>
      </c>
      <c r="N28" s="147">
        <f>IF(SER_hh_fec!N27=0,0,11630*1000*SER_hh_fec!N27/SER_hh_num!N27)</f>
        <v>7694.523437643963</v>
      </c>
      <c r="O28" s="147">
        <f>IF(SER_hh_fec!O27=0,0,11630*1000*SER_hh_fec!O27/SER_hh_num!O27)</f>
        <v>7704.9682967797326</v>
      </c>
      <c r="P28" s="147">
        <f>IF(SER_hh_fec!P27=0,0,11630*1000*SER_hh_fec!P27/SER_hh_num!P27)</f>
        <v>7814.7422323215487</v>
      </c>
      <c r="Q28" s="147">
        <f>IF(SER_hh_fec!Q27=0,0,11630*1000*SER_hh_fec!Q27/SER_hh_num!Q27)</f>
        <v>7824.4655029978394</v>
      </c>
      <c r="R28" s="147">
        <f>IF(SER_hh_fec!R27=0,0,11630*1000*SER_hh_fec!R27/SER_hh_num!R27)</f>
        <v>8053.4073183815271</v>
      </c>
      <c r="S28" s="147">
        <f>IF(SER_hh_fec!S27=0,0,11630*1000*SER_hh_fec!S27/SER_hh_num!S27)</f>
        <v>8076.0366522418408</v>
      </c>
      <c r="T28" s="147">
        <f>IF(SER_hh_fec!T27=0,0,11630*1000*SER_hh_fec!T27/SER_hh_num!T27)</f>
        <v>6795.7542133673587</v>
      </c>
      <c r="U28" s="147">
        <f>IF(SER_hh_fec!U27=0,0,11630*1000*SER_hh_fec!U27/SER_hh_num!U27)</f>
        <v>7433.2958479990612</v>
      </c>
      <c r="V28" s="147">
        <f>IF(SER_hh_fec!V27=0,0,11630*1000*SER_hh_fec!V27/SER_hh_num!V27)</f>
        <v>7019.7044941232652</v>
      </c>
      <c r="W28" s="147">
        <f>IF(SER_hh_fec!W27=0,0,11630*1000*SER_hh_fec!W27/SER_hh_num!W27)</f>
        <v>7916.7930980700821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14733.773848366154</v>
      </c>
      <c r="C29" s="131">
        <f>IF(SER_hh_fec!C29=0,0,11630*1000*SER_hh_fec!C29/SER_hh_num!C29)</f>
        <v>17188.359297836188</v>
      </c>
      <c r="D29" s="131">
        <f>IF(SER_hh_fec!D29=0,0,11630*1000*SER_hh_fec!D29/SER_hh_num!D29)</f>
        <v>19567.957912085272</v>
      </c>
      <c r="E29" s="131">
        <f>IF(SER_hh_fec!E29=0,0,11630*1000*SER_hh_fec!E29/SER_hh_num!E29)</f>
        <v>21703.574602410841</v>
      </c>
      <c r="F29" s="131">
        <f>IF(SER_hh_fec!F29=0,0,11630*1000*SER_hh_fec!F29/SER_hh_num!F29)</f>
        <v>21893.311723063067</v>
      </c>
      <c r="G29" s="131">
        <f>IF(SER_hh_fec!G29=0,0,11630*1000*SER_hh_fec!G29/SER_hh_num!G29)</f>
        <v>22229.000776441786</v>
      </c>
      <c r="H29" s="131">
        <f>IF(SER_hh_fec!H29=0,0,11630*1000*SER_hh_fec!H29/SER_hh_num!H29)</f>
        <v>22632.386018961322</v>
      </c>
      <c r="I29" s="131">
        <f>IF(SER_hh_fec!I29=0,0,11630*1000*SER_hh_fec!I29/SER_hh_num!I29)</f>
        <v>23443.200939038848</v>
      </c>
      <c r="J29" s="131">
        <f>IF(SER_hh_fec!J29=0,0,11630*1000*SER_hh_fec!J29/SER_hh_num!J29)</f>
        <v>23697.684836225788</v>
      </c>
      <c r="K29" s="131">
        <f>IF(SER_hh_fec!K29=0,0,11630*1000*SER_hh_fec!K29/SER_hh_num!K29)</f>
        <v>23056.644167087608</v>
      </c>
      <c r="L29" s="131">
        <f>IF(SER_hh_fec!L29=0,0,11630*1000*SER_hh_fec!L29/SER_hh_num!L29)</f>
        <v>23310.779611488841</v>
      </c>
      <c r="M29" s="131">
        <f>IF(SER_hh_fec!M29=0,0,11630*1000*SER_hh_fec!M29/SER_hh_num!M29)</f>
        <v>23367.858336306002</v>
      </c>
      <c r="N29" s="131">
        <f>IF(SER_hh_fec!N29=0,0,11630*1000*SER_hh_fec!N29/SER_hh_num!N29)</f>
        <v>23069.017486644014</v>
      </c>
      <c r="O29" s="131">
        <f>IF(SER_hh_fec!O29=0,0,11630*1000*SER_hh_fec!O29/SER_hh_num!O29)</f>
        <v>23046.075790457689</v>
      </c>
      <c r="P29" s="131">
        <f>IF(SER_hh_fec!P29=0,0,11630*1000*SER_hh_fec!P29/SER_hh_num!P29)</f>
        <v>22836.396703596809</v>
      </c>
      <c r="Q29" s="131">
        <f>IF(SER_hh_fec!Q29=0,0,11630*1000*SER_hh_fec!Q29/SER_hh_num!Q29)</f>
        <v>22696.336196499829</v>
      </c>
      <c r="R29" s="131">
        <f>IF(SER_hh_fec!R29=0,0,11630*1000*SER_hh_fec!R29/SER_hh_num!R29)</f>
        <v>22436.495645099756</v>
      </c>
      <c r="S29" s="131">
        <f>IF(SER_hh_fec!S29=0,0,11630*1000*SER_hh_fec!S29/SER_hh_num!S29)</f>
        <v>21698.074786023542</v>
      </c>
      <c r="T29" s="131">
        <f>IF(SER_hh_fec!T29=0,0,11630*1000*SER_hh_fec!T29/SER_hh_num!T29)</f>
        <v>21526.784813291022</v>
      </c>
      <c r="U29" s="131">
        <f>IF(SER_hh_fec!U29=0,0,11630*1000*SER_hh_fec!U29/SER_hh_num!U29)</f>
        <v>21312.397807226891</v>
      </c>
      <c r="V29" s="131">
        <f>IF(SER_hh_fec!V29=0,0,11630*1000*SER_hh_fec!V29/SER_hh_num!V29)</f>
        <v>19604.865279531914</v>
      </c>
      <c r="W29" s="131">
        <f>IF(SER_hh_fec!W29=0,0,11630*1000*SER_hh_fec!W29/SER_hh_num!W29)</f>
        <v>20036.025782211505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8225.7380499603751</v>
      </c>
      <c r="C30" s="133">
        <f>IF(SER_hh_fec!C30=0,0,11630*1000*SER_hh_fec!C30/SER_hh_num!C30)</f>
        <v>25412.455392836877</v>
      </c>
      <c r="D30" s="133">
        <f>IF(SER_hh_fec!D30=0,0,11630*1000*SER_hh_fec!D30/SER_hh_num!D30)</f>
        <v>20737.083885963697</v>
      </c>
      <c r="E30" s="133">
        <f>IF(SER_hh_fec!E30=0,0,11630*1000*SER_hh_fec!E30/SER_hh_num!E30)</f>
        <v>30277.501047978687</v>
      </c>
      <c r="F30" s="133">
        <f>IF(SER_hh_fec!F30=0,0,11630*1000*SER_hh_fec!F30/SER_hh_num!F30)</f>
        <v>27258.498442219818</v>
      </c>
      <c r="G30" s="133">
        <f>IF(SER_hh_fec!G30=0,0,11630*1000*SER_hh_fec!G30/SER_hh_num!G30)</f>
        <v>26273.240847844347</v>
      </c>
      <c r="H30" s="133">
        <f>IF(SER_hh_fec!H30=0,0,11630*1000*SER_hh_fec!H30/SER_hh_num!H30)</f>
        <v>29358.569038094996</v>
      </c>
      <c r="I30" s="133">
        <f>IF(SER_hh_fec!I30=0,0,11630*1000*SER_hh_fec!I30/SER_hh_num!I30)</f>
        <v>31216.433828686913</v>
      </c>
      <c r="J30" s="133">
        <f>IF(SER_hh_fec!J30=0,0,11630*1000*SER_hh_fec!J30/SER_hh_num!J30)</f>
        <v>30659.590615953577</v>
      </c>
      <c r="K30" s="133">
        <f>IF(SER_hh_fec!K30=0,0,11630*1000*SER_hh_fec!K30/SER_hh_num!K30)</f>
        <v>26683.232793893123</v>
      </c>
      <c r="L30" s="133">
        <f>IF(SER_hh_fec!L30=0,0,11630*1000*SER_hh_fec!L30/SER_hh_num!L30)</f>
        <v>25426.916088638722</v>
      </c>
      <c r="M30" s="133">
        <f>IF(SER_hh_fec!M30=0,0,11630*1000*SER_hh_fec!M30/SER_hh_num!M30)</f>
        <v>27342.169230138192</v>
      </c>
      <c r="N30" s="133">
        <f>IF(SER_hh_fec!N30=0,0,11630*1000*SER_hh_fec!N30/SER_hh_num!N30)</f>
        <v>28411.260946667338</v>
      </c>
      <c r="O30" s="133">
        <f>IF(SER_hh_fec!O30=0,0,11630*1000*SER_hh_fec!O30/SER_hh_num!O30)</f>
        <v>29086.048273641234</v>
      </c>
      <c r="P30" s="133">
        <f>IF(SER_hh_fec!P30=0,0,11630*1000*SER_hh_fec!P30/SER_hh_num!P30)</f>
        <v>25103.005011904974</v>
      </c>
      <c r="Q30" s="133">
        <f>IF(SER_hh_fec!Q30=0,0,11630*1000*SER_hh_fec!Q30/SER_hh_num!Q30)</f>
        <v>27739.896448194071</v>
      </c>
      <c r="R30" s="133">
        <f>IF(SER_hh_fec!R30=0,0,11630*1000*SER_hh_fec!R30/SER_hh_num!R30)</f>
        <v>28575.247115006088</v>
      </c>
      <c r="S30" s="133">
        <f>IF(SER_hh_fec!S30=0,0,11630*1000*SER_hh_fec!S30/SER_hh_num!S30)</f>
        <v>27699.130891617344</v>
      </c>
      <c r="T30" s="133">
        <f>IF(SER_hh_fec!T30=0,0,11630*1000*SER_hh_fec!T30/SER_hh_num!T30)</f>
        <v>26400.427071688522</v>
      </c>
      <c r="U30" s="133">
        <f>IF(SER_hh_fec!U30=0,0,11630*1000*SER_hh_fec!U30/SER_hh_num!U30)</f>
        <v>30812.624158429047</v>
      </c>
      <c r="V30" s="133">
        <f>IF(SER_hh_fec!V30=0,0,11630*1000*SER_hh_fec!V30/SER_hh_num!V30)</f>
        <v>21471.066816544844</v>
      </c>
      <c r="W30" s="133">
        <f>IF(SER_hh_fec!W30=0,0,11630*1000*SER_hh_fec!W30/SER_hh_num!W30)</f>
        <v>20973.918474761373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17968.28587825752</v>
      </c>
      <c r="C31" s="133">
        <f>IF(SER_hh_fec!C31=0,0,11630*1000*SER_hh_fec!C31/SER_hh_num!C31)</f>
        <v>21209.137214529437</v>
      </c>
      <c r="D31" s="133">
        <f>IF(SER_hh_fec!D31=0,0,11630*1000*SER_hh_fec!D31/SER_hh_num!D31)</f>
        <v>23935.699826903845</v>
      </c>
      <c r="E31" s="133">
        <f>IF(SER_hh_fec!E31=0,0,11630*1000*SER_hh_fec!E31/SER_hh_num!E31)</f>
        <v>26205.333265643127</v>
      </c>
      <c r="F31" s="133">
        <f>IF(SER_hh_fec!F31=0,0,11630*1000*SER_hh_fec!F31/SER_hh_num!F31)</f>
        <v>26109.549478173729</v>
      </c>
      <c r="G31" s="133">
        <f>IF(SER_hh_fec!G31=0,0,11630*1000*SER_hh_fec!G31/SER_hh_num!G31)</f>
        <v>27301.540244838583</v>
      </c>
      <c r="H31" s="133">
        <f>IF(SER_hh_fec!H31=0,0,11630*1000*SER_hh_fec!H31/SER_hh_num!H31)</f>
        <v>28039.819261876957</v>
      </c>
      <c r="I31" s="133">
        <f>IF(SER_hh_fec!I31=0,0,11630*1000*SER_hh_fec!I31/SER_hh_num!I31)</f>
        <v>28437.554362372572</v>
      </c>
      <c r="J31" s="133">
        <f>IF(SER_hh_fec!J31=0,0,11630*1000*SER_hh_fec!J31/SER_hh_num!J31)</f>
        <v>28642.384388058505</v>
      </c>
      <c r="K31" s="133">
        <f>IF(SER_hh_fec!K31=0,0,11630*1000*SER_hh_fec!K31/SER_hh_num!K31)</f>
        <v>28393.862686879329</v>
      </c>
      <c r="L31" s="133">
        <f>IF(SER_hh_fec!L31=0,0,11630*1000*SER_hh_fec!L31/SER_hh_num!L31)</f>
        <v>27055.474634239265</v>
      </c>
      <c r="M31" s="133">
        <f>IF(SER_hh_fec!M31=0,0,11630*1000*SER_hh_fec!M31/SER_hh_num!M31)</f>
        <v>28536.2689346113</v>
      </c>
      <c r="N31" s="133">
        <f>IF(SER_hh_fec!N31=0,0,11630*1000*SER_hh_fec!N31/SER_hh_num!N31)</f>
        <v>29152.210434395543</v>
      </c>
      <c r="O31" s="133">
        <f>IF(SER_hh_fec!O31=0,0,11630*1000*SER_hh_fec!O31/SER_hh_num!O31)</f>
        <v>28321.494133920987</v>
      </c>
      <c r="P31" s="133">
        <f>IF(SER_hh_fec!P31=0,0,11630*1000*SER_hh_fec!P31/SER_hh_num!P31)</f>
        <v>27709.164774193519</v>
      </c>
      <c r="Q31" s="133">
        <f>IF(SER_hh_fec!Q31=0,0,11630*1000*SER_hh_fec!Q31/SER_hh_num!Q31)</f>
        <v>28391.804190091152</v>
      </c>
      <c r="R31" s="133">
        <f>IF(SER_hh_fec!R31=0,0,11630*1000*SER_hh_fec!R31/SER_hh_num!R31)</f>
        <v>27602.346956176989</v>
      </c>
      <c r="S31" s="133">
        <f>IF(SER_hh_fec!S31=0,0,11630*1000*SER_hh_fec!S31/SER_hh_num!S31)</f>
        <v>26562.292858856086</v>
      </c>
      <c r="T31" s="133">
        <f>IF(SER_hh_fec!T31=0,0,11630*1000*SER_hh_fec!T31/SER_hh_num!T31)</f>
        <v>26444.303427864135</v>
      </c>
      <c r="U31" s="133">
        <f>IF(SER_hh_fec!U31=0,0,11630*1000*SER_hh_fec!U31/SER_hh_num!U31)</f>
        <v>26716.183549607416</v>
      </c>
      <c r="V31" s="133">
        <f>IF(SER_hh_fec!V31=0,0,11630*1000*SER_hh_fec!V31/SER_hh_num!V31)</f>
        <v>22091.327664265955</v>
      </c>
      <c r="W31" s="133">
        <f>IF(SER_hh_fec!W31=0,0,11630*1000*SER_hh_fec!W31/SER_hh_num!W31)</f>
        <v>30067.680722964829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14105.789103513938</v>
      </c>
      <c r="C33" s="68">
        <f>IF(SER_hh_fec!C33=0,0,11630*1000*SER_hh_fec!C33/SER_hh_num!C33)</f>
        <v>16053.72450070527</v>
      </c>
      <c r="D33" s="68">
        <f>IF(SER_hh_fec!D33=0,0,11630*1000*SER_hh_fec!D33/SER_hh_num!D33)</f>
        <v>18473.534601033993</v>
      </c>
      <c r="E33" s="68">
        <f>IF(SER_hh_fec!E33=0,0,11630*1000*SER_hh_fec!E33/SER_hh_num!E33)</f>
        <v>20123.152118988539</v>
      </c>
      <c r="F33" s="68">
        <f>IF(SER_hh_fec!F33=0,0,11630*1000*SER_hh_fec!F33/SER_hh_num!F33)</f>
        <v>20494.836012894211</v>
      </c>
      <c r="G33" s="68">
        <f>IF(SER_hh_fec!G33=0,0,11630*1000*SER_hh_fec!G33/SER_hh_num!G33)</f>
        <v>20615.064459567893</v>
      </c>
      <c r="H33" s="68">
        <f>IF(SER_hh_fec!H33=0,0,11630*1000*SER_hh_fec!H33/SER_hh_num!H33)</f>
        <v>20733.270818751778</v>
      </c>
      <c r="I33" s="68">
        <f>IF(SER_hh_fec!I33=0,0,11630*1000*SER_hh_fec!I33/SER_hh_num!I33)</f>
        <v>21650.439381398781</v>
      </c>
      <c r="J33" s="68">
        <f>IF(SER_hh_fec!J33=0,0,11630*1000*SER_hh_fec!J33/SER_hh_num!J33)</f>
        <v>22084.280481723545</v>
      </c>
      <c r="K33" s="68">
        <f>IF(SER_hh_fec!K33=0,0,11630*1000*SER_hh_fec!K33/SER_hh_num!K33)</f>
        <v>21568.460742593063</v>
      </c>
      <c r="L33" s="68">
        <f>IF(SER_hh_fec!L33=0,0,11630*1000*SER_hh_fec!L33/SER_hh_num!L33)</f>
        <v>22244.209469166537</v>
      </c>
      <c r="M33" s="68">
        <f>IF(SER_hh_fec!M33=0,0,11630*1000*SER_hh_fec!M33/SER_hh_num!M33)</f>
        <v>21759.144042384818</v>
      </c>
      <c r="N33" s="68">
        <f>IF(SER_hh_fec!N33=0,0,11630*1000*SER_hh_fec!N33/SER_hh_num!N33)</f>
        <v>21013.515005150242</v>
      </c>
      <c r="O33" s="68">
        <f>IF(SER_hh_fec!O33=0,0,11630*1000*SER_hh_fec!O33/SER_hh_num!O33)</f>
        <v>21112.873790663798</v>
      </c>
      <c r="P33" s="68">
        <f>IF(SER_hh_fec!P33=0,0,11630*1000*SER_hh_fec!P33/SER_hh_num!P33)</f>
        <v>21150.726209431959</v>
      </c>
      <c r="Q33" s="68">
        <f>IF(SER_hh_fec!Q33=0,0,11630*1000*SER_hh_fec!Q33/SER_hh_num!Q33)</f>
        <v>20642.676460506318</v>
      </c>
      <c r="R33" s="68">
        <f>IF(SER_hh_fec!R33=0,0,11630*1000*SER_hh_fec!R33/SER_hh_num!R33)</f>
        <v>20575.098512019158</v>
      </c>
      <c r="S33" s="68">
        <f>IF(SER_hh_fec!S33=0,0,11630*1000*SER_hh_fec!S33/SER_hh_num!S33)</f>
        <v>20003.391408632277</v>
      </c>
      <c r="T33" s="68">
        <f>IF(SER_hh_fec!T33=0,0,11630*1000*SER_hh_fec!T33/SER_hh_num!T33)</f>
        <v>19953.83911323662</v>
      </c>
      <c r="U33" s="68">
        <f>IF(SER_hh_fec!U33=0,0,11630*1000*SER_hh_fec!U33/SER_hh_num!U33)</f>
        <v>19435.198047068709</v>
      </c>
      <c r="V33" s="68">
        <f>IF(SER_hh_fec!V33=0,0,11630*1000*SER_hh_fec!V33/SER_hh_num!V33)</f>
        <v>18845.183625525038</v>
      </c>
      <c r="W33" s="68">
        <f>IF(SER_hh_fec!W33=0,0,11630*1000*SER_hh_fec!W33/SER_hh_num!W33)</f>
        <v>17220.842336341608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85146.996621212369</v>
      </c>
      <c r="C3" s="126">
        <f>IF(SER_hh_tes!C3=0,0,11630*1000*SER_hh_tes!C3/SER_hh_num!C3)</f>
        <v>94609.959554195026</v>
      </c>
      <c r="D3" s="126">
        <f>IF(SER_hh_tes!D3=0,0,11630*1000*SER_hh_tes!D3/SER_hh_num!D3)</f>
        <v>109201.24778128974</v>
      </c>
      <c r="E3" s="126">
        <f>IF(SER_hh_tes!E3=0,0,11630*1000*SER_hh_tes!E3/SER_hh_num!E3)</f>
        <v>111590.97705989232</v>
      </c>
      <c r="F3" s="126">
        <f>IF(SER_hh_tes!F3=0,0,11630*1000*SER_hh_tes!F3/SER_hh_num!F3)</f>
        <v>119007.83357278828</v>
      </c>
      <c r="G3" s="126">
        <f>IF(SER_hh_tes!G3=0,0,11630*1000*SER_hh_tes!G3/SER_hh_num!G3)</f>
        <v>115973.52133419612</v>
      </c>
      <c r="H3" s="126">
        <f>IF(SER_hh_tes!H3=0,0,11630*1000*SER_hh_tes!H3/SER_hh_num!H3)</f>
        <v>127536.82811903763</v>
      </c>
      <c r="I3" s="126">
        <f>IF(SER_hh_tes!I3=0,0,11630*1000*SER_hh_tes!I3/SER_hh_num!I3)</f>
        <v>113502.68659499841</v>
      </c>
      <c r="J3" s="126">
        <f>IF(SER_hh_tes!J3=0,0,11630*1000*SER_hh_tes!J3/SER_hh_num!J3)</f>
        <v>128189.23357832014</v>
      </c>
      <c r="K3" s="126">
        <f>IF(SER_hh_tes!K3=0,0,11630*1000*SER_hh_tes!K3/SER_hh_num!K3)</f>
        <v>124941.48819315246</v>
      </c>
      <c r="L3" s="126">
        <f>IF(SER_hh_tes!L3=0,0,11630*1000*SER_hh_tes!L3/SER_hh_num!L3)</f>
        <v>141268.03525997666</v>
      </c>
      <c r="M3" s="126">
        <f>IF(SER_hh_tes!M3=0,0,11630*1000*SER_hh_tes!M3/SER_hh_num!M3)</f>
        <v>130050.53301253388</v>
      </c>
      <c r="N3" s="126">
        <f>IF(SER_hh_tes!N3=0,0,11630*1000*SER_hh_tes!N3/SER_hh_num!N3)</f>
        <v>127572.44593882535</v>
      </c>
      <c r="O3" s="126">
        <f>IF(SER_hh_tes!O3=0,0,11630*1000*SER_hh_tes!O3/SER_hh_num!O3)</f>
        <v>122476.57353320409</v>
      </c>
      <c r="P3" s="126">
        <f>IF(SER_hh_tes!P3=0,0,11630*1000*SER_hh_tes!P3/SER_hh_num!P3)</f>
        <v>113577.69651954672</v>
      </c>
      <c r="Q3" s="126">
        <f>IF(SER_hh_tes!Q3=0,0,11630*1000*SER_hh_tes!Q3/SER_hh_num!Q3)</f>
        <v>112597.05943509794</v>
      </c>
      <c r="R3" s="126">
        <f>IF(SER_hh_tes!R3=0,0,11630*1000*SER_hh_tes!R3/SER_hh_num!R3)</f>
        <v>123592.3082479412</v>
      </c>
      <c r="S3" s="126">
        <f>IF(SER_hh_tes!S3=0,0,11630*1000*SER_hh_tes!S3/SER_hh_num!S3)</f>
        <v>114516.19428906708</v>
      </c>
      <c r="T3" s="126">
        <f>IF(SER_hh_tes!T3=0,0,11630*1000*SER_hh_tes!T3/SER_hh_num!T3)</f>
        <v>111777.60561659373</v>
      </c>
      <c r="U3" s="126">
        <f>IF(SER_hh_tes!U3=0,0,11630*1000*SER_hh_tes!U3/SER_hh_num!U3)</f>
        <v>110522.58487250721</v>
      </c>
      <c r="V3" s="126">
        <f>IF(SER_hh_tes!V3=0,0,11630*1000*SER_hh_tes!V3/SER_hh_num!V3)</f>
        <v>106389.13215678996</v>
      </c>
      <c r="W3" s="126">
        <f>IF(SER_hh_tes!W3=0,0,11630*1000*SER_hh_tes!W3/SER_hh_num!W3)</f>
        <v>119485.69282523375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65119.49266760303</v>
      </c>
      <c r="C4" s="131">
        <f>IF(SER_hh_tes!C4=0,0,11630*1000*SER_hh_tes!C4/SER_hh_num!C4)</f>
        <v>72062.461368551594</v>
      </c>
      <c r="D4" s="131">
        <f>IF(SER_hh_tes!D4=0,0,11630*1000*SER_hh_tes!D4/SER_hh_num!D4)</f>
        <v>82967.800280323921</v>
      </c>
      <c r="E4" s="131">
        <f>IF(SER_hh_tes!E4=0,0,11630*1000*SER_hh_tes!E4/SER_hh_num!E4)</f>
        <v>83106.832527047402</v>
      </c>
      <c r="F4" s="131">
        <f>IF(SER_hh_tes!F4=0,0,11630*1000*SER_hh_tes!F4/SER_hh_num!F4)</f>
        <v>89370.866111378302</v>
      </c>
      <c r="G4" s="131">
        <f>IF(SER_hh_tes!G4=0,0,11630*1000*SER_hh_tes!G4/SER_hh_num!G4)</f>
        <v>85799.126886934886</v>
      </c>
      <c r="H4" s="131">
        <f>IF(SER_hh_tes!H4=0,0,11630*1000*SER_hh_tes!H4/SER_hh_num!H4)</f>
        <v>96060.735787330661</v>
      </c>
      <c r="I4" s="131">
        <f>IF(SER_hh_tes!I4=0,0,11630*1000*SER_hh_tes!I4/SER_hh_num!I4)</f>
        <v>80312.095316380437</v>
      </c>
      <c r="J4" s="131">
        <f>IF(SER_hh_tes!J4=0,0,11630*1000*SER_hh_tes!J4/SER_hh_num!J4)</f>
        <v>94100.421748279696</v>
      </c>
      <c r="K4" s="131">
        <f>IF(SER_hh_tes!K4=0,0,11630*1000*SER_hh_tes!K4/SER_hh_num!K4)</f>
        <v>90906.15851935184</v>
      </c>
      <c r="L4" s="131">
        <f>IF(SER_hh_tes!L4=0,0,11630*1000*SER_hh_tes!L4/SER_hh_num!L4)</f>
        <v>106246.06809685206</v>
      </c>
      <c r="M4" s="131">
        <f>IF(SER_hh_tes!M4=0,0,11630*1000*SER_hh_tes!M4/SER_hh_num!M4)</f>
        <v>95279.25224552014</v>
      </c>
      <c r="N4" s="131">
        <f>IF(SER_hh_tes!N4=0,0,11630*1000*SER_hh_tes!N4/SER_hh_num!N4)</f>
        <v>92645.039612868088</v>
      </c>
      <c r="O4" s="131">
        <f>IF(SER_hh_tes!O4=0,0,11630*1000*SER_hh_tes!O4/SER_hh_num!O4)</f>
        <v>87062.33293365319</v>
      </c>
      <c r="P4" s="131">
        <f>IF(SER_hh_tes!P4=0,0,11630*1000*SER_hh_tes!P4/SER_hh_num!P4)</f>
        <v>78317.608495936438</v>
      </c>
      <c r="Q4" s="131">
        <f>IF(SER_hh_tes!Q4=0,0,11630*1000*SER_hh_tes!Q4/SER_hh_num!Q4)</f>
        <v>76609.920526929651</v>
      </c>
      <c r="R4" s="131">
        <f>IF(SER_hh_tes!R4=0,0,11630*1000*SER_hh_tes!R4/SER_hh_num!R4)</f>
        <v>87896.758805500882</v>
      </c>
      <c r="S4" s="131">
        <f>IF(SER_hh_tes!S4=0,0,11630*1000*SER_hh_tes!S4/SER_hh_num!S4)</f>
        <v>79411.384915367482</v>
      </c>
      <c r="T4" s="131">
        <f>IF(SER_hh_tes!T4=0,0,11630*1000*SER_hh_tes!T4/SER_hh_num!T4)</f>
        <v>76815.346196569066</v>
      </c>
      <c r="U4" s="131">
        <f>IF(SER_hh_tes!U4=0,0,11630*1000*SER_hh_tes!U4/SER_hh_num!U4)</f>
        <v>75368.125247554184</v>
      </c>
      <c r="V4" s="131">
        <f>IF(SER_hh_tes!V4=0,0,11630*1000*SER_hh_tes!V4/SER_hh_num!V4)</f>
        <v>73763.963417577877</v>
      </c>
      <c r="W4" s="131">
        <f>IF(SER_hh_tes!W4=0,0,11630*1000*SER_hh_tes!W4/SER_hh_num!W4)</f>
        <v>85347.842881288394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71871.186210138359</v>
      </c>
      <c r="C5" s="133">
        <f>IF(SER_hh_tes!C5=0,0,11630*1000*SER_hh_tes!C5/SER_hh_num!C5)</f>
        <v>53739.448658773355</v>
      </c>
      <c r="D5" s="133">
        <f>IF(SER_hh_tes!D5=0,0,11630*1000*SER_hh_tes!D5/SER_hh_num!D5)</f>
        <v>89957.020501659252</v>
      </c>
      <c r="E5" s="133">
        <f>IF(SER_hh_tes!E5=0,0,11630*1000*SER_hh_tes!E5/SER_hh_num!E5)</f>
        <v>88093.504537276822</v>
      </c>
      <c r="F5" s="133">
        <f>IF(SER_hh_tes!F5=0,0,11630*1000*SER_hh_tes!F5/SER_hh_num!F5)</f>
        <v>83947.36069984753</v>
      </c>
      <c r="G5" s="133">
        <f>IF(SER_hh_tes!G5=0,0,11630*1000*SER_hh_tes!G5/SER_hh_num!G5)</f>
        <v>83536.921928711847</v>
      </c>
      <c r="H5" s="133">
        <f>IF(SER_hh_tes!H5=0,0,11630*1000*SER_hh_tes!H5/SER_hh_num!H5)</f>
        <v>96253.923521637611</v>
      </c>
      <c r="I5" s="133">
        <f>IF(SER_hh_tes!I5=0,0,11630*1000*SER_hh_tes!I5/SER_hh_num!I5)</f>
        <v>80583.754307361552</v>
      </c>
      <c r="J5" s="133">
        <f>IF(SER_hh_tes!J5=0,0,11630*1000*SER_hh_tes!J5/SER_hh_num!J5)</f>
        <v>88696.031106872208</v>
      </c>
      <c r="K5" s="133">
        <f>IF(SER_hh_tes!K5=0,0,11630*1000*SER_hh_tes!K5/SER_hh_num!K5)</f>
        <v>93683.496382382771</v>
      </c>
      <c r="L5" s="133">
        <f>IF(SER_hh_tes!L5=0,0,11630*1000*SER_hh_tes!L5/SER_hh_num!L5)</f>
        <v>105928.47152426191</v>
      </c>
      <c r="M5" s="133">
        <f>IF(SER_hh_tes!M5=0,0,11630*1000*SER_hh_tes!M5/SER_hh_num!M5)</f>
        <v>92498.25293921541</v>
      </c>
      <c r="N5" s="133">
        <f>IF(SER_hh_tes!N5=0,0,11630*1000*SER_hh_tes!N5/SER_hh_num!N5)</f>
        <v>93737.29201139693</v>
      </c>
      <c r="O5" s="133">
        <f>IF(SER_hh_tes!O5=0,0,11630*1000*SER_hh_tes!O5/SER_hh_num!O5)</f>
        <v>87502.832140721177</v>
      </c>
      <c r="P5" s="133">
        <f>IF(SER_hh_tes!P5=0,0,11630*1000*SER_hh_tes!P5/SER_hh_num!P5)</f>
        <v>78077.37225835392</v>
      </c>
      <c r="Q5" s="133">
        <f>IF(SER_hh_tes!Q5=0,0,11630*1000*SER_hh_tes!Q5/SER_hh_num!Q5)</f>
        <v>76730.168190005279</v>
      </c>
      <c r="R5" s="133">
        <f>IF(SER_hh_tes!R5=0,0,11630*1000*SER_hh_tes!R5/SER_hh_num!R5)</f>
        <v>82398.690749594578</v>
      </c>
      <c r="S5" s="133">
        <f>IF(SER_hh_tes!S5=0,0,11630*1000*SER_hh_tes!S5/SER_hh_num!S5)</f>
        <v>82976.186826909354</v>
      </c>
      <c r="T5" s="133">
        <f>IF(SER_hh_tes!T5=0,0,11630*1000*SER_hh_tes!T5/SER_hh_num!T5)</f>
        <v>79878.874247522894</v>
      </c>
      <c r="U5" s="133">
        <f>IF(SER_hh_tes!U5=0,0,11630*1000*SER_hh_tes!U5/SER_hh_num!U5)</f>
        <v>67703.972892549122</v>
      </c>
      <c r="V5" s="133">
        <f>IF(SER_hh_tes!V5=0,0,11630*1000*SER_hh_tes!V5/SER_hh_num!V5)</f>
        <v>71418.428939475198</v>
      </c>
      <c r="W5" s="133">
        <f>IF(SER_hh_tes!W5=0,0,11630*1000*SER_hh_tes!W5/SER_hh_num!W5)</f>
        <v>90008.469006402447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60263.103302453739</v>
      </c>
      <c r="C7" s="133">
        <f>IF(SER_hh_tes!C7=0,0,11630*1000*SER_hh_tes!C7/SER_hh_num!C7)</f>
        <v>77030.997799317047</v>
      </c>
      <c r="D7" s="133">
        <f>IF(SER_hh_tes!D7=0,0,11630*1000*SER_hh_tes!D7/SER_hh_num!D7)</f>
        <v>83991.732294860063</v>
      </c>
      <c r="E7" s="133">
        <f>IF(SER_hh_tes!E7=0,0,11630*1000*SER_hh_tes!E7/SER_hh_num!E7)</f>
        <v>85445.284590251758</v>
      </c>
      <c r="F7" s="133">
        <f>IF(SER_hh_tes!F7=0,0,11630*1000*SER_hh_tes!F7/SER_hh_num!F7)</f>
        <v>80566.654596358829</v>
      </c>
      <c r="G7" s="133">
        <f>IF(SER_hh_tes!G7=0,0,11630*1000*SER_hh_tes!G7/SER_hh_num!G7)</f>
        <v>63708.388269642943</v>
      </c>
      <c r="H7" s="133">
        <f>IF(SER_hh_tes!H7=0,0,11630*1000*SER_hh_tes!H7/SER_hh_num!H7)</f>
        <v>101402.61228624625</v>
      </c>
      <c r="I7" s="133">
        <f>IF(SER_hh_tes!I7=0,0,11630*1000*SER_hh_tes!I7/SER_hh_num!I7)</f>
        <v>90220.204234739402</v>
      </c>
      <c r="J7" s="133">
        <f>IF(SER_hh_tes!J7=0,0,11630*1000*SER_hh_tes!J7/SER_hh_num!J7)</f>
        <v>89026.880380059694</v>
      </c>
      <c r="K7" s="133">
        <f>IF(SER_hh_tes!K7=0,0,11630*1000*SER_hh_tes!K7/SER_hh_num!K7)</f>
        <v>84825.11003751737</v>
      </c>
      <c r="L7" s="133">
        <f>IF(SER_hh_tes!L7=0,0,11630*1000*SER_hh_tes!L7/SER_hh_num!L7)</f>
        <v>109142.30680398032</v>
      </c>
      <c r="M7" s="133">
        <f>IF(SER_hh_tes!M7=0,0,11630*1000*SER_hh_tes!M7/SER_hh_num!M7)</f>
        <v>105990.61756389796</v>
      </c>
      <c r="N7" s="133">
        <f>IF(SER_hh_tes!N7=0,0,11630*1000*SER_hh_tes!N7/SER_hh_num!N7)</f>
        <v>84888.695754421715</v>
      </c>
      <c r="O7" s="133">
        <f>IF(SER_hh_tes!O7=0,0,11630*1000*SER_hh_tes!O7/SER_hh_num!O7)</f>
        <v>76843.065337488064</v>
      </c>
      <c r="P7" s="133">
        <f>IF(SER_hh_tes!P7=0,0,11630*1000*SER_hh_tes!P7/SER_hh_num!P7)</f>
        <v>78121.915177981951</v>
      </c>
      <c r="Q7" s="133">
        <f>IF(SER_hh_tes!Q7=0,0,11630*1000*SER_hh_tes!Q7/SER_hh_num!Q7)</f>
        <v>77595.220870981779</v>
      </c>
      <c r="R7" s="133">
        <f>IF(SER_hh_tes!R7=0,0,11630*1000*SER_hh_tes!R7/SER_hh_num!R7)</f>
        <v>78215.180616189828</v>
      </c>
      <c r="S7" s="133">
        <f>IF(SER_hh_tes!S7=0,0,11630*1000*SER_hh_tes!S7/SER_hh_num!S7)</f>
        <v>78868.256964049127</v>
      </c>
      <c r="T7" s="133">
        <f>IF(SER_hh_tes!T7=0,0,11630*1000*SER_hh_tes!T7/SER_hh_num!T7)</f>
        <v>80960.275241523545</v>
      </c>
      <c r="U7" s="133">
        <f>IF(SER_hh_tes!U7=0,0,11630*1000*SER_hh_tes!U7/SER_hh_num!U7)</f>
        <v>71575.908632483945</v>
      </c>
      <c r="V7" s="133">
        <f>IF(SER_hh_tes!V7=0,0,11630*1000*SER_hh_tes!V7/SER_hh_num!V7)</f>
        <v>74018.860717851654</v>
      </c>
      <c r="W7" s="133">
        <f>IF(SER_hh_tes!W7=0,0,11630*1000*SER_hh_tes!W7/SER_hh_num!W7)</f>
        <v>84136.554492515061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62559.842069724065</v>
      </c>
      <c r="C8" s="133">
        <f>IF(SER_hh_tes!C8=0,0,11630*1000*SER_hh_tes!C8/SER_hh_num!C8)</f>
        <v>74139.649411234655</v>
      </c>
      <c r="D8" s="133">
        <f>IF(SER_hh_tes!D8=0,0,11630*1000*SER_hh_tes!D8/SER_hh_num!D8)</f>
        <v>79441.065026474025</v>
      </c>
      <c r="E8" s="133">
        <f>IF(SER_hh_tes!E8=0,0,11630*1000*SER_hh_tes!E8/SER_hh_num!E8)</f>
        <v>85690.340111581871</v>
      </c>
      <c r="F8" s="133">
        <f>IF(SER_hh_tes!F8=0,0,11630*1000*SER_hh_tes!F8/SER_hh_num!F8)</f>
        <v>86519.489854082785</v>
      </c>
      <c r="G8" s="133">
        <f>IF(SER_hh_tes!G8=0,0,11630*1000*SER_hh_tes!G8/SER_hh_num!G8)</f>
        <v>87196.89850478388</v>
      </c>
      <c r="H8" s="133">
        <f>IF(SER_hh_tes!H8=0,0,11630*1000*SER_hh_tes!H8/SER_hh_num!H8)</f>
        <v>87274.186901832669</v>
      </c>
      <c r="I8" s="133">
        <f>IF(SER_hh_tes!I8=0,0,11630*1000*SER_hh_tes!I8/SER_hh_num!I8)</f>
        <v>86819.901668981474</v>
      </c>
      <c r="J8" s="133">
        <f>IF(SER_hh_tes!J8=0,0,11630*1000*SER_hh_tes!J8/SER_hh_num!J8)</f>
        <v>92009.146467782411</v>
      </c>
      <c r="K8" s="133">
        <f>IF(SER_hh_tes!K8=0,0,11630*1000*SER_hh_tes!K8/SER_hh_num!K8)</f>
        <v>98562.496972333116</v>
      </c>
      <c r="L8" s="133">
        <f>IF(SER_hh_tes!L8=0,0,11630*1000*SER_hh_tes!L8/SER_hh_num!L8)</f>
        <v>100093.93672158537</v>
      </c>
      <c r="M8" s="133">
        <f>IF(SER_hh_tes!M8=0,0,11630*1000*SER_hh_tes!M8/SER_hh_num!M8)</f>
        <v>87681.338587314749</v>
      </c>
      <c r="N8" s="133">
        <f>IF(SER_hh_tes!N8=0,0,11630*1000*SER_hh_tes!N8/SER_hh_num!N8)</f>
        <v>88446.58029802487</v>
      </c>
      <c r="O8" s="133">
        <f>IF(SER_hh_tes!O8=0,0,11630*1000*SER_hh_tes!O8/SER_hh_num!O8)</f>
        <v>76441.394414351205</v>
      </c>
      <c r="P8" s="133">
        <f>IF(SER_hh_tes!P8=0,0,11630*1000*SER_hh_tes!P8/SER_hh_num!P8)</f>
        <v>86140.968783462915</v>
      </c>
      <c r="Q8" s="133">
        <f>IF(SER_hh_tes!Q8=0,0,11630*1000*SER_hh_tes!Q8/SER_hh_num!Q8)</f>
        <v>82835.344591397356</v>
      </c>
      <c r="R8" s="133">
        <f>IF(SER_hh_tes!R8=0,0,11630*1000*SER_hh_tes!R8/SER_hh_num!R8)</f>
        <v>84324.415293812301</v>
      </c>
      <c r="S8" s="133">
        <f>IF(SER_hh_tes!S8=0,0,11630*1000*SER_hh_tes!S8/SER_hh_num!S8)</f>
        <v>77370.072051496914</v>
      </c>
      <c r="T8" s="133">
        <f>IF(SER_hh_tes!T8=0,0,11630*1000*SER_hh_tes!T8/SER_hh_num!T8)</f>
        <v>74212.23509801396</v>
      </c>
      <c r="U8" s="133">
        <f>IF(SER_hh_tes!U8=0,0,11630*1000*SER_hh_tes!U8/SER_hh_num!U8)</f>
        <v>72990.68699242291</v>
      </c>
      <c r="V8" s="133">
        <f>IF(SER_hh_tes!V8=0,0,11630*1000*SER_hh_tes!V8/SER_hh_num!V8)</f>
        <v>74162.940392851611</v>
      </c>
      <c r="W8" s="133">
        <f>IF(SER_hh_tes!W8=0,0,11630*1000*SER_hh_tes!W8/SER_hh_num!W8)</f>
        <v>88032.042390855975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59707.183935194298</v>
      </c>
      <c r="C9" s="133">
        <f>IF(SER_hh_tes!C9=0,0,11630*1000*SER_hh_tes!C9/SER_hh_num!C9)</f>
        <v>74178.296761737234</v>
      </c>
      <c r="D9" s="133">
        <f>IF(SER_hh_tes!D9=0,0,11630*1000*SER_hh_tes!D9/SER_hh_num!D9)</f>
        <v>84166.4424409684</v>
      </c>
      <c r="E9" s="133">
        <f>IF(SER_hh_tes!E9=0,0,11630*1000*SER_hh_tes!E9/SER_hh_num!E9)</f>
        <v>86166.116484279642</v>
      </c>
      <c r="F9" s="133">
        <f>IF(SER_hh_tes!F9=0,0,11630*1000*SER_hh_tes!F9/SER_hh_num!F9)</f>
        <v>89536.605782117127</v>
      </c>
      <c r="G9" s="133">
        <f>IF(SER_hh_tes!G9=0,0,11630*1000*SER_hh_tes!G9/SER_hh_num!G9)</f>
        <v>89681.228946109448</v>
      </c>
      <c r="H9" s="133">
        <f>IF(SER_hh_tes!H9=0,0,11630*1000*SER_hh_tes!H9/SER_hh_num!H9)</f>
        <v>84545.238354846981</v>
      </c>
      <c r="I9" s="133">
        <f>IF(SER_hh_tes!I9=0,0,11630*1000*SER_hh_tes!I9/SER_hh_num!I9)</f>
        <v>84367.174899717487</v>
      </c>
      <c r="J9" s="133">
        <f>IF(SER_hh_tes!J9=0,0,11630*1000*SER_hh_tes!J9/SER_hh_num!J9)</f>
        <v>88334.894878370978</v>
      </c>
      <c r="K9" s="133">
        <f>IF(SER_hh_tes!K9=0,0,11630*1000*SER_hh_tes!K9/SER_hh_num!K9)</f>
        <v>89980.629433031005</v>
      </c>
      <c r="L9" s="133">
        <f>IF(SER_hh_tes!L9=0,0,11630*1000*SER_hh_tes!L9/SER_hh_num!L9)</f>
        <v>104650.81850528893</v>
      </c>
      <c r="M9" s="133">
        <f>IF(SER_hh_tes!M9=0,0,11630*1000*SER_hh_tes!M9/SER_hh_num!M9)</f>
        <v>91801.106301698223</v>
      </c>
      <c r="N9" s="133">
        <f>IF(SER_hh_tes!N9=0,0,11630*1000*SER_hh_tes!N9/SER_hh_num!N9)</f>
        <v>92658.014996750513</v>
      </c>
      <c r="O9" s="133">
        <f>IF(SER_hh_tes!O9=0,0,11630*1000*SER_hh_tes!O9/SER_hh_num!O9)</f>
        <v>87796.635009454796</v>
      </c>
      <c r="P9" s="133">
        <f>IF(SER_hh_tes!P9=0,0,11630*1000*SER_hh_tes!P9/SER_hh_num!P9)</f>
        <v>72871.390697640963</v>
      </c>
      <c r="Q9" s="133">
        <f>IF(SER_hh_tes!Q9=0,0,11630*1000*SER_hh_tes!Q9/SER_hh_num!Q9)</f>
        <v>78422.045508662181</v>
      </c>
      <c r="R9" s="133">
        <f>IF(SER_hh_tes!R9=0,0,11630*1000*SER_hh_tes!R9/SER_hh_num!R9)</f>
        <v>94646.219404333257</v>
      </c>
      <c r="S9" s="133">
        <f>IF(SER_hh_tes!S9=0,0,11630*1000*SER_hh_tes!S9/SER_hh_num!S9)</f>
        <v>73767.411429766638</v>
      </c>
      <c r="T9" s="133">
        <f>IF(SER_hh_tes!T9=0,0,11630*1000*SER_hh_tes!T9/SER_hh_num!T9)</f>
        <v>72505.47310055641</v>
      </c>
      <c r="U9" s="133">
        <f>IF(SER_hh_tes!U9=0,0,11630*1000*SER_hh_tes!U9/SER_hh_num!U9)</f>
        <v>76157.201378180005</v>
      </c>
      <c r="V9" s="133">
        <f>IF(SER_hh_tes!V9=0,0,11630*1000*SER_hh_tes!V9/SER_hh_num!V9)</f>
        <v>67865.376171867538</v>
      </c>
      <c r="W9" s="133">
        <f>IF(SER_hh_tes!W9=0,0,11630*1000*SER_hh_tes!W9/SER_hh_num!W9)</f>
        <v>94896.452987750279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74226.34986349463</v>
      </c>
      <c r="C10" s="133">
        <f>IF(SER_hh_tes!C10=0,0,11630*1000*SER_hh_tes!C10/SER_hh_num!C10)</f>
        <v>63234.388508006072</v>
      </c>
      <c r="D10" s="133">
        <f>IF(SER_hh_tes!D10=0,0,11630*1000*SER_hh_tes!D10/SER_hh_num!D10)</f>
        <v>73605.980562867524</v>
      </c>
      <c r="E10" s="133">
        <f>IF(SER_hh_tes!E10=0,0,11630*1000*SER_hh_tes!E10/SER_hh_num!E10)</f>
        <v>81217.298725436718</v>
      </c>
      <c r="F10" s="133">
        <f>IF(SER_hh_tes!F10=0,0,11630*1000*SER_hh_tes!F10/SER_hh_num!F10)</f>
        <v>88944.577497702121</v>
      </c>
      <c r="G10" s="133">
        <f>IF(SER_hh_tes!G10=0,0,11630*1000*SER_hh_tes!G10/SER_hh_num!G10)</f>
        <v>93899.567475266929</v>
      </c>
      <c r="H10" s="133">
        <f>IF(SER_hh_tes!H10=0,0,11630*1000*SER_hh_tes!H10/SER_hh_num!H10)</f>
        <v>70351.915512118023</v>
      </c>
      <c r="I10" s="133">
        <f>IF(SER_hh_tes!I10=0,0,11630*1000*SER_hh_tes!I10/SER_hh_num!I10)</f>
        <v>85862.906552435161</v>
      </c>
      <c r="J10" s="133">
        <f>IF(SER_hh_tes!J10=0,0,11630*1000*SER_hh_tes!J10/SER_hh_num!J10)</f>
        <v>76995.11613098497</v>
      </c>
      <c r="K10" s="133">
        <f>IF(SER_hh_tes!K10=0,0,11630*1000*SER_hh_tes!K10/SER_hh_num!K10)</f>
        <v>98752.077593364942</v>
      </c>
      <c r="L10" s="133">
        <f>IF(SER_hh_tes!L10=0,0,11630*1000*SER_hh_tes!L10/SER_hh_num!L10)</f>
        <v>106401.53886664631</v>
      </c>
      <c r="M10" s="133">
        <f>IF(SER_hh_tes!M10=0,0,11630*1000*SER_hh_tes!M10/SER_hh_num!M10)</f>
        <v>97876.979837376348</v>
      </c>
      <c r="N10" s="133">
        <f>IF(SER_hh_tes!N10=0,0,11630*1000*SER_hh_tes!N10/SER_hh_num!N10)</f>
        <v>84462.711449359456</v>
      </c>
      <c r="O10" s="133">
        <f>IF(SER_hh_tes!O10=0,0,11630*1000*SER_hh_tes!O10/SER_hh_num!O10)</f>
        <v>91769.941879059435</v>
      </c>
      <c r="P10" s="133">
        <f>IF(SER_hh_tes!P10=0,0,11630*1000*SER_hh_tes!P10/SER_hh_num!P10)</f>
        <v>76141.258197901072</v>
      </c>
      <c r="Q10" s="133">
        <f>IF(SER_hh_tes!Q10=0,0,11630*1000*SER_hh_tes!Q10/SER_hh_num!Q10)</f>
        <v>76886.186569977915</v>
      </c>
      <c r="R10" s="133">
        <f>IF(SER_hh_tes!R10=0,0,11630*1000*SER_hh_tes!R10/SER_hh_num!R10)</f>
        <v>84753.350908231077</v>
      </c>
      <c r="S10" s="133">
        <f>IF(SER_hh_tes!S10=0,0,11630*1000*SER_hh_tes!S10/SER_hh_num!S10)</f>
        <v>82013.005734768085</v>
      </c>
      <c r="T10" s="133">
        <f>IF(SER_hh_tes!T10=0,0,11630*1000*SER_hh_tes!T10/SER_hh_num!T10)</f>
        <v>76368.176178984024</v>
      </c>
      <c r="U10" s="133">
        <f>IF(SER_hh_tes!U10=0,0,11630*1000*SER_hh_tes!U10/SER_hh_num!U10)</f>
        <v>72430.153622774451</v>
      </c>
      <c r="V10" s="133">
        <f>IF(SER_hh_tes!V10=0,0,11630*1000*SER_hh_tes!V10/SER_hh_num!V10)</f>
        <v>75168.118826129139</v>
      </c>
      <c r="W10" s="133">
        <f>IF(SER_hh_tes!W10=0,0,11630*1000*SER_hh_tes!W10/SER_hh_num!W10)</f>
        <v>83898.664277766075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70365.854584251836</v>
      </c>
      <c r="C11" s="133">
        <f>IF(SER_hh_tes!C11=0,0,11630*1000*SER_hh_tes!C11/SER_hh_num!C11)</f>
        <v>51436.040490449486</v>
      </c>
      <c r="D11" s="133">
        <f>IF(SER_hh_tes!D11=0,0,11630*1000*SER_hh_tes!D11/SER_hh_num!D11)</f>
        <v>86650.947902012282</v>
      </c>
      <c r="E11" s="133">
        <f>IF(SER_hh_tes!E11=0,0,11630*1000*SER_hh_tes!E11/SER_hh_num!E11)</f>
        <v>92994.964783337171</v>
      </c>
      <c r="F11" s="133">
        <f>IF(SER_hh_tes!F11=0,0,11630*1000*SER_hh_tes!F11/SER_hh_num!F11)</f>
        <v>81277.774490745505</v>
      </c>
      <c r="G11" s="133">
        <f>IF(SER_hh_tes!G11=0,0,11630*1000*SER_hh_tes!G11/SER_hh_num!G11)</f>
        <v>92306.031908446501</v>
      </c>
      <c r="H11" s="133">
        <f>IF(SER_hh_tes!H11=0,0,11630*1000*SER_hh_tes!H11/SER_hh_num!H11)</f>
        <v>95145.145691272017</v>
      </c>
      <c r="I11" s="133">
        <f>IF(SER_hh_tes!I11=0,0,11630*1000*SER_hh_tes!I11/SER_hh_num!I11)</f>
        <v>70977.818552713812</v>
      </c>
      <c r="J11" s="133">
        <f>IF(SER_hh_tes!J11=0,0,11630*1000*SER_hh_tes!J11/SER_hh_num!J11)</f>
        <v>100345.2145286883</v>
      </c>
      <c r="K11" s="133">
        <f>IF(SER_hh_tes!K11=0,0,11630*1000*SER_hh_tes!K11/SER_hh_num!K11)</f>
        <v>104868.63274512676</v>
      </c>
      <c r="L11" s="133">
        <f>IF(SER_hh_tes!L11=0,0,11630*1000*SER_hh_tes!L11/SER_hh_num!L11)</f>
        <v>95255.879764272409</v>
      </c>
      <c r="M11" s="133">
        <f>IF(SER_hh_tes!M11=0,0,11630*1000*SER_hh_tes!M11/SER_hh_num!M11)</f>
        <v>72325.883481818484</v>
      </c>
      <c r="N11" s="133">
        <f>IF(SER_hh_tes!N11=0,0,11630*1000*SER_hh_tes!N11/SER_hh_num!N11)</f>
        <v>84089.313305019255</v>
      </c>
      <c r="O11" s="133">
        <f>IF(SER_hh_tes!O11=0,0,11630*1000*SER_hh_tes!O11/SER_hh_num!O11)</f>
        <v>92103.016309493774</v>
      </c>
      <c r="P11" s="133">
        <f>IF(SER_hh_tes!P11=0,0,11630*1000*SER_hh_tes!P11/SER_hh_num!P11)</f>
        <v>86544.275703845065</v>
      </c>
      <c r="Q11" s="133">
        <f>IF(SER_hh_tes!Q11=0,0,11630*1000*SER_hh_tes!Q11/SER_hh_num!Q11)</f>
        <v>80920.73275881412</v>
      </c>
      <c r="R11" s="133">
        <f>IF(SER_hh_tes!R11=0,0,11630*1000*SER_hh_tes!R11/SER_hh_num!R11)</f>
        <v>78449.01900871651</v>
      </c>
      <c r="S11" s="133">
        <f>IF(SER_hh_tes!S11=0,0,11630*1000*SER_hh_tes!S11/SER_hh_num!S11)</f>
        <v>77820.350307759887</v>
      </c>
      <c r="T11" s="133">
        <f>IF(SER_hh_tes!T11=0,0,11630*1000*SER_hh_tes!T11/SER_hh_num!T11)</f>
        <v>77195.31781485751</v>
      </c>
      <c r="U11" s="133">
        <f>IF(SER_hh_tes!U11=0,0,11630*1000*SER_hh_tes!U11/SER_hh_num!U11)</f>
        <v>76730.035481921339</v>
      </c>
      <c r="V11" s="133">
        <f>IF(SER_hh_tes!V11=0,0,11630*1000*SER_hh_tes!V11/SER_hh_num!V11)</f>
        <v>75082.976832736909</v>
      </c>
      <c r="W11" s="133">
        <f>IF(SER_hh_tes!W11=0,0,11630*1000*SER_hh_tes!W11/SER_hh_num!W11)</f>
        <v>81960.993591074002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63486.644596255719</v>
      </c>
      <c r="C12" s="133">
        <f>IF(SER_hh_tes!C12=0,0,11630*1000*SER_hh_tes!C12/SER_hh_num!C12)</f>
        <v>71077.962849319025</v>
      </c>
      <c r="D12" s="133">
        <f>IF(SER_hh_tes!D12=0,0,11630*1000*SER_hh_tes!D12/SER_hh_num!D12)</f>
        <v>84525.797199974928</v>
      </c>
      <c r="E12" s="133">
        <f>IF(SER_hh_tes!E12=0,0,11630*1000*SER_hh_tes!E12/SER_hh_num!E12)</f>
        <v>72822.274733320024</v>
      </c>
      <c r="F12" s="133">
        <f>IF(SER_hh_tes!F12=0,0,11630*1000*SER_hh_tes!F12/SER_hh_num!F12)</f>
        <v>97330.190572105872</v>
      </c>
      <c r="G12" s="133">
        <f>IF(SER_hh_tes!G12=0,0,11630*1000*SER_hh_tes!G12/SER_hh_num!G12)</f>
        <v>84240.875856452622</v>
      </c>
      <c r="H12" s="133">
        <f>IF(SER_hh_tes!H12=0,0,11630*1000*SER_hh_tes!H12/SER_hh_num!H12)</f>
        <v>102640.85538577933</v>
      </c>
      <c r="I12" s="133">
        <f>IF(SER_hh_tes!I12=0,0,11630*1000*SER_hh_tes!I12/SER_hh_num!I12)</f>
        <v>69337.054253327573</v>
      </c>
      <c r="J12" s="133">
        <f>IF(SER_hh_tes!J12=0,0,11630*1000*SER_hh_tes!J12/SER_hh_num!J12)</f>
        <v>99471.331153537249</v>
      </c>
      <c r="K12" s="133">
        <f>IF(SER_hh_tes!K12=0,0,11630*1000*SER_hh_tes!K12/SER_hh_num!K12)</f>
        <v>93684.305062924017</v>
      </c>
      <c r="L12" s="133">
        <f>IF(SER_hh_tes!L12=0,0,11630*1000*SER_hh_tes!L12/SER_hh_num!L12)</f>
        <v>104588.95185302099</v>
      </c>
      <c r="M12" s="133">
        <f>IF(SER_hh_tes!M12=0,0,11630*1000*SER_hh_tes!M12/SER_hh_num!M12)</f>
        <v>89707.349633507285</v>
      </c>
      <c r="N12" s="133">
        <f>IF(SER_hh_tes!N12=0,0,11630*1000*SER_hh_tes!N12/SER_hh_num!N12)</f>
        <v>89273.072325841596</v>
      </c>
      <c r="O12" s="133">
        <f>IF(SER_hh_tes!O12=0,0,11630*1000*SER_hh_tes!O12/SER_hh_num!O12)</f>
        <v>92059.770211818322</v>
      </c>
      <c r="P12" s="133">
        <f>IF(SER_hh_tes!P12=0,0,11630*1000*SER_hh_tes!P12/SER_hh_num!P12)</f>
        <v>79019.912332273074</v>
      </c>
      <c r="Q12" s="133">
        <f>IF(SER_hh_tes!Q12=0,0,11630*1000*SER_hh_tes!Q12/SER_hh_num!Q12)</f>
        <v>71937.487068923336</v>
      </c>
      <c r="R12" s="133">
        <f>IF(SER_hh_tes!R12=0,0,11630*1000*SER_hh_tes!R12/SER_hh_num!R12)</f>
        <v>84634.05760961608</v>
      </c>
      <c r="S12" s="133">
        <f>IF(SER_hh_tes!S12=0,0,11630*1000*SER_hh_tes!S12/SER_hh_num!S12)</f>
        <v>85271.750514799103</v>
      </c>
      <c r="T12" s="133">
        <f>IF(SER_hh_tes!T12=0,0,11630*1000*SER_hh_tes!T12/SER_hh_num!T12)</f>
        <v>72839.634549041322</v>
      </c>
      <c r="U12" s="133">
        <f>IF(SER_hh_tes!U12=0,0,11630*1000*SER_hh_tes!U12/SER_hh_num!U12)</f>
        <v>76590.254862869886</v>
      </c>
      <c r="V12" s="133">
        <f>IF(SER_hh_tes!V12=0,0,11630*1000*SER_hh_tes!V12/SER_hh_num!V12)</f>
        <v>78938.432888831361</v>
      </c>
      <c r="W12" s="133">
        <f>IF(SER_hh_tes!W12=0,0,11630*1000*SER_hh_tes!W12/SER_hh_num!W12)</f>
        <v>71531.613672566004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59847.251959361885</v>
      </c>
      <c r="C13" s="133">
        <f>IF(SER_hh_tes!C13=0,0,11630*1000*SER_hh_tes!C13/SER_hh_num!C13)</f>
        <v>77166.862938307822</v>
      </c>
      <c r="D13" s="133">
        <f>IF(SER_hh_tes!D13=0,0,11630*1000*SER_hh_tes!D13/SER_hh_num!D13)</f>
        <v>71098.954299219127</v>
      </c>
      <c r="E13" s="133">
        <f>IF(SER_hh_tes!E13=0,0,11630*1000*SER_hh_tes!E13/SER_hh_num!E13)</f>
        <v>81354.800671888777</v>
      </c>
      <c r="F13" s="133">
        <f>IF(SER_hh_tes!F13=0,0,11630*1000*SER_hh_tes!F13/SER_hh_num!F13)</f>
        <v>75544.274289976791</v>
      </c>
      <c r="G13" s="133">
        <f>IF(SER_hh_tes!G13=0,0,11630*1000*SER_hh_tes!G13/SER_hh_num!G13)</f>
        <v>85101.869257249651</v>
      </c>
      <c r="H13" s="133">
        <f>IF(SER_hh_tes!H13=0,0,11630*1000*SER_hh_tes!H13/SER_hh_num!H13)</f>
        <v>89616.40470609958</v>
      </c>
      <c r="I13" s="133">
        <f>IF(SER_hh_tes!I13=0,0,11630*1000*SER_hh_tes!I13/SER_hh_num!I13)</f>
        <v>89009.372588885992</v>
      </c>
      <c r="J13" s="133">
        <f>IF(SER_hh_tes!J13=0,0,11630*1000*SER_hh_tes!J13/SER_hh_num!J13)</f>
        <v>93682.906830359192</v>
      </c>
      <c r="K13" s="133">
        <f>IF(SER_hh_tes!K13=0,0,11630*1000*SER_hh_tes!K13/SER_hh_num!K13)</f>
        <v>97709.797731500439</v>
      </c>
      <c r="L13" s="133">
        <f>IF(SER_hh_tes!L13=0,0,11630*1000*SER_hh_tes!L13/SER_hh_num!L13)</f>
        <v>97343.999820970464</v>
      </c>
      <c r="M13" s="133">
        <f>IF(SER_hh_tes!M13=0,0,11630*1000*SER_hh_tes!M13/SER_hh_num!M13)</f>
        <v>92602.207092076365</v>
      </c>
      <c r="N13" s="133">
        <f>IF(SER_hh_tes!N13=0,0,11630*1000*SER_hh_tes!N13/SER_hh_num!N13)</f>
        <v>87917.574855769024</v>
      </c>
      <c r="O13" s="133">
        <f>IF(SER_hh_tes!O13=0,0,11630*1000*SER_hh_tes!O13/SER_hh_num!O13)</f>
        <v>74992.538540782407</v>
      </c>
      <c r="P13" s="133">
        <f>IF(SER_hh_tes!P13=0,0,11630*1000*SER_hh_tes!P13/SER_hh_num!P13)</f>
        <v>85079.712681774283</v>
      </c>
      <c r="Q13" s="133">
        <f>IF(SER_hh_tes!Q13=0,0,11630*1000*SER_hh_tes!Q13/SER_hh_num!Q13)</f>
        <v>82482.260208958862</v>
      </c>
      <c r="R13" s="133">
        <f>IF(SER_hh_tes!R13=0,0,11630*1000*SER_hh_tes!R13/SER_hh_num!R13)</f>
        <v>81924.829746667063</v>
      </c>
      <c r="S13" s="133">
        <f>IF(SER_hh_tes!S13=0,0,11630*1000*SER_hh_tes!S13/SER_hh_num!S13)</f>
        <v>79194.611703150455</v>
      </c>
      <c r="T13" s="133">
        <f>IF(SER_hh_tes!T13=0,0,11630*1000*SER_hh_tes!T13/SER_hh_num!T13)</f>
        <v>75825.900940561463</v>
      </c>
      <c r="U13" s="133">
        <f>IF(SER_hh_tes!U13=0,0,11630*1000*SER_hh_tes!U13/SER_hh_num!U13)</f>
        <v>75012.617508310344</v>
      </c>
      <c r="V13" s="133">
        <f>IF(SER_hh_tes!V13=0,0,11630*1000*SER_hh_tes!V13/SER_hh_num!V13)</f>
        <v>74590.724109044386</v>
      </c>
      <c r="W13" s="133">
        <f>IF(SER_hh_tes!W13=0,0,11630*1000*SER_hh_tes!W13/SER_hh_num!W13)</f>
        <v>85877.325368239573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65861.180089397763</v>
      </c>
      <c r="C14" s="65">
        <f>IF(SER_hh_tes!C14=0,0,11630*1000*SER_hh_tes!C14/SER_hh_num!C14)</f>
        <v>78091.496217675114</v>
      </c>
      <c r="D14" s="65">
        <f>IF(SER_hh_tes!D14=0,0,11630*1000*SER_hh_tes!D14/SER_hh_num!D14)</f>
        <v>70408.948335700465</v>
      </c>
      <c r="E14" s="65">
        <f>IF(SER_hh_tes!E14=0,0,11630*1000*SER_hh_tes!E14/SER_hh_num!E14)</f>
        <v>81760.406809380976</v>
      </c>
      <c r="F14" s="65">
        <f>IF(SER_hh_tes!F14=0,0,11630*1000*SER_hh_tes!F14/SER_hh_num!F14)</f>
        <v>79948.679481834581</v>
      </c>
      <c r="G14" s="65">
        <f>IF(SER_hh_tes!G14=0,0,11630*1000*SER_hh_tes!G14/SER_hh_num!G14)</f>
        <v>87043.808707192613</v>
      </c>
      <c r="H14" s="65">
        <f>IF(SER_hh_tes!H14=0,0,11630*1000*SER_hh_tes!H14/SER_hh_num!H14)</f>
        <v>99508.347778572192</v>
      </c>
      <c r="I14" s="65">
        <f>IF(SER_hh_tes!I14=0,0,11630*1000*SER_hh_tes!I14/SER_hh_num!I14)</f>
        <v>80132.838627534773</v>
      </c>
      <c r="J14" s="65">
        <f>IF(SER_hh_tes!J14=0,0,11630*1000*SER_hh_tes!J14/SER_hh_num!J14)</f>
        <v>99558.601994429278</v>
      </c>
      <c r="K14" s="65">
        <f>IF(SER_hh_tes!K14=0,0,11630*1000*SER_hh_tes!K14/SER_hh_num!K14)</f>
        <v>83549.971846434753</v>
      </c>
      <c r="L14" s="65">
        <f>IF(SER_hh_tes!L14=0,0,11630*1000*SER_hh_tes!L14/SER_hh_num!L14)</f>
        <v>104942.37818833096</v>
      </c>
      <c r="M14" s="65">
        <f>IF(SER_hh_tes!M14=0,0,11630*1000*SER_hh_tes!M14/SER_hh_num!M14)</f>
        <v>100295.73411632486</v>
      </c>
      <c r="N14" s="65">
        <f>IF(SER_hh_tes!N14=0,0,11630*1000*SER_hh_tes!N14/SER_hh_num!N14)</f>
        <v>95878.368316607637</v>
      </c>
      <c r="O14" s="65">
        <f>IF(SER_hh_tes!O14=0,0,11630*1000*SER_hh_tes!O14/SER_hh_num!O14)</f>
        <v>78491.116105312976</v>
      </c>
      <c r="P14" s="65">
        <f>IF(SER_hh_tes!P14=0,0,11630*1000*SER_hh_tes!P14/SER_hh_num!P14)</f>
        <v>83059.412022333418</v>
      </c>
      <c r="Q14" s="65">
        <f>IF(SER_hh_tes!Q14=0,0,11630*1000*SER_hh_tes!Q14/SER_hh_num!Q14)</f>
        <v>75458.108707221458</v>
      </c>
      <c r="R14" s="65">
        <f>IF(SER_hh_tes!R14=0,0,11630*1000*SER_hh_tes!R14/SER_hh_num!R14)</f>
        <v>85461.338612679392</v>
      </c>
      <c r="S14" s="65">
        <f>IF(SER_hh_tes!S14=0,0,11630*1000*SER_hh_tes!S14/SER_hh_num!S14)</f>
        <v>74655.447505126096</v>
      </c>
      <c r="T14" s="65">
        <f>IF(SER_hh_tes!T14=0,0,11630*1000*SER_hh_tes!T14/SER_hh_num!T14)</f>
        <v>80856.494116181726</v>
      </c>
      <c r="U14" s="65">
        <f>IF(SER_hh_tes!U14=0,0,11630*1000*SER_hh_tes!U14/SER_hh_num!U14)</f>
        <v>76045.137531744491</v>
      </c>
      <c r="V14" s="65">
        <f>IF(SER_hh_tes!V14=0,0,11630*1000*SER_hh_tes!V14/SER_hh_num!V14)</f>
        <v>73026.710878768659</v>
      </c>
      <c r="W14" s="65">
        <f>IF(SER_hh_tes!W14=0,0,11630*1000*SER_hh_tes!W14/SER_hh_num!W14)</f>
        <v>86008.888516478633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825.44848083974114</v>
      </c>
      <c r="C15" s="135">
        <f>IF(SER_hh_tes!C15=0,0,11630*1000*SER_hh_tes!C15/SER_hh_num!C15)</f>
        <v>924.71492720855645</v>
      </c>
      <c r="D15" s="135">
        <f>IF(SER_hh_tes!D15=0,0,11630*1000*SER_hh_tes!D15/SER_hh_num!D15)</f>
        <v>1083.5660039977515</v>
      </c>
      <c r="E15" s="135">
        <f>IF(SER_hh_tes!E15=0,0,11630*1000*SER_hh_tes!E15/SER_hh_num!E15)</f>
        <v>1064.5681760477892</v>
      </c>
      <c r="F15" s="135">
        <f>IF(SER_hh_tes!F15=0,0,11630*1000*SER_hh_tes!F15/SER_hh_num!F15)</f>
        <v>1066.0324961348981</v>
      </c>
      <c r="G15" s="135">
        <f>IF(SER_hh_tes!G15=0,0,11630*1000*SER_hh_tes!G15/SER_hh_num!G15)</f>
        <v>991.55100018718417</v>
      </c>
      <c r="H15" s="135">
        <f>IF(SER_hh_tes!H15=0,0,11630*1000*SER_hh_tes!H15/SER_hh_num!H15)</f>
        <v>1042.1777263291556</v>
      </c>
      <c r="I15" s="135">
        <f>IF(SER_hh_tes!I15=0,0,11630*1000*SER_hh_tes!I15/SER_hh_num!I15)</f>
        <v>947.57930567273797</v>
      </c>
      <c r="J15" s="135">
        <f>IF(SER_hh_tes!J15=0,0,11630*1000*SER_hh_tes!J15/SER_hh_num!J15)</f>
        <v>1019.6337521511258</v>
      </c>
      <c r="K15" s="135">
        <f>IF(SER_hh_tes!K15=0,0,11630*1000*SER_hh_tes!K15/SER_hh_num!K15)</f>
        <v>1027.8417150543594</v>
      </c>
      <c r="L15" s="135">
        <f>IF(SER_hh_tes!L15=0,0,11630*1000*SER_hh_tes!L15/SER_hh_num!L15)</f>
        <v>1185.1009382422144</v>
      </c>
      <c r="M15" s="135">
        <f>IF(SER_hh_tes!M15=0,0,11630*1000*SER_hh_tes!M15/SER_hh_num!M15)</f>
        <v>1056.9518718916208</v>
      </c>
      <c r="N15" s="135">
        <f>IF(SER_hh_tes!N15=0,0,11630*1000*SER_hh_tes!N15/SER_hh_num!N15)</f>
        <v>1011.3729149244392</v>
      </c>
      <c r="O15" s="135">
        <f>IF(SER_hh_tes!O15=0,0,11630*1000*SER_hh_tes!O15/SER_hh_num!O15)</f>
        <v>943.06481461722899</v>
      </c>
      <c r="P15" s="135">
        <f>IF(SER_hh_tes!P15=0,0,11630*1000*SER_hh_tes!P15/SER_hh_num!P15)</f>
        <v>810.61413592887573</v>
      </c>
      <c r="Q15" s="135">
        <f>IF(SER_hh_tes!Q15=0,0,11630*1000*SER_hh_tes!Q15/SER_hh_num!Q15)</f>
        <v>829.9306233006148</v>
      </c>
      <c r="R15" s="135">
        <f>IF(SER_hh_tes!R15=0,0,11630*1000*SER_hh_tes!R15/SER_hh_num!R15)</f>
        <v>947.18834470296622</v>
      </c>
      <c r="S15" s="135">
        <f>IF(SER_hh_tes!S15=0,0,11630*1000*SER_hh_tes!S15/SER_hh_num!S15)</f>
        <v>796.04305118682248</v>
      </c>
      <c r="T15" s="135">
        <f>IF(SER_hh_tes!T15=0,0,11630*1000*SER_hh_tes!T15/SER_hh_num!T15)</f>
        <v>756.98789120148751</v>
      </c>
      <c r="U15" s="135">
        <f>IF(SER_hh_tes!U15=0,0,11630*1000*SER_hh_tes!U15/SER_hh_num!U15)</f>
        <v>744.95300383499944</v>
      </c>
      <c r="V15" s="135">
        <f>IF(SER_hh_tes!V15=0,0,11630*1000*SER_hh_tes!V15/SER_hh_num!V15)</f>
        <v>709.23051974294719</v>
      </c>
      <c r="W15" s="135">
        <f>IF(SER_hh_tes!W15=0,0,11630*1000*SER_hh_tes!W15/SER_hh_num!W15)</f>
        <v>887.6037968102255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25306.246537016297</v>
      </c>
      <c r="C16" s="131">
        <f>IF(SER_hh_tes!C16=0,0,11630*1000*SER_hh_tes!C16/SER_hh_num!C16)</f>
        <v>25397.06537300938</v>
      </c>
      <c r="D16" s="131">
        <f>IF(SER_hh_tes!D16=0,0,11630*1000*SER_hh_tes!D16/SER_hh_num!D16)</f>
        <v>25835.031445280245</v>
      </c>
      <c r="E16" s="131">
        <f>IF(SER_hh_tes!E16=0,0,11630*1000*SER_hh_tes!E16/SER_hh_num!E16)</f>
        <v>25371.736352704684</v>
      </c>
      <c r="F16" s="131">
        <f>IF(SER_hh_tes!F16=0,0,11630*1000*SER_hh_tes!F16/SER_hh_num!F16)</f>
        <v>25306.50409749454</v>
      </c>
      <c r="G16" s="131">
        <f>IF(SER_hh_tes!G16=0,0,11630*1000*SER_hh_tes!G16/SER_hh_num!G16)</f>
        <v>25519.666452564379</v>
      </c>
      <c r="H16" s="131">
        <f>IF(SER_hh_tes!H16=0,0,11630*1000*SER_hh_tes!H16/SER_hh_num!H16)</f>
        <v>26962.824319634539</v>
      </c>
      <c r="I16" s="131">
        <f>IF(SER_hh_tes!I16=0,0,11630*1000*SER_hh_tes!I16/SER_hh_num!I16)</f>
        <v>25931.997250627424</v>
      </c>
      <c r="J16" s="131">
        <f>IF(SER_hh_tes!J16=0,0,11630*1000*SER_hh_tes!J16/SER_hh_num!J16)</f>
        <v>25476.097884018232</v>
      </c>
      <c r="K16" s="131">
        <f>IF(SER_hh_tes!K16=0,0,11630*1000*SER_hh_tes!K16/SER_hh_num!K16)</f>
        <v>25540.923034767813</v>
      </c>
      <c r="L16" s="131">
        <f>IF(SER_hh_tes!L16=0,0,11630*1000*SER_hh_tes!L16/SER_hh_num!L16)</f>
        <v>28943.187665840382</v>
      </c>
      <c r="M16" s="131">
        <f>IF(SER_hh_tes!M16=0,0,11630*1000*SER_hh_tes!M16/SER_hh_num!M16)</f>
        <v>25636.142686709525</v>
      </c>
      <c r="N16" s="131">
        <f>IF(SER_hh_tes!N16=0,0,11630*1000*SER_hh_tes!N16/SER_hh_num!N16)</f>
        <v>26899.478382631649</v>
      </c>
      <c r="O16" s="131">
        <f>IF(SER_hh_tes!O16=0,0,11630*1000*SER_hh_tes!O16/SER_hh_num!O16)</f>
        <v>26855.513617294153</v>
      </c>
      <c r="P16" s="131">
        <f>IF(SER_hh_tes!P16=0,0,11630*1000*SER_hh_tes!P16/SER_hh_num!P16)</f>
        <v>26423.705355467777</v>
      </c>
      <c r="Q16" s="131">
        <f>IF(SER_hh_tes!Q16=0,0,11630*1000*SER_hh_tes!Q16/SER_hh_num!Q16)</f>
        <v>30258.90489382857</v>
      </c>
      <c r="R16" s="131">
        <f>IF(SER_hh_tes!R16=0,0,11630*1000*SER_hh_tes!R16/SER_hh_num!R16)</f>
        <v>26216.047108988565</v>
      </c>
      <c r="S16" s="131">
        <f>IF(SER_hh_tes!S16=0,0,11630*1000*SER_hh_tes!S16/SER_hh_num!S16)</f>
        <v>26410.622582373322</v>
      </c>
      <c r="T16" s="131">
        <f>IF(SER_hh_tes!T16=0,0,11630*1000*SER_hh_tes!T16/SER_hh_num!T16)</f>
        <v>27178.101093668563</v>
      </c>
      <c r="U16" s="131">
        <f>IF(SER_hh_tes!U16=0,0,11630*1000*SER_hh_tes!U16/SER_hh_num!U16)</f>
        <v>29460.881871775255</v>
      </c>
      <c r="V16" s="131">
        <f>IF(SER_hh_tes!V16=0,0,11630*1000*SER_hh_tes!V16/SER_hh_num!V16)</f>
        <v>26111.940162117346</v>
      </c>
      <c r="W16" s="131">
        <f>IF(SER_hh_tes!W16=0,0,11630*1000*SER_hh_tes!W16/SER_hh_num!W16)</f>
        <v>27212.473226653696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25306.246537016294</v>
      </c>
      <c r="C17" s="133">
        <f>IF(SER_hh_tes!C17=0,0,11630*1000*SER_hh_tes!C17/SER_hh_num!C17)</f>
        <v>25397.106616743058</v>
      </c>
      <c r="D17" s="133">
        <f>IF(SER_hh_tes!D17=0,0,11630*1000*SER_hh_tes!D17/SER_hh_num!D17)</f>
        <v>25835.044816510806</v>
      </c>
      <c r="E17" s="133">
        <f>IF(SER_hh_tes!E17=0,0,11630*1000*SER_hh_tes!E17/SER_hh_num!E17)</f>
        <v>25371.727918545053</v>
      </c>
      <c r="F17" s="133">
        <f>IF(SER_hh_tes!F17=0,0,11630*1000*SER_hh_tes!F17/SER_hh_num!F17)</f>
        <v>25306.485318512598</v>
      </c>
      <c r="G17" s="133">
        <f>IF(SER_hh_tes!G17=0,0,11630*1000*SER_hh_tes!G17/SER_hh_num!G17)</f>
        <v>25519.648650006442</v>
      </c>
      <c r="H17" s="133">
        <f>IF(SER_hh_tes!H17=0,0,11630*1000*SER_hh_tes!H17/SER_hh_num!H17)</f>
        <v>26962.813845132307</v>
      </c>
      <c r="I17" s="133">
        <f>IF(SER_hh_tes!I17=0,0,11630*1000*SER_hh_tes!I17/SER_hh_num!I17)</f>
        <v>25931.995850463558</v>
      </c>
      <c r="J17" s="133">
        <f>IF(SER_hh_tes!J17=0,0,11630*1000*SER_hh_tes!J17/SER_hh_num!J17)</f>
        <v>25476.102081763653</v>
      </c>
      <c r="K17" s="133">
        <f>IF(SER_hh_tes!K17=0,0,11630*1000*SER_hh_tes!K17/SER_hh_num!K17)</f>
        <v>25540.930841599096</v>
      </c>
      <c r="L17" s="133">
        <f>IF(SER_hh_tes!L17=0,0,11630*1000*SER_hh_tes!L17/SER_hh_num!L17)</f>
        <v>28943.201148326105</v>
      </c>
      <c r="M17" s="133">
        <f>IF(SER_hh_tes!M17=0,0,11630*1000*SER_hh_tes!M17/SER_hh_num!M17)</f>
        <v>25636.158454162167</v>
      </c>
      <c r="N17" s="133">
        <f>IF(SER_hh_tes!N17=0,0,11630*1000*SER_hh_tes!N17/SER_hh_num!N17)</f>
        <v>26899.477757880071</v>
      </c>
      <c r="O17" s="133">
        <f>IF(SER_hh_tes!O17=0,0,11630*1000*SER_hh_tes!O17/SER_hh_num!O17)</f>
        <v>26855.497927336815</v>
      </c>
      <c r="P17" s="133">
        <f>IF(SER_hh_tes!P17=0,0,11630*1000*SER_hh_tes!P17/SER_hh_num!P17)</f>
        <v>26423.680696705054</v>
      </c>
      <c r="Q17" s="133">
        <f>IF(SER_hh_tes!Q17=0,0,11630*1000*SER_hh_tes!Q17/SER_hh_num!Q17)</f>
        <v>30258.877637347396</v>
      </c>
      <c r="R17" s="133">
        <f>IF(SER_hh_tes!R17=0,0,11630*1000*SER_hh_tes!R17/SER_hh_num!R17)</f>
        <v>26216.03197651801</v>
      </c>
      <c r="S17" s="133">
        <f>IF(SER_hh_tes!S17=0,0,11630*1000*SER_hh_tes!S17/SER_hh_num!S17)</f>
        <v>26410.621127289218</v>
      </c>
      <c r="T17" s="133">
        <f>IF(SER_hh_tes!T17=0,0,11630*1000*SER_hh_tes!T17/SER_hh_num!T17)</f>
        <v>27178.112764710266</v>
      </c>
      <c r="U17" s="133">
        <f>IF(SER_hh_tes!U17=0,0,11630*1000*SER_hh_tes!U17/SER_hh_num!U17)</f>
        <v>29460.903267917423</v>
      </c>
      <c r="V17" s="133">
        <f>IF(SER_hh_tes!V17=0,0,11630*1000*SER_hh_tes!V17/SER_hh_num!V17)</f>
        <v>24354.937708278201</v>
      </c>
      <c r="W17" s="133">
        <f>IF(SER_hh_tes!W17=0,0,11630*1000*SER_hh_tes!W17/SER_hh_num!W17)</f>
        <v>25430.123374790808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25306.246537016294</v>
      </c>
      <c r="C18" s="133">
        <f>IF(SER_hh_tes!C18=0,0,11630*1000*SER_hh_tes!C18/SER_hh_num!C18)</f>
        <v>25397.065307345452</v>
      </c>
      <c r="D18" s="133">
        <f>IF(SER_hh_tes!D18=0,0,11630*1000*SER_hh_tes!D18/SER_hh_num!D18)</f>
        <v>25835.031422266384</v>
      </c>
      <c r="E18" s="133">
        <f>IF(SER_hh_tes!E18=0,0,11630*1000*SER_hh_tes!E18/SER_hh_num!E18)</f>
        <v>25371.736368121645</v>
      </c>
      <c r="F18" s="133">
        <f>IF(SER_hh_tes!F18=0,0,11630*1000*SER_hh_tes!F18/SER_hh_num!F18)</f>
        <v>25306.504135946143</v>
      </c>
      <c r="G18" s="133">
        <f>IF(SER_hh_tes!G18=0,0,11630*1000*SER_hh_tes!G18/SER_hh_num!G18)</f>
        <v>25519.666492011358</v>
      </c>
      <c r="H18" s="133">
        <f>IF(SER_hh_tes!H18=0,0,11630*1000*SER_hh_tes!H18/SER_hh_num!H18)</f>
        <v>26962.82434318501</v>
      </c>
      <c r="I18" s="133">
        <f>IF(SER_hh_tes!I18=0,0,11630*1000*SER_hh_tes!I18/SER_hh_num!I18)</f>
        <v>25931.997254004782</v>
      </c>
      <c r="J18" s="133">
        <f>IF(SER_hh_tes!J18=0,0,11630*1000*SER_hh_tes!J18/SER_hh_num!J18)</f>
        <v>25476.097873776551</v>
      </c>
      <c r="K18" s="133">
        <f>IF(SER_hh_tes!K18=0,0,11630*1000*SER_hh_tes!K18/SER_hh_num!K18)</f>
        <v>25540.923015352739</v>
      </c>
      <c r="L18" s="133">
        <f>IF(SER_hh_tes!L18=0,0,11630*1000*SER_hh_tes!L18/SER_hh_num!L18)</f>
        <v>28943.187632726374</v>
      </c>
      <c r="M18" s="133">
        <f>IF(SER_hh_tes!M18=0,0,11630*1000*SER_hh_tes!M18/SER_hh_num!M18)</f>
        <v>25636.14264415994</v>
      </c>
      <c r="N18" s="133">
        <f>IF(SER_hh_tes!N18=0,0,11630*1000*SER_hh_tes!N18/SER_hh_num!N18)</f>
        <v>26899.478384468224</v>
      </c>
      <c r="O18" s="133">
        <f>IF(SER_hh_tes!O18=0,0,11630*1000*SER_hh_tes!O18/SER_hh_num!O18)</f>
        <v>26855.513673199861</v>
      </c>
      <c r="P18" s="133">
        <f>IF(SER_hh_tes!P18=0,0,11630*1000*SER_hh_tes!P18/SER_hh_num!P18)</f>
        <v>26423.705470907094</v>
      </c>
      <c r="Q18" s="133">
        <f>IF(SER_hh_tes!Q18=0,0,11630*1000*SER_hh_tes!Q18/SER_hh_num!Q18)</f>
        <v>30258.905044335512</v>
      </c>
      <c r="R18" s="133">
        <f>IF(SER_hh_tes!R18=0,0,11630*1000*SER_hh_tes!R18/SER_hh_num!R18)</f>
        <v>26216.047233586592</v>
      </c>
      <c r="S18" s="133">
        <f>IF(SER_hh_tes!S18=0,0,11630*1000*SER_hh_tes!S18/SER_hh_num!S18)</f>
        <v>26410.622596598831</v>
      </c>
      <c r="T18" s="133">
        <f>IF(SER_hh_tes!T18=0,0,11630*1000*SER_hh_tes!T18/SER_hh_num!T18)</f>
        <v>27178.100968845869</v>
      </c>
      <c r="U18" s="133">
        <f>IF(SER_hh_tes!U18=0,0,11630*1000*SER_hh_tes!U18/SER_hh_num!U18)</f>
        <v>29460.88163106803</v>
      </c>
      <c r="V18" s="133">
        <f>IF(SER_hh_tes!V18=0,0,11630*1000*SER_hh_tes!V18/SER_hh_num!V18)</f>
        <v>26133.159641053961</v>
      </c>
      <c r="W18" s="133">
        <f>IF(SER_hh_tes!W18=0,0,11630*1000*SER_hh_tes!W18/SER_hh_num!W18)</f>
        <v>27233.738825170982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7968.9306257488388</v>
      </c>
      <c r="C19" s="131">
        <f>IF(SER_hh_tes!C19=0,0,11630*1000*SER_hh_tes!C19/SER_hh_num!C19)</f>
        <v>8753.2141975129889</v>
      </c>
      <c r="D19" s="131">
        <f>IF(SER_hh_tes!D19=0,0,11630*1000*SER_hh_tes!D19/SER_hh_num!D19)</f>
        <v>10610.09226167415</v>
      </c>
      <c r="E19" s="131">
        <f>IF(SER_hh_tes!E19=0,0,11630*1000*SER_hh_tes!E19/SER_hh_num!E19)</f>
        <v>11330.559719976496</v>
      </c>
      <c r="F19" s="131">
        <f>IF(SER_hh_tes!F19=0,0,11630*1000*SER_hh_tes!F19/SER_hh_num!F19)</f>
        <v>12182.092116283929</v>
      </c>
      <c r="G19" s="131">
        <f>IF(SER_hh_tes!G19=0,0,11630*1000*SER_hh_tes!G19/SER_hh_num!G19)</f>
        <v>12325.582882066628</v>
      </c>
      <c r="H19" s="131">
        <f>IF(SER_hh_tes!H19=0,0,11630*1000*SER_hh_tes!H19/SER_hh_num!H19)</f>
        <v>13021.802406487419</v>
      </c>
      <c r="I19" s="131">
        <f>IF(SER_hh_tes!I19=0,0,11630*1000*SER_hh_tes!I19/SER_hh_num!I19)</f>
        <v>13870.692861035443</v>
      </c>
      <c r="J19" s="131">
        <f>IF(SER_hh_tes!J19=0,0,11630*1000*SER_hh_tes!J19/SER_hh_num!J19)</f>
        <v>14297.347838503007</v>
      </c>
      <c r="K19" s="131">
        <f>IF(SER_hh_tes!K19=0,0,11630*1000*SER_hh_tes!K19/SER_hh_num!K19)</f>
        <v>14397.439700429246</v>
      </c>
      <c r="L19" s="131">
        <f>IF(SER_hh_tes!L19=0,0,11630*1000*SER_hh_tes!L19/SER_hh_num!L19)</f>
        <v>14526.405945890119</v>
      </c>
      <c r="M19" s="131">
        <f>IF(SER_hh_tes!M19=0,0,11630*1000*SER_hh_tes!M19/SER_hh_num!M19)</f>
        <v>14582.59687124351</v>
      </c>
      <c r="N19" s="131">
        <f>IF(SER_hh_tes!N19=0,0,11630*1000*SER_hh_tes!N19/SER_hh_num!N19)</f>
        <v>14792.143048675902</v>
      </c>
      <c r="O19" s="131">
        <f>IF(SER_hh_tes!O19=0,0,11630*1000*SER_hh_tes!O19/SER_hh_num!O19)</f>
        <v>15236.812663293891</v>
      </c>
      <c r="P19" s="131">
        <f>IF(SER_hh_tes!P19=0,0,11630*1000*SER_hh_tes!P19/SER_hh_num!P19)</f>
        <v>15165.684256625134</v>
      </c>
      <c r="Q19" s="131">
        <f>IF(SER_hh_tes!Q19=0,0,11630*1000*SER_hh_tes!Q19/SER_hh_num!Q19)</f>
        <v>15398.164003381373</v>
      </c>
      <c r="R19" s="131">
        <f>IF(SER_hh_tes!R19=0,0,11630*1000*SER_hh_tes!R19/SER_hh_num!R19)</f>
        <v>15709.509109068507</v>
      </c>
      <c r="S19" s="131">
        <f>IF(SER_hh_tes!S19=0,0,11630*1000*SER_hh_tes!S19/SER_hh_num!S19)</f>
        <v>15495.221738409669</v>
      </c>
      <c r="T19" s="131">
        <f>IF(SER_hh_tes!T19=0,0,11630*1000*SER_hh_tes!T19/SER_hh_num!T19)</f>
        <v>15151.440852334577</v>
      </c>
      <c r="U19" s="131">
        <f>IF(SER_hh_tes!U19=0,0,11630*1000*SER_hh_tes!U19/SER_hh_num!U19)</f>
        <v>15057.929982929212</v>
      </c>
      <c r="V19" s="131">
        <f>IF(SER_hh_tes!V19=0,0,11630*1000*SER_hh_tes!V19/SER_hh_num!V19)</f>
        <v>14030.523036699715</v>
      </c>
      <c r="W19" s="131">
        <f>IF(SER_hh_tes!W19=0,0,11630*1000*SER_hh_tes!W19/SER_hh_num!W19)</f>
        <v>15192.684836039403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5985.150993177308</v>
      </c>
      <c r="C20" s="133">
        <f>IF(SER_hh_tes!C20=0,0,11630*1000*SER_hh_tes!C20/SER_hh_num!C20)</f>
        <v>9606.23224738524</v>
      </c>
      <c r="D20" s="133">
        <f>IF(SER_hh_tes!D20=0,0,11630*1000*SER_hh_tes!D20/SER_hh_num!D20)</f>
        <v>11590.086899198484</v>
      </c>
      <c r="E20" s="133">
        <f>IF(SER_hh_tes!E20=0,0,11630*1000*SER_hh_tes!E20/SER_hh_num!E20)</f>
        <v>11681.011674232397</v>
      </c>
      <c r="F20" s="133">
        <f>IF(SER_hh_tes!F20=0,0,11630*1000*SER_hh_tes!F20/SER_hh_num!F20)</f>
        <v>12323.736779532412</v>
      </c>
      <c r="G20" s="133">
        <f>IF(SER_hh_tes!G20=0,0,11630*1000*SER_hh_tes!G20/SER_hh_num!G20)</f>
        <v>12568.934219356766</v>
      </c>
      <c r="H20" s="133">
        <f>IF(SER_hh_tes!H20=0,0,11630*1000*SER_hh_tes!H20/SER_hh_num!H20)</f>
        <v>11729.971951488706</v>
      </c>
      <c r="I20" s="133">
        <f>IF(SER_hh_tes!I20=0,0,11630*1000*SER_hh_tes!I20/SER_hh_num!I20)</f>
        <v>14105.192870008133</v>
      </c>
      <c r="J20" s="133">
        <f>IF(SER_hh_tes!J20=0,0,11630*1000*SER_hh_tes!J20/SER_hh_num!J20)</f>
        <v>14224.744228684769</v>
      </c>
      <c r="K20" s="133">
        <f>IF(SER_hh_tes!K20=0,0,11630*1000*SER_hh_tes!K20/SER_hh_num!K20)</f>
        <v>14229.001233294035</v>
      </c>
      <c r="L20" s="133">
        <f>IF(SER_hh_tes!L20=0,0,11630*1000*SER_hh_tes!L20/SER_hh_num!L20)</f>
        <v>14753.106271811754</v>
      </c>
      <c r="M20" s="133">
        <f>IF(SER_hh_tes!M20=0,0,11630*1000*SER_hh_tes!M20/SER_hh_num!M20)</f>
        <v>14667.592364608679</v>
      </c>
      <c r="N20" s="133">
        <f>IF(SER_hh_tes!N20=0,0,11630*1000*SER_hh_tes!N20/SER_hh_num!N20)</f>
        <v>14824.973581496231</v>
      </c>
      <c r="O20" s="133">
        <f>IF(SER_hh_tes!O20=0,0,11630*1000*SER_hh_tes!O20/SER_hh_num!O20)</f>
        <v>15210.156220868468</v>
      </c>
      <c r="P20" s="133">
        <f>IF(SER_hh_tes!P20=0,0,11630*1000*SER_hh_tes!P20/SER_hh_num!P20)</f>
        <v>15150.106431299128</v>
      </c>
      <c r="Q20" s="133">
        <f>IF(SER_hh_tes!Q20=0,0,11630*1000*SER_hh_tes!Q20/SER_hh_num!Q20)</f>
        <v>15301.98971744522</v>
      </c>
      <c r="R20" s="133">
        <f>IF(SER_hh_tes!R20=0,0,11630*1000*SER_hh_tes!R20/SER_hh_num!R20)</f>
        <v>17417.291166773895</v>
      </c>
      <c r="S20" s="133">
        <f>IF(SER_hh_tes!S20=0,0,11630*1000*SER_hh_tes!S20/SER_hh_num!S20)</f>
        <v>16262.251615639374</v>
      </c>
      <c r="T20" s="133">
        <f>IF(SER_hh_tes!T20=0,0,11630*1000*SER_hh_tes!T20/SER_hh_num!T20)</f>
        <v>13650.306355630373</v>
      </c>
      <c r="U20" s="133">
        <f>IF(SER_hh_tes!U20=0,0,11630*1000*SER_hh_tes!U20/SER_hh_num!U20)</f>
        <v>11575.753237456383</v>
      </c>
      <c r="V20" s="133">
        <f>IF(SER_hh_tes!V20=0,0,11630*1000*SER_hh_tes!V20/SER_hh_num!V20)</f>
        <v>13706.445444317296</v>
      </c>
      <c r="W20" s="133">
        <f>IF(SER_hh_tes!W20=0,0,11630*1000*SER_hh_tes!W20/SER_hh_num!W20)</f>
        <v>18978.348649339052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7650.7207326276039</v>
      </c>
      <c r="C21" s="133">
        <f>IF(SER_hh_tes!C21=0,0,11630*1000*SER_hh_tes!C21/SER_hh_num!C21)</f>
        <v>9460.9294720732796</v>
      </c>
      <c r="D21" s="133">
        <f>IF(SER_hh_tes!D21=0,0,11630*1000*SER_hh_tes!D21/SER_hh_num!D21)</f>
        <v>9123.1792438988105</v>
      </c>
      <c r="E21" s="133">
        <f>IF(SER_hh_tes!E21=0,0,11630*1000*SER_hh_tes!E21/SER_hh_num!E21)</f>
        <v>13872.737296271431</v>
      </c>
      <c r="F21" s="133">
        <f>IF(SER_hh_tes!F21=0,0,11630*1000*SER_hh_tes!F21/SER_hh_num!F21)</f>
        <v>12260.067783928627</v>
      </c>
      <c r="G21" s="133">
        <f>IF(SER_hh_tes!G21=0,0,11630*1000*SER_hh_tes!G21/SER_hh_num!G21)</f>
        <v>11370.208398795377</v>
      </c>
      <c r="H21" s="133">
        <f>IF(SER_hh_tes!H21=0,0,11630*1000*SER_hh_tes!H21/SER_hh_num!H21)</f>
        <v>13825.151884694167</v>
      </c>
      <c r="I21" s="133">
        <f>IF(SER_hh_tes!I21=0,0,11630*1000*SER_hh_tes!I21/SER_hh_num!I21)</f>
        <v>13645.992536766955</v>
      </c>
      <c r="J21" s="133">
        <f>IF(SER_hh_tes!J21=0,0,11630*1000*SER_hh_tes!J21/SER_hh_num!J21)</f>
        <v>14053.814559633303</v>
      </c>
      <c r="K21" s="133">
        <f>IF(SER_hh_tes!K21=0,0,11630*1000*SER_hh_tes!K21/SER_hh_num!K21)</f>
        <v>13899.945794928333</v>
      </c>
      <c r="L21" s="133">
        <f>IF(SER_hh_tes!L21=0,0,11630*1000*SER_hh_tes!L21/SER_hh_num!L21)</f>
        <v>13828.680693583321</v>
      </c>
      <c r="M21" s="133">
        <f>IF(SER_hh_tes!M21=0,0,11630*1000*SER_hh_tes!M21/SER_hh_num!M21)</f>
        <v>13895.69597371181</v>
      </c>
      <c r="N21" s="133">
        <f>IF(SER_hh_tes!N21=0,0,11630*1000*SER_hh_tes!N21/SER_hh_num!N21)</f>
        <v>18742.659607551606</v>
      </c>
      <c r="O21" s="133">
        <f>IF(SER_hh_tes!O21=0,0,11630*1000*SER_hh_tes!O21/SER_hh_num!O21)</f>
        <v>12713.835150664092</v>
      </c>
      <c r="P21" s="133">
        <f>IF(SER_hh_tes!P21=0,0,11630*1000*SER_hh_tes!P21/SER_hh_num!P21)</f>
        <v>15190.019509728314</v>
      </c>
      <c r="Q21" s="133">
        <f>IF(SER_hh_tes!Q21=0,0,11630*1000*SER_hh_tes!Q21/SER_hh_num!Q21)</f>
        <v>14763.973220076077</v>
      </c>
      <c r="R21" s="133">
        <f>IF(SER_hh_tes!R21=0,0,11630*1000*SER_hh_tes!R21/SER_hh_num!R21)</f>
        <v>15596.092005347469</v>
      </c>
      <c r="S21" s="133">
        <f>IF(SER_hh_tes!S21=0,0,11630*1000*SER_hh_tes!S21/SER_hh_num!S21)</f>
        <v>15797.180333517994</v>
      </c>
      <c r="T21" s="133">
        <f>IF(SER_hh_tes!T21=0,0,11630*1000*SER_hh_tes!T21/SER_hh_num!T21)</f>
        <v>14882.522175946542</v>
      </c>
      <c r="U21" s="133">
        <f>IF(SER_hh_tes!U21=0,0,11630*1000*SER_hh_tes!U21/SER_hh_num!U21)</f>
        <v>17232.141703782043</v>
      </c>
      <c r="V21" s="133">
        <f>IF(SER_hh_tes!V21=0,0,11630*1000*SER_hh_tes!V21/SER_hh_num!V21)</f>
        <v>13135.098402424837</v>
      </c>
      <c r="W21" s="133">
        <f>IF(SER_hh_tes!W21=0,0,11630*1000*SER_hh_tes!W21/SER_hh_num!W21)</f>
        <v>14411.217289649325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8185.244288738797</v>
      </c>
      <c r="C22" s="133">
        <f>IF(SER_hh_tes!C22=0,0,11630*1000*SER_hh_tes!C22/SER_hh_num!C22)</f>
        <v>8585.8067922462578</v>
      </c>
      <c r="D22" s="133">
        <f>IF(SER_hh_tes!D22=0,0,11630*1000*SER_hh_tes!D22/SER_hh_num!D22)</f>
        <v>10500.058574922141</v>
      </c>
      <c r="E22" s="133">
        <f>IF(SER_hh_tes!E22=0,0,11630*1000*SER_hh_tes!E22/SER_hh_num!E22)</f>
        <v>11379.938517856921</v>
      </c>
      <c r="F22" s="133">
        <f>IF(SER_hh_tes!F22=0,0,11630*1000*SER_hh_tes!F22/SER_hh_num!F22)</f>
        <v>12186.880025537088</v>
      </c>
      <c r="G22" s="133">
        <f>IF(SER_hh_tes!G22=0,0,11630*1000*SER_hh_tes!G22/SER_hh_num!G22)</f>
        <v>11998.885077517871</v>
      </c>
      <c r="H22" s="133">
        <f>IF(SER_hh_tes!H22=0,0,11630*1000*SER_hh_tes!H22/SER_hh_num!H22)</f>
        <v>12915.998906118262</v>
      </c>
      <c r="I22" s="133">
        <f>IF(SER_hh_tes!I22=0,0,11630*1000*SER_hh_tes!I22/SER_hh_num!I22)</f>
        <v>13856.522603711488</v>
      </c>
      <c r="J22" s="133">
        <f>IF(SER_hh_tes!J22=0,0,11630*1000*SER_hh_tes!J22/SER_hh_num!J22)</f>
        <v>14329.234235211656</v>
      </c>
      <c r="K22" s="133">
        <f>IF(SER_hh_tes!K22=0,0,11630*1000*SER_hh_tes!K22/SER_hh_num!K22)</f>
        <v>14273.59764013226</v>
      </c>
      <c r="L22" s="133">
        <f>IF(SER_hh_tes!L22=0,0,11630*1000*SER_hh_tes!L22/SER_hh_num!L22)</f>
        <v>14854.638691811677</v>
      </c>
      <c r="M22" s="133">
        <f>IF(SER_hh_tes!M22=0,0,11630*1000*SER_hh_tes!M22/SER_hh_num!M22)</f>
        <v>14681.414886879476</v>
      </c>
      <c r="N22" s="133">
        <f>IF(SER_hh_tes!N22=0,0,11630*1000*SER_hh_tes!N22/SER_hh_num!N22)</f>
        <v>14789.088955916375</v>
      </c>
      <c r="O22" s="133">
        <f>IF(SER_hh_tes!O22=0,0,11630*1000*SER_hh_tes!O22/SER_hh_num!O22)</f>
        <v>15118.796968012657</v>
      </c>
      <c r="P22" s="133">
        <f>IF(SER_hh_tes!P22=0,0,11630*1000*SER_hh_tes!P22/SER_hh_num!P22)</f>
        <v>15092.298938004182</v>
      </c>
      <c r="Q22" s="133">
        <f>IF(SER_hh_tes!Q22=0,0,11630*1000*SER_hh_tes!Q22/SER_hh_num!Q22)</f>
        <v>15438.702599934893</v>
      </c>
      <c r="R22" s="133">
        <f>IF(SER_hh_tes!R22=0,0,11630*1000*SER_hh_tes!R22/SER_hh_num!R22)</f>
        <v>15201.467306669731</v>
      </c>
      <c r="S22" s="133">
        <f>IF(SER_hh_tes!S22=0,0,11630*1000*SER_hh_tes!S22/SER_hh_num!S22)</f>
        <v>16163.458275399527</v>
      </c>
      <c r="T22" s="133">
        <f>IF(SER_hh_tes!T22=0,0,11630*1000*SER_hh_tes!T22/SER_hh_num!T22)</f>
        <v>15694.9468406204</v>
      </c>
      <c r="U22" s="133">
        <f>IF(SER_hh_tes!U22=0,0,11630*1000*SER_hh_tes!U22/SER_hh_num!U22)</f>
        <v>13548.632378348793</v>
      </c>
      <c r="V22" s="133">
        <f>IF(SER_hh_tes!V22=0,0,11630*1000*SER_hh_tes!V22/SER_hh_num!V22)</f>
        <v>14028.057052578995</v>
      </c>
      <c r="W22" s="133">
        <f>IF(SER_hh_tes!W22=0,0,11630*1000*SER_hh_tes!W22/SER_hh_num!W22)</f>
        <v>16270.780108518378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7409.337552457434</v>
      </c>
      <c r="C23" s="133">
        <f>IF(SER_hh_tes!C23=0,0,11630*1000*SER_hh_tes!C23/SER_hh_num!C23)</f>
        <v>8947.80735772765</v>
      </c>
      <c r="D23" s="133">
        <f>IF(SER_hh_tes!D23=0,0,11630*1000*SER_hh_tes!D23/SER_hh_num!D23)</f>
        <v>10050.926273017132</v>
      </c>
      <c r="E23" s="133">
        <f>IF(SER_hh_tes!E23=0,0,11630*1000*SER_hh_tes!E23/SER_hh_num!E23)</f>
        <v>12117.06733801577</v>
      </c>
      <c r="F23" s="133">
        <f>IF(SER_hh_tes!F23=0,0,11630*1000*SER_hh_tes!F23/SER_hh_num!F23)</f>
        <v>12186.013772642176</v>
      </c>
      <c r="G23" s="133">
        <f>IF(SER_hh_tes!G23=0,0,11630*1000*SER_hh_tes!G23/SER_hh_num!G23)</f>
        <v>12495.723739206232</v>
      </c>
      <c r="H23" s="133">
        <f>IF(SER_hh_tes!H23=0,0,11630*1000*SER_hh_tes!H23/SER_hh_num!H23)</f>
        <v>12944.99636521428</v>
      </c>
      <c r="I23" s="133">
        <f>IF(SER_hh_tes!I23=0,0,11630*1000*SER_hh_tes!I23/SER_hh_num!I23)</f>
        <v>13633.046533661514</v>
      </c>
      <c r="J23" s="133">
        <f>IF(SER_hh_tes!J23=0,0,11630*1000*SER_hh_tes!J23/SER_hh_num!J23)</f>
        <v>14335.987234317283</v>
      </c>
      <c r="K23" s="133">
        <f>IF(SER_hh_tes!K23=0,0,11630*1000*SER_hh_tes!K23/SER_hh_num!K23)</f>
        <v>14094.291299101818</v>
      </c>
      <c r="L23" s="133">
        <f>IF(SER_hh_tes!L23=0,0,11630*1000*SER_hh_tes!L23/SER_hh_num!L23)</f>
        <v>14951.751784308615</v>
      </c>
      <c r="M23" s="133">
        <f>IF(SER_hh_tes!M23=0,0,11630*1000*SER_hh_tes!M23/SER_hh_num!M23)</f>
        <v>14824.180718156957</v>
      </c>
      <c r="N23" s="133">
        <f>IF(SER_hh_tes!N23=0,0,11630*1000*SER_hh_tes!N23/SER_hh_num!N23)</f>
        <v>14744.47542077966</v>
      </c>
      <c r="O23" s="133">
        <f>IF(SER_hh_tes!O23=0,0,11630*1000*SER_hh_tes!O23/SER_hh_num!O23)</f>
        <v>15073.648935626921</v>
      </c>
      <c r="P23" s="133">
        <f>IF(SER_hh_tes!P23=0,0,11630*1000*SER_hh_tes!P23/SER_hh_num!P23)</f>
        <v>15273.42094510354</v>
      </c>
      <c r="Q23" s="133">
        <f>IF(SER_hh_tes!Q23=0,0,11630*1000*SER_hh_tes!Q23/SER_hh_num!Q23)</f>
        <v>15859.345906750781</v>
      </c>
      <c r="R23" s="133">
        <f>IF(SER_hh_tes!R23=0,0,11630*1000*SER_hh_tes!R23/SER_hh_num!R23)</f>
        <v>16722.956728732206</v>
      </c>
      <c r="S23" s="133">
        <f>IF(SER_hh_tes!S23=0,0,11630*1000*SER_hh_tes!S23/SER_hh_num!S23)</f>
        <v>14775.732305037989</v>
      </c>
      <c r="T23" s="133">
        <f>IF(SER_hh_tes!T23=0,0,11630*1000*SER_hh_tes!T23/SER_hh_num!T23)</f>
        <v>15199.12899940778</v>
      </c>
      <c r="U23" s="133">
        <f>IF(SER_hh_tes!U23=0,0,11630*1000*SER_hh_tes!U23/SER_hh_num!U23)</f>
        <v>14243.961774440217</v>
      </c>
      <c r="V23" s="133">
        <f>IF(SER_hh_tes!V23=0,0,11630*1000*SER_hh_tes!V23/SER_hh_num!V23)</f>
        <v>12850.826505010813</v>
      </c>
      <c r="W23" s="133">
        <f>IF(SER_hh_tes!W23=0,0,11630*1000*SER_hh_tes!W23/SER_hh_num!W23)</f>
        <v>17868.961382313897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8169.0984602587114</v>
      </c>
      <c r="C24" s="133">
        <f>IF(SER_hh_tes!C24=0,0,11630*1000*SER_hh_tes!C24/SER_hh_num!C24)</f>
        <v>8576.8200029357322</v>
      </c>
      <c r="D24" s="133">
        <f>IF(SER_hh_tes!D24=0,0,11630*1000*SER_hh_tes!D24/SER_hh_num!D24)</f>
        <v>10729.654180033551</v>
      </c>
      <c r="E24" s="133">
        <f>IF(SER_hh_tes!E24=0,0,11630*1000*SER_hh_tes!E24/SER_hh_num!E24)</f>
        <v>11274.969249465472</v>
      </c>
      <c r="F24" s="133">
        <f>IF(SER_hh_tes!F24=0,0,11630*1000*SER_hh_tes!F24/SER_hh_num!F24)</f>
        <v>11712.146652311736</v>
      </c>
      <c r="G24" s="133">
        <f>IF(SER_hh_tes!G24=0,0,11630*1000*SER_hh_tes!G24/SER_hh_num!G24)</f>
        <v>11603.480110219825</v>
      </c>
      <c r="H24" s="133">
        <f>IF(SER_hh_tes!H24=0,0,11630*1000*SER_hh_tes!H24/SER_hh_num!H24)</f>
        <v>12624.756058185987</v>
      </c>
      <c r="I24" s="133">
        <f>IF(SER_hh_tes!I24=0,0,11630*1000*SER_hh_tes!I24/SER_hh_num!I24)</f>
        <v>14162.174552912566</v>
      </c>
      <c r="J24" s="133">
        <f>IF(SER_hh_tes!J24=0,0,11630*1000*SER_hh_tes!J24/SER_hh_num!J24)</f>
        <v>14656.996188815514</v>
      </c>
      <c r="K24" s="133">
        <f>IF(SER_hh_tes!K24=0,0,11630*1000*SER_hh_tes!K24/SER_hh_num!K24)</f>
        <v>14554.99401438576</v>
      </c>
      <c r="L24" s="133">
        <f>IF(SER_hh_tes!L24=0,0,11630*1000*SER_hh_tes!L24/SER_hh_num!L24)</f>
        <v>14458.636335382229</v>
      </c>
      <c r="M24" s="133">
        <f>IF(SER_hh_tes!M24=0,0,11630*1000*SER_hh_tes!M24/SER_hh_num!M24)</f>
        <v>14611.854130643269</v>
      </c>
      <c r="N24" s="133">
        <f>IF(SER_hh_tes!N24=0,0,11630*1000*SER_hh_tes!N24/SER_hh_num!N24)</f>
        <v>14944.741466500998</v>
      </c>
      <c r="O24" s="133">
        <f>IF(SER_hh_tes!O24=0,0,11630*1000*SER_hh_tes!O24/SER_hh_num!O24)</f>
        <v>15015.87184437115</v>
      </c>
      <c r="P24" s="133">
        <f>IF(SER_hh_tes!P24=0,0,11630*1000*SER_hh_tes!P24/SER_hh_num!P24)</f>
        <v>14665.92546196806</v>
      </c>
      <c r="Q24" s="133">
        <f>IF(SER_hh_tes!Q24=0,0,11630*1000*SER_hh_tes!Q24/SER_hh_num!Q24)</f>
        <v>15041.678244290231</v>
      </c>
      <c r="R24" s="133">
        <f>IF(SER_hh_tes!R24=0,0,11630*1000*SER_hh_tes!R24/SER_hh_num!R24)</f>
        <v>16257.049433207267</v>
      </c>
      <c r="S24" s="133">
        <f>IF(SER_hh_tes!S24=0,0,11630*1000*SER_hh_tes!S24/SER_hh_num!S24)</f>
        <v>16237.416445209719</v>
      </c>
      <c r="T24" s="133">
        <f>IF(SER_hh_tes!T24=0,0,11630*1000*SER_hh_tes!T24/SER_hh_num!T24)</f>
        <v>14145.15995992132</v>
      </c>
      <c r="U24" s="133">
        <f>IF(SER_hh_tes!U24=0,0,11630*1000*SER_hh_tes!U24/SER_hh_num!U24)</f>
        <v>13587.684441738847</v>
      </c>
      <c r="V24" s="133">
        <f>IF(SER_hh_tes!V24=0,0,11630*1000*SER_hh_tes!V24/SER_hh_num!V24)</f>
        <v>14470.968348246941</v>
      </c>
      <c r="W24" s="133">
        <f>IF(SER_hh_tes!W24=0,0,11630*1000*SER_hh_tes!W24/SER_hh_num!W24)</f>
        <v>15743.355429275633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7848.0692434954035</v>
      </c>
      <c r="C25" s="133">
        <f>IF(SER_hh_tes!C25=0,0,11630*1000*SER_hh_tes!C25/SER_hh_num!C25)</f>
        <v>8802.2156317250447</v>
      </c>
      <c r="D25" s="133">
        <f>IF(SER_hh_tes!D25=0,0,11630*1000*SER_hh_tes!D25/SER_hh_num!D25)</f>
        <v>10299.237757316996</v>
      </c>
      <c r="E25" s="133">
        <f>IF(SER_hh_tes!E25=0,0,11630*1000*SER_hh_tes!E25/SER_hh_num!E25)</f>
        <v>10790.394469189267</v>
      </c>
      <c r="F25" s="133">
        <f>IF(SER_hh_tes!F25=0,0,11630*1000*SER_hh_tes!F25/SER_hh_num!F25)</f>
        <v>12616.975054772012</v>
      </c>
      <c r="G25" s="133">
        <f>IF(SER_hh_tes!G25=0,0,11630*1000*SER_hh_tes!G25/SER_hh_num!G25)</f>
        <v>12654.667754442031</v>
      </c>
      <c r="H25" s="133">
        <f>IF(SER_hh_tes!H25=0,0,11630*1000*SER_hh_tes!H25/SER_hh_num!H25)</f>
        <v>13124.463404284117</v>
      </c>
      <c r="I25" s="133">
        <f>IF(SER_hh_tes!I25=0,0,11630*1000*SER_hh_tes!I25/SER_hh_num!I25)</f>
        <v>13769.517485406814</v>
      </c>
      <c r="J25" s="133">
        <f>IF(SER_hh_tes!J25=0,0,11630*1000*SER_hh_tes!J25/SER_hh_num!J25)</f>
        <v>14360.146869503475</v>
      </c>
      <c r="K25" s="133">
        <f>IF(SER_hh_tes!K25=0,0,11630*1000*SER_hh_tes!K25/SER_hh_num!K25)</f>
        <v>14554.545052199901</v>
      </c>
      <c r="L25" s="133">
        <f>IF(SER_hh_tes!L25=0,0,11630*1000*SER_hh_tes!L25/SER_hh_num!L25)</f>
        <v>14520.633492147013</v>
      </c>
      <c r="M25" s="133">
        <f>IF(SER_hh_tes!M25=0,0,11630*1000*SER_hh_tes!M25/SER_hh_num!M25)</f>
        <v>14529.815417970076</v>
      </c>
      <c r="N25" s="133">
        <f>IF(SER_hh_tes!N25=0,0,11630*1000*SER_hh_tes!N25/SER_hh_num!N25)</f>
        <v>14800.17902757929</v>
      </c>
      <c r="O25" s="133">
        <f>IF(SER_hh_tes!O25=0,0,11630*1000*SER_hh_tes!O25/SER_hh_num!O25)</f>
        <v>15345.49496643639</v>
      </c>
      <c r="P25" s="133">
        <f>IF(SER_hh_tes!P25=0,0,11630*1000*SER_hh_tes!P25/SER_hh_num!P25)</f>
        <v>15044.851364899649</v>
      </c>
      <c r="Q25" s="133">
        <f>IF(SER_hh_tes!Q25=0,0,11630*1000*SER_hh_tes!Q25/SER_hh_num!Q25)</f>
        <v>14808.21453671635</v>
      </c>
      <c r="R25" s="133">
        <f>IF(SER_hh_tes!R25=0,0,11630*1000*SER_hh_tes!R25/SER_hh_num!R25)</f>
        <v>15208.082183810686</v>
      </c>
      <c r="S25" s="133">
        <f>IF(SER_hh_tes!S25=0,0,11630*1000*SER_hh_tes!S25/SER_hh_num!S25)</f>
        <v>17578.601644724869</v>
      </c>
      <c r="T25" s="133">
        <f>IF(SER_hh_tes!T25=0,0,11630*1000*SER_hh_tes!T25/SER_hh_num!T25)</f>
        <v>14442.588943531448</v>
      </c>
      <c r="U25" s="133">
        <f>IF(SER_hh_tes!U25=0,0,11630*1000*SER_hh_tes!U25/SER_hh_num!U25)</f>
        <v>14723.128772634605</v>
      </c>
      <c r="V25" s="133">
        <f>IF(SER_hh_tes!V25=0,0,11630*1000*SER_hh_tes!V25/SER_hh_num!V25)</f>
        <v>15189.344722066797</v>
      </c>
      <c r="W25" s="133">
        <f>IF(SER_hh_tes!W25=0,0,11630*1000*SER_hh_tes!W25/SER_hh_num!W25)</f>
        <v>13011.043152092283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8294.6692443011434</v>
      </c>
      <c r="C26" s="65">
        <f>IF(SER_hh_tes!C26=0,0,11630*1000*SER_hh_tes!C26/SER_hh_num!C26)</f>
        <v>8432.9503914514116</v>
      </c>
      <c r="D26" s="65">
        <f>IF(SER_hh_tes!D26=0,0,11630*1000*SER_hh_tes!D26/SER_hh_num!D26)</f>
        <v>11240.766505851123</v>
      </c>
      <c r="E26" s="65">
        <f>IF(SER_hh_tes!E26=0,0,11630*1000*SER_hh_tes!E26/SER_hh_num!E26)</f>
        <v>10413.053063629295</v>
      </c>
      <c r="F26" s="65">
        <f>IF(SER_hh_tes!F26=0,0,11630*1000*SER_hh_tes!F26/SER_hh_num!F26)</f>
        <v>11921.95406752833</v>
      </c>
      <c r="G26" s="65">
        <f>IF(SER_hh_tes!G26=0,0,11630*1000*SER_hh_tes!G26/SER_hh_num!G26)</f>
        <v>12390.972303298186</v>
      </c>
      <c r="H26" s="65">
        <f>IF(SER_hh_tes!H26=0,0,11630*1000*SER_hh_tes!H26/SER_hh_num!H26)</f>
        <v>12927.464840261389</v>
      </c>
      <c r="I26" s="65">
        <f>IF(SER_hh_tes!I26=0,0,11630*1000*SER_hh_tes!I26/SER_hh_num!I26)</f>
        <v>13991.674405731814</v>
      </c>
      <c r="J26" s="65">
        <f>IF(SER_hh_tes!J26=0,0,11630*1000*SER_hh_tes!J26/SER_hh_num!J26)</f>
        <v>14205.190915231577</v>
      </c>
      <c r="K26" s="65">
        <f>IF(SER_hh_tes!K26=0,0,11630*1000*SER_hh_tes!K26/SER_hh_num!K26)</f>
        <v>14406.387412569855</v>
      </c>
      <c r="L26" s="65">
        <f>IF(SER_hh_tes!L26=0,0,11630*1000*SER_hh_tes!L26/SER_hh_num!L26)</f>
        <v>14262.490485122878</v>
      </c>
      <c r="M26" s="65">
        <f>IF(SER_hh_tes!M26=0,0,11630*1000*SER_hh_tes!M26/SER_hh_num!M26)</f>
        <v>14392.37948433774</v>
      </c>
      <c r="N26" s="65">
        <f>IF(SER_hh_tes!N26=0,0,11630*1000*SER_hh_tes!N26/SER_hh_num!N26)</f>
        <v>13992.504088014137</v>
      </c>
      <c r="O26" s="65">
        <f>IF(SER_hh_tes!O26=0,0,11630*1000*SER_hh_tes!O26/SER_hh_num!O26)</f>
        <v>15332.410040980829</v>
      </c>
      <c r="P26" s="65">
        <f>IF(SER_hh_tes!P26=0,0,11630*1000*SER_hh_tes!P26/SER_hh_num!P26)</f>
        <v>14921.532465302946</v>
      </c>
      <c r="Q26" s="65">
        <f>IF(SER_hh_tes!Q26=0,0,11630*1000*SER_hh_tes!Q26/SER_hh_num!Q26)</f>
        <v>15245.104336562996</v>
      </c>
      <c r="R26" s="65">
        <f>IF(SER_hh_tes!R26=0,0,11630*1000*SER_hh_tes!R26/SER_hh_num!R26)</f>
        <v>15134.747007850965</v>
      </c>
      <c r="S26" s="65">
        <f>IF(SER_hh_tes!S26=0,0,11630*1000*SER_hh_tes!S26/SER_hh_num!S26)</f>
        <v>14447.856307831662</v>
      </c>
      <c r="T26" s="65">
        <f>IF(SER_hh_tes!T26=0,0,11630*1000*SER_hh_tes!T26/SER_hh_num!T26)</f>
        <v>15208.575024794034</v>
      </c>
      <c r="U26" s="65">
        <f>IF(SER_hh_tes!U26=0,0,11630*1000*SER_hh_tes!U26/SER_hh_num!U26)</f>
        <v>15229.926737164806</v>
      </c>
      <c r="V26" s="65">
        <f>IF(SER_hh_tes!V26=0,0,11630*1000*SER_hh_tes!V26/SER_hh_num!V26)</f>
        <v>13709.642142181805</v>
      </c>
      <c r="W26" s="65">
        <f>IF(SER_hh_tes!W26=0,0,11630*1000*SER_hh_tes!W26/SER_hh_num!W26)</f>
        <v>14938.643021623306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0.87645224940867517</v>
      </c>
      <c r="E27" s="146">
        <f>IF(SER_hh_tes!E27=0,0,11630*1000*SER_hh_tes!E27/SER_hh_num!E19)</f>
        <v>0.86135355683329351</v>
      </c>
      <c r="F27" s="146">
        <f>IF(SER_hh_tes!F27=0,0,11630*1000*SER_hh_tes!F27/SER_hh_num!F19)</f>
        <v>3.3477482296028631</v>
      </c>
      <c r="G27" s="146">
        <f>IF(SER_hh_tes!G27=0,0,11630*1000*SER_hh_tes!G27/SER_hh_num!G19)</f>
        <v>4.9139185791831146</v>
      </c>
      <c r="H27" s="146">
        <f>IF(SER_hh_tes!H27=0,0,11630*1000*SER_hh_tes!H27/SER_hh_num!H19)</f>
        <v>8.675243379666588</v>
      </c>
      <c r="I27" s="146">
        <f>IF(SER_hh_tes!I27=0,0,11630*1000*SER_hh_tes!I27/SER_hh_num!I19)</f>
        <v>11.360834018469461</v>
      </c>
      <c r="J27" s="146">
        <f>IF(SER_hh_tes!J27=0,0,11630*1000*SER_hh_tes!J27/SER_hh_num!J19)</f>
        <v>39.391613909586525</v>
      </c>
      <c r="K27" s="146">
        <f>IF(SER_hh_tes!K27=0,0,11630*1000*SER_hh_tes!K27/SER_hh_num!K19)</f>
        <v>58.775327635670564</v>
      </c>
      <c r="L27" s="146">
        <f>IF(SER_hh_tes!L27=0,0,11630*1000*SER_hh_tes!L27/SER_hh_num!L19)</f>
        <v>70.707995817430202</v>
      </c>
      <c r="M27" s="146">
        <f>IF(SER_hh_tes!M27=0,0,11630*1000*SER_hh_tes!M27/SER_hh_num!M19)</f>
        <v>92.367429200276732</v>
      </c>
      <c r="N27" s="146">
        <f>IF(SER_hh_tes!N27=0,0,11630*1000*SER_hh_tes!N27/SER_hh_num!N19)</f>
        <v>110.81414877475738</v>
      </c>
      <c r="O27" s="146">
        <f>IF(SER_hh_tes!O27=0,0,11630*1000*SER_hh_tes!O27/SER_hh_num!O19)</f>
        <v>120.20138132143447</v>
      </c>
      <c r="P27" s="146">
        <f>IF(SER_hh_tes!P27=0,0,11630*1000*SER_hh_tes!P27/SER_hh_num!P19)</f>
        <v>131.41248218813698</v>
      </c>
      <c r="Q27" s="146">
        <f>IF(SER_hh_tes!Q27=0,0,11630*1000*SER_hh_tes!Q27/SER_hh_num!Q19)</f>
        <v>149.27803386617785</v>
      </c>
      <c r="R27" s="146">
        <f>IF(SER_hh_tes!R27=0,0,11630*1000*SER_hh_tes!R27/SER_hh_num!R19)</f>
        <v>157.2483485289693</v>
      </c>
      <c r="S27" s="146">
        <f>IF(SER_hh_tes!S27=0,0,11630*1000*SER_hh_tes!S27/SER_hh_num!S19)</f>
        <v>155.07740790242713</v>
      </c>
      <c r="T27" s="146">
        <f>IF(SER_hh_tes!T27=0,0,11630*1000*SER_hh_tes!T27/SER_hh_num!T19)</f>
        <v>156.35212574841205</v>
      </c>
      <c r="U27" s="146">
        <f>IF(SER_hh_tes!U27=0,0,11630*1000*SER_hh_tes!U27/SER_hh_num!U19)</f>
        <v>148.05036121428947</v>
      </c>
      <c r="V27" s="146">
        <f>IF(SER_hh_tes!V27=0,0,11630*1000*SER_hh_tes!V27/SER_hh_num!V19)</f>
        <v>139.73217239816927</v>
      </c>
      <c r="W27" s="146">
        <f>IF(SER_hh_tes!W27=0,0,11630*1000*SER_hh_tes!W27/SER_hh_num!W19)</f>
        <v>133.87936193683856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5324.6763461006231</v>
      </c>
      <c r="E28" s="147">
        <f>IF(SER_hh_tes!E27=0,0,11630*1000*SER_hh_tes!E27/SER_hh_num!E27)</f>
        <v>5686.249074740801</v>
      </c>
      <c r="F28" s="147">
        <f>IF(SER_hh_tes!F27=0,0,11630*1000*SER_hh_tes!F27/SER_hh_num!F27)</f>
        <v>6113.5585481182807</v>
      </c>
      <c r="G28" s="147">
        <f>IF(SER_hh_tes!G27=0,0,11630*1000*SER_hh_tes!G27/SER_hh_num!G27)</f>
        <v>6185.5830699898879</v>
      </c>
      <c r="H28" s="147">
        <f>IF(SER_hh_tes!H27=0,0,11630*1000*SER_hh_tes!H27/SER_hh_num!H27)</f>
        <v>6534.9467818219018</v>
      </c>
      <c r="I28" s="147">
        <f>IF(SER_hh_tes!I27=0,0,11630*1000*SER_hh_tes!I27/SER_hh_num!I27)</f>
        <v>6960.9545101645053</v>
      </c>
      <c r="J28" s="147">
        <f>IF(SER_hh_tes!J27=0,0,11630*1000*SER_hh_tes!J27/SER_hh_num!J27)</f>
        <v>7175.0607678022407</v>
      </c>
      <c r="K28" s="147">
        <f>IF(SER_hh_tes!K27=0,0,11630*1000*SER_hh_tes!K27/SER_hh_num!K27)</f>
        <v>7296.1232999574859</v>
      </c>
      <c r="L28" s="147">
        <f>IF(SER_hh_tes!L27=0,0,11630*1000*SER_hh_tes!L27/SER_hh_num!L27)</f>
        <v>7030.8460899582997</v>
      </c>
      <c r="M28" s="147">
        <f>IF(SER_hh_tes!M27=0,0,11630*1000*SER_hh_tes!M27/SER_hh_num!M27)</f>
        <v>7332.9612424300958</v>
      </c>
      <c r="N28" s="147">
        <f>IF(SER_hh_tes!N27=0,0,11630*1000*SER_hh_tes!N27/SER_hh_num!N27)</f>
        <v>7694.523437643963</v>
      </c>
      <c r="O28" s="147">
        <f>IF(SER_hh_tes!O27=0,0,11630*1000*SER_hh_tes!O27/SER_hh_num!O27)</f>
        <v>7704.9682967797326</v>
      </c>
      <c r="P28" s="147">
        <f>IF(SER_hh_tes!P27=0,0,11630*1000*SER_hh_tes!P27/SER_hh_num!P27)</f>
        <v>7814.7422323215487</v>
      </c>
      <c r="Q28" s="147">
        <f>IF(SER_hh_tes!Q27=0,0,11630*1000*SER_hh_tes!Q27/SER_hh_num!Q27)</f>
        <v>7824.4655029978394</v>
      </c>
      <c r="R28" s="147">
        <f>IF(SER_hh_tes!R27=0,0,11630*1000*SER_hh_tes!R27/SER_hh_num!R27)</f>
        <v>8053.4073183815271</v>
      </c>
      <c r="S28" s="147">
        <f>IF(SER_hh_tes!S27=0,0,11630*1000*SER_hh_tes!S27/SER_hh_num!S27)</f>
        <v>8076.0366522418408</v>
      </c>
      <c r="T28" s="147">
        <f>IF(SER_hh_tes!T27=0,0,11630*1000*SER_hh_tes!T27/SER_hh_num!T27)</f>
        <v>6795.7542133673587</v>
      </c>
      <c r="U28" s="147">
        <f>IF(SER_hh_tes!U27=0,0,11630*1000*SER_hh_tes!U27/SER_hh_num!U27)</f>
        <v>7433.2958479990612</v>
      </c>
      <c r="V28" s="147">
        <f>IF(SER_hh_tes!V27=0,0,11630*1000*SER_hh_tes!V27/SER_hh_num!V27)</f>
        <v>7019.7044941232652</v>
      </c>
      <c r="W28" s="147">
        <f>IF(SER_hh_tes!W27=0,0,11630*1000*SER_hh_tes!W27/SER_hh_num!W27)</f>
        <v>7916.7930980700821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10693.873715571735</v>
      </c>
      <c r="C29" s="131">
        <f>IF(SER_hh_tes!C29=0,0,11630*1000*SER_hh_tes!C29/SER_hh_num!C29)</f>
        <v>12400.710932184664</v>
      </c>
      <c r="D29" s="131">
        <f>IF(SER_hh_tes!D29=0,0,11630*1000*SER_hh_tes!D29/SER_hh_num!D29)</f>
        <v>14123.922795167862</v>
      </c>
      <c r="E29" s="131">
        <f>IF(SER_hh_tes!E29=0,0,11630*1000*SER_hh_tes!E29/SER_hh_num!E29)</f>
        <v>15598.967518715273</v>
      </c>
      <c r="F29" s="131">
        <f>IF(SER_hh_tes!F29=0,0,11630*1000*SER_hh_tes!F29/SER_hh_num!F29)</f>
        <v>15774.679614843599</v>
      </c>
      <c r="G29" s="131">
        <f>IF(SER_hh_tes!G29=0,0,11630*1000*SER_hh_tes!G29/SER_hh_num!G29)</f>
        <v>15994.329577983483</v>
      </c>
      <c r="H29" s="131">
        <f>IF(SER_hh_tes!H29=0,0,11630*1000*SER_hh_tes!H29/SER_hh_num!H29)</f>
        <v>16291.195507055972</v>
      </c>
      <c r="I29" s="131">
        <f>IF(SER_hh_tes!I29=0,0,11630*1000*SER_hh_tes!I29/SER_hh_num!I29)</f>
        <v>16975.571361027509</v>
      </c>
      <c r="J29" s="131">
        <f>IF(SER_hh_tes!J29=0,0,11630*1000*SER_hh_tes!J29/SER_hh_num!J29)</f>
        <v>17287.731683490088</v>
      </c>
      <c r="K29" s="131">
        <f>IF(SER_hh_tes!K29=0,0,11630*1000*SER_hh_tes!K29/SER_hh_num!K29)</f>
        <v>16917.379726378636</v>
      </c>
      <c r="L29" s="131">
        <f>IF(SER_hh_tes!L29=0,0,11630*1000*SER_hh_tes!L29/SER_hh_num!L29)</f>
        <v>17187.02251799031</v>
      </c>
      <c r="M29" s="131">
        <f>IF(SER_hh_tes!M29=0,0,11630*1000*SER_hh_tes!M29/SER_hh_num!M29)</f>
        <v>17121.261593983825</v>
      </c>
      <c r="N29" s="131">
        <f>IF(SER_hh_tes!N29=0,0,11630*1000*SER_hh_tes!N29/SER_hh_num!N29)</f>
        <v>16803.523414052477</v>
      </c>
      <c r="O29" s="131">
        <f>IF(SER_hh_tes!O29=0,0,11630*1000*SER_hh_tes!O29/SER_hh_num!O29)</f>
        <v>16787.914977521305</v>
      </c>
      <c r="P29" s="131">
        <f>IF(SER_hh_tes!P29=0,0,11630*1000*SER_hh_tes!P29/SER_hh_num!P29)</f>
        <v>16709.866242041233</v>
      </c>
      <c r="Q29" s="131">
        <f>IF(SER_hh_tes!Q29=0,0,11630*1000*SER_hh_tes!Q29/SER_hh_num!Q29)</f>
        <v>16600.359627546459</v>
      </c>
      <c r="R29" s="131">
        <f>IF(SER_hh_tes!R29=0,0,11630*1000*SER_hh_tes!R29/SER_hh_num!R29)</f>
        <v>16531.194502930688</v>
      </c>
      <c r="S29" s="131">
        <f>IF(SER_hh_tes!S29=0,0,11630*1000*SER_hh_tes!S29/SER_hh_num!S29)</f>
        <v>16128.653663847159</v>
      </c>
      <c r="T29" s="131">
        <f>IF(SER_hh_tes!T29=0,0,11630*1000*SER_hh_tes!T29/SER_hh_num!T29)</f>
        <v>16182.712820748542</v>
      </c>
      <c r="U29" s="131">
        <f>IF(SER_hh_tes!U29=0,0,11630*1000*SER_hh_tes!U29/SER_hh_num!U29)</f>
        <v>16101.950924042811</v>
      </c>
      <c r="V29" s="131">
        <f>IF(SER_hh_tes!V29=0,0,11630*1000*SER_hh_tes!V29/SER_hh_num!V29)</f>
        <v>15111.449771864069</v>
      </c>
      <c r="W29" s="131">
        <f>IF(SER_hh_tes!W29=0,0,11630*1000*SER_hh_tes!W29/SER_hh_num!W29)</f>
        <v>15223.855682591884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4805.5912375910757</v>
      </c>
      <c r="C30" s="133">
        <f>IF(SER_hh_tes!C30=0,0,11630*1000*SER_hh_tes!C30/SER_hh_num!C30)</f>
        <v>14927.900545693676</v>
      </c>
      <c r="D30" s="133">
        <f>IF(SER_hh_tes!D30=0,0,11630*1000*SER_hh_tes!D30/SER_hh_num!D30)</f>
        <v>12217.606794049549</v>
      </c>
      <c r="E30" s="133">
        <f>IF(SER_hh_tes!E30=0,0,11630*1000*SER_hh_tes!E30/SER_hh_num!E30)</f>
        <v>17871.769805565029</v>
      </c>
      <c r="F30" s="133">
        <f>IF(SER_hh_tes!F30=0,0,11630*1000*SER_hh_tes!F30/SER_hh_num!F30)</f>
        <v>16105.921977629425</v>
      </c>
      <c r="G30" s="133">
        <f>IF(SER_hh_tes!G30=0,0,11630*1000*SER_hh_tes!G30/SER_hh_num!G30)</f>
        <v>15536.96933602392</v>
      </c>
      <c r="H30" s="133">
        <f>IF(SER_hh_tes!H30=0,0,11630*1000*SER_hh_tes!H30/SER_hh_num!H30)</f>
        <v>17373.738327254989</v>
      </c>
      <c r="I30" s="133">
        <f>IF(SER_hh_tes!I30=0,0,11630*1000*SER_hh_tes!I30/SER_hh_num!I30)</f>
        <v>18480.302890292831</v>
      </c>
      <c r="J30" s="133">
        <f>IF(SER_hh_tes!J30=0,0,11630*1000*SER_hh_tes!J30/SER_hh_num!J30)</f>
        <v>18156.442538472311</v>
      </c>
      <c r="K30" s="133">
        <f>IF(SER_hh_tes!K30=0,0,11630*1000*SER_hh_tes!K30/SER_hh_num!K30)</f>
        <v>15806.882315215413</v>
      </c>
      <c r="L30" s="133">
        <f>IF(SER_hh_tes!L30=0,0,11630*1000*SER_hh_tes!L30/SER_hh_num!L30)</f>
        <v>15065.952215943644</v>
      </c>
      <c r="M30" s="133">
        <f>IF(SER_hh_tes!M30=0,0,11630*1000*SER_hh_tes!M30/SER_hh_num!M30)</f>
        <v>16201.581478619619</v>
      </c>
      <c r="N30" s="133">
        <f>IF(SER_hh_tes!N30=0,0,11630*1000*SER_hh_tes!N30/SER_hh_num!N30)</f>
        <v>16848.281922836286</v>
      </c>
      <c r="O30" s="133">
        <f>IF(SER_hh_tes!O30=0,0,11630*1000*SER_hh_tes!O30/SER_hh_num!O30)</f>
        <v>17288.044315038056</v>
      </c>
      <c r="P30" s="133">
        <f>IF(SER_hh_tes!P30=0,0,11630*1000*SER_hh_tes!P30/SER_hh_num!P30)</f>
        <v>14951.334014311149</v>
      </c>
      <c r="Q30" s="133">
        <f>IF(SER_hh_tes!Q30=0,0,11630*1000*SER_hh_tes!Q30/SER_hh_num!Q30)</f>
        <v>16548.449949381768</v>
      </c>
      <c r="R30" s="133">
        <f>IF(SER_hh_tes!R30=0,0,11630*1000*SER_hh_tes!R30/SER_hh_num!R30)</f>
        <v>17072.868988397797</v>
      </c>
      <c r="S30" s="133">
        <f>IF(SER_hh_tes!S30=0,0,11630*1000*SER_hh_tes!S30/SER_hh_num!S30)</f>
        <v>16579.534106287439</v>
      </c>
      <c r="T30" s="133">
        <f>IF(SER_hh_tes!T30=0,0,11630*1000*SER_hh_tes!T30/SER_hh_num!T30)</f>
        <v>15820.655213988248</v>
      </c>
      <c r="U30" s="133">
        <f>IF(SER_hh_tes!U30=0,0,11630*1000*SER_hh_tes!U30/SER_hh_num!U30)</f>
        <v>18479.545090797394</v>
      </c>
      <c r="V30" s="133">
        <f>IF(SER_hh_tes!V30=0,0,11630*1000*SER_hh_tes!V30/SER_hh_num!V30)</f>
        <v>12884.304680698628</v>
      </c>
      <c r="W30" s="133">
        <f>IF(SER_hh_tes!W30=0,0,11630*1000*SER_hh_tes!W30/SER_hh_num!W30)</f>
        <v>12603.492747632485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10552.68826862206</v>
      </c>
      <c r="C31" s="133">
        <f>IF(SER_hh_tes!C31=0,0,11630*1000*SER_hh_tes!C31/SER_hh_num!C31)</f>
        <v>12473.54076157362</v>
      </c>
      <c r="D31" s="133">
        <f>IF(SER_hh_tes!D31=0,0,11630*1000*SER_hh_tes!D31/SER_hh_num!D31)</f>
        <v>14099.086429300603</v>
      </c>
      <c r="E31" s="133">
        <f>IF(SER_hh_tes!E31=0,0,11630*1000*SER_hh_tes!E31/SER_hh_num!E31)</f>
        <v>15463.157194298652</v>
      </c>
      <c r="F31" s="133">
        <f>IF(SER_hh_tes!F31=0,0,11630*1000*SER_hh_tes!F31/SER_hh_num!F31)</f>
        <v>15436.546239061989</v>
      </c>
      <c r="G31" s="133">
        <f>IF(SER_hh_tes!G31=0,0,11630*1000*SER_hh_tes!G31/SER_hh_num!G31)</f>
        <v>16175.418125322214</v>
      </c>
      <c r="H31" s="133">
        <f>IF(SER_hh_tes!H31=0,0,11630*1000*SER_hh_tes!H31/SER_hh_num!H31)</f>
        <v>16647.03641788835</v>
      </c>
      <c r="I31" s="133">
        <f>IF(SER_hh_tes!I31=0,0,11630*1000*SER_hh_tes!I31/SER_hh_num!I31)</f>
        <v>16917.337226457283</v>
      </c>
      <c r="J31" s="133">
        <f>IF(SER_hh_tes!J31=0,0,11630*1000*SER_hh_tes!J31/SER_hh_num!J31)</f>
        <v>17075.101051776142</v>
      </c>
      <c r="K31" s="133">
        <f>IF(SER_hh_tes!K31=0,0,11630*1000*SER_hh_tes!K31/SER_hh_num!K31)</f>
        <v>16967.371441481624</v>
      </c>
      <c r="L31" s="133">
        <f>IF(SER_hh_tes!L31=0,0,11630*1000*SER_hh_tes!L31/SER_hh_num!L31)</f>
        <v>16197.745688811989</v>
      </c>
      <c r="M31" s="133">
        <f>IF(SER_hh_tes!M31=0,0,11630*1000*SER_hh_tes!M31/SER_hh_num!M31)</f>
        <v>17102.102462021394</v>
      </c>
      <c r="N31" s="133">
        <f>IF(SER_hh_tes!N31=0,0,11630*1000*SER_hh_tes!N31/SER_hh_num!N31)</f>
        <v>17488.939780699147</v>
      </c>
      <c r="O31" s="133">
        <f>IF(SER_hh_tes!O31=0,0,11630*1000*SER_hh_tes!O31/SER_hh_num!O31)</f>
        <v>17006.696677829157</v>
      </c>
      <c r="P31" s="133">
        <f>IF(SER_hh_tes!P31=0,0,11630*1000*SER_hh_tes!P31/SER_hh_num!P31)</f>
        <v>16651.039667865902</v>
      </c>
      <c r="Q31" s="133">
        <f>IF(SER_hh_tes!Q31=0,0,11630*1000*SER_hh_tes!Q31/SER_hh_num!Q31)</f>
        <v>17071.3446903892</v>
      </c>
      <c r="R31" s="133">
        <f>IF(SER_hh_tes!R31=0,0,11630*1000*SER_hh_tes!R31/SER_hh_num!R31)</f>
        <v>16609.726573106771</v>
      </c>
      <c r="S31" s="133">
        <f>IF(SER_hh_tes!S31=0,0,11630*1000*SER_hh_tes!S31/SER_hh_num!S31)</f>
        <v>16003.953863577717</v>
      </c>
      <c r="T31" s="133">
        <f>IF(SER_hh_tes!T31=0,0,11630*1000*SER_hh_tes!T31/SER_hh_num!T31)</f>
        <v>15960.667908724963</v>
      </c>
      <c r="U31" s="133">
        <f>IF(SER_hh_tes!U31=0,0,11630*1000*SER_hh_tes!U31/SER_hh_num!U31)</f>
        <v>16181.16140105002</v>
      </c>
      <c r="V31" s="133">
        <f>IF(SER_hh_tes!V31=0,0,11630*1000*SER_hh_tes!V31/SER_hh_num!V31)</f>
        <v>13436.815524394951</v>
      </c>
      <c r="W31" s="133">
        <f>IF(SER_hh_tes!W31=0,0,11630*1000*SER_hh_tes!W31/SER_hh_num!W31)</f>
        <v>18384.155113736088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10808.073406892721</v>
      </c>
      <c r="C33" s="68">
        <f>IF(SER_hh_tes!C33=0,0,11630*1000*SER_hh_tes!C33/SER_hh_num!C33)</f>
        <v>12320.734420212235</v>
      </c>
      <c r="D33" s="68">
        <f>IF(SER_hh_tes!D33=0,0,11630*1000*SER_hh_tes!D33/SER_hh_num!D33)</f>
        <v>14204.54262394871</v>
      </c>
      <c r="E33" s="68">
        <f>IF(SER_hh_tes!E33=0,0,11630*1000*SER_hh_tes!E33/SER_hh_num!E33)</f>
        <v>15509.213354934538</v>
      </c>
      <c r="F33" s="68">
        <f>IF(SER_hh_tes!F33=0,0,11630*1000*SER_hh_tes!F33/SER_hh_num!F33)</f>
        <v>15839.853374938901</v>
      </c>
      <c r="G33" s="68">
        <f>IF(SER_hh_tes!G33=0,0,11630*1000*SER_hh_tes!G33/SER_hh_num!G33)</f>
        <v>15977.412850947814</v>
      </c>
      <c r="H33" s="68">
        <f>IF(SER_hh_tes!H33=0,0,11630*1000*SER_hh_tes!H33/SER_hh_num!H33)</f>
        <v>16122.103535793412</v>
      </c>
      <c r="I33" s="68">
        <f>IF(SER_hh_tes!I33=0,0,11630*1000*SER_hh_tes!I33/SER_hh_num!I33)</f>
        <v>16894.414118277437</v>
      </c>
      <c r="J33" s="68">
        <f>IF(SER_hh_tes!J33=0,0,11630*1000*SER_hh_tes!J33/SER_hh_num!J33)</f>
        <v>17294.654018512199</v>
      </c>
      <c r="K33" s="68">
        <f>IF(SER_hh_tes!K33=0,0,11630*1000*SER_hh_tes!K33/SER_hh_num!K33)</f>
        <v>16950.880382610798</v>
      </c>
      <c r="L33" s="68">
        <f>IF(SER_hh_tes!L33=0,0,11630*1000*SER_hh_tes!L33/SER_hh_num!L33)</f>
        <v>17521.728861353717</v>
      </c>
      <c r="M33" s="68">
        <f>IF(SER_hh_tes!M33=0,0,11630*1000*SER_hh_tes!M33/SER_hh_num!M33)</f>
        <v>17154.630102014209</v>
      </c>
      <c r="N33" s="68">
        <f>IF(SER_hh_tes!N33=0,0,11630*1000*SER_hh_tes!N33/SER_hh_num!N33)</f>
        <v>16588.422772441703</v>
      </c>
      <c r="O33" s="68">
        <f>IF(SER_hh_tes!O33=0,0,11630*1000*SER_hh_tes!O33/SER_hh_num!O33)</f>
        <v>16700.067462941908</v>
      </c>
      <c r="P33" s="68">
        <f>IF(SER_hh_tes!P33=0,0,11630*1000*SER_hh_tes!P33/SER_hh_num!P33)</f>
        <v>16784.00924183067</v>
      </c>
      <c r="Q33" s="68">
        <f>IF(SER_hh_tes!Q33=0,0,11630*1000*SER_hh_tes!Q33/SER_hh_num!Q33)</f>
        <v>16446.569442021668</v>
      </c>
      <c r="R33" s="68">
        <f>IF(SER_hh_tes!R33=0,0,11630*1000*SER_hh_tes!R33/SER_hh_num!R33)</f>
        <v>16486.4114802482</v>
      </c>
      <c r="S33" s="68">
        <f>IF(SER_hh_tes!S33=0,0,11630*1000*SER_hh_tes!S33/SER_hh_num!S33)</f>
        <v>16148.577598749225</v>
      </c>
      <c r="T33" s="68">
        <f>IF(SER_hh_tes!T33=0,0,11630*1000*SER_hh_tes!T33/SER_hh_num!T33)</f>
        <v>16259.174164958256</v>
      </c>
      <c r="U33" s="68">
        <f>IF(SER_hh_tes!U33=0,0,11630*1000*SER_hh_tes!U33/SER_hh_num!U33)</f>
        <v>15989.968564079716</v>
      </c>
      <c r="V33" s="68">
        <f>IF(SER_hh_tes!V33=0,0,11630*1000*SER_hh_tes!V33/SER_hh_num!V33)</f>
        <v>15658.208277510143</v>
      </c>
      <c r="W33" s="68">
        <f>IF(SER_hh_tes!W33=0,0,11630*1000*SER_hh_tes!W33/SER_hh_num!W33)</f>
        <v>14438.696307353865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17554.962751075695</v>
      </c>
      <c r="C3" s="126">
        <f>IF(SER_hh_emi!C3=0,0,1000000*SER_hh_emi!C3/SER_hh_num!C3)</f>
        <v>19138.726880369457</v>
      </c>
      <c r="D3" s="126">
        <f>IF(SER_hh_emi!D3=0,0,1000000*SER_hh_emi!D3/SER_hh_num!D3)</f>
        <v>25327.980352678107</v>
      </c>
      <c r="E3" s="126">
        <f>IF(SER_hh_emi!E3=0,0,1000000*SER_hh_emi!E3/SER_hh_num!E3)</f>
        <v>26127.728712489316</v>
      </c>
      <c r="F3" s="126">
        <f>IF(SER_hh_emi!F3=0,0,1000000*SER_hh_emi!F3/SER_hh_num!F3)</f>
        <v>24699.058945322104</v>
      </c>
      <c r="G3" s="126">
        <f>IF(SER_hh_emi!G3=0,0,1000000*SER_hh_emi!G3/SER_hh_num!G3)</f>
        <v>23024.829233157241</v>
      </c>
      <c r="H3" s="126">
        <f>IF(SER_hh_emi!H3=0,0,1000000*SER_hh_emi!H3/SER_hh_num!H3)</f>
        <v>24729.775742267386</v>
      </c>
      <c r="I3" s="126">
        <f>IF(SER_hh_emi!I3=0,0,1000000*SER_hh_emi!I3/SER_hh_num!I3)</f>
        <v>22799.883374707664</v>
      </c>
      <c r="J3" s="126">
        <f>IF(SER_hh_emi!J3=0,0,1000000*SER_hh_emi!J3/SER_hh_num!J3)</f>
        <v>23462.955047265033</v>
      </c>
      <c r="K3" s="126">
        <f>IF(SER_hh_emi!K3=0,0,1000000*SER_hh_emi!K3/SER_hh_num!K3)</f>
        <v>23771.251180343101</v>
      </c>
      <c r="L3" s="126">
        <f>IF(SER_hh_emi!L3=0,0,1000000*SER_hh_emi!L3/SER_hh_num!L3)</f>
        <v>26960.030871277264</v>
      </c>
      <c r="M3" s="126">
        <f>IF(SER_hh_emi!M3=0,0,1000000*SER_hh_emi!M3/SER_hh_num!M3)</f>
        <v>24134.01802705686</v>
      </c>
      <c r="N3" s="126">
        <f>IF(SER_hh_emi!N3=0,0,1000000*SER_hh_emi!N3/SER_hh_num!N3)</f>
        <v>22889.742709880284</v>
      </c>
      <c r="O3" s="126">
        <f>IF(SER_hh_emi!O3=0,0,1000000*SER_hh_emi!O3/SER_hh_num!O3)</f>
        <v>20980.884261144889</v>
      </c>
      <c r="P3" s="126">
        <f>IF(SER_hh_emi!P3=0,0,1000000*SER_hh_emi!P3/SER_hh_num!P3)</f>
        <v>18361.706566533649</v>
      </c>
      <c r="Q3" s="126">
        <f>IF(SER_hh_emi!Q3=0,0,1000000*SER_hh_emi!Q3/SER_hh_num!Q3)</f>
        <v>18470.648348615545</v>
      </c>
      <c r="R3" s="126">
        <f>IF(SER_hh_emi!R3=0,0,1000000*SER_hh_emi!R3/SER_hh_num!R3)</f>
        <v>19730.589107718573</v>
      </c>
      <c r="S3" s="126">
        <f>IF(SER_hh_emi!S3=0,0,1000000*SER_hh_emi!S3/SER_hh_num!S3)</f>
        <v>16767.448963001087</v>
      </c>
      <c r="T3" s="126">
        <f>IF(SER_hh_emi!T3=0,0,1000000*SER_hh_emi!T3/SER_hh_num!T3)</f>
        <v>15430.536477628246</v>
      </c>
      <c r="U3" s="126">
        <f>IF(SER_hh_emi!U3=0,0,1000000*SER_hh_emi!U3/SER_hh_num!U3)</f>
        <v>13881.016043640609</v>
      </c>
      <c r="V3" s="126">
        <f>IF(SER_hh_emi!V3=0,0,1000000*SER_hh_emi!V3/SER_hh_num!V3)</f>
        <v>12817.78507508276</v>
      </c>
      <c r="W3" s="126">
        <f>IF(SER_hh_emi!W3=0,0,1000000*SER_hh_emi!W3/SER_hh_num!W3)</f>
        <v>16247.194908589103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15852.380282315113</v>
      </c>
      <c r="C4" s="131">
        <f>IF(SER_hh_emi!C4=0,0,1000000*SER_hh_emi!C4/SER_hh_num!C4)</f>
        <v>16881.752555408468</v>
      </c>
      <c r="D4" s="131">
        <f>IF(SER_hh_emi!D4=0,0,1000000*SER_hh_emi!D4/SER_hh_num!D4)</f>
        <v>22690.589951824259</v>
      </c>
      <c r="E4" s="131">
        <f>IF(SER_hh_emi!E4=0,0,1000000*SER_hh_emi!E4/SER_hh_num!E4)</f>
        <v>22787.815386870934</v>
      </c>
      <c r="F4" s="131">
        <f>IF(SER_hh_emi!F4=0,0,1000000*SER_hh_emi!F4/SER_hh_num!F4)</f>
        <v>21461.829343582256</v>
      </c>
      <c r="G4" s="131">
        <f>IF(SER_hh_emi!G4=0,0,1000000*SER_hh_emi!G4/SER_hh_num!G4)</f>
        <v>19812.671688266422</v>
      </c>
      <c r="H4" s="131">
        <f>IF(SER_hh_emi!H4=0,0,1000000*SER_hh_emi!H4/SER_hh_num!H4)</f>
        <v>21417.166156528805</v>
      </c>
      <c r="I4" s="131">
        <f>IF(SER_hh_emi!I4=0,0,1000000*SER_hh_emi!I4/SER_hh_num!I4)</f>
        <v>19473.476263049426</v>
      </c>
      <c r="J4" s="131">
        <f>IF(SER_hh_emi!J4=0,0,1000000*SER_hh_emi!J4/SER_hh_num!J4)</f>
        <v>20209.507652919823</v>
      </c>
      <c r="K4" s="131">
        <f>IF(SER_hh_emi!K4=0,0,1000000*SER_hh_emi!K4/SER_hh_num!K4)</f>
        <v>20660.289427623891</v>
      </c>
      <c r="L4" s="131">
        <f>IF(SER_hh_emi!L4=0,0,1000000*SER_hh_emi!L4/SER_hh_num!L4)</f>
        <v>23770.548621837319</v>
      </c>
      <c r="M4" s="131">
        <f>IF(SER_hh_emi!M4=0,0,1000000*SER_hh_emi!M4/SER_hh_num!M4)</f>
        <v>20863.915590525743</v>
      </c>
      <c r="N4" s="131">
        <f>IF(SER_hh_emi!N4=0,0,1000000*SER_hh_emi!N4/SER_hh_num!N4)</f>
        <v>19439.944454445078</v>
      </c>
      <c r="O4" s="131">
        <f>IF(SER_hh_emi!O4=0,0,1000000*SER_hh_emi!O4/SER_hh_num!O4)</f>
        <v>17665.738337580515</v>
      </c>
      <c r="P4" s="131">
        <f>IF(SER_hh_emi!P4=0,0,1000000*SER_hh_emi!P4/SER_hh_num!P4)</f>
        <v>15092.492549680961</v>
      </c>
      <c r="Q4" s="131">
        <f>IF(SER_hh_emi!Q4=0,0,1000000*SER_hh_emi!Q4/SER_hh_num!Q4)</f>
        <v>15180.737931974005</v>
      </c>
      <c r="R4" s="131">
        <f>IF(SER_hh_emi!R4=0,0,1000000*SER_hh_emi!R4/SER_hh_num!R4)</f>
        <v>16487.726296730587</v>
      </c>
      <c r="S4" s="131">
        <f>IF(SER_hh_emi!S4=0,0,1000000*SER_hh_emi!S4/SER_hh_num!S4)</f>
        <v>13896.051666279594</v>
      </c>
      <c r="T4" s="131">
        <f>IF(SER_hh_emi!T4=0,0,1000000*SER_hh_emi!T4/SER_hh_num!T4)</f>
        <v>12859.290440854342</v>
      </c>
      <c r="U4" s="131">
        <f>IF(SER_hh_emi!U4=0,0,1000000*SER_hh_emi!U4/SER_hh_num!U4)</f>
        <v>11446.826072952967</v>
      </c>
      <c r="V4" s="131">
        <f>IF(SER_hh_emi!V4=0,0,1000000*SER_hh_emi!V4/SER_hh_num!V4)</f>
        <v>10808.742708023063</v>
      </c>
      <c r="W4" s="131">
        <f>IF(SER_hh_emi!W4=0,0,1000000*SER_hh_emi!W4/SER_hh_num!W4)</f>
        <v>13707.422429668217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49003.635543893302</v>
      </c>
      <c r="C5" s="133">
        <f>IF(SER_hh_emi!C5=0,0,1000000*SER_hh_emi!C5/SER_hh_num!C5)</f>
        <v>35407.512084198337</v>
      </c>
      <c r="D5" s="133">
        <f>IF(SER_hh_emi!D5=0,0,1000000*SER_hh_emi!D5/SER_hh_num!D5)</f>
        <v>58662.61564682443</v>
      </c>
      <c r="E5" s="133">
        <f>IF(SER_hh_emi!E5=0,0,1000000*SER_hh_emi!E5/SER_hh_num!E5)</f>
        <v>56667.724368128351</v>
      </c>
      <c r="F5" s="133">
        <f>IF(SER_hh_emi!F5=0,0,1000000*SER_hh_emi!F5/SER_hh_num!F5)</f>
        <v>52836.178760005801</v>
      </c>
      <c r="G5" s="133">
        <f>IF(SER_hh_emi!G5=0,0,1000000*SER_hh_emi!G5/SER_hh_num!G5)</f>
        <v>51080.055789746992</v>
      </c>
      <c r="H5" s="133">
        <f>IF(SER_hh_emi!H5=0,0,1000000*SER_hh_emi!H5/SER_hh_num!H5)</f>
        <v>57935.078912397985</v>
      </c>
      <c r="I5" s="133">
        <f>IF(SER_hh_emi!I5=0,0,1000000*SER_hh_emi!I5/SER_hh_num!I5)</f>
        <v>47784.614447038861</v>
      </c>
      <c r="J5" s="133">
        <f>IF(SER_hh_emi!J5=0,0,1000000*SER_hh_emi!J5/SER_hh_num!J5)</f>
        <v>51574.181219597238</v>
      </c>
      <c r="K5" s="133">
        <f>IF(SER_hh_emi!K5=0,0,1000000*SER_hh_emi!K5/SER_hh_num!K5)</f>
        <v>53432.464299091356</v>
      </c>
      <c r="L5" s="133">
        <f>IF(SER_hh_emi!L5=0,0,1000000*SER_hh_emi!L5/SER_hh_num!L5)</f>
        <v>59662.603214881739</v>
      </c>
      <c r="M5" s="133">
        <f>IF(SER_hh_emi!M5=0,0,1000000*SER_hh_emi!M5/SER_hh_num!M5)</f>
        <v>51116.389101813016</v>
      </c>
      <c r="N5" s="133">
        <f>IF(SER_hh_emi!N5=0,0,1000000*SER_hh_emi!N5/SER_hh_num!N5)</f>
        <v>50573.581866132801</v>
      </c>
      <c r="O5" s="133">
        <f>IF(SER_hh_emi!O5=0,0,1000000*SER_hh_emi!O5/SER_hh_num!O5)</f>
        <v>46579.920796006503</v>
      </c>
      <c r="P5" s="133">
        <f>IF(SER_hh_emi!P5=0,0,1000000*SER_hh_emi!P5/SER_hh_num!P5)</f>
        <v>41334.866615421022</v>
      </c>
      <c r="Q5" s="133">
        <f>IF(SER_hh_emi!Q5=0,0,1000000*SER_hh_emi!Q5/SER_hh_num!Q5)</f>
        <v>40464.655489121804</v>
      </c>
      <c r="R5" s="133">
        <f>IF(SER_hh_emi!R5=0,0,1000000*SER_hh_emi!R5/SER_hh_num!R5)</f>
        <v>43195.962841865512</v>
      </c>
      <c r="S5" s="133">
        <f>IF(SER_hh_emi!S5=0,0,1000000*SER_hh_emi!S5/SER_hh_num!S5)</f>
        <v>43042.214776997265</v>
      </c>
      <c r="T5" s="133">
        <f>IF(SER_hh_emi!T5=0,0,1000000*SER_hh_emi!T5/SER_hh_num!T5)</f>
        <v>41098.523361291649</v>
      </c>
      <c r="U5" s="133">
        <f>IF(SER_hh_emi!U5=0,0,1000000*SER_hh_emi!U5/SER_hh_num!U5)</f>
        <v>34569.344768114061</v>
      </c>
      <c r="V5" s="133">
        <f>IF(SER_hh_emi!V5=0,0,1000000*SER_hh_emi!V5/SER_hh_num!V5)</f>
        <v>36038.786177378795</v>
      </c>
      <c r="W5" s="133">
        <f>IF(SER_hh_emi!W5=0,0,1000000*SER_hh_emi!W5/SER_hh_num!W5)</f>
        <v>45130.615007593929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35191.878344589997</v>
      </c>
      <c r="C7" s="133">
        <f>IF(SER_hh_emi!C7=0,0,1000000*SER_hh_emi!C7/SER_hh_num!C7)</f>
        <v>44413.617048561398</v>
      </c>
      <c r="D7" s="133">
        <f>IF(SER_hh_emi!D7=0,0,1000000*SER_hh_emi!D7/SER_hh_num!D7)</f>
        <v>48037.038536142623</v>
      </c>
      <c r="E7" s="133">
        <f>IF(SER_hh_emi!E7=0,0,1000000*SER_hh_emi!E7/SER_hh_num!E7)</f>
        <v>48688.93920592517</v>
      </c>
      <c r="F7" s="133">
        <f>IF(SER_hh_emi!F7=0,0,1000000*SER_hh_emi!F7/SER_hh_num!F7)</f>
        <v>45747.480151464057</v>
      </c>
      <c r="G7" s="133">
        <f>IF(SER_hh_emi!G7=0,0,1000000*SER_hh_emi!G7/SER_hh_num!G7)</f>
        <v>35564.762670918877</v>
      </c>
      <c r="H7" s="133">
        <f>IF(SER_hh_emi!H7=0,0,1000000*SER_hh_emi!H7/SER_hh_num!H7)</f>
        <v>54658.000301931286</v>
      </c>
      <c r="I7" s="133">
        <f>IF(SER_hh_emi!I7=0,0,1000000*SER_hh_emi!I7/SER_hh_num!I7)</f>
        <v>47380.060200872424</v>
      </c>
      <c r="J7" s="133">
        <f>IF(SER_hh_emi!J7=0,0,1000000*SER_hh_emi!J7/SER_hh_num!J7)</f>
        <v>45979.929285679464</v>
      </c>
      <c r="K7" s="133">
        <f>IF(SER_hh_emi!K7=0,0,1000000*SER_hh_emi!K7/SER_hh_num!K7)</f>
        <v>43083.815471743037</v>
      </c>
      <c r="L7" s="133">
        <f>IF(SER_hh_emi!L7=0,0,1000000*SER_hh_emi!L7/SER_hh_num!L7)</f>
        <v>54474.150212066939</v>
      </c>
      <c r="M7" s="133">
        <f>IF(SER_hh_emi!M7=0,0,1000000*SER_hh_emi!M7/SER_hh_num!M7)</f>
        <v>52035.19460487293</v>
      </c>
      <c r="N7" s="133">
        <f>IF(SER_hh_emi!N7=0,0,1000000*SER_hh_emi!N7/SER_hh_num!N7)</f>
        <v>41088.948763759596</v>
      </c>
      <c r="O7" s="133">
        <f>IF(SER_hh_emi!O7=0,0,1000000*SER_hh_emi!O7/SER_hh_num!O7)</f>
        <v>36690.786421006407</v>
      </c>
      <c r="P7" s="133">
        <f>IF(SER_hh_emi!P7=0,0,1000000*SER_hh_emi!P7/SER_hh_num!P7)</f>
        <v>37257.450438532287</v>
      </c>
      <c r="Q7" s="133">
        <f>IF(SER_hh_emi!Q7=0,0,1000000*SER_hh_emi!Q7/SER_hh_num!Q7)</f>
        <v>36687.077393503379</v>
      </c>
      <c r="R7" s="133">
        <f>IF(SER_hh_emi!R7=0,0,1000000*SER_hh_emi!R7/SER_hh_num!R7)</f>
        <v>36256.557431898429</v>
      </c>
      <c r="S7" s="133">
        <f>IF(SER_hh_emi!S7=0,0,1000000*SER_hh_emi!S7/SER_hh_num!S7)</f>
        <v>35396.346308785622</v>
      </c>
      <c r="T7" s="133">
        <f>IF(SER_hh_emi!T7=0,0,1000000*SER_hh_emi!T7/SER_hh_num!T7)</f>
        <v>35258.056456270941</v>
      </c>
      <c r="U7" s="133">
        <f>IF(SER_hh_emi!U7=0,0,1000000*SER_hh_emi!U7/SER_hh_num!U7)</f>
        <v>30385.631157197939</v>
      </c>
      <c r="V7" s="133">
        <f>IF(SER_hh_emi!V7=0,0,1000000*SER_hh_emi!V7/SER_hh_num!V7)</f>
        <v>30548.983595073922</v>
      </c>
      <c r="W7" s="133">
        <f>IF(SER_hh_emi!W7=0,0,1000000*SER_hh_emi!W7/SER_hh_num!W7)</f>
        <v>33572.496482953095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12281.416880024433</v>
      </c>
      <c r="C8" s="133">
        <f>IF(SER_hh_emi!C8=0,0,1000000*SER_hh_emi!C8/SER_hh_num!C8)</f>
        <v>14538.686170254581</v>
      </c>
      <c r="D8" s="133">
        <f>IF(SER_hh_emi!D8=0,0,1000000*SER_hh_emi!D8/SER_hh_num!D8)</f>
        <v>15540.699841841708</v>
      </c>
      <c r="E8" s="133">
        <f>IF(SER_hh_emi!E8=0,0,1000000*SER_hh_emi!E8/SER_hh_num!E8)</f>
        <v>16500.265824904745</v>
      </c>
      <c r="F8" s="133">
        <f>IF(SER_hh_emi!F8=0,0,1000000*SER_hh_emi!F8/SER_hh_num!F8)</f>
        <v>16251.366786658571</v>
      </c>
      <c r="G8" s="133">
        <f>IF(SER_hh_emi!G8=0,0,1000000*SER_hh_emi!G8/SER_hh_num!G8)</f>
        <v>15857.355469252157</v>
      </c>
      <c r="H8" s="133">
        <f>IF(SER_hh_emi!H8=0,0,1000000*SER_hh_emi!H8/SER_hh_num!H8)</f>
        <v>15433.168339149093</v>
      </c>
      <c r="I8" s="133">
        <f>IF(SER_hh_emi!I8=0,0,1000000*SER_hh_emi!I8/SER_hh_num!I8)</f>
        <v>14748.705929748046</v>
      </c>
      <c r="J8" s="133">
        <f>IF(SER_hh_emi!J8=0,0,1000000*SER_hh_emi!J8/SER_hh_num!J8)</f>
        <v>15158.154782126383</v>
      </c>
      <c r="K8" s="133">
        <f>IF(SER_hh_emi!K8=0,0,1000000*SER_hh_emi!K8/SER_hh_num!K8)</f>
        <v>15780.518858553767</v>
      </c>
      <c r="L8" s="133">
        <f>IF(SER_hh_emi!L8=0,0,1000000*SER_hh_emi!L8/SER_hh_num!L8)</f>
        <v>15733.697107594446</v>
      </c>
      <c r="M8" s="133">
        <f>IF(SER_hh_emi!M8=0,0,1000000*SER_hh_emi!M8/SER_hh_num!M8)</f>
        <v>13221.334869898754</v>
      </c>
      <c r="N8" s="133">
        <f>IF(SER_hh_emi!N8=0,0,1000000*SER_hh_emi!N8/SER_hh_num!N8)</f>
        <v>12361.1379573377</v>
      </c>
      <c r="O8" s="133">
        <f>IF(SER_hh_emi!O8=0,0,1000000*SER_hh_emi!O8/SER_hh_num!O8)</f>
        <v>9811.0679236723972</v>
      </c>
      <c r="P8" s="133">
        <f>IF(SER_hh_emi!P8=0,0,1000000*SER_hh_emi!P8/SER_hh_num!P8)</f>
        <v>10333.520906300355</v>
      </c>
      <c r="Q8" s="133">
        <f>IF(SER_hh_emi!Q8=0,0,1000000*SER_hh_emi!Q8/SER_hh_num!Q8)</f>
        <v>9487.8543556748918</v>
      </c>
      <c r="R8" s="133">
        <f>IF(SER_hh_emi!R8=0,0,1000000*SER_hh_emi!R8/SER_hh_num!R8)</f>
        <v>9344.045951933178</v>
      </c>
      <c r="S8" s="133">
        <f>IF(SER_hh_emi!S8=0,0,1000000*SER_hh_emi!S8/SER_hh_num!S8)</f>
        <v>8188.3267155198764</v>
      </c>
      <c r="T8" s="133">
        <f>IF(SER_hh_emi!T8=0,0,1000000*SER_hh_emi!T8/SER_hh_num!T8)</f>
        <v>7509.2735789275157</v>
      </c>
      <c r="U8" s="133">
        <f>IF(SER_hh_emi!U8=0,0,1000000*SER_hh_emi!U8/SER_hh_num!U8)</f>
        <v>7058.6294939509817</v>
      </c>
      <c r="V8" s="133">
        <f>IF(SER_hh_emi!V8=0,0,1000000*SER_hh_emi!V8/SER_hh_num!V8)</f>
        <v>6854.8643499973414</v>
      </c>
      <c r="W8" s="133">
        <f>IF(SER_hh_emi!W8=0,0,1000000*SER_hh_emi!W8/SER_hh_num!W8)</f>
        <v>8069.7984697550301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23615.188303225204</v>
      </c>
      <c r="C9" s="133">
        <f>IF(SER_hh_emi!C9=0,0,1000000*SER_hh_emi!C9/SER_hh_num!C9)</f>
        <v>28696.549072593167</v>
      </c>
      <c r="D9" s="133">
        <f>IF(SER_hh_emi!D9=0,0,1000000*SER_hh_emi!D9/SER_hh_num!D9)</f>
        <v>31936.464974558807</v>
      </c>
      <c r="E9" s="133">
        <f>IF(SER_hh_emi!E9=0,0,1000000*SER_hh_emi!E9/SER_hh_num!E9)</f>
        <v>31998.639530978031</v>
      </c>
      <c r="F9" s="133">
        <f>IF(SER_hh_emi!F9=0,0,1000000*SER_hh_emi!F9/SER_hh_num!F9)</f>
        <v>32478.31811247738</v>
      </c>
      <c r="G9" s="133">
        <f>IF(SER_hh_emi!G9=0,0,1000000*SER_hh_emi!G9/SER_hh_num!G9)</f>
        <v>32044.476225175382</v>
      </c>
      <c r="H9" s="133">
        <f>IF(SER_hh_emi!H9=0,0,1000000*SER_hh_emi!H9/SER_hh_num!H9)</f>
        <v>29841.469660672061</v>
      </c>
      <c r="I9" s="133">
        <f>IF(SER_hh_emi!I9=0,0,1000000*SER_hh_emi!I9/SER_hh_num!I9)</f>
        <v>29245.637157391844</v>
      </c>
      <c r="J9" s="133">
        <f>IF(SER_hh_emi!J9=0,0,1000000*SER_hh_emi!J9/SER_hh_num!J9)</f>
        <v>29795.435497476836</v>
      </c>
      <c r="K9" s="133">
        <f>IF(SER_hh_emi!K9=0,0,1000000*SER_hh_emi!K9/SER_hh_num!K9)</f>
        <v>29733.115156800151</v>
      </c>
      <c r="L9" s="133">
        <f>IF(SER_hh_emi!L9=0,0,1000000*SER_hh_emi!L9/SER_hh_num!L9)</f>
        <v>34078.048983492161</v>
      </c>
      <c r="M9" s="133">
        <f>IF(SER_hh_emi!M9=0,0,1000000*SER_hh_emi!M9/SER_hh_num!M9)</f>
        <v>29053.024418119781</v>
      </c>
      <c r="N9" s="133">
        <f>IF(SER_hh_emi!N9=0,0,1000000*SER_hh_emi!N9/SER_hh_num!N9)</f>
        <v>28504.892992395678</v>
      </c>
      <c r="O9" s="133">
        <f>IF(SER_hh_emi!O9=0,0,1000000*SER_hh_emi!O9/SER_hh_num!O9)</f>
        <v>26474.8989730188</v>
      </c>
      <c r="P9" s="133">
        <f>IF(SER_hh_emi!P9=0,0,1000000*SER_hh_emi!P9/SER_hh_num!P9)</f>
        <v>21657.244238524287</v>
      </c>
      <c r="Q9" s="133">
        <f>IF(SER_hh_emi!Q9=0,0,1000000*SER_hh_emi!Q9/SER_hh_num!Q9)</f>
        <v>22999.969523864162</v>
      </c>
      <c r="R9" s="133">
        <f>IF(SER_hh_emi!R9=0,0,1000000*SER_hh_emi!R9/SER_hh_num!R9)</f>
        <v>27428.542973133026</v>
      </c>
      <c r="S9" s="133">
        <f>IF(SER_hh_emi!S9=0,0,1000000*SER_hh_emi!S9/SER_hh_num!S9)</f>
        <v>20991.159100892884</v>
      </c>
      <c r="T9" s="133">
        <f>IF(SER_hh_emi!T9=0,0,1000000*SER_hh_emi!T9/SER_hh_num!T9)</f>
        <v>20298.775823881959</v>
      </c>
      <c r="U9" s="133">
        <f>IF(SER_hh_emi!U9=0,0,1000000*SER_hh_emi!U9/SER_hh_num!U9)</f>
        <v>20953.36858642918</v>
      </c>
      <c r="V9" s="133">
        <f>IF(SER_hh_emi!V9=0,0,1000000*SER_hh_emi!V9/SER_hh_num!V9)</f>
        <v>18271.583918047549</v>
      </c>
      <c r="W9" s="133">
        <f>IF(SER_hh_emi!W9=0,0,1000000*SER_hh_emi!W9/SER_hh_num!W9)</f>
        <v>25728.500530924081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237.30507621993394</v>
      </c>
      <c r="C10" s="133">
        <f>IF(SER_hh_emi!C10=0,0,1000000*SER_hh_emi!C10/SER_hh_num!C10)</f>
        <v>1128.1229311812069</v>
      </c>
      <c r="D10" s="133">
        <f>IF(SER_hh_emi!D10=0,0,1000000*SER_hh_emi!D10/SER_hh_num!D10)</f>
        <v>1449.6723547267704</v>
      </c>
      <c r="E10" s="133">
        <f>IF(SER_hh_emi!E10=0,0,1000000*SER_hh_emi!E10/SER_hh_num!E10)</f>
        <v>1128.4318680245831</v>
      </c>
      <c r="F10" s="133">
        <f>IF(SER_hh_emi!F10=0,0,1000000*SER_hh_emi!F10/SER_hh_num!F10)</f>
        <v>33.65480552351648</v>
      </c>
      <c r="G10" s="133">
        <f>IF(SER_hh_emi!G10=0,0,1000000*SER_hh_emi!G10/SER_hh_num!G10)</f>
        <v>379.21148766573799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586.65204801202356</v>
      </c>
      <c r="K10" s="133">
        <f>IF(SER_hh_emi!K10=0,0,1000000*SER_hh_emi!K10/SER_hh_num!K10)</f>
        <v>1675.0822026412372</v>
      </c>
      <c r="L10" s="133">
        <f>IF(SER_hh_emi!L10=0,0,1000000*SER_hh_emi!L10/SER_hh_num!L10)</f>
        <v>335.47836092391401</v>
      </c>
      <c r="M10" s="133">
        <f>IF(SER_hh_emi!M10=0,0,1000000*SER_hh_emi!M10/SER_hh_num!M10)</f>
        <v>510.87782646513716</v>
      </c>
      <c r="N10" s="133">
        <f>IF(SER_hh_emi!N10=0,0,1000000*SER_hh_emi!N10/SER_hh_num!N10)</f>
        <v>402.81243719791888</v>
      </c>
      <c r="O10" s="133">
        <f>IF(SER_hh_emi!O10=0,0,1000000*SER_hh_emi!O10/SER_hh_num!O10)</f>
        <v>4554.7331507680092</v>
      </c>
      <c r="P10" s="133">
        <f>IF(SER_hh_emi!P10=0,0,1000000*SER_hh_emi!P10/SER_hh_num!P10)</f>
        <v>2293.6921509212939</v>
      </c>
      <c r="Q10" s="133">
        <f>IF(SER_hh_emi!Q10=0,0,1000000*SER_hh_emi!Q10/SER_hh_num!Q10)</f>
        <v>1889.5788008891425</v>
      </c>
      <c r="R10" s="133">
        <f>IF(SER_hh_emi!R10=0,0,1000000*SER_hh_emi!R10/SER_hh_num!R10)</f>
        <v>3091.2076808535803</v>
      </c>
      <c r="S10" s="133">
        <f>IF(SER_hh_emi!S10=0,0,1000000*SER_hh_emi!S10/SER_hh_num!S10)</f>
        <v>2134.3852410361205</v>
      </c>
      <c r="T10" s="133">
        <f>IF(SER_hh_emi!T10=0,0,1000000*SER_hh_emi!T10/SER_hh_num!T10)</f>
        <v>1884.5900502260608</v>
      </c>
      <c r="U10" s="133">
        <f>IF(SER_hh_emi!U10=0,0,1000000*SER_hh_emi!U10/SER_hh_num!U10)</f>
        <v>1685.2253745283772</v>
      </c>
      <c r="V10" s="133">
        <f>IF(SER_hh_emi!V10=0,0,1000000*SER_hh_emi!V10/SER_hh_num!V10)</f>
        <v>4617.2611122309481</v>
      </c>
      <c r="W10" s="133">
        <f>IF(SER_hh_emi!W10=0,0,1000000*SER_hh_emi!W10/SER_hh_num!W10)</f>
        <v>5621.1877009633108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6.0174680440451107</v>
      </c>
      <c r="C16" s="131">
        <f>IF(SER_hh_emi!C16=0,0,1000000*SER_hh_emi!C16/SER_hh_num!C16)</f>
        <v>6.3483641778963982</v>
      </c>
      <c r="D16" s="131">
        <f>IF(SER_hh_emi!D16=0,0,1000000*SER_hh_emi!D16/SER_hh_num!D16)</f>
        <v>6.9983870458258668</v>
      </c>
      <c r="E16" s="131">
        <f>IF(SER_hh_emi!E16=0,0,1000000*SER_hh_emi!E16/SER_hh_num!E16)</f>
        <v>7.2809700390021561</v>
      </c>
      <c r="F16" s="131">
        <f>IF(SER_hh_emi!F16=0,0,1000000*SER_hh_emi!F16/SER_hh_num!F16)</f>
        <v>8.0352895732669882</v>
      </c>
      <c r="G16" s="131">
        <f>IF(SER_hh_emi!G16=0,0,1000000*SER_hh_emi!G16/SER_hh_num!G16)</f>
        <v>8.7050503177858882</v>
      </c>
      <c r="H16" s="131">
        <f>IF(SER_hh_emi!H16=0,0,1000000*SER_hh_emi!H16/SER_hh_num!H16)</f>
        <v>9.297867043103615</v>
      </c>
      <c r="I16" s="131">
        <f>IF(SER_hh_emi!I16=0,0,1000000*SER_hh_emi!I16/SER_hh_num!I16)</f>
        <v>9.5978024446808821</v>
      </c>
      <c r="J16" s="131">
        <f>IF(SER_hh_emi!J16=0,0,1000000*SER_hh_emi!J16/SER_hh_num!J16)</f>
        <v>9.4914380190327297</v>
      </c>
      <c r="K16" s="131">
        <f>IF(SER_hh_emi!K16=0,0,1000000*SER_hh_emi!K16/SER_hh_num!K16)</f>
        <v>9.7209324544669684</v>
      </c>
      <c r="L16" s="131">
        <f>IF(SER_hh_emi!L16=0,0,1000000*SER_hh_emi!L16/SER_hh_num!L16)</f>
        <v>10.873440583119786</v>
      </c>
      <c r="M16" s="131">
        <f>IF(SER_hh_emi!M16=0,0,1000000*SER_hh_emi!M16/SER_hh_num!M16)</f>
        <v>10.525581686610874</v>
      </c>
      <c r="N16" s="131">
        <f>IF(SER_hh_emi!N16=0,0,1000000*SER_hh_emi!N16/SER_hh_num!N16)</f>
        <v>11.949986257575965</v>
      </c>
      <c r="O16" s="131">
        <f>IF(SER_hh_emi!O16=0,0,1000000*SER_hh_emi!O16/SER_hh_num!O16)</f>
        <v>14.343737511827738</v>
      </c>
      <c r="P16" s="131">
        <f>IF(SER_hh_emi!P16=0,0,1000000*SER_hh_emi!P16/SER_hh_num!P16)</f>
        <v>18.188763525017269</v>
      </c>
      <c r="Q16" s="131">
        <f>IF(SER_hh_emi!Q16=0,0,1000000*SER_hh_emi!Q16/SER_hh_num!Q16)</f>
        <v>24.177562461755898</v>
      </c>
      <c r="R16" s="131">
        <f>IF(SER_hh_emi!R16=0,0,1000000*SER_hh_emi!R16/SER_hh_num!R16)</f>
        <v>30.424441774703002</v>
      </c>
      <c r="S16" s="131">
        <f>IF(SER_hh_emi!S16=0,0,1000000*SER_hh_emi!S16/SER_hh_num!S16)</f>
        <v>35.576097785638737</v>
      </c>
      <c r="T16" s="131">
        <f>IF(SER_hh_emi!T16=0,0,1000000*SER_hh_emi!T16/SER_hh_num!T16)</f>
        <v>39.383904428294585</v>
      </c>
      <c r="U16" s="131">
        <f>IF(SER_hh_emi!U16=0,0,1000000*SER_hh_emi!U16/SER_hh_num!U16)</f>
        <v>44.212512622796936</v>
      </c>
      <c r="V16" s="131">
        <f>IF(SER_hh_emi!V16=0,0,1000000*SER_hh_emi!V16/SER_hh_num!V16)</f>
        <v>38.36773809301085</v>
      </c>
      <c r="W16" s="131">
        <f>IF(SER_hh_emi!W16=0,0,1000000*SER_hh_emi!W16/SER_hh_num!W16)</f>
        <v>39.879896108510081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3987.5567636653709</v>
      </c>
      <c r="C17" s="133">
        <f>IF(SER_hh_emi!C17=0,0,1000000*SER_hh_emi!C17/SER_hh_num!C17)</f>
        <v>3993.7772106211355</v>
      </c>
      <c r="D17" s="133">
        <f>IF(SER_hh_emi!D17=0,0,1000000*SER_hh_emi!D17/SER_hh_num!D17)</f>
        <v>4073.1149720760636</v>
      </c>
      <c r="E17" s="133">
        <f>IF(SER_hh_emi!E17=0,0,1000000*SER_hh_emi!E17/SER_hh_num!E17)</f>
        <v>3990.4818857453993</v>
      </c>
      <c r="F17" s="133">
        <f>IF(SER_hh_emi!F17=0,0,1000000*SER_hh_emi!F17/SER_hh_num!F17)</f>
        <v>3932.3071558386055</v>
      </c>
      <c r="G17" s="133">
        <f>IF(SER_hh_emi!G17=0,0,1000000*SER_hh_emi!G17/SER_hh_num!G17)</f>
        <v>3937.3243296129922</v>
      </c>
      <c r="H17" s="133">
        <f>IF(SER_hh_emi!H17=0,0,1000000*SER_hh_emi!H17/SER_hh_num!H17)</f>
        <v>4144.6943997330545</v>
      </c>
      <c r="I17" s="133">
        <f>IF(SER_hh_emi!I17=0,0,1000000*SER_hh_emi!I17/SER_hh_num!I17)</f>
        <v>3988.5937981109005</v>
      </c>
      <c r="J17" s="133">
        <f>IF(SER_hh_emi!J17=0,0,1000000*SER_hh_emi!J17/SER_hh_num!J17)</f>
        <v>3899.7364291510094</v>
      </c>
      <c r="K17" s="133">
        <f>IF(SER_hh_emi!K17=0,0,1000000*SER_hh_emi!K17/SER_hh_num!K17)</f>
        <v>3918.5227152745865</v>
      </c>
      <c r="L17" s="133">
        <f>IF(SER_hh_emi!L17=0,0,1000000*SER_hh_emi!L17/SER_hh_num!L17)</f>
        <v>4438.0344288413253</v>
      </c>
      <c r="M17" s="133">
        <f>IF(SER_hh_emi!M17=0,0,1000000*SER_hh_emi!M17/SER_hh_num!M17)</f>
        <v>3910.9538761428394</v>
      </c>
      <c r="N17" s="133">
        <f>IF(SER_hh_emi!N17=0,0,1000000*SER_hh_emi!N17/SER_hh_num!N17)</f>
        <v>4077.0005275961648</v>
      </c>
      <c r="O17" s="133">
        <f>IF(SER_hh_emi!O17=0,0,1000000*SER_hh_emi!O17/SER_hh_num!O17)</f>
        <v>4039.9187335735396</v>
      </c>
      <c r="P17" s="133">
        <f>IF(SER_hh_emi!P17=0,0,1000000*SER_hh_emi!P17/SER_hh_num!P17)</f>
        <v>3903.4542873861742</v>
      </c>
      <c r="Q17" s="133">
        <f>IF(SER_hh_emi!Q17=0,0,1000000*SER_hh_emi!Q17/SER_hh_num!Q17)</f>
        <v>4402.6818316087965</v>
      </c>
      <c r="R17" s="133">
        <f>IF(SER_hh_emi!R17=0,0,1000000*SER_hh_emi!R17/SER_hh_num!R17)</f>
        <v>3725.4826979191025</v>
      </c>
      <c r="S17" s="133">
        <f>IF(SER_hh_emi!S17=0,0,1000000*SER_hh_emi!S17/SER_hh_num!S17)</f>
        <v>3674.548635114345</v>
      </c>
      <c r="T17" s="133">
        <f>IF(SER_hh_emi!T17=0,0,1000000*SER_hh_emi!T17/SER_hh_num!T17)</f>
        <v>3721.8167642051058</v>
      </c>
      <c r="U17" s="133">
        <f>IF(SER_hh_emi!U17=0,0,1000000*SER_hh_emi!U17/SER_hh_num!U17)</f>
        <v>3974.2034159192995</v>
      </c>
      <c r="V17" s="133">
        <f>IF(SER_hh_emi!V17=0,0,1000000*SER_hh_emi!V17/SER_hh_num!V17)</f>
        <v>3215.2699692485016</v>
      </c>
      <c r="W17" s="133">
        <f>IF(SER_hh_emi!W17=0,0,1000000*SER_hh_emi!W17/SER_hh_num!W17)</f>
        <v>3382.364090171458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1039.4835663595297</v>
      </c>
      <c r="C19" s="131">
        <f>IF(SER_hh_emi!C19=0,0,1000000*SER_hh_emi!C19/SER_hh_num!C19)</f>
        <v>1367.0995107232577</v>
      </c>
      <c r="D19" s="131">
        <f>IF(SER_hh_emi!D19=0,0,1000000*SER_hh_emi!D19/SER_hh_num!D19)</f>
        <v>1595.5816774060831</v>
      </c>
      <c r="E19" s="131">
        <f>IF(SER_hh_emi!E19=0,0,1000000*SER_hh_emi!E19/SER_hh_num!E19)</f>
        <v>2056.3150366021168</v>
      </c>
      <c r="F19" s="131">
        <f>IF(SER_hh_emi!F19=0,0,1000000*SER_hh_emi!F19/SER_hh_num!F19)</f>
        <v>1949.8076585773053</v>
      </c>
      <c r="G19" s="131">
        <f>IF(SER_hh_emi!G19=0,0,1000000*SER_hh_emi!G19/SER_hh_num!G19)</f>
        <v>1839.5364686787136</v>
      </c>
      <c r="H19" s="131">
        <f>IF(SER_hh_emi!H19=0,0,1000000*SER_hh_emi!H19/SER_hh_num!H19)</f>
        <v>1868.169297550334</v>
      </c>
      <c r="I19" s="131">
        <f>IF(SER_hh_emi!I19=0,0,1000000*SER_hh_emi!I19/SER_hh_num!I19)</f>
        <v>1881.2554420744264</v>
      </c>
      <c r="J19" s="131">
        <f>IF(SER_hh_emi!J19=0,0,1000000*SER_hh_emi!J19/SER_hh_num!J19)</f>
        <v>1881.3704813524787</v>
      </c>
      <c r="K19" s="131">
        <f>IF(SER_hh_emi!K19=0,0,1000000*SER_hh_emi!K19/SER_hh_num!K19)</f>
        <v>1827.1397719127833</v>
      </c>
      <c r="L19" s="131">
        <f>IF(SER_hh_emi!L19=0,0,1000000*SER_hh_emi!L19/SER_hh_num!L19)</f>
        <v>1944.5943855296616</v>
      </c>
      <c r="M19" s="131">
        <f>IF(SER_hh_emi!M19=0,0,1000000*SER_hh_emi!M19/SER_hh_num!M19)</f>
        <v>1898.0495198132794</v>
      </c>
      <c r="N19" s="131">
        <f>IF(SER_hh_emi!N19=0,0,1000000*SER_hh_emi!N19/SER_hh_num!N19)</f>
        <v>1974.5918615226119</v>
      </c>
      <c r="O19" s="131">
        <f>IF(SER_hh_emi!O19=0,0,1000000*SER_hh_emi!O19/SER_hh_num!O19)</f>
        <v>1810.661331831715</v>
      </c>
      <c r="P19" s="131">
        <f>IF(SER_hh_emi!P19=0,0,1000000*SER_hh_emi!P19/SER_hh_num!P19)</f>
        <v>1816.880678635614</v>
      </c>
      <c r="Q19" s="131">
        <f>IF(SER_hh_emi!Q19=0,0,1000000*SER_hh_emi!Q19/SER_hh_num!Q19)</f>
        <v>1784.9749238496527</v>
      </c>
      <c r="R19" s="131">
        <f>IF(SER_hh_emi!R19=0,0,1000000*SER_hh_emi!R19/SER_hh_num!R19)</f>
        <v>1800.3963276246707</v>
      </c>
      <c r="S19" s="131">
        <f>IF(SER_hh_emi!S19=0,0,1000000*SER_hh_emi!S19/SER_hh_num!S19)</f>
        <v>1528.2444539392216</v>
      </c>
      <c r="T19" s="131">
        <f>IF(SER_hh_emi!T19=0,0,1000000*SER_hh_emi!T19/SER_hh_num!T19)</f>
        <v>1301.3313669297252</v>
      </c>
      <c r="U19" s="131">
        <f>IF(SER_hh_emi!U19=0,0,1000000*SER_hh_emi!U19/SER_hh_num!U19)</f>
        <v>1132.3309098236393</v>
      </c>
      <c r="V19" s="131">
        <f>IF(SER_hh_emi!V19=0,0,1000000*SER_hh_emi!V19/SER_hh_num!V19)</f>
        <v>977.70207670952004</v>
      </c>
      <c r="W19" s="131">
        <f>IF(SER_hh_emi!W19=0,0,1000000*SER_hh_emi!W19/SER_hh_num!W19)</f>
        <v>1172.1222224950163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3874.8302343128935</v>
      </c>
      <c r="C20" s="133">
        <f>IF(SER_hh_emi!C20=0,0,1000000*SER_hh_emi!C20/SER_hh_num!C20)</f>
        <v>5841.5890296236003</v>
      </c>
      <c r="D20" s="133">
        <f>IF(SER_hh_emi!D20=0,0,1000000*SER_hh_emi!D20/SER_hh_num!D20)</f>
        <v>6954.3999179706243</v>
      </c>
      <c r="E20" s="133">
        <f>IF(SER_hh_emi!E20=0,0,1000000*SER_hh_emi!E20/SER_hh_num!E20)</f>
        <v>6921.8814562584421</v>
      </c>
      <c r="F20" s="133">
        <f>IF(SER_hh_emi!F20=0,0,1000000*SER_hh_emi!F20/SER_hh_num!F20)</f>
        <v>7189.164954830434</v>
      </c>
      <c r="G20" s="133">
        <f>IF(SER_hh_emi!G20=0,0,1000000*SER_hh_emi!G20/SER_hh_num!G20)</f>
        <v>7177.3247315022163</v>
      </c>
      <c r="H20" s="133">
        <f>IF(SER_hh_emi!H20=0,0,1000000*SER_hh_emi!H20/SER_hh_num!H20)</f>
        <v>6654.064487200284</v>
      </c>
      <c r="I20" s="133">
        <f>IF(SER_hh_emi!I20=0,0,1000000*SER_hh_emi!I20/SER_hh_num!I20)</f>
        <v>7905.8904021461103</v>
      </c>
      <c r="J20" s="133">
        <f>IF(SER_hh_emi!J20=0,0,1000000*SER_hh_emi!J20/SER_hh_num!J20)</f>
        <v>7827.3494910964409</v>
      </c>
      <c r="K20" s="133">
        <f>IF(SER_hh_emi!K20=0,0,1000000*SER_hh_emi!K20/SER_hh_num!K20)</f>
        <v>7692.71178662278</v>
      </c>
      <c r="L20" s="133">
        <f>IF(SER_hh_emi!L20=0,0,1000000*SER_hh_emi!L20/SER_hh_num!L20)</f>
        <v>7879.4573962950617</v>
      </c>
      <c r="M20" s="133">
        <f>IF(SER_hh_emi!M20=0,0,1000000*SER_hh_emi!M20/SER_hh_num!M20)</f>
        <v>7693.9612952635835</v>
      </c>
      <c r="N20" s="133">
        <f>IF(SER_hh_emi!N20=0,0,1000000*SER_hh_emi!N20/SER_hh_num!N20)</f>
        <v>7604.3111956698795</v>
      </c>
      <c r="O20" s="133">
        <f>IF(SER_hh_emi!O20=0,0,1000000*SER_hh_emi!O20/SER_hh_num!O20)</f>
        <v>7702.497222343688</v>
      </c>
      <c r="P20" s="133">
        <f>IF(SER_hh_emi!P20=0,0,1000000*SER_hh_emi!P20/SER_hh_num!P20)</f>
        <v>7597.3621435687583</v>
      </c>
      <c r="Q20" s="133">
        <f>IF(SER_hh_emi!Q20=0,0,1000000*SER_hh_emi!Q20/SER_hh_num!Q20)</f>
        <v>7614.9394450721056</v>
      </c>
      <c r="R20" s="133">
        <f>IF(SER_hh_emi!R20=0,0,1000000*SER_hh_emi!R20/SER_hh_num!R20)</f>
        <v>8590.0618031152553</v>
      </c>
      <c r="S20" s="133">
        <f>IF(SER_hh_emi!S20=0,0,1000000*SER_hh_emi!S20/SER_hh_num!S20)</f>
        <v>7954.5245472195274</v>
      </c>
      <c r="T20" s="133">
        <f>IF(SER_hh_emi!T20=0,0,1000000*SER_hh_emi!T20/SER_hh_num!T20)</f>
        <v>6646.0726395601869</v>
      </c>
      <c r="U20" s="133">
        <f>IF(SER_hh_emi!U20=0,0,1000000*SER_hh_emi!U20/SER_hh_num!U20)</f>
        <v>5621.9838088915758</v>
      </c>
      <c r="V20" s="133">
        <f>IF(SER_hh_emi!V20=0,0,1000000*SER_hh_emi!V20/SER_hh_num!V20)</f>
        <v>6621.1481055230834</v>
      </c>
      <c r="W20" s="133">
        <f>IF(SER_hh_emi!W20=0,0,1000000*SER_hh_emi!W20/SER_hh_num!W20)</f>
        <v>9140.9550091813071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3202.2578571782574</v>
      </c>
      <c r="C21" s="133">
        <f>IF(SER_hh_emi!C21=0,0,1000000*SER_hh_emi!C21/SER_hh_num!C21)</f>
        <v>3949.5035162666086</v>
      </c>
      <c r="D21" s="133">
        <f>IF(SER_hh_emi!D21=0,0,1000000*SER_hh_emi!D21/SER_hh_num!D21)</f>
        <v>3794.7733107643799</v>
      </c>
      <c r="E21" s="133">
        <f>IF(SER_hh_emi!E21=0,0,1000000*SER_hh_emi!E21/SER_hh_num!E21)</f>
        <v>5748.1591515456403</v>
      </c>
      <c r="F21" s="133">
        <f>IF(SER_hh_emi!F21=0,0,1000000*SER_hh_emi!F21/SER_hh_num!F21)</f>
        <v>5065.8175012031488</v>
      </c>
      <c r="G21" s="133">
        <f>IF(SER_hh_emi!G21=0,0,1000000*SER_hh_emi!G21/SER_hh_num!G21)</f>
        <v>4693.0474154863132</v>
      </c>
      <c r="H21" s="133">
        <f>IF(SER_hh_emi!H21=0,0,1000000*SER_hh_emi!H21/SER_hh_num!H21)</f>
        <v>5697.4341370410966</v>
      </c>
      <c r="I21" s="133">
        <f>IF(SER_hh_emi!I21=0,0,1000000*SER_hh_emi!I21/SER_hh_num!I21)</f>
        <v>5615.49437294785</v>
      </c>
      <c r="J21" s="133">
        <f>IF(SER_hh_emi!J21=0,0,1000000*SER_hh_emi!J21/SER_hh_num!J21)</f>
        <v>5770.1105028781949</v>
      </c>
      <c r="K21" s="133">
        <f>IF(SER_hh_emi!K21=0,0,1000000*SER_hh_emi!K21/SER_hh_num!K21)</f>
        <v>5683.0505420208528</v>
      </c>
      <c r="L21" s="133">
        <f>IF(SER_hh_emi!L21=0,0,1000000*SER_hh_emi!L21/SER_hh_num!L21)</f>
        <v>5594.0471138130415</v>
      </c>
      <c r="M21" s="133">
        <f>IF(SER_hh_emi!M21=0,0,1000000*SER_hh_emi!M21/SER_hh_num!M21)</f>
        <v>5540.0415997909195</v>
      </c>
      <c r="N21" s="133">
        <f>IF(SER_hh_emi!N21=0,0,1000000*SER_hh_emi!N21/SER_hh_num!N21)</f>
        <v>7320.3110579828081</v>
      </c>
      <c r="O21" s="133">
        <f>IF(SER_hh_emi!O21=0,0,1000000*SER_hh_emi!O21/SER_hh_num!O21)</f>
        <v>4887.4307031962326</v>
      </c>
      <c r="P21" s="133">
        <f>IF(SER_hh_emi!P21=0,0,1000000*SER_hh_emi!P21/SER_hh_num!P21)</f>
        <v>5815.4119054003068</v>
      </c>
      <c r="Q21" s="133">
        <f>IF(SER_hh_emi!Q21=0,0,1000000*SER_hh_emi!Q21/SER_hh_num!Q21)</f>
        <v>5616.1823716952576</v>
      </c>
      <c r="R21" s="133">
        <f>IF(SER_hh_emi!R21=0,0,1000000*SER_hh_emi!R21/SER_hh_num!R21)</f>
        <v>5764.0632021557249</v>
      </c>
      <c r="S21" s="133">
        <f>IF(SER_hh_emi!S21=0,0,1000000*SER_hh_emi!S21/SER_hh_num!S21)</f>
        <v>5622.8259217210189</v>
      </c>
      <c r="T21" s="133">
        <f>IF(SER_hh_emi!T21=0,0,1000000*SER_hh_emi!T21/SER_hh_num!T21)</f>
        <v>5140.4240009988271</v>
      </c>
      <c r="U21" s="133">
        <f>IF(SER_hh_emi!U21=0,0,1000000*SER_hh_emi!U21/SER_hh_num!U21)</f>
        <v>5825.8148375391147</v>
      </c>
      <c r="V21" s="133">
        <f>IF(SER_hh_emi!V21=0,0,1000000*SER_hh_emi!V21/SER_hh_num!V21)</f>
        <v>4405.4086331038816</v>
      </c>
      <c r="W21" s="133">
        <f>IF(SER_hh_emi!W21=0,0,1000000*SER_hh_emi!W21/SER_hh_num!W21)</f>
        <v>4825.9136939377222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4266.319547839872</v>
      </c>
      <c r="C22" s="133">
        <f>IF(SER_hh_emi!C22=0,0,1000000*SER_hh_emi!C22/SER_hh_num!C22)</f>
        <v>4463.2919001191476</v>
      </c>
      <c r="D22" s="133">
        <f>IF(SER_hh_emi!D22=0,0,1000000*SER_hh_emi!D22/SER_hh_num!D22)</f>
        <v>5453.3090331034255</v>
      </c>
      <c r="E22" s="133">
        <f>IF(SER_hh_emi!E22=0,0,1000000*SER_hh_emi!E22/SER_hh_num!E22)</f>
        <v>5887.4940445668744</v>
      </c>
      <c r="F22" s="133">
        <f>IF(SER_hh_emi!F22=0,0,1000000*SER_hh_emi!F22/SER_hh_num!F22)</f>
        <v>6278.6898528793572</v>
      </c>
      <c r="G22" s="133">
        <f>IF(SER_hh_emi!G22=0,0,1000000*SER_hh_emi!G22/SER_hh_num!G22)</f>
        <v>6161.6929252219015</v>
      </c>
      <c r="H22" s="133">
        <f>IF(SER_hh_emi!H22=0,0,1000000*SER_hh_emi!H22/SER_hh_num!H22)</f>
        <v>6592.666316127471</v>
      </c>
      <c r="I22" s="133">
        <f>IF(SER_hh_emi!I22=0,0,1000000*SER_hh_emi!I22/SER_hh_num!I22)</f>
        <v>7023.9109628425058</v>
      </c>
      <c r="J22" s="133">
        <f>IF(SER_hh_emi!J22=0,0,1000000*SER_hh_emi!J22/SER_hh_num!J22)</f>
        <v>7207.4098410370652</v>
      </c>
      <c r="K22" s="133">
        <f>IF(SER_hh_emi!K22=0,0,1000000*SER_hh_emi!K22/SER_hh_num!K22)</f>
        <v>7121.1456720819388</v>
      </c>
      <c r="L22" s="133">
        <f>IF(SER_hh_emi!L22=0,0,1000000*SER_hh_emi!L22/SER_hh_num!L22)</f>
        <v>7345.5308180230541</v>
      </c>
      <c r="M22" s="133">
        <f>IF(SER_hh_emi!M22=0,0,1000000*SER_hh_emi!M22/SER_hh_num!M22)</f>
        <v>7187.5480096540723</v>
      </c>
      <c r="N22" s="133">
        <f>IF(SER_hh_emi!N22=0,0,1000000*SER_hh_emi!N22/SER_hh_num!N22)</f>
        <v>7146.9148955137716</v>
      </c>
      <c r="O22" s="133">
        <f>IF(SER_hh_emi!O22=0,0,1000000*SER_hh_emi!O22/SER_hh_num!O22)</f>
        <v>7197.5253703309227</v>
      </c>
      <c r="P22" s="133">
        <f>IF(SER_hh_emi!P22=0,0,1000000*SER_hh_emi!P22/SER_hh_num!P22)</f>
        <v>7134.8285754444114</v>
      </c>
      <c r="Q22" s="133">
        <f>IF(SER_hh_emi!Q22=0,0,1000000*SER_hh_emi!Q22/SER_hh_num!Q22)</f>
        <v>7204.738657474667</v>
      </c>
      <c r="R22" s="133">
        <f>IF(SER_hh_emi!R22=0,0,1000000*SER_hh_emi!R22/SER_hh_num!R22)</f>
        <v>6967.2254714173487</v>
      </c>
      <c r="S22" s="133">
        <f>IF(SER_hh_emi!S22=0,0,1000000*SER_hh_emi!S22/SER_hh_num!S22)</f>
        <v>7238.203556473366</v>
      </c>
      <c r="T22" s="133">
        <f>IF(SER_hh_emi!T22=0,0,1000000*SER_hh_emi!T22/SER_hh_num!T22)</f>
        <v>6882.5883860873291</v>
      </c>
      <c r="U22" s="133">
        <f>IF(SER_hh_emi!U22=0,0,1000000*SER_hh_emi!U22/SER_hh_num!U22)</f>
        <v>5776.37367070646</v>
      </c>
      <c r="V22" s="133">
        <f>IF(SER_hh_emi!V22=0,0,1000000*SER_hh_emi!V22/SER_hh_num!V22)</f>
        <v>5835.2807647009331</v>
      </c>
      <c r="W22" s="133">
        <f>IF(SER_hh_emi!W22=0,0,1000000*SER_hh_emi!W22/SER_hh_num!W22)</f>
        <v>6553.4592161178707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2814.2680720977633</v>
      </c>
      <c r="C23" s="133">
        <f>IF(SER_hh_emi!C23=0,0,1000000*SER_hh_emi!C23/SER_hh_num!C23)</f>
        <v>3343.2590069905664</v>
      </c>
      <c r="D23" s="133">
        <f>IF(SER_hh_emi!D23=0,0,1000000*SER_hh_emi!D23/SER_hh_num!D23)</f>
        <v>3700.8754828993351</v>
      </c>
      <c r="E23" s="133">
        <f>IF(SER_hh_emi!E23=0,0,1000000*SER_hh_emi!E23/SER_hh_num!E23)</f>
        <v>4385.3600248790908</v>
      </c>
      <c r="F23" s="133">
        <f>IF(SER_hh_emi!F23=0,0,1000000*SER_hh_emi!F23/SER_hh_num!F23)</f>
        <v>4319.64290518913</v>
      </c>
      <c r="G23" s="133">
        <f>IF(SER_hh_emi!G23=0,0,1000000*SER_hh_emi!G23/SER_hh_num!G23)</f>
        <v>4361.0525425276974</v>
      </c>
      <c r="H23" s="133">
        <f>IF(SER_hh_emi!H23=0,0,1000000*SER_hh_emi!H23/SER_hh_num!H23)</f>
        <v>4466.9443048190478</v>
      </c>
      <c r="I23" s="133">
        <f>IF(SER_hh_emi!I23=0,0,1000000*SER_hh_emi!I23/SER_hh_num!I23)</f>
        <v>4668.019205073987</v>
      </c>
      <c r="J23" s="133">
        <f>IF(SER_hh_emi!J23=0,0,1000000*SER_hh_emi!J23/SER_hh_num!J23)</f>
        <v>4834.6549498843706</v>
      </c>
      <c r="K23" s="133">
        <f>IF(SER_hh_emi!K23=0,0,1000000*SER_hh_emi!K23/SER_hh_num!K23)</f>
        <v>4708.9130219454191</v>
      </c>
      <c r="L23" s="133">
        <f>IF(SER_hh_emi!L23=0,0,1000000*SER_hh_emi!L23/SER_hh_num!L23)</f>
        <v>4930.0198220582424</v>
      </c>
      <c r="M23" s="133">
        <f>IF(SER_hh_emi!M23=0,0,1000000*SER_hh_emi!M23/SER_hh_num!M23)</f>
        <v>4812.3994667197221</v>
      </c>
      <c r="N23" s="133">
        <f>IF(SER_hh_emi!N23=0,0,1000000*SER_hh_emi!N23/SER_hh_num!N23)</f>
        <v>4707.5686541898385</v>
      </c>
      <c r="O23" s="133">
        <f>IF(SER_hh_emi!O23=0,0,1000000*SER_hh_emi!O23/SER_hh_num!O23)</f>
        <v>4745.2087836216733</v>
      </c>
      <c r="P23" s="133">
        <f>IF(SER_hh_emi!P23=0,0,1000000*SER_hh_emi!P23/SER_hh_num!P23)</f>
        <v>4739.0264762007864</v>
      </c>
      <c r="Q23" s="133">
        <f>IF(SER_hh_emi!Q23=0,0,1000000*SER_hh_emi!Q23/SER_hh_num!Q23)</f>
        <v>4860.2518901593949</v>
      </c>
      <c r="R23" s="133">
        <f>IF(SER_hh_emi!R23=0,0,1000000*SER_hh_emi!R23/SER_hh_num!R23)</f>
        <v>5073.1153264034538</v>
      </c>
      <c r="S23" s="133">
        <f>IF(SER_hh_emi!S23=0,0,1000000*SER_hh_emi!S23/SER_hh_num!S23)</f>
        <v>4414.7276874327654</v>
      </c>
      <c r="T23" s="133">
        <f>IF(SER_hh_emi!T23=0,0,1000000*SER_hh_emi!T23/SER_hh_num!T23)</f>
        <v>4484.7840531408538</v>
      </c>
      <c r="U23" s="133">
        <f>IF(SER_hh_emi!U23=0,0,1000000*SER_hh_emi!U23/SER_hh_num!U23)</f>
        <v>4152.1899895284087</v>
      </c>
      <c r="V23" s="133">
        <f>IF(SER_hh_emi!V23=0,0,1000000*SER_hh_emi!V23/SER_hh_num!V23)</f>
        <v>3646.9641767139665</v>
      </c>
      <c r="W23" s="133">
        <f>IF(SER_hh_emi!W23=0,0,1000000*SER_hh_emi!W23/SER_hh_num!W23)</f>
        <v>5042.4078679099985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25.594785476918283</v>
      </c>
      <c r="C24" s="133">
        <f>IF(SER_hh_emi!C24=0,0,1000000*SER_hh_emi!C24/SER_hh_num!C24)</f>
        <v>148.41876742854782</v>
      </c>
      <c r="D24" s="133">
        <f>IF(SER_hh_emi!D24=0,0,1000000*SER_hh_emi!D24/SER_hh_num!D24)</f>
        <v>202.40061439725773</v>
      </c>
      <c r="E24" s="133">
        <f>IF(SER_hh_emi!E24=0,0,1000000*SER_hh_emi!E24/SER_hh_num!E24)</f>
        <v>147.98992393603157</v>
      </c>
      <c r="F24" s="133">
        <f>IF(SER_hh_emi!F24=0,0,1000000*SER_hh_emi!F24/SER_hh_num!F24)</f>
        <v>4.0974829689587651</v>
      </c>
      <c r="G24" s="133">
        <f>IF(SER_hh_emi!G24=0,0,1000000*SER_hh_emi!G24/SER_hh_num!G24)</f>
        <v>41.865667994956368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93.07653044404465</v>
      </c>
      <c r="K24" s="133">
        <f>IF(SER_hh_emi!K24=0,0,1000000*SER_hh_emi!K24/SER_hh_num!K24)</f>
        <v>208.08185422493764</v>
      </c>
      <c r="L24" s="133">
        <f>IF(SER_hh_emi!L24=0,0,1000000*SER_hh_emi!L24/SER_hh_num!L24)</f>
        <v>38.365300890960988</v>
      </c>
      <c r="M24" s="133">
        <f>IF(SER_hh_emi!M24=0,0,1000000*SER_hh_emi!M24/SER_hh_num!M24)</f>
        <v>63.963242094486027</v>
      </c>
      <c r="N24" s="133">
        <f>IF(SER_hh_emi!N24=0,0,1000000*SER_hh_emi!N24/SER_hh_num!N24)</f>
        <v>59.313605228166388</v>
      </c>
      <c r="O24" s="133">
        <f>IF(SER_hh_emi!O24=0,0,1000000*SER_hh_emi!O24/SER_hh_num!O24)</f>
        <v>615.20138283193091</v>
      </c>
      <c r="P24" s="133">
        <f>IF(SER_hh_emi!P24=0,0,1000000*SER_hh_emi!P24/SER_hh_num!P24)</f>
        <v>361.82380955282332</v>
      </c>
      <c r="Q24" s="133">
        <f>IF(SER_hh_emi!Q24=0,0,1000000*SER_hh_emi!Q24/SER_hh_num!Q24)</f>
        <v>299.37603005876798</v>
      </c>
      <c r="R24" s="133">
        <f>IF(SER_hh_emi!R24=0,0,1000000*SER_hh_emi!R24/SER_hh_num!R24)</f>
        <v>473.93848185105367</v>
      </c>
      <c r="S24" s="133">
        <f>IF(SER_hh_emi!S24=0,0,1000000*SER_hh_emi!S24/SER_hh_num!S24)</f>
        <v>333.51531991968778</v>
      </c>
      <c r="T24" s="133">
        <f>IF(SER_hh_emi!T24=0,0,1000000*SER_hh_emi!T24/SER_hh_num!T24)</f>
        <v>271.95447207911315</v>
      </c>
      <c r="U24" s="133">
        <f>IF(SER_hh_emi!U24=0,0,1000000*SER_hh_emi!U24/SER_hh_num!U24)</f>
        <v>241.67700125987693</v>
      </c>
      <c r="V24" s="133">
        <f>IF(SER_hh_emi!V24=0,0,1000000*SER_hh_emi!V24/SER_hh_num!V24)</f>
        <v>663.06316917245204</v>
      </c>
      <c r="W24" s="133">
        <f>IF(SER_hh_emi!W24=0,0,1000000*SER_hh_emi!W24/SER_hh_num!W24)</f>
        <v>771.24206613333001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662.77439610595013</v>
      </c>
      <c r="C29" s="131">
        <f>IF(SER_hh_emi!C29=0,0,1000000*SER_hh_emi!C29/SER_hh_num!C29)</f>
        <v>889.52647047684218</v>
      </c>
      <c r="D29" s="131">
        <f>IF(SER_hh_emi!D29=0,0,1000000*SER_hh_emi!D29/SER_hh_num!D29)</f>
        <v>1041.4025459435763</v>
      </c>
      <c r="E29" s="131">
        <f>IF(SER_hh_emi!E29=0,0,1000000*SER_hh_emi!E29/SER_hh_num!E29)</f>
        <v>1283.1521578653026</v>
      </c>
      <c r="F29" s="131">
        <f>IF(SER_hh_emi!F29=0,0,1000000*SER_hh_emi!F29/SER_hh_num!F29)</f>
        <v>1286.8884495128236</v>
      </c>
      <c r="G29" s="131">
        <f>IF(SER_hh_emi!G29=0,0,1000000*SER_hh_emi!G29/SER_hh_num!G29)</f>
        <v>1371.9884911803983</v>
      </c>
      <c r="H29" s="131">
        <f>IF(SER_hh_emi!H29=0,0,1000000*SER_hh_emi!H29/SER_hh_num!H29)</f>
        <v>1443.6943661712041</v>
      </c>
      <c r="I29" s="131">
        <f>IF(SER_hh_emi!I29=0,0,1000000*SER_hh_emi!I29/SER_hh_num!I29)</f>
        <v>1444.2840006674155</v>
      </c>
      <c r="J29" s="131">
        <f>IF(SER_hh_emi!J29=0,0,1000000*SER_hh_emi!J29/SER_hh_num!J29)</f>
        <v>1371.1441162933993</v>
      </c>
      <c r="K29" s="131">
        <f>IF(SER_hh_emi!K29=0,0,1000000*SER_hh_emi!K29/SER_hh_num!K29)</f>
        <v>1282.7865485193174</v>
      </c>
      <c r="L29" s="131">
        <f>IF(SER_hh_emi!L29=0,0,1000000*SER_hh_emi!L29/SER_hh_num!L29)</f>
        <v>1243.6449047940139</v>
      </c>
      <c r="M29" s="131">
        <f>IF(SER_hh_emi!M29=0,0,1000000*SER_hh_emi!M29/SER_hh_num!M29)</f>
        <v>1370.7935071257093</v>
      </c>
      <c r="N29" s="131">
        <f>IF(SER_hh_emi!N29=0,0,1000000*SER_hh_emi!N29/SER_hh_num!N29)</f>
        <v>1473.7262817329824</v>
      </c>
      <c r="O29" s="131">
        <f>IF(SER_hh_emi!O29=0,0,1000000*SER_hh_emi!O29/SER_hh_num!O29)</f>
        <v>1502.674226648382</v>
      </c>
      <c r="P29" s="131">
        <f>IF(SER_hh_emi!P29=0,0,1000000*SER_hh_emi!P29/SER_hh_num!P29)</f>
        <v>1450.0035910504807</v>
      </c>
      <c r="Q29" s="131">
        <f>IF(SER_hh_emi!Q29=0,0,1000000*SER_hh_emi!Q29/SER_hh_num!Q29)</f>
        <v>1501.7484972499221</v>
      </c>
      <c r="R29" s="131">
        <f>IF(SER_hh_emi!R29=0,0,1000000*SER_hh_emi!R29/SER_hh_num!R29)</f>
        <v>1438.4570400108598</v>
      </c>
      <c r="S29" s="131">
        <f>IF(SER_hh_emi!S29=0,0,1000000*SER_hh_emi!S29/SER_hh_num!S29)</f>
        <v>1338.4638943499797</v>
      </c>
      <c r="T29" s="131">
        <f>IF(SER_hh_emi!T29=0,0,1000000*SER_hh_emi!T29/SER_hh_num!T29)</f>
        <v>1264.6571660362119</v>
      </c>
      <c r="U29" s="131">
        <f>IF(SER_hh_emi!U29=0,0,1000000*SER_hh_emi!U29/SER_hh_num!U29)</f>
        <v>1295.8643196760058</v>
      </c>
      <c r="V29" s="131">
        <f>IF(SER_hh_emi!V29=0,0,1000000*SER_hh_emi!V29/SER_hh_num!V29)</f>
        <v>1026.2222352242832</v>
      </c>
      <c r="W29" s="131">
        <f>IF(SER_hh_emi!W29=0,0,1000000*SER_hh_emi!W29/SER_hh_num!W29)</f>
        <v>1362.1966751937211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1868.5586554289991</v>
      </c>
      <c r="C30" s="133">
        <f>IF(SER_hh_emi!C30=0,0,1000000*SER_hh_emi!C30/SER_hh_num!C30)</f>
        <v>5772.6933670368262</v>
      </c>
      <c r="D30" s="133">
        <f>IF(SER_hh_emi!D30=0,0,1000000*SER_hh_emi!D30/SER_hh_num!D30)</f>
        <v>4710.6359755355143</v>
      </c>
      <c r="E30" s="133">
        <f>IF(SER_hh_emi!E30=0,0,1000000*SER_hh_emi!E30/SER_hh_num!E30)</f>
        <v>6877.8371380588405</v>
      </c>
      <c r="F30" s="133">
        <f>IF(SER_hh_emi!F30=0,0,1000000*SER_hh_emi!F30/SER_hh_num!F30)</f>
        <v>6192.0405061346546</v>
      </c>
      <c r="G30" s="133">
        <f>IF(SER_hh_emi!G30=0,0,1000000*SER_hh_emi!G30/SER_hh_num!G30)</f>
        <v>5968.2293909963228</v>
      </c>
      <c r="H30" s="133">
        <f>IF(SER_hh_emi!H30=0,0,1000000*SER_hh_emi!H30/SER_hh_num!H30)</f>
        <v>6669.092542693661</v>
      </c>
      <c r="I30" s="133">
        <f>IF(SER_hh_emi!I30=0,0,1000000*SER_hh_emi!I30/SER_hh_num!I30)</f>
        <v>7091.1251085245194</v>
      </c>
      <c r="J30" s="133">
        <f>IF(SER_hh_emi!J30=0,0,1000000*SER_hh_emi!J30/SER_hh_num!J30)</f>
        <v>6964.6326043200152</v>
      </c>
      <c r="K30" s="133">
        <f>IF(SER_hh_emi!K30=0,0,1000000*SER_hh_emi!K30/SER_hh_num!K30)</f>
        <v>6061.363161460763</v>
      </c>
      <c r="L30" s="133">
        <f>IF(SER_hh_emi!L30=0,0,1000000*SER_hh_emi!L30/SER_hh_num!L30)</f>
        <v>5775.9782586951733</v>
      </c>
      <c r="M30" s="133">
        <f>IF(SER_hh_emi!M30=0,0,1000000*SER_hh_emi!M30/SER_hh_num!M30)</f>
        <v>6211.047162318192</v>
      </c>
      <c r="N30" s="133">
        <f>IF(SER_hh_emi!N30=0,0,1000000*SER_hh_emi!N30/SER_hh_num!N30)</f>
        <v>6453.9020366449531</v>
      </c>
      <c r="O30" s="133">
        <f>IF(SER_hh_emi!O30=0,0,1000000*SER_hh_emi!O30/SER_hh_num!O30)</f>
        <v>6607.1867258403436</v>
      </c>
      <c r="P30" s="133">
        <f>IF(SER_hh_emi!P30=0,0,1000000*SER_hh_emi!P30/SER_hh_num!P30)</f>
        <v>5702.398618504335</v>
      </c>
      <c r="Q30" s="133">
        <f>IF(SER_hh_emi!Q30=0,0,1000000*SER_hh_emi!Q30/SER_hh_num!Q30)</f>
        <v>6301.394877171766</v>
      </c>
      <c r="R30" s="133">
        <f>IF(SER_hh_emi!R30=0,0,1000000*SER_hh_emi!R30/SER_hh_num!R30)</f>
        <v>6491.1531346447846</v>
      </c>
      <c r="S30" s="133">
        <f>IF(SER_hh_emi!S30=0,0,1000000*SER_hh_emi!S30/SER_hh_num!S30)</f>
        <v>6292.1345733397966</v>
      </c>
      <c r="T30" s="133">
        <f>IF(SER_hh_emi!T30=0,0,1000000*SER_hh_emi!T30/SER_hh_num!T30)</f>
        <v>5997.1210136047657</v>
      </c>
      <c r="U30" s="133">
        <f>IF(SER_hh_emi!U30=0,0,1000000*SER_hh_emi!U30/SER_hh_num!U30)</f>
        <v>6999.3957038287435</v>
      </c>
      <c r="V30" s="133">
        <f>IF(SER_hh_emi!V30=0,0,1000000*SER_hh_emi!V30/SER_hh_num!V30)</f>
        <v>4877.3675380463274</v>
      </c>
      <c r="W30" s="133">
        <f>IF(SER_hh_emi!W30=0,0,1000000*SER_hh_emi!W30/SER_hh_num!W30)</f>
        <v>4764.4353207267941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3566.0865503800464</v>
      </c>
      <c r="C31" s="133">
        <f>IF(SER_hh_emi!C31=0,0,1000000*SER_hh_emi!C31/SER_hh_num!C31)</f>
        <v>4210.8687758488704</v>
      </c>
      <c r="D31" s="133">
        <f>IF(SER_hh_emi!D31=0,0,1000000*SER_hh_emi!D31/SER_hh_num!D31)</f>
        <v>4780.4869327855349</v>
      </c>
      <c r="E31" s="133">
        <f>IF(SER_hh_emi!E31=0,0,1000000*SER_hh_emi!E31/SER_hh_num!E31)</f>
        <v>5237.6973800036167</v>
      </c>
      <c r="F31" s="133">
        <f>IF(SER_hh_emi!F31=0,0,1000000*SER_hh_emi!F31/SER_hh_num!F31)</f>
        <v>5174.4857039531889</v>
      </c>
      <c r="G31" s="133">
        <f>IF(SER_hh_emi!G31=0,0,1000000*SER_hh_emi!G31/SER_hh_num!G31)</f>
        <v>5387.6133480826566</v>
      </c>
      <c r="H31" s="133">
        <f>IF(SER_hh_emi!H31=0,0,1000000*SER_hh_emi!H31/SER_hh_num!H31)</f>
        <v>5525.2462844578604</v>
      </c>
      <c r="I31" s="133">
        <f>IF(SER_hh_emi!I31=0,0,1000000*SER_hh_emi!I31/SER_hh_num!I31)</f>
        <v>5619.6165814192154</v>
      </c>
      <c r="J31" s="133">
        <f>IF(SER_hh_emi!J31=0,0,1000000*SER_hh_emi!J31/SER_hh_num!J31)</f>
        <v>5642.1907323573896</v>
      </c>
      <c r="K31" s="133">
        <f>IF(SER_hh_emi!K31=0,0,1000000*SER_hh_emi!K31/SER_hh_num!K31)</f>
        <v>5610.0984973605773</v>
      </c>
      <c r="L31" s="133">
        <f>IF(SER_hh_emi!L31=0,0,1000000*SER_hh_emi!L31/SER_hh_num!L31)</f>
        <v>5346.6310444385126</v>
      </c>
      <c r="M31" s="133">
        <f>IF(SER_hh_emi!M31=0,0,1000000*SER_hh_emi!M31/SER_hh_num!M31)</f>
        <v>5621.9462639638132</v>
      </c>
      <c r="N31" s="133">
        <f>IF(SER_hh_emi!N31=0,0,1000000*SER_hh_emi!N31/SER_hh_num!N31)</f>
        <v>5725.9789437997379</v>
      </c>
      <c r="O31" s="133">
        <f>IF(SER_hh_emi!O31=0,0,1000000*SER_hh_emi!O31/SER_hh_num!O31)</f>
        <v>5565.2321742703271</v>
      </c>
      <c r="P31" s="133">
        <f>IF(SER_hh_emi!P31=0,0,1000000*SER_hh_emi!P31/SER_hh_num!P31)</f>
        <v>5425.6778772188445</v>
      </c>
      <c r="Q31" s="133">
        <f>IF(SER_hh_emi!Q31=0,0,1000000*SER_hh_emi!Q31/SER_hh_num!Q31)</f>
        <v>5551.5160156579741</v>
      </c>
      <c r="R31" s="133">
        <f>IF(SER_hh_emi!R31=0,0,1000000*SER_hh_emi!R31/SER_hh_num!R31)</f>
        <v>5394.6851912414477</v>
      </c>
      <c r="S31" s="133">
        <f>IF(SER_hh_emi!S31=0,0,1000000*SER_hh_emi!S31/SER_hh_num!S31)</f>
        <v>5152.520833987589</v>
      </c>
      <c r="T31" s="133">
        <f>IF(SER_hh_emi!T31=0,0,1000000*SER_hh_emi!T31/SER_hh_num!T31)</f>
        <v>5107.8121632531756</v>
      </c>
      <c r="U31" s="133">
        <f>IF(SER_hh_emi!U31=0,0,1000000*SER_hh_emi!U31/SER_hh_num!U31)</f>
        <v>5140.9471711344531</v>
      </c>
      <c r="V31" s="133">
        <f>IF(SER_hh_emi!V31=0,0,1000000*SER_hh_emi!V31/SER_hh_num!V31)</f>
        <v>4212.1526686919306</v>
      </c>
      <c r="W31" s="133">
        <f>IF(SER_hh_emi!W31=0,0,1000000*SER_hh_emi!W31/SER_hh_num!W31)</f>
        <v>5845.4487258885356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154.54892302226236</v>
      </c>
      <c r="C3" s="126">
        <f>IF(SER_hh_fech!C3=0,0,SER_hh_fech!C3/SER_summary!C$26)</f>
        <v>170.22552309707271</v>
      </c>
      <c r="D3" s="126">
        <f>IF(SER_hh_fech!D3=0,0,SER_hh_fech!D3/SER_summary!D$26)</f>
        <v>196.57917117402209</v>
      </c>
      <c r="E3" s="126">
        <f>IF(SER_hh_fech!E3=0,0,SER_hh_fech!E3/SER_summary!E$26)</f>
        <v>199.80968682935062</v>
      </c>
      <c r="F3" s="126">
        <f>IF(SER_hh_fech!F3=0,0,SER_hh_fech!F3/SER_summary!F$26)</f>
        <v>207.31395578941772</v>
      </c>
      <c r="G3" s="126">
        <f>IF(SER_hh_fech!G3=0,0,SER_hh_fech!G3/SER_summary!G$26)</f>
        <v>199.67544431632263</v>
      </c>
      <c r="H3" s="126">
        <f>IF(SER_hh_fech!H3=0,0,SER_hh_fech!H3/SER_summary!H$26)</f>
        <v>215.84455426205596</v>
      </c>
      <c r="I3" s="126">
        <f>IF(SER_hh_fech!I3=0,0,SER_hh_fech!I3/SER_summary!I$26)</f>
        <v>191.96770910233886</v>
      </c>
      <c r="J3" s="126">
        <f>IF(SER_hh_fech!J3=0,0,SER_hh_fech!J3/SER_summary!J$26)</f>
        <v>211.34670899407988</v>
      </c>
      <c r="K3" s="126">
        <f>IF(SER_hh_fech!K3=0,0,SER_hh_fech!K3/SER_summary!K$26)</f>
        <v>204.81562822260523</v>
      </c>
      <c r="L3" s="126">
        <f>IF(SER_hh_fech!L3=0,0,SER_hh_fech!L3/SER_summary!L$26)</f>
        <v>229.51038516648322</v>
      </c>
      <c r="M3" s="126">
        <f>IF(SER_hh_fech!M3=0,0,SER_hh_fech!M3/SER_summary!M$26)</f>
        <v>208.83625569243137</v>
      </c>
      <c r="N3" s="126">
        <f>IF(SER_hh_fech!N3=0,0,SER_hh_fech!N3/SER_summary!N$26)</f>
        <v>200.86497389596641</v>
      </c>
      <c r="O3" s="126">
        <f>IF(SER_hh_fech!O3=0,0,SER_hh_fech!O3/SER_summary!O$26)</f>
        <v>189.62535054880689</v>
      </c>
      <c r="P3" s="126">
        <f>IF(SER_hh_fech!P3=0,0,SER_hh_fech!P3/SER_summary!P$26)</f>
        <v>174.03477313248729</v>
      </c>
      <c r="Q3" s="126">
        <f>IF(SER_hh_fech!Q3=0,0,SER_hh_fech!Q3/SER_summary!Q$26)</f>
        <v>171.32388633714459</v>
      </c>
      <c r="R3" s="126">
        <f>IF(SER_hh_fech!R3=0,0,SER_hh_fech!R3/SER_summary!R$26)</f>
        <v>186.92809398360188</v>
      </c>
      <c r="S3" s="126">
        <f>IF(SER_hh_fech!S3=0,0,SER_hh_fech!S3/SER_summary!S$26)</f>
        <v>169.90786495141847</v>
      </c>
      <c r="T3" s="126">
        <f>IF(SER_hh_fech!T3=0,0,SER_hh_fech!T3/SER_summary!T$26)</f>
        <v>163.55286307529411</v>
      </c>
      <c r="U3" s="126">
        <f>IF(SER_hh_fech!U3=0,0,SER_hh_fech!U3/SER_summary!U$26)</f>
        <v>158.5297046511825</v>
      </c>
      <c r="V3" s="126">
        <f>IF(SER_hh_fech!V3=0,0,SER_hh_fech!V3/SER_summary!V$26)</f>
        <v>150.60957612566162</v>
      </c>
      <c r="W3" s="126">
        <f>IF(SER_hh_fech!W3=0,0,SER_hh_fech!W3/SER_summary!W$26)</f>
        <v>169.03075987783672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123.08880167919578</v>
      </c>
      <c r="C4" s="131">
        <f>IF(SER_hh_fech!C4=0,0,SER_hh_fech!C4/SER_summary!C$26)</f>
        <v>134.60063100783907</v>
      </c>
      <c r="D4" s="131">
        <f>IF(SER_hh_fech!D4=0,0,SER_hh_fech!D4/SER_summary!D$26)</f>
        <v>155.11590580910399</v>
      </c>
      <c r="E4" s="131">
        <f>IF(SER_hh_fech!E4=0,0,SER_hh_fech!E4/SER_summary!E$26)</f>
        <v>154.55551845206961</v>
      </c>
      <c r="F4" s="131">
        <f>IF(SER_hh_fech!F4=0,0,SER_hh_fech!F4/SER_summary!F$26)</f>
        <v>160.71769791071029</v>
      </c>
      <c r="G4" s="131">
        <f>IF(SER_hh_fech!G4=0,0,SER_hh_fech!G4/SER_summary!G$26)</f>
        <v>152.65173004964353</v>
      </c>
      <c r="H4" s="131">
        <f>IF(SER_hh_fech!H4=0,0,SER_hh_fech!H4/SER_summary!H$26)</f>
        <v>167.21565668415809</v>
      </c>
      <c r="I4" s="131">
        <f>IF(SER_hh_fech!I4=0,0,SER_hh_fech!I4/SER_summary!I$26)</f>
        <v>141.18425198461185</v>
      </c>
      <c r="J4" s="131">
        <f>IF(SER_hh_fech!J4=0,0,SER_hh_fech!J4/SER_summary!J$26)</f>
        <v>159.75512257723895</v>
      </c>
      <c r="K4" s="131">
        <f>IF(SER_hh_fech!K4=0,0,SER_hh_fech!K4/SER_summary!K$26)</f>
        <v>153.93597021046574</v>
      </c>
      <c r="L4" s="131">
        <f>IF(SER_hh_fech!L4=0,0,SER_hh_fech!L4/SER_summary!L$26)</f>
        <v>178.03256635711958</v>
      </c>
      <c r="M4" s="131">
        <f>IF(SER_hh_fech!M4=0,0,SER_hh_fech!M4/SER_summary!M$26)</f>
        <v>157.57607031146324</v>
      </c>
      <c r="N4" s="131">
        <f>IF(SER_hh_fech!N4=0,0,SER_hh_fech!N4/SER_summary!N$26)</f>
        <v>149.73000285829889</v>
      </c>
      <c r="O4" s="131">
        <f>IF(SER_hh_fech!O4=0,0,SER_hh_fech!O4/SER_summary!O$26)</f>
        <v>138.24272414137735</v>
      </c>
      <c r="P4" s="131">
        <f>IF(SER_hh_fech!P4=0,0,SER_hh_fech!P4/SER_summary!P$26)</f>
        <v>123.15874585857304</v>
      </c>
      <c r="Q4" s="131">
        <f>IF(SER_hh_fech!Q4=0,0,SER_hh_fech!Q4/SER_summary!Q$26)</f>
        <v>120.27810090984603</v>
      </c>
      <c r="R4" s="131">
        <f>IF(SER_hh_fech!R4=0,0,SER_hh_fech!R4/SER_summary!R$26)</f>
        <v>136.21434040279578</v>
      </c>
      <c r="S4" s="131">
        <f>IF(SER_hh_fech!S4=0,0,SER_hh_fech!S4/SER_summary!S$26)</f>
        <v>120.95279929322193</v>
      </c>
      <c r="T4" s="131">
        <f>IF(SER_hh_fech!T4=0,0,SER_hh_fech!T4/SER_summary!T$26)</f>
        <v>115.65075499357667</v>
      </c>
      <c r="U4" s="131">
        <f>IF(SER_hh_fech!U4=0,0,SER_hh_fech!U4/SER_summary!U$26)</f>
        <v>111.40181781839169</v>
      </c>
      <c r="V4" s="131">
        <f>IF(SER_hh_fech!V4=0,0,SER_hh_fech!V4/SER_summary!V$26)</f>
        <v>107.53671161500026</v>
      </c>
      <c r="W4" s="131">
        <f>IF(SER_hh_fech!W4=0,0,SER_hh_fech!W4/SER_summary!W$26)</f>
        <v>124.02500015439648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151.41281215402017</v>
      </c>
      <c r="C5" s="133">
        <f>IF(SER_hh_fech!C5=0,0,SER_hh_fech!C5/SER_summary!C$26)</f>
        <v>111.68735158589722</v>
      </c>
      <c r="D5" s="133">
        <f>IF(SER_hh_fech!D5=0,0,SER_hh_fech!D5/SER_summary!D$26)</f>
        <v>183.80709444398425</v>
      </c>
      <c r="E5" s="133">
        <f>IF(SER_hh_fech!E5=0,0,SER_hh_fech!E5/SER_summary!E$26)</f>
        <v>177.52076916157446</v>
      </c>
      <c r="F5" s="133">
        <f>IF(SER_hh_fech!F5=0,0,SER_hh_fech!F5/SER_summary!F$26)</f>
        <v>167.18288512063157</v>
      </c>
      <c r="G5" s="133">
        <f>IF(SER_hh_fech!G5=0,0,SER_hh_fech!G5/SER_summary!G$26)</f>
        <v>164.27017196772334</v>
      </c>
      <c r="H5" s="133">
        <f>IF(SER_hh_fech!H5=0,0,SER_hh_fech!H5/SER_summary!H$26)</f>
        <v>186.57002166591602</v>
      </c>
      <c r="I5" s="133">
        <f>IF(SER_hh_fech!I5=0,0,SER_hh_fech!I5/SER_summary!I$26)</f>
        <v>153.6717895251883</v>
      </c>
      <c r="J5" s="133">
        <f>IF(SER_hh_fech!J5=0,0,SER_hh_fech!J5/SER_summary!J$26)</f>
        <v>166.50080164772467</v>
      </c>
      <c r="K5" s="133">
        <f>IF(SER_hh_fech!K5=0,0,SER_hh_fech!K5/SER_summary!K$26)</f>
        <v>172.67872766023862</v>
      </c>
      <c r="L5" s="133">
        <f>IF(SER_hh_fech!L5=0,0,SER_hh_fech!L5/SER_summary!L$26)</f>
        <v>191.95131962315398</v>
      </c>
      <c r="M5" s="133">
        <f>IF(SER_hh_fech!M5=0,0,SER_hh_fech!M5/SER_summary!M$26)</f>
        <v>164.74757625567858</v>
      </c>
      <c r="N5" s="133">
        <f>IF(SER_hh_fech!N5=0,0,SER_hh_fech!N5/SER_summary!N$26)</f>
        <v>163.95131032071154</v>
      </c>
      <c r="O5" s="133">
        <f>IF(SER_hh_fech!O5=0,0,SER_hh_fech!O5/SER_summary!O$26)</f>
        <v>150.67721277061068</v>
      </c>
      <c r="P5" s="133">
        <f>IF(SER_hh_fech!P5=0,0,SER_hh_fech!P5/SER_summary!P$26)</f>
        <v>134.00703380407259</v>
      </c>
      <c r="Q5" s="133">
        <f>IF(SER_hh_fech!Q5=0,0,SER_hh_fech!Q5/SER_summary!Q$26)</f>
        <v>131.09527014562545</v>
      </c>
      <c r="R5" s="133">
        <f>IF(SER_hh_fech!R5=0,0,SER_hh_fech!R5/SER_summary!R$26)</f>
        <v>139.92178439494845</v>
      </c>
      <c r="S5" s="133">
        <f>IF(SER_hh_fech!S5=0,0,SER_hh_fech!S5/SER_summary!S$26)</f>
        <v>139.50732647657637</v>
      </c>
      <c r="T5" s="133">
        <f>IF(SER_hh_fech!T5=0,0,SER_hh_fech!T5/SER_summary!T$26)</f>
        <v>133.18187202580765</v>
      </c>
      <c r="U5" s="133">
        <f>IF(SER_hh_fech!U5=0,0,SER_hh_fech!U5/SER_summary!U$26)</f>
        <v>112.05237781407685</v>
      </c>
      <c r="V5" s="133">
        <f>IF(SER_hh_fech!V5=0,0,SER_hh_fech!V5/SER_summary!V$26)</f>
        <v>117.05810050823578</v>
      </c>
      <c r="W5" s="133">
        <f>IF(SER_hh_fech!W5=0,0,SER_hh_fech!W5/SER_summary!W$26)</f>
        <v>145.92812065704771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146.67975443766778</v>
      </c>
      <c r="C7" s="133">
        <f>IF(SER_hh_fech!C7=0,0,SER_hh_fech!C7/SER_summary!C$26)</f>
        <v>185.32592190726177</v>
      </c>
      <c r="D7" s="133">
        <f>IF(SER_hh_fech!D7=0,0,SER_hh_fech!D7/SER_summary!D$26)</f>
        <v>200.1243915105031</v>
      </c>
      <c r="E7" s="133">
        <f>IF(SER_hh_fech!E7=0,0,SER_hh_fech!E7/SER_summary!E$26)</f>
        <v>203.00392623002901</v>
      </c>
      <c r="F7" s="133">
        <f>IF(SER_hh_fech!F7=0,0,SER_hh_fech!F7/SER_summary!F$26)</f>
        <v>190.80137402114934</v>
      </c>
      <c r="G7" s="133">
        <f>IF(SER_hh_fech!G7=0,0,SER_hh_fech!G7/SER_summary!G$26)</f>
        <v>148.13466399642991</v>
      </c>
      <c r="H7" s="133">
        <f>IF(SER_hh_fech!H7=0,0,SER_hh_fech!H7/SER_summary!H$26)</f>
        <v>227.66198622953328</v>
      </c>
      <c r="I7" s="133">
        <f>IF(SER_hh_fech!I7=0,0,SER_hh_fech!I7/SER_summary!I$26)</f>
        <v>197.34784575761998</v>
      </c>
      <c r="J7" s="133">
        <f>IF(SER_hh_fech!J7=0,0,SER_hh_fech!J7/SER_summary!J$26)</f>
        <v>191.51600808750047</v>
      </c>
      <c r="K7" s="133">
        <f>IF(SER_hh_fech!K7=0,0,SER_hh_fech!K7/SER_summary!K$26)</f>
        <v>179.45308921770314</v>
      </c>
      <c r="L7" s="133">
        <f>IF(SER_hh_fech!L7=0,0,SER_hh_fech!L7/SER_summary!L$26)</f>
        <v>226.87220700811702</v>
      </c>
      <c r="M7" s="133">
        <f>IF(SER_hh_fech!M7=0,0,SER_hh_fech!M7/SER_summary!M$26)</f>
        <v>216.72241549323806</v>
      </c>
      <c r="N7" s="133">
        <f>IF(SER_hh_fech!N7=0,0,SER_hh_fech!N7/SER_summary!N$26)</f>
        <v>171.14405276386429</v>
      </c>
      <c r="O7" s="133">
        <f>IF(SER_hh_fech!O7=0,0,SER_hh_fech!O7/SER_summary!O$26)</f>
        <v>152.82478807836594</v>
      </c>
      <c r="P7" s="133">
        <f>IF(SER_hh_fech!P7=0,0,SER_hh_fech!P7/SER_summary!P$26)</f>
        <v>155.18506205549846</v>
      </c>
      <c r="Q7" s="133">
        <f>IF(SER_hh_fech!Q7=0,0,SER_hh_fech!Q7/SER_summary!Q$26)</f>
        <v>152.80933920420927</v>
      </c>
      <c r="R7" s="133">
        <f>IF(SER_hh_fech!R7=0,0,SER_hh_fech!R7/SER_summary!R$26)</f>
        <v>151.17858770374079</v>
      </c>
      <c r="S7" s="133">
        <f>IF(SER_hh_fech!S7=0,0,SER_hh_fech!S7/SER_summary!S$26)</f>
        <v>147.62059858193606</v>
      </c>
      <c r="T7" s="133">
        <f>IF(SER_hh_fech!T7=0,0,SER_hh_fech!T7/SER_summary!T$26)</f>
        <v>147.08332399972923</v>
      </c>
      <c r="U7" s="133">
        <f>IF(SER_hh_fech!U7=0,0,SER_hh_fech!U7/SER_summary!U$26)</f>
        <v>126.97391036069288</v>
      </c>
      <c r="V7" s="133">
        <f>IF(SER_hh_fech!V7=0,0,SER_hh_fech!V7/SER_summary!V$26)</f>
        <v>127.628310756144</v>
      </c>
      <c r="W7" s="133">
        <f>IF(SER_hh_fech!W7=0,0,SER_hh_fech!W7/SER_summary!W$26)</f>
        <v>140.26805062168754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68.757603786773743</v>
      </c>
      <c r="C8" s="133">
        <f>IF(SER_hh_fech!C8=0,0,SER_hh_fech!C8/SER_summary!C$26)</f>
        <v>81.364310185016365</v>
      </c>
      <c r="D8" s="133">
        <f>IF(SER_hh_fech!D8=0,0,SER_hh_fech!D8/SER_summary!D$26)</f>
        <v>86.457377377010346</v>
      </c>
      <c r="E8" s="133">
        <f>IF(SER_hh_fech!E8=0,0,SER_hh_fech!E8/SER_summary!E$26)</f>
        <v>91.727111180174575</v>
      </c>
      <c r="F8" s="133">
        <f>IF(SER_hh_fech!F8=0,0,SER_hh_fech!F8/SER_summary!F$26)</f>
        <v>91.112836989565395</v>
      </c>
      <c r="G8" s="133">
        <f>IF(SER_hh_fech!G8=0,0,SER_hh_fech!G8/SER_summary!G$26)</f>
        <v>89.285098273837519</v>
      </c>
      <c r="H8" s="133">
        <f>IF(SER_hh_fech!H8=0,0,SER_hh_fech!H8/SER_summary!H$26)</f>
        <v>87.02342113692832</v>
      </c>
      <c r="I8" s="133">
        <f>IF(SER_hh_fech!I8=0,0,SER_hh_fech!I8/SER_summary!I$26)</f>
        <v>82.927193138767961</v>
      </c>
      <c r="J8" s="133">
        <f>IF(SER_hh_fech!J8=0,0,SER_hh_fech!J8/SER_summary!J$26)</f>
        <v>85.499826511132923</v>
      </c>
      <c r="K8" s="133">
        <f>IF(SER_hh_fech!K8=0,0,SER_hh_fech!K8/SER_summary!K$26)</f>
        <v>88.742725047676089</v>
      </c>
      <c r="L8" s="133">
        <f>IF(SER_hh_fech!L8=0,0,SER_hh_fech!L8/SER_summary!L$26)</f>
        <v>88.463316527789971</v>
      </c>
      <c r="M8" s="133">
        <f>IF(SER_hh_fech!M8=0,0,SER_hh_fech!M8/SER_summary!M$26)</f>
        <v>74.566420359591589</v>
      </c>
      <c r="N8" s="133">
        <f>IF(SER_hh_fech!N8=0,0,SER_hh_fech!N8/SER_summary!N$26)</f>
        <v>69.925839266528982</v>
      </c>
      <c r="O8" s="133">
        <f>IF(SER_hh_fech!O8=0,0,SER_hh_fech!O8/SER_summary!O$26)</f>
        <v>55.476192576162404</v>
      </c>
      <c r="P8" s="133">
        <f>IF(SER_hh_fech!P8=0,0,SER_hh_fech!P8/SER_summary!P$26)</f>
        <v>58.637472480115036</v>
      </c>
      <c r="Q8" s="133">
        <f>IF(SER_hh_fech!Q8=0,0,SER_hh_fech!Q8/SER_summary!Q$26)</f>
        <v>53.914662887808987</v>
      </c>
      <c r="R8" s="133">
        <f>IF(SER_hh_fech!R8=0,0,SER_hh_fech!R8/SER_summary!R$26)</f>
        <v>53.121748370345308</v>
      </c>
      <c r="S8" s="133">
        <f>IF(SER_hh_fech!S8=0,0,SER_hh_fech!S8/SER_summary!S$26)</f>
        <v>46.902766248778732</v>
      </c>
      <c r="T8" s="133">
        <f>IF(SER_hh_fech!T8=0,0,SER_hh_fech!T8/SER_summary!T$26)</f>
        <v>43.196904988579533</v>
      </c>
      <c r="U8" s="133">
        <f>IF(SER_hh_fech!U8=0,0,SER_hh_fech!U8/SER_summary!U$26)</f>
        <v>40.757651782299661</v>
      </c>
      <c r="V8" s="133">
        <f>IF(SER_hh_fech!V8=0,0,SER_hh_fech!V8/SER_summary!V$26)</f>
        <v>39.946070957825761</v>
      </c>
      <c r="W8" s="133">
        <f>IF(SER_hh_fech!W8=0,0,SER_hh_fech!W8/SER_summary!W$26)</f>
        <v>46.121375842114759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132.20980743224979</v>
      </c>
      <c r="C9" s="133">
        <f>IF(SER_hh_fech!C9=0,0,SER_hh_fech!C9/SER_summary!C$26)</f>
        <v>160.59738085268327</v>
      </c>
      <c r="D9" s="133">
        <f>IF(SER_hh_fech!D9=0,0,SER_hh_fech!D9/SER_summary!D$26)</f>
        <v>177.67172858966208</v>
      </c>
      <c r="E9" s="133">
        <f>IF(SER_hh_fech!E9=0,0,SER_hh_fech!E9/SER_summary!E$26)</f>
        <v>177.88457452862247</v>
      </c>
      <c r="F9" s="133">
        <f>IF(SER_hh_fech!F9=0,0,SER_hh_fech!F9/SER_summary!F$26)</f>
        <v>182.08878937534814</v>
      </c>
      <c r="G9" s="133">
        <f>IF(SER_hh_fech!G9=0,0,SER_hh_fech!G9/SER_summary!G$26)</f>
        <v>180.42694536590125</v>
      </c>
      <c r="H9" s="133">
        <f>IF(SER_hh_fech!H9=0,0,SER_hh_fech!H9/SER_summary!H$26)</f>
        <v>168.2678970745105</v>
      </c>
      <c r="I9" s="133">
        <f>IF(SER_hh_fech!I9=0,0,SER_hh_fech!I9/SER_summary!I$26)</f>
        <v>164.43873873202878</v>
      </c>
      <c r="J9" s="133">
        <f>IF(SER_hh_fech!J9=0,0,SER_hh_fech!J9/SER_summary!J$26)</f>
        <v>168.06165410461375</v>
      </c>
      <c r="K9" s="133">
        <f>IF(SER_hh_fech!K9=0,0,SER_hh_fech!K9/SER_summary!K$26)</f>
        <v>167.20601437896104</v>
      </c>
      <c r="L9" s="133">
        <f>IF(SER_hh_fech!L9=0,0,SER_hh_fech!L9/SER_summary!L$26)</f>
        <v>191.60513980029933</v>
      </c>
      <c r="M9" s="133">
        <f>IF(SER_hh_fech!M9=0,0,SER_hh_fech!M9/SER_summary!M$26)</f>
        <v>163.85486433833805</v>
      </c>
      <c r="N9" s="133">
        <f>IF(SER_hh_fech!N9=0,0,SER_hh_fech!N9/SER_summary!N$26)</f>
        <v>161.24960117548619</v>
      </c>
      <c r="O9" s="133">
        <f>IF(SER_hh_fech!O9=0,0,SER_hh_fech!O9/SER_summary!O$26)</f>
        <v>149.70099129757872</v>
      </c>
      <c r="P9" s="133">
        <f>IF(SER_hh_fech!P9=0,0,SER_hh_fech!P9/SER_summary!P$26)</f>
        <v>122.89383981962266</v>
      </c>
      <c r="Q9" s="133">
        <f>IF(SER_hh_fech!Q9=0,0,SER_hh_fech!Q9/SER_summary!Q$26)</f>
        <v>130.69715836935509</v>
      </c>
      <c r="R9" s="133">
        <f>IF(SER_hh_fech!R9=0,0,SER_hh_fech!R9/SER_summary!R$26)</f>
        <v>155.93375348100983</v>
      </c>
      <c r="S9" s="133">
        <f>IF(SER_hh_fech!S9=0,0,SER_hh_fech!S9/SER_summary!S$26)</f>
        <v>120.23743834427529</v>
      </c>
      <c r="T9" s="133">
        <f>IF(SER_hh_fech!T9=0,0,SER_hh_fech!T9/SER_summary!T$26)</f>
        <v>116.76819088191165</v>
      </c>
      <c r="U9" s="133">
        <f>IF(SER_hh_fech!U9=0,0,SER_hh_fech!U9/SER_summary!U$26)</f>
        <v>120.98809000298374</v>
      </c>
      <c r="V9" s="133">
        <f>IF(SER_hh_fech!V9=0,0,SER_hh_fech!V9/SER_summary!V$26)</f>
        <v>106.47591993596177</v>
      </c>
      <c r="W9" s="133">
        <f>IF(SER_hh_fech!W9=0,0,SER_hh_fech!W9/SER_summary!W$26)</f>
        <v>147.04627969189178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183.01215654865769</v>
      </c>
      <c r="C10" s="133">
        <f>IF(SER_hh_fech!C10=0,0,SER_hh_fech!C10/SER_summary!C$26)</f>
        <v>155.91042574730483</v>
      </c>
      <c r="D10" s="133">
        <f>IF(SER_hh_fech!D10=0,0,SER_hh_fech!D10/SER_summary!D$26)</f>
        <v>181.48257677310428</v>
      </c>
      <c r="E10" s="133">
        <f>IF(SER_hh_fech!E10=0,0,SER_hh_fech!E10/SER_summary!E$26)</f>
        <v>200.24900882414113</v>
      </c>
      <c r="F10" s="133">
        <f>IF(SER_hh_fech!F10=0,0,SER_hh_fech!F10/SER_summary!F$26)</f>
        <v>219.30135283628377</v>
      </c>
      <c r="G10" s="133">
        <f>IF(SER_hh_fech!G10=0,0,SER_hh_fech!G10/SER_summary!G$26)</f>
        <v>231.51835398397327</v>
      </c>
      <c r="H10" s="133">
        <f>IF(SER_hh_fech!H10=0,0,SER_hh_fech!H10/SER_summary!H$26)</f>
        <v>172.88622457445396</v>
      </c>
      <c r="I10" s="133">
        <f>IF(SER_hh_fech!I10=0,0,SER_hh_fech!I10/SER_summary!I$26)</f>
        <v>205.41534766634172</v>
      </c>
      <c r="J10" s="133">
        <f>IF(SER_hh_fech!J10=0,0,SER_hh_fech!J10/SER_summary!J$26)</f>
        <v>178.40526208662763</v>
      </c>
      <c r="K10" s="133">
        <f>IF(SER_hh_fech!K10=0,0,SER_hh_fech!K10/SER_summary!K$26)</f>
        <v>218.81479604317406</v>
      </c>
      <c r="L10" s="133">
        <f>IF(SER_hh_fech!L10=0,0,SER_hh_fech!L10/SER_summary!L$26)</f>
        <v>228.96657024467154</v>
      </c>
      <c r="M10" s="133">
        <f>IF(SER_hh_fech!M10=0,0,SER_hh_fech!M10/SER_summary!M$26)</f>
        <v>205.05156149390402</v>
      </c>
      <c r="N10" s="133">
        <f>IF(SER_hh_fech!N10=0,0,SER_hh_fech!N10/SER_summary!N$26)</f>
        <v>172.95228334225493</v>
      </c>
      <c r="O10" s="133">
        <f>IF(SER_hh_fech!O10=0,0,SER_hh_fech!O10/SER_summary!O$26)</f>
        <v>184.52823907234512</v>
      </c>
      <c r="P10" s="133">
        <f>IF(SER_hh_fech!P10=0,0,SER_hh_fech!P10/SER_summary!P$26)</f>
        <v>153.09279658781819</v>
      </c>
      <c r="Q10" s="133">
        <f>IF(SER_hh_fech!Q10=0,0,SER_hh_fech!Q10/SER_summary!Q$26)</f>
        <v>154.57064977431264</v>
      </c>
      <c r="R10" s="133">
        <f>IF(SER_hh_fech!R10=0,0,SER_hh_fech!R10/SER_summary!R$26)</f>
        <v>170.36650751361</v>
      </c>
      <c r="S10" s="133">
        <f>IF(SER_hh_fech!S10=0,0,SER_hh_fech!S10/SER_summary!S$26)</f>
        <v>164.82479354152565</v>
      </c>
      <c r="T10" s="133">
        <f>IF(SER_hh_fech!T10=0,0,SER_hh_fech!T10/SER_summary!T$26)</f>
        <v>153.4518779535596</v>
      </c>
      <c r="U10" s="133">
        <f>IF(SER_hh_fech!U10=0,0,SER_hh_fech!U10/SER_summary!U$26)</f>
        <v>145.50485486216394</v>
      </c>
      <c r="V10" s="133">
        <f>IF(SER_hh_fech!V10=0,0,SER_hh_fech!V10/SER_summary!V$26)</f>
        <v>150.95275480895103</v>
      </c>
      <c r="W10" s="133">
        <f>IF(SER_hh_fech!W10=0,0,SER_hh_fech!W10/SER_summary!W$26)</f>
        <v>168.42180032911472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104.11538841022852</v>
      </c>
      <c r="C11" s="133">
        <f>IF(SER_hh_fech!C11=0,0,SER_hh_fech!C11/SER_summary!C$26)</f>
        <v>75.126006654756708</v>
      </c>
      <c r="D11" s="133">
        <f>IF(SER_hh_fech!D11=0,0,SER_hh_fech!D11/SER_summary!D$26)</f>
        <v>123.65186462830138</v>
      </c>
      <c r="E11" s="133">
        <f>IF(SER_hh_fech!E11=0,0,SER_hh_fech!E11/SER_summary!E$26)</f>
        <v>131.20171686792401</v>
      </c>
      <c r="F11" s="133">
        <f>IF(SER_hh_fech!F11=0,0,SER_hh_fech!F11/SER_summary!F$26)</f>
        <v>113.90955628525019</v>
      </c>
      <c r="G11" s="133">
        <f>IF(SER_hh_fech!G11=0,0,SER_hh_fech!G11/SER_summary!G$26)</f>
        <v>128.59060869585176</v>
      </c>
      <c r="H11" s="133">
        <f>IF(SER_hh_fech!H11=0,0,SER_hh_fech!H11/SER_summary!H$26)</f>
        <v>131.95061843277455</v>
      </c>
      <c r="I11" s="133">
        <f>IF(SER_hh_fech!I11=0,0,SER_hh_fech!I11/SER_summary!I$26)</f>
        <v>97.940553442405829</v>
      </c>
      <c r="J11" s="133">
        <f>IF(SER_hh_fech!J11=0,0,SER_hh_fech!J11/SER_summary!J$26)</f>
        <v>137.72923102199519</v>
      </c>
      <c r="K11" s="133">
        <f>IF(SER_hh_fech!K11=0,0,SER_hh_fech!K11/SER_summary!K$26)</f>
        <v>143.42518767650179</v>
      </c>
      <c r="L11" s="133">
        <f>IF(SER_hh_fech!L11=0,0,SER_hh_fech!L11/SER_summary!L$26)</f>
        <v>130.03204065301043</v>
      </c>
      <c r="M11" s="133">
        <f>IF(SER_hh_fech!M11=0,0,SER_hh_fech!M11/SER_summary!M$26)</f>
        <v>98.175265686600383</v>
      </c>
      <c r="N11" s="133">
        <f>IF(SER_hh_fech!N11=0,0,SER_hh_fech!N11/SER_summary!N$26)</f>
        <v>112.98698274362424</v>
      </c>
      <c r="O11" s="133">
        <f>IF(SER_hh_fech!O11=0,0,SER_hh_fech!O11/SER_summary!O$26)</f>
        <v>122.64516560087473</v>
      </c>
      <c r="P11" s="133">
        <f>IF(SER_hh_fech!P11=0,0,SER_hh_fech!P11/SER_summary!P$26)</f>
        <v>114.71341478662058</v>
      </c>
      <c r="Q11" s="133">
        <f>IF(SER_hh_fech!Q11=0,0,SER_hh_fech!Q11/SER_summary!Q$26)</f>
        <v>106.94977031605802</v>
      </c>
      <c r="R11" s="133">
        <f>IF(SER_hh_fech!R11=0,0,SER_hh_fech!R11/SER_summary!R$26)</f>
        <v>103.47204565250497</v>
      </c>
      <c r="S11" s="133">
        <f>IF(SER_hh_fech!S11=0,0,SER_hh_fech!S11/SER_summary!S$26)</f>
        <v>102.23764842083581</v>
      </c>
      <c r="T11" s="133">
        <f>IF(SER_hh_fech!T11=0,0,SER_hh_fech!T11/SER_summary!T$26)</f>
        <v>100.96019854047459</v>
      </c>
      <c r="U11" s="133">
        <f>IF(SER_hh_fech!U11=0,0,SER_hh_fech!U11/SER_summary!U$26)</f>
        <v>99.964038918484619</v>
      </c>
      <c r="V11" s="133">
        <f>IF(SER_hh_fech!V11=0,0,SER_hh_fech!V11/SER_summary!V$26)</f>
        <v>97.5158879033646</v>
      </c>
      <c r="W11" s="133">
        <f>IF(SER_hh_fech!W11=0,0,SER_hh_fech!W11/SER_summary!W$26)</f>
        <v>106.18678642557042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90.400422264832386</v>
      </c>
      <c r="C12" s="133">
        <f>IF(SER_hh_fech!C12=0,0,SER_hh_fech!C12/SER_summary!C$26)</f>
        <v>100.81062083974292</v>
      </c>
      <c r="D12" s="133">
        <f>IF(SER_hh_fech!D12=0,0,SER_hh_fech!D12/SER_summary!D$26)</f>
        <v>119.37799228418949</v>
      </c>
      <c r="E12" s="133">
        <f>IF(SER_hh_fech!E12=0,0,SER_hh_fech!E12/SER_summary!E$26)</f>
        <v>102.44311812204533</v>
      </c>
      <c r="F12" s="133">
        <f>IF(SER_hh_fech!F12=0,0,SER_hh_fech!F12/SER_summary!F$26)</f>
        <v>136.13852789493131</v>
      </c>
      <c r="G12" s="133">
        <f>IF(SER_hh_fech!G12=0,0,SER_hh_fech!G12/SER_summary!G$26)</f>
        <v>117.43833934879314</v>
      </c>
      <c r="H12" s="133">
        <f>IF(SER_hh_fech!H12=0,0,SER_hh_fech!H12/SER_summary!H$26)</f>
        <v>142.54427056691512</v>
      </c>
      <c r="I12" s="133">
        <f>IF(SER_hh_fech!I12=0,0,SER_hh_fech!I12/SER_summary!I$26)</f>
        <v>96.011013644993895</v>
      </c>
      <c r="J12" s="133">
        <f>IF(SER_hh_fech!J12=0,0,SER_hh_fech!J12/SER_summary!J$26)</f>
        <v>137.30255872849759</v>
      </c>
      <c r="K12" s="133">
        <f>IF(SER_hh_fech!K12=0,0,SER_hh_fech!K12/SER_summary!K$26)</f>
        <v>128.94645870786991</v>
      </c>
      <c r="L12" s="133">
        <f>IF(SER_hh_fech!L12=0,0,SER_hh_fech!L12/SER_summary!L$26)</f>
        <v>143.51335640818581</v>
      </c>
      <c r="M12" s="133">
        <f>IF(SER_hh_fech!M12=0,0,SER_hh_fech!M12/SER_summary!M$26)</f>
        <v>122.64472312914843</v>
      </c>
      <c r="N12" s="133">
        <f>IF(SER_hh_fech!N12=0,0,SER_hh_fech!N12/SER_summary!N$26)</f>
        <v>121.38487423886102</v>
      </c>
      <c r="O12" s="133">
        <f>IF(SER_hh_fech!O12=0,0,SER_hh_fech!O12/SER_summary!O$26)</f>
        <v>124.39538874394923</v>
      </c>
      <c r="P12" s="133">
        <f>IF(SER_hh_fech!P12=0,0,SER_hh_fech!P12/SER_summary!P$26)</f>
        <v>106.50141851586766</v>
      </c>
      <c r="Q12" s="133">
        <f>IF(SER_hh_fech!Q12=0,0,SER_hh_fech!Q12/SER_summary!Q$26)</f>
        <v>96.585398009333019</v>
      </c>
      <c r="R12" s="133">
        <f>IF(SER_hh_fech!R12=0,0,SER_hh_fech!R12/SER_summary!R$26)</f>
        <v>112.9889167729585</v>
      </c>
      <c r="S12" s="133">
        <f>IF(SER_hh_fech!S12=0,0,SER_hh_fech!S12/SER_summary!S$26)</f>
        <v>112.9346331622405</v>
      </c>
      <c r="T12" s="133">
        <f>IF(SER_hh_fech!T12=0,0,SER_hh_fech!T12/SER_summary!T$26)</f>
        <v>95.840435148438289</v>
      </c>
      <c r="U12" s="133">
        <f>IF(SER_hh_fech!U12=0,0,SER_hh_fech!U12/SER_summary!U$26)</f>
        <v>100.10731718020975</v>
      </c>
      <c r="V12" s="133">
        <f>IF(SER_hh_fech!V12=0,0,SER_hh_fech!V12/SER_summary!V$26)</f>
        <v>102.55513348111607</v>
      </c>
      <c r="W12" s="133">
        <f>IF(SER_hh_fech!W12=0,0,SER_hh_fech!W12/SER_summary!W$26)</f>
        <v>92.485617127793418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49.01499454953116</v>
      </c>
      <c r="C13" s="133">
        <f>IF(SER_hh_fech!C13=0,0,SER_hh_fech!C13/SER_summary!C$26)</f>
        <v>62.999364639860168</v>
      </c>
      <c r="D13" s="133">
        <f>IF(SER_hh_fech!D13=0,0,SER_hh_fech!D13/SER_summary!D$26)</f>
        <v>56.976194300222645</v>
      </c>
      <c r="E13" s="133">
        <f>IF(SER_hh_fech!E13=0,0,SER_hh_fech!E13/SER_summary!E$26)</f>
        <v>62.719585422804215</v>
      </c>
      <c r="F13" s="133">
        <f>IF(SER_hh_fech!F13=0,0,SER_hh_fech!F13/SER_summary!F$26)</f>
        <v>55.71626596872386</v>
      </c>
      <c r="G13" s="133">
        <f>IF(SER_hh_fech!G13=0,0,SER_hh_fech!G13/SER_summary!G$26)</f>
        <v>59.132217557005738</v>
      </c>
      <c r="H13" s="133">
        <f>IF(SER_hh_fech!H13=0,0,SER_hh_fech!H13/SER_summary!H$26)</f>
        <v>59.368791095925296</v>
      </c>
      <c r="I13" s="133">
        <f>IF(SER_hh_fech!I13=0,0,SER_hh_fech!I13/SER_summary!I$26)</f>
        <v>56.226836655027121</v>
      </c>
      <c r="J13" s="133">
        <f>IF(SER_hh_fech!J13=0,0,SER_hh_fech!J13/SER_summary!J$26)</f>
        <v>57.594468453273798</v>
      </c>
      <c r="K13" s="133">
        <f>IF(SER_hh_fech!K13=0,0,SER_hh_fech!K13/SER_summary!K$26)</f>
        <v>58.480681318614181</v>
      </c>
      <c r="L13" s="133">
        <f>IF(SER_hh_fech!L13=0,0,SER_hh_fech!L13/SER_summary!L$26)</f>
        <v>57.332822983448004</v>
      </c>
      <c r="M13" s="133">
        <f>IF(SER_hh_fech!M13=0,0,SER_hh_fech!M13/SER_summary!M$26)</f>
        <v>52.762414466714496</v>
      </c>
      <c r="N13" s="133">
        <f>IF(SER_hh_fech!N13=0,0,SER_hh_fech!N13/SER_summary!N$26)</f>
        <v>47.511691483090452</v>
      </c>
      <c r="O13" s="133">
        <f>IF(SER_hh_fech!O13=0,0,SER_hh_fech!O13/SER_summary!O$26)</f>
        <v>37.891833420050432</v>
      </c>
      <c r="P13" s="133">
        <f>IF(SER_hh_fech!P13=0,0,SER_hh_fech!P13/SER_summary!P$26)</f>
        <v>40.310728164088104</v>
      </c>
      <c r="Q13" s="133">
        <f>IF(SER_hh_fech!Q13=0,0,SER_hh_fech!Q13/SER_summary!Q$26)</f>
        <v>37.285101533794112</v>
      </c>
      <c r="R13" s="133">
        <f>IF(SER_hh_fech!R13=0,0,SER_hh_fech!R13/SER_summary!R$26)</f>
        <v>35.842639605006376</v>
      </c>
      <c r="S13" s="133">
        <f>IF(SER_hh_fech!S13=0,0,SER_hh_fech!S13/SER_summary!S$26)</f>
        <v>33.367320421835771</v>
      </c>
      <c r="T13" s="133">
        <f>IF(SER_hh_fech!T13=0,0,SER_hh_fech!T13/SER_summary!T$26)</f>
        <v>30.7809621911967</v>
      </c>
      <c r="U13" s="133">
        <f>IF(SER_hh_fech!U13=0,0,SER_hh_fech!U13/SER_summary!U$26)</f>
        <v>29.34315083569966</v>
      </c>
      <c r="V13" s="133">
        <f>IF(SER_hh_fech!V13=0,0,SER_hh_fech!V13/SER_summary!V$26)</f>
        <v>28.219103033388958</v>
      </c>
      <c r="W13" s="133">
        <f>IF(SER_hh_fech!W13=0,0,SER_hh_fech!W13/SER_summary!W$26)</f>
        <v>31.642646641385507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105.55167086063462</v>
      </c>
      <c r="C14" s="65">
        <f>IF(SER_hh_fech!C14=0,0,SER_hh_fech!C14/SER_summary!C$26)</f>
        <v>125.15244783944331</v>
      </c>
      <c r="D14" s="65">
        <f>IF(SER_hh_fech!D14=0,0,SER_hh_fech!D14/SER_summary!D$26)</f>
        <v>112.84009989322432</v>
      </c>
      <c r="E14" s="65">
        <f>IF(SER_hh_fech!E14=0,0,SER_hh_fech!E14/SER_summary!E$26)</f>
        <v>131.03238565208468</v>
      </c>
      <c r="F14" s="65">
        <f>IF(SER_hh_fech!F14=0,0,SER_hh_fech!F14/SER_summary!F$26)</f>
        <v>128.12884146555749</v>
      </c>
      <c r="G14" s="65">
        <f>IF(SER_hh_fech!G14=0,0,SER_hh_fech!G14/SER_summary!G$26)</f>
        <v>137.97226764752304</v>
      </c>
      <c r="H14" s="65">
        <f>IF(SER_hh_fech!H14=0,0,SER_hh_fech!H14/SER_summary!H$26)</f>
        <v>155.84884839230659</v>
      </c>
      <c r="I14" s="65">
        <f>IF(SER_hh_fech!I14=0,0,SER_hh_fech!I14/SER_summary!I$26)</f>
        <v>124.27434597044019</v>
      </c>
      <c r="J14" s="65">
        <f>IF(SER_hh_fech!J14=0,0,SER_hh_fech!J14/SER_summary!J$26)</f>
        <v>152.96190781117625</v>
      </c>
      <c r="K14" s="65">
        <f>IF(SER_hh_fech!K14=0,0,SER_hh_fech!K14/SER_summary!K$26)</f>
        <v>127.30037361031984</v>
      </c>
      <c r="L14" s="65">
        <f>IF(SER_hh_fech!L14=0,0,SER_hh_fech!L14/SER_summary!L$26)</f>
        <v>158.14029963222262</v>
      </c>
      <c r="M14" s="65">
        <f>IF(SER_hh_fech!M14=0,0,SER_hh_fech!M14/SER_summary!M$26)</f>
        <v>149.54260834812089</v>
      </c>
      <c r="N14" s="65">
        <f>IF(SER_hh_fech!N14=0,0,SER_hh_fech!N14/SER_summary!N$26)</f>
        <v>141.38881411958482</v>
      </c>
      <c r="O14" s="65">
        <f>IF(SER_hh_fech!O14=0,0,SER_hh_fech!O14/SER_summary!O$26)</f>
        <v>114.71011549139934</v>
      </c>
      <c r="P14" s="65">
        <f>IF(SER_hh_fech!P14=0,0,SER_hh_fech!P14/SER_summary!P$26)</f>
        <v>120.99026547312756</v>
      </c>
      <c r="Q14" s="65">
        <f>IF(SER_hh_fech!Q14=0,0,SER_hh_fech!Q14/SER_summary!Q$26)</f>
        <v>109.6017708310761</v>
      </c>
      <c r="R14" s="65">
        <f>IF(SER_hh_fech!R14=0,0,SER_hh_fech!R14/SER_summary!R$26)</f>
        <v>123.29803171043038</v>
      </c>
      <c r="S14" s="65">
        <f>IF(SER_hh_fech!S14=0,0,SER_hh_fech!S14/SER_summary!S$26)</f>
        <v>106.71714571545866</v>
      </c>
      <c r="T14" s="65">
        <f>IF(SER_hh_fech!T14=0,0,SER_hh_fech!T14/SER_summary!T$26)</f>
        <v>113.94163477103992</v>
      </c>
      <c r="U14" s="65">
        <f>IF(SER_hh_fech!U14=0,0,SER_hh_fech!U14/SER_summary!U$26)</f>
        <v>105.76518120056899</v>
      </c>
      <c r="V14" s="65">
        <f>IF(SER_hh_fech!V14=0,0,SER_hh_fech!V14/SER_summary!V$26)</f>
        <v>100.18143753221884</v>
      </c>
      <c r="W14" s="65">
        <f>IF(SER_hh_fech!W14=0,0,SER_hh_fech!W14/SER_summary!W$26)</f>
        <v>116.22691419825638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0.91716497871082359</v>
      </c>
      <c r="C15" s="135">
        <f>IF(SER_hh_fech!C15=0,0,SER_hh_fech!C15/SER_summary!C$26)</f>
        <v>1.0274610302317293</v>
      </c>
      <c r="D15" s="135">
        <f>IF(SER_hh_fech!D15=0,0,SER_hh_fech!D15/SER_summary!D$26)</f>
        <v>1.2039622266641683</v>
      </c>
      <c r="E15" s="135">
        <f>IF(SER_hh_fech!E15=0,0,SER_hh_fech!E15/SER_summary!E$26)</f>
        <v>1.1828535289419879</v>
      </c>
      <c r="F15" s="135">
        <f>IF(SER_hh_fech!F15=0,0,SER_hh_fech!F15/SER_summary!F$26)</f>
        <v>1.1844805512609977</v>
      </c>
      <c r="G15" s="135">
        <f>IF(SER_hh_fech!G15=0,0,SER_hh_fech!G15/SER_summary!G$26)</f>
        <v>1.1017233335413157</v>
      </c>
      <c r="H15" s="135">
        <f>IF(SER_hh_fech!H15=0,0,SER_hh_fech!H15/SER_summary!H$26)</f>
        <v>1.1579752514768393</v>
      </c>
      <c r="I15" s="135">
        <f>IF(SER_hh_fech!I15=0,0,SER_hh_fech!I15/SER_summary!I$26)</f>
        <v>1.0528658951919312</v>
      </c>
      <c r="J15" s="135">
        <f>IF(SER_hh_fech!J15=0,0,SER_hh_fech!J15/SER_summary!J$26)</f>
        <v>1.1329263912790286</v>
      </c>
      <c r="K15" s="135">
        <f>IF(SER_hh_fech!K15=0,0,SER_hh_fech!K15/SER_summary!K$26)</f>
        <v>1.1420463500603995</v>
      </c>
      <c r="L15" s="135">
        <f>IF(SER_hh_fech!L15=0,0,SER_hh_fech!L15/SER_summary!L$26)</f>
        <v>1.3167788202691273</v>
      </c>
      <c r="M15" s="135">
        <f>IF(SER_hh_fech!M15=0,0,SER_hh_fech!M15/SER_summary!M$26)</f>
        <v>1.1743909687684677</v>
      </c>
      <c r="N15" s="135">
        <f>IF(SER_hh_fech!N15=0,0,SER_hh_fech!N15/SER_summary!N$26)</f>
        <v>1.1237476832493769</v>
      </c>
      <c r="O15" s="135">
        <f>IF(SER_hh_fech!O15=0,0,SER_hh_fech!O15/SER_summary!O$26)</f>
        <v>1.0478497940191434</v>
      </c>
      <c r="P15" s="135">
        <f>IF(SER_hh_fech!P15=0,0,SER_hh_fech!P15/SER_summary!P$26)</f>
        <v>0.90068237325430633</v>
      </c>
      <c r="Q15" s="135">
        <f>IF(SER_hh_fech!Q15=0,0,SER_hh_fech!Q15/SER_summary!Q$26)</f>
        <v>0.92214513700068312</v>
      </c>
      <c r="R15" s="135">
        <f>IF(SER_hh_fech!R15=0,0,SER_hh_fech!R15/SER_summary!R$26)</f>
        <v>1.0524314941144071</v>
      </c>
      <c r="S15" s="135">
        <f>IF(SER_hh_fech!S15=0,0,SER_hh_fech!S15/SER_summary!S$26)</f>
        <v>0.88449227909646932</v>
      </c>
      <c r="T15" s="135">
        <f>IF(SER_hh_fech!T15=0,0,SER_hh_fech!T15/SER_summary!T$26)</f>
        <v>0.84109765689054161</v>
      </c>
      <c r="U15" s="135">
        <f>IF(SER_hh_fech!U15=0,0,SER_hh_fech!U15/SER_summary!U$26)</f>
        <v>0.82772555981666607</v>
      </c>
      <c r="V15" s="135">
        <f>IF(SER_hh_fech!V15=0,0,SER_hh_fech!V15/SER_summary!V$26)</f>
        <v>0.7880339108254969</v>
      </c>
      <c r="W15" s="135">
        <f>IF(SER_hh_fech!W15=0,0,SER_hh_fech!W15/SER_summary!W$26)</f>
        <v>0.98622644090025058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15.319292996801456</v>
      </c>
      <c r="C16" s="131">
        <f>IF(SER_hh_fech!C16=0,0,SER_hh_fech!C16/SER_summary!C$26)</f>
        <v>14.942134900910382</v>
      </c>
      <c r="D16" s="131">
        <f>IF(SER_hh_fech!D16=0,0,SER_hh_fech!D16/SER_summary!D$26)</f>
        <v>14.609512230647075</v>
      </c>
      <c r="E16" s="131">
        <f>IF(SER_hh_fech!E16=0,0,SER_hh_fech!E16/SER_summary!E$26)</f>
        <v>13.739412079606723</v>
      </c>
      <c r="F16" s="131">
        <f>IF(SER_hh_fech!F16=0,0,SER_hh_fech!F16/SER_summary!F$26)</f>
        <v>13.039579079617203</v>
      </c>
      <c r="G16" s="131">
        <f>IF(SER_hh_fech!G16=0,0,SER_hh_fech!G16/SER_summary!G$26)</f>
        <v>12.513715494227306</v>
      </c>
      <c r="H16" s="131">
        <f>IF(SER_hh_fech!H16=0,0,SER_hh_fech!H16/SER_summary!H$26)</f>
        <v>12.556993831688953</v>
      </c>
      <c r="I16" s="131">
        <f>IF(SER_hh_fech!I16=0,0,SER_hh_fech!I16/SER_summary!I$26)</f>
        <v>11.46818149048277</v>
      </c>
      <c r="J16" s="131">
        <f>IF(SER_hh_fech!J16=0,0,SER_hh_fech!J16/SER_summary!J$26)</f>
        <v>10.751587308629729</v>
      </c>
      <c r="K16" s="131">
        <f>IF(SER_hh_fech!K16=0,0,SER_hh_fech!K16/SER_summary!K$26)</f>
        <v>10.596340387146</v>
      </c>
      <c r="L16" s="131">
        <f>IF(SER_hh_fech!L16=0,0,SER_hh_fech!L16/SER_summary!L$26)</f>
        <v>11.787305198017259</v>
      </c>
      <c r="M16" s="131">
        <f>IF(SER_hh_fech!M16=0,0,SER_hh_fech!M16/SER_summary!M$26)</f>
        <v>10.189772768376697</v>
      </c>
      <c r="N16" s="131">
        <f>IF(SER_hh_fech!N16=0,0,SER_hh_fech!N16/SER_summary!N$26)</f>
        <v>10.41989066862644</v>
      </c>
      <c r="O16" s="131">
        <f>IF(SER_hh_fech!O16=0,0,SER_hh_fech!O16/SER_summary!O$26)</f>
        <v>10.141004310073356</v>
      </c>
      <c r="P16" s="131">
        <f>IF(SER_hh_fech!P16=0,0,SER_hh_fech!P16/SER_summary!P$26)</f>
        <v>9.6775198322700771</v>
      </c>
      <c r="Q16" s="131">
        <f>IF(SER_hh_fech!Q16=0,0,SER_hh_fech!Q16/SER_summary!Q$26)</f>
        <v>10.706682778950405</v>
      </c>
      <c r="R16" s="131">
        <f>IF(SER_hh_fech!R16=0,0,SER_hh_fech!R16/SER_summary!R$26)</f>
        <v>9.0021087054436375</v>
      </c>
      <c r="S16" s="131">
        <f>IF(SER_hh_fech!S16=0,0,SER_hh_fech!S16/SER_summary!S$26)</f>
        <v>8.783699140532482</v>
      </c>
      <c r="T16" s="131">
        <f>IF(SER_hh_fech!T16=0,0,SER_hh_fech!T16/SER_summary!T$26)</f>
        <v>8.7703957629163902</v>
      </c>
      <c r="U16" s="131">
        <f>IF(SER_hh_fech!U16=0,0,SER_hh_fech!U16/SER_summary!U$26)</f>
        <v>9.2607221346390141</v>
      </c>
      <c r="V16" s="131">
        <f>IF(SER_hh_fech!V16=0,0,SER_hh_fech!V16/SER_summary!V$26)</f>
        <v>8.0242366929836102</v>
      </c>
      <c r="W16" s="131">
        <f>IF(SER_hh_fech!W16=0,0,SER_hh_fech!W16/SER_summary!W$26)</f>
        <v>8.1664872893590204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22.324366212119646</v>
      </c>
      <c r="C17" s="133">
        <f>IF(SER_hh_fech!C17=0,0,SER_hh_fech!C17/SER_summary!C$26)</f>
        <v>22.350776677445634</v>
      </c>
      <c r="D17" s="133">
        <f>IF(SER_hh_fech!D17=0,0,SER_hh_fech!D17/SER_summary!D$26)</f>
        <v>22.659908615736978</v>
      </c>
      <c r="E17" s="133">
        <f>IF(SER_hh_fech!E17=0,0,SER_hh_fech!E17/SER_summary!E$26)</f>
        <v>22.183604766158602</v>
      </c>
      <c r="F17" s="133">
        <f>IF(SER_hh_fech!F17=0,0,SER_hh_fech!F17/SER_summary!F$26)</f>
        <v>22.046370965976504</v>
      </c>
      <c r="G17" s="133">
        <f>IF(SER_hh_fech!G17=0,0,SER_hh_fech!G17/SER_summary!G$26)</f>
        <v>22.169168773893073</v>
      </c>
      <c r="H17" s="133">
        <f>IF(SER_hh_fech!H17=0,0,SER_hh_fech!H17/SER_summary!H$26)</f>
        <v>23.370799715628859</v>
      </c>
      <c r="I17" s="133">
        <f>IF(SER_hh_fech!I17=0,0,SER_hh_fech!I17/SER_summary!I$26)</f>
        <v>22.42657015629338</v>
      </c>
      <c r="J17" s="133">
        <f>IF(SER_hh_fech!J17=0,0,SER_hh_fech!J17/SER_summary!J$26)</f>
        <v>21.996528794171823</v>
      </c>
      <c r="K17" s="133">
        <f>IF(SER_hh_fech!K17=0,0,SER_hh_fech!K17/SER_summary!K$26)</f>
        <v>22.03605515329393</v>
      </c>
      <c r="L17" s="133">
        <f>IF(SER_hh_fech!L17=0,0,SER_hh_fech!L17/SER_summary!L$26)</f>
        <v>24.953019100025475</v>
      </c>
      <c r="M17" s="133">
        <f>IF(SER_hh_fech!M17=0,0,SER_hh_fech!M17/SER_summary!M$26)</f>
        <v>22.057215372359313</v>
      </c>
      <c r="N17" s="133">
        <f>IF(SER_hh_fech!N17=0,0,SER_hh_fech!N17/SER_summary!N$26)</f>
        <v>23.063223189173474</v>
      </c>
      <c r="O17" s="133">
        <f>IF(SER_hh_fech!O17=0,0,SER_hh_fech!O17/SER_summary!O$26)</f>
        <v>22.843518299879563</v>
      </c>
      <c r="P17" s="133">
        <f>IF(SER_hh_fech!P17=0,0,SER_hh_fech!P17/SER_summary!P$26)</f>
        <v>22.150116637828663</v>
      </c>
      <c r="Q17" s="133">
        <f>IF(SER_hh_fech!Q17=0,0,SER_hh_fech!Q17/SER_summary!Q$26)</f>
        <v>25.018207263214798</v>
      </c>
      <c r="R17" s="133">
        <f>IF(SER_hh_fech!R17=0,0,SER_hh_fech!R17/SER_summary!R$26)</f>
        <v>21.179706890888053</v>
      </c>
      <c r="S17" s="133">
        <f>IF(SER_hh_fech!S17=0,0,SER_hh_fech!S17/SER_summary!S$26)</f>
        <v>21.047828413572866</v>
      </c>
      <c r="T17" s="133">
        <f>IF(SER_hh_fech!T17=0,0,SER_hh_fech!T17/SER_summary!T$26)</f>
        <v>21.409656134972241</v>
      </c>
      <c r="U17" s="133">
        <f>IF(SER_hh_fech!U17=0,0,SER_hh_fech!U17/SER_summary!U$26)</f>
        <v>22.947683977020699</v>
      </c>
      <c r="V17" s="133">
        <f>IF(SER_hh_fech!V17=0,0,SER_hh_fech!V17/SER_summary!V$26)</f>
        <v>18.736680375041519</v>
      </c>
      <c r="W17" s="133">
        <f>IF(SER_hh_fech!W17=0,0,SER_hh_fech!W17/SER_summary!W$26)</f>
        <v>19.331249227888826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15.308705934590185</v>
      </c>
      <c r="C18" s="133">
        <f>IF(SER_hh_fech!C18=0,0,SER_hh_fech!C18/SER_summary!C$26)</f>
        <v>14.930339641892038</v>
      </c>
      <c r="D18" s="133">
        <f>IF(SER_hh_fech!D18=0,0,SER_hh_fech!D18/SER_summary!D$26)</f>
        <v>14.595656309746381</v>
      </c>
      <c r="E18" s="133">
        <f>IF(SER_hh_fech!E18=0,0,SER_hh_fech!E18/SER_summary!E$26)</f>
        <v>13.723976776378127</v>
      </c>
      <c r="F18" s="133">
        <f>IF(SER_hh_fech!F18=0,0,SER_hh_fech!F18/SER_summary!F$26)</f>
        <v>13.021136886160836</v>
      </c>
      <c r="G18" s="133">
        <f>IF(SER_hh_fech!G18=0,0,SER_hh_fech!G18/SER_summary!G$26)</f>
        <v>12.492320902217976</v>
      </c>
      <c r="H18" s="133">
        <f>IF(SER_hh_fech!H18=0,0,SER_hh_fech!H18/SER_summary!H$26)</f>
        <v>12.532680485062096</v>
      </c>
      <c r="I18" s="133">
        <f>IF(SER_hh_fech!I18=0,0,SER_hh_fech!I18/SER_summary!I$26)</f>
        <v>11.441748578853547</v>
      </c>
      <c r="J18" s="133">
        <f>IF(SER_hh_fech!J18=0,0,SER_hh_fech!J18/SER_summary!J$26)</f>
        <v>10.724151847526127</v>
      </c>
      <c r="K18" s="133">
        <f>IF(SER_hh_fech!K18=0,0,SER_hh_fech!K18/SER_summary!K$26)</f>
        <v>10.567890570368682</v>
      </c>
      <c r="L18" s="133">
        <f>IF(SER_hh_fech!L18=0,0,SER_hh_fech!L18/SER_summary!L$26)</f>
        <v>11.754969213799036</v>
      </c>
      <c r="M18" s="133">
        <f>IF(SER_hh_fech!M18=0,0,SER_hh_fech!M18/SER_summary!M$26)</f>
        <v>10.157747634953033</v>
      </c>
      <c r="N18" s="133">
        <f>IF(SER_hh_fech!N18=0,0,SER_hh_fech!N18/SER_summary!N$26)</f>
        <v>10.382723197193046</v>
      </c>
      <c r="O18" s="133">
        <f>IF(SER_hh_fech!O18=0,0,SER_hh_fech!O18/SER_summary!O$26)</f>
        <v>10.095743315907713</v>
      </c>
      <c r="P18" s="133">
        <f>IF(SER_hh_fech!P18=0,0,SER_hh_fech!P18/SER_summary!P$26)</f>
        <v>9.6191297138995466</v>
      </c>
      <c r="Q18" s="133">
        <f>IF(SER_hh_fech!Q18=0,0,SER_hh_fech!Q18/SER_summary!Q$26)</f>
        <v>10.627656299616024</v>
      </c>
      <c r="R18" s="133">
        <f>IF(SER_hh_fech!R18=0,0,SER_hh_fech!R18/SER_summary!R$26)</f>
        <v>8.9018405631666688</v>
      </c>
      <c r="S18" s="133">
        <f>IF(SER_hh_fech!S18=0,0,SER_hh_fech!S18/SER_summary!S$26)</f>
        <v>8.6637999498137503</v>
      </c>
      <c r="T18" s="133">
        <f>IF(SER_hh_fech!T18=0,0,SER_hh_fech!T18/SER_summary!T$26)</f>
        <v>8.6352178950522767</v>
      </c>
      <c r="U18" s="133">
        <f>IF(SER_hh_fech!U18=0,0,SER_hh_fech!U18/SER_summary!U$26)</f>
        <v>9.1067434135390606</v>
      </c>
      <c r="V18" s="133">
        <f>IF(SER_hh_fech!V18=0,0,SER_hh_fech!V18/SER_summary!V$26)</f>
        <v>7.8948615332765923</v>
      </c>
      <c r="W18" s="133">
        <f>IF(SER_hh_fech!W18=0,0,SER_hh_fech!W18/SER_summary!W$26)</f>
        <v>8.0332781190731328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14.263132153222287</v>
      </c>
      <c r="C19" s="131">
        <f>IF(SER_hh_fech!C19=0,0,SER_hh_fech!C19/SER_summary!C$26)</f>
        <v>15.706818922911793</v>
      </c>
      <c r="D19" s="131">
        <f>IF(SER_hh_fech!D19=0,0,SER_hh_fech!D19/SER_summary!D$26)</f>
        <v>18.87317235456057</v>
      </c>
      <c r="E19" s="131">
        <f>IF(SER_hh_fech!E19=0,0,SER_hh_fech!E19/SER_summary!E$26)</f>
        <v>20.297222424647156</v>
      </c>
      <c r="F19" s="131">
        <f>IF(SER_hh_fech!F19=0,0,SER_hh_fech!F19/SER_summary!F$26)</f>
        <v>21.404608367849793</v>
      </c>
      <c r="G19" s="131">
        <f>IF(SER_hh_fech!G19=0,0,SER_hh_fech!G19/SER_summary!G$26)</f>
        <v>21.415468586767286</v>
      </c>
      <c r="H19" s="131">
        <f>IF(SER_hh_fech!H19=0,0,SER_hh_fech!H19/SER_summary!H$26)</f>
        <v>22.47441631555203</v>
      </c>
      <c r="I19" s="131">
        <f>IF(SER_hh_fech!I19=0,0,SER_hh_fech!I19/SER_summary!I$26)</f>
        <v>23.698699518433042</v>
      </c>
      <c r="J19" s="131">
        <f>IF(SER_hh_fech!J19=0,0,SER_hh_fech!J19/SER_summary!J$26)</f>
        <v>24.204184214380579</v>
      </c>
      <c r="K19" s="131">
        <f>IF(SER_hh_fech!K19=0,0,SER_hh_fech!K19/SER_summary!K$26)</f>
        <v>24.132487484706331</v>
      </c>
      <c r="L19" s="131">
        <f>IF(SER_hh_fech!L19=0,0,SER_hh_fech!L19/SER_summary!L$26)</f>
        <v>24.229528238891767</v>
      </c>
      <c r="M19" s="131">
        <f>IF(SER_hh_fech!M19=0,0,SER_hh_fech!M19/SER_summary!M$26)</f>
        <v>24.076669043076276</v>
      </c>
      <c r="N19" s="131">
        <f>IF(SER_hh_fech!N19=0,0,SER_hh_fech!N19/SER_summary!N$26)</f>
        <v>24.212133166192029</v>
      </c>
      <c r="O19" s="131">
        <f>IF(SER_hh_fech!O19=0,0,SER_hh_fech!O19/SER_summary!O$26)</f>
        <v>24.495949700375878</v>
      </c>
      <c r="P19" s="131">
        <f>IF(SER_hh_fech!P19=0,0,SER_hh_fech!P19/SER_summary!P$26)</f>
        <v>24.262687072972696</v>
      </c>
      <c r="Q19" s="131">
        <f>IF(SER_hh_fech!Q19=0,0,SER_hh_fech!Q19/SER_summary!Q$26)</f>
        <v>24.416319357597512</v>
      </c>
      <c r="R19" s="131">
        <f>IF(SER_hh_fech!R19=0,0,SER_hh_fech!R19/SER_summary!R$26)</f>
        <v>24.597983419778629</v>
      </c>
      <c r="S19" s="131">
        <f>IF(SER_hh_fech!S19=0,0,SER_hh_fech!S19/SER_summary!S$26)</f>
        <v>23.688397499095881</v>
      </c>
      <c r="T19" s="131">
        <f>IF(SER_hh_fech!T19=0,0,SER_hh_fech!T19/SER_summary!T$26)</f>
        <v>22.81266555568687</v>
      </c>
      <c r="U19" s="131">
        <f>IF(SER_hh_fech!U19=0,0,SER_hh_fech!U19/SER_summary!U$26)</f>
        <v>22.191790506157357</v>
      </c>
      <c r="V19" s="131">
        <f>IF(SER_hh_fech!V19=0,0,SER_hh_fech!V19/SER_summary!V$26)</f>
        <v>20.21928975745789</v>
      </c>
      <c r="W19" s="131">
        <f>IF(SER_hh_fech!W19=0,0,SER_hh_fech!W19/SER_summary!W$26)</f>
        <v>21.626740603651314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11.972559502676514</v>
      </c>
      <c r="C20" s="133">
        <f>IF(SER_hh_fech!C20=0,0,SER_hh_fech!C20/SER_summary!C$26)</f>
        <v>18.426361225844452</v>
      </c>
      <c r="D20" s="133">
        <f>IF(SER_hh_fech!D20=0,0,SER_hh_fech!D20/SER_summary!D$26)</f>
        <v>21.79016445873155</v>
      </c>
      <c r="E20" s="133">
        <f>IF(SER_hh_fech!E20=0,0,SER_hh_fech!E20/SER_summary!E$26)</f>
        <v>21.683907971630848</v>
      </c>
      <c r="F20" s="133">
        <f>IF(SER_hh_fech!F20=0,0,SER_hh_fech!F20/SER_summary!F$26)</f>
        <v>22.747771829147979</v>
      </c>
      <c r="G20" s="133">
        <f>IF(SER_hh_fech!G20=0,0,SER_hh_fech!G20/SER_summary!G$26)</f>
        <v>23.081814412362505</v>
      </c>
      <c r="H20" s="133">
        <f>IF(SER_hh_fech!H20=0,0,SER_hh_fech!H20/SER_summary!H$26)</f>
        <v>21.428277631597251</v>
      </c>
      <c r="I20" s="133">
        <f>IF(SER_hh_fech!I20=0,0,SER_hh_fech!I20/SER_summary!I$26)</f>
        <v>25.424759411511577</v>
      </c>
      <c r="J20" s="133">
        <f>IF(SER_hh_fech!J20=0,0,SER_hh_fech!J20/SER_summary!J$26)</f>
        <v>25.269620073953828</v>
      </c>
      <c r="K20" s="133">
        <f>IF(SER_hh_fech!K20=0,0,SER_hh_fech!K20/SER_summary!K$26)</f>
        <v>24.860685371637111</v>
      </c>
      <c r="L20" s="133">
        <f>IF(SER_hh_fech!L20=0,0,SER_hh_fech!L20/SER_summary!L$26)</f>
        <v>25.350423274122232</v>
      </c>
      <c r="M20" s="133">
        <f>IF(SER_hh_fech!M20=0,0,SER_hh_fech!M20/SER_summary!M$26)</f>
        <v>24.797555098717222</v>
      </c>
      <c r="N20" s="133">
        <f>IF(SER_hh_fech!N20=0,0,SER_hh_fech!N20/SER_summary!N$26)</f>
        <v>24.651937604827342</v>
      </c>
      <c r="O20" s="133">
        <f>IF(SER_hh_fech!O20=0,0,SER_hh_fech!O20/SER_summary!O$26)</f>
        <v>24.916118211510991</v>
      </c>
      <c r="P20" s="133">
        <f>IF(SER_hh_fech!P20=0,0,SER_hh_fech!P20/SER_summary!P$26)</f>
        <v>24.630537097588501</v>
      </c>
      <c r="Q20" s="133">
        <f>IF(SER_hh_fech!Q20=0,0,SER_hh_fech!Q20/SER_summary!Q$26)</f>
        <v>24.670481723554449</v>
      </c>
      <c r="R20" s="133">
        <f>IF(SER_hh_fech!R20=0,0,SER_hh_fech!R20/SER_summary!R$26)</f>
        <v>27.825210887297501</v>
      </c>
      <c r="S20" s="133">
        <f>IF(SER_hh_fech!S20=0,0,SER_hh_fech!S20/SER_summary!S$26)</f>
        <v>25.782001663351945</v>
      </c>
      <c r="T20" s="133">
        <f>IF(SER_hh_fech!T20=0,0,SER_hh_fech!T20/SER_summary!T$26)</f>
        <v>21.536939124917218</v>
      </c>
      <c r="U20" s="133">
        <f>IF(SER_hh_fech!U20=0,0,SER_hh_fech!U20/SER_summary!U$26)</f>
        <v>18.222985076639311</v>
      </c>
      <c r="V20" s="133">
        <f>IF(SER_hh_fech!V20=0,0,SER_hh_fech!V20/SER_summary!V$26)</f>
        <v>21.506246536758589</v>
      </c>
      <c r="W20" s="133">
        <f>IF(SER_hh_fech!W20=0,0,SER_hh_fech!W20/SER_summary!W$26)</f>
        <v>29.556929044197624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15.663251830223714</v>
      </c>
      <c r="C21" s="133">
        <f>IF(SER_hh_fech!C21=0,0,SER_hh_fech!C21/SER_summary!C$26)</f>
        <v>19.318265717099099</v>
      </c>
      <c r="D21" s="133">
        <f>IF(SER_hh_fech!D21=0,0,SER_hh_fech!D21/SER_summary!D$26)</f>
        <v>18.561431544894344</v>
      </c>
      <c r="E21" s="133">
        <f>IF(SER_hh_fech!E21=0,0,SER_hh_fech!E21/SER_summary!E$26)</f>
        <v>28.116056971814476</v>
      </c>
      <c r="F21" s="133">
        <f>IF(SER_hh_fech!F21=0,0,SER_hh_fech!F21/SER_summary!F$26)</f>
        <v>24.778509035252423</v>
      </c>
      <c r="G21" s="133">
        <f>IF(SER_hh_fech!G21=0,0,SER_hh_fech!G21/SER_summary!G$26)</f>
        <v>22.955173130472467</v>
      </c>
      <c r="H21" s="133">
        <f>IF(SER_hh_fech!H21=0,0,SER_hh_fech!H21/SER_summary!H$26)</f>
        <v>27.867944948450898</v>
      </c>
      <c r="I21" s="133">
        <f>IF(SER_hh_fech!I21=0,0,SER_hh_fech!I21/SER_summary!I$26)</f>
        <v>27.467151752792208</v>
      </c>
      <c r="J21" s="133">
        <f>IF(SER_hh_fech!J21=0,0,SER_hh_fech!J21/SER_summary!J$26)</f>
        <v>28.22342794544322</v>
      </c>
      <c r="K21" s="133">
        <f>IF(SER_hh_fech!K21=0,0,SER_hh_fech!K21/SER_summary!K$26)</f>
        <v>27.797590254646028</v>
      </c>
      <c r="L21" s="133">
        <f>IF(SER_hh_fech!L21=0,0,SER_hh_fech!L21/SER_summary!L$26)</f>
        <v>27.362246452882168</v>
      </c>
      <c r="M21" s="133">
        <f>IF(SER_hh_fech!M21=0,0,SER_hh_fech!M21/SER_summary!M$26)</f>
        <v>27.098088473082697</v>
      </c>
      <c r="N21" s="133">
        <f>IF(SER_hh_fech!N21=0,0,SER_hh_fech!N21/SER_summary!N$26)</f>
        <v>35.805947144366222</v>
      </c>
      <c r="O21" s="133">
        <f>IF(SER_hh_fech!O21=0,0,SER_hh_fech!O21/SER_summary!O$26)</f>
        <v>23.90596301772726</v>
      </c>
      <c r="P21" s="133">
        <f>IF(SER_hh_fech!P21=0,0,SER_hh_fech!P21/SER_summary!P$26)</f>
        <v>28.445011374265356</v>
      </c>
      <c r="Q21" s="133">
        <f>IF(SER_hh_fech!Q21=0,0,SER_hh_fech!Q21/SER_summary!Q$26)</f>
        <v>27.470516971372394</v>
      </c>
      <c r="R21" s="133">
        <f>IF(SER_hh_fech!R21=0,0,SER_hh_fech!R21/SER_summary!R$26)</f>
        <v>28.193848692824076</v>
      </c>
      <c r="S21" s="133">
        <f>IF(SER_hh_fech!S21=0,0,SER_hh_fech!S21/SER_summary!S$26)</f>
        <v>27.503012667141206</v>
      </c>
      <c r="T21" s="133">
        <f>IF(SER_hh_fech!T21=0,0,SER_hh_fech!T21/SER_summary!T$26)</f>
        <v>25.143432925391917</v>
      </c>
      <c r="U21" s="133">
        <f>IF(SER_hh_fech!U21=0,0,SER_hh_fech!U21/SER_summary!U$26)</f>
        <v>28.495895392083472</v>
      </c>
      <c r="V21" s="133">
        <f>IF(SER_hh_fech!V21=0,0,SER_hh_fech!V21/SER_summary!V$26)</f>
        <v>21.548241245054299</v>
      </c>
      <c r="W21" s="133">
        <f>IF(SER_hh_fech!W21=0,0,SER_hh_fech!W21/SER_summary!W$26)</f>
        <v>23.605063948747443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17.782020541849679</v>
      </c>
      <c r="C22" s="133">
        <f>IF(SER_hh_fech!C22=0,0,SER_hh_fech!C22/SER_summary!C$26)</f>
        <v>18.624100919913435</v>
      </c>
      <c r="D22" s="133">
        <f>IF(SER_hh_fech!D22=0,0,SER_hh_fech!D22/SER_summary!D$26)</f>
        <v>22.718722577942405</v>
      </c>
      <c r="E22" s="133">
        <f>IF(SER_hh_fech!E22=0,0,SER_hh_fech!E22/SER_summary!E$26)</f>
        <v>24.547349484203615</v>
      </c>
      <c r="F22" s="133">
        <f>IF(SER_hh_fech!F22=0,0,SER_hh_fech!F22/SER_summary!F$26)</f>
        <v>26.186855473037255</v>
      </c>
      <c r="G22" s="133">
        <f>IF(SER_hh_fech!G22=0,0,SER_hh_fech!G22/SER_summary!G$26)</f>
        <v>25.664737863505696</v>
      </c>
      <c r="H22" s="133">
        <f>IF(SER_hh_fech!H22=0,0,SER_hh_fech!H22/SER_summary!H$26)</f>
        <v>27.459832042649534</v>
      </c>
      <c r="I22" s="133">
        <f>IF(SER_hh_fech!I22=0,0,SER_hh_fech!I22/SER_summary!I$26)</f>
        <v>29.256056058889826</v>
      </c>
      <c r="J22" s="133">
        <f>IF(SER_hh_fech!J22=0,0,SER_hh_fech!J22/SER_summary!J$26)</f>
        <v>30.020367209131237</v>
      </c>
      <c r="K22" s="133">
        <f>IF(SER_hh_fech!K22=0,0,SER_hh_fech!K22/SER_summary!K$26)</f>
        <v>29.661058929716013</v>
      </c>
      <c r="L22" s="133">
        <f>IF(SER_hh_fech!L22=0,0,SER_hh_fech!L22/SER_summary!L$26)</f>
        <v>30.592432958447006</v>
      </c>
      <c r="M22" s="133">
        <f>IF(SER_hh_fech!M22=0,0,SER_hh_fech!M22/SER_summary!M$26)</f>
        <v>29.935561459012447</v>
      </c>
      <c r="N22" s="133">
        <f>IF(SER_hh_fech!N22=0,0,SER_hh_fech!N22/SER_summary!N$26)</f>
        <v>29.768393127046252</v>
      </c>
      <c r="O22" s="133">
        <f>IF(SER_hh_fech!O22=0,0,SER_hh_fech!O22/SER_summary!O$26)</f>
        <v>29.979196324331998</v>
      </c>
      <c r="P22" s="133">
        <f>IF(SER_hh_fech!P22=0,0,SER_hh_fech!P22/SER_summary!P$26)</f>
        <v>29.718051079807118</v>
      </c>
      <c r="Q22" s="133">
        <f>IF(SER_hh_fech!Q22=0,0,SER_hh_fech!Q22/SER_summary!Q$26)</f>
        <v>30.009241171734338</v>
      </c>
      <c r="R22" s="133">
        <f>IF(SER_hh_fech!R22=0,0,SER_hh_fech!R22/SER_summary!R$26)</f>
        <v>29.051167060216201</v>
      </c>
      <c r="S22" s="133">
        <f>IF(SER_hh_fech!S22=0,0,SER_hh_fech!S22/SER_summary!S$26)</f>
        <v>30.186955804511534</v>
      </c>
      <c r="T22" s="133">
        <f>IF(SER_hh_fech!T22=0,0,SER_hh_fech!T22/SER_summary!T$26)</f>
        <v>28.711564938447061</v>
      </c>
      <c r="U22" s="133">
        <f>IF(SER_hh_fech!U22=0,0,SER_hh_fech!U22/SER_summary!U$26)</f>
        <v>24.138012762667419</v>
      </c>
      <c r="V22" s="133">
        <f>IF(SER_hh_fech!V22=0,0,SER_hh_fech!V22/SER_summary!V$26)</f>
        <v>24.378782504131895</v>
      </c>
      <c r="W22" s="133">
        <f>IF(SER_hh_fech!W22=0,0,SER_hh_fech!W22/SER_summary!W$26)</f>
        <v>27.380774305549298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15.75570074213462</v>
      </c>
      <c r="C23" s="133">
        <f>IF(SER_hh_fech!C23=0,0,SER_hh_fech!C23/SER_summary!C$26)</f>
        <v>18.710216293833582</v>
      </c>
      <c r="D23" s="133">
        <f>IF(SER_hh_fech!D23=0,0,SER_hh_fech!D23/SER_summary!D$26)</f>
        <v>20.589033409478315</v>
      </c>
      <c r="E23" s="133">
        <f>IF(SER_hh_fech!E23=0,0,SER_hh_fech!E23/SER_summary!E$26)</f>
        <v>24.378783398751676</v>
      </c>
      <c r="F23" s="133">
        <f>IF(SER_hh_fech!F23=0,0,SER_hh_fech!F23/SER_summary!F$26)</f>
        <v>24.217958097944852</v>
      </c>
      <c r="G23" s="133">
        <f>IF(SER_hh_fech!G23=0,0,SER_hh_fech!G23/SER_summary!G$26)</f>
        <v>24.554977378918387</v>
      </c>
      <c r="H23" s="133">
        <f>IF(SER_hh_fech!H23=0,0,SER_hh_fech!H23/SER_summary!H$26)</f>
        <v>25.187878917084628</v>
      </c>
      <c r="I23" s="133">
        <f>IF(SER_hh_fech!I23=0,0,SER_hh_fech!I23/SER_summary!I$26)</f>
        <v>26.246759006419598</v>
      </c>
      <c r="J23" s="133">
        <f>IF(SER_hh_fech!J23=0,0,SER_hh_fech!J23/SER_summary!J$26)</f>
        <v>27.269952405006212</v>
      </c>
      <c r="K23" s="133">
        <f>IF(SER_hh_fech!K23=0,0,SER_hh_fech!K23/SER_summary!K$26)</f>
        <v>26.480863989678816</v>
      </c>
      <c r="L23" s="133">
        <f>IF(SER_hh_fech!L23=0,0,SER_hh_fech!L23/SER_summary!L$26)</f>
        <v>27.719225877082959</v>
      </c>
      <c r="M23" s="133">
        <f>IF(SER_hh_fech!M23=0,0,SER_hh_fech!M23/SER_summary!M$26)</f>
        <v>27.141238392704377</v>
      </c>
      <c r="N23" s="133">
        <f>IF(SER_hh_fech!N23=0,0,SER_hh_fech!N23/SER_summary!N$26)</f>
        <v>26.630290041672399</v>
      </c>
      <c r="O23" s="133">
        <f>IF(SER_hh_fech!O23=0,0,SER_hh_fech!O23/SER_summary!O$26)</f>
        <v>26.831545591395439</v>
      </c>
      <c r="P23" s="133">
        <f>IF(SER_hh_fech!P23=0,0,SER_hh_fech!P23/SER_summary!P$26)</f>
        <v>26.89156359197316</v>
      </c>
      <c r="Q23" s="133">
        <f>IF(SER_hh_fech!Q23=0,0,SER_hh_fech!Q23/SER_summary!Q$26)</f>
        <v>27.618345769720754</v>
      </c>
      <c r="R23" s="133">
        <f>IF(SER_hh_fech!R23=0,0,SER_hh_fech!R23/SER_summary!R$26)</f>
        <v>28.841120560541707</v>
      </c>
      <c r="S23" s="133">
        <f>IF(SER_hh_fech!S23=0,0,SER_hh_fech!S23/SER_summary!S$26)</f>
        <v>25.287576811415022</v>
      </c>
      <c r="T23" s="133">
        <f>IF(SER_hh_fech!T23=0,0,SER_hh_fech!T23/SER_summary!T$26)</f>
        <v>25.798606030477135</v>
      </c>
      <c r="U23" s="133">
        <f>IF(SER_hh_fech!U23=0,0,SER_hh_fech!U23/SER_summary!U$26)</f>
        <v>23.975406822553449</v>
      </c>
      <c r="V23" s="133">
        <f>IF(SER_hh_fech!V23=0,0,SER_hh_fech!V23/SER_summary!V$26)</f>
        <v>21.252337368823532</v>
      </c>
      <c r="W23" s="133">
        <f>IF(SER_hh_fech!W23=0,0,SER_hh_fech!W23/SER_summary!W$26)</f>
        <v>28.81890908388117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19.738966233447993</v>
      </c>
      <c r="C24" s="133">
        <f>IF(SER_hh_fech!C24=0,0,SER_hh_fech!C24/SER_summary!C$26)</f>
        <v>20.511978419272282</v>
      </c>
      <c r="D24" s="133">
        <f>IF(SER_hh_fech!D24=0,0,SER_hh_fech!D24/SER_summary!D$26)</f>
        <v>25.338266899762299</v>
      </c>
      <c r="E24" s="133">
        <f>IF(SER_hh_fech!E24=0,0,SER_hh_fech!E24/SER_summary!E$26)</f>
        <v>26.261962661537275</v>
      </c>
      <c r="F24" s="133">
        <f>IF(SER_hh_fech!F24=0,0,SER_hh_fech!F24/SER_summary!F$26)</f>
        <v>26.700007453271404</v>
      </c>
      <c r="G24" s="133">
        <f>IF(SER_hh_fech!G24=0,0,SER_hh_fech!G24/SER_summary!G$26)</f>
        <v>25.560065709759215</v>
      </c>
      <c r="H24" s="133">
        <f>IF(SER_hh_fech!H24=0,0,SER_hh_fech!H24/SER_summary!H$26)</f>
        <v>26.569116639626515</v>
      </c>
      <c r="I24" s="133">
        <f>IF(SER_hh_fech!I24=0,0,SER_hh_fech!I24/SER_summary!I$26)</f>
        <v>28.44967544002786</v>
      </c>
      <c r="J24" s="133">
        <f>IF(SER_hh_fech!J24=0,0,SER_hh_fech!J24/SER_summary!J$26)</f>
        <v>28.305266919725192</v>
      </c>
      <c r="K24" s="133">
        <f>IF(SER_hh_fech!K24=0,0,SER_hh_fech!K24/SER_summary!K$26)</f>
        <v>27.181584534014032</v>
      </c>
      <c r="L24" s="133">
        <f>IF(SER_hh_fech!L24=0,0,SER_hh_fech!L24/SER_summary!L$26)</f>
        <v>26.184613926262923</v>
      </c>
      <c r="M24" s="133">
        <f>IF(SER_hh_fech!M24=0,0,SER_hh_fech!M24/SER_summary!M$26)</f>
        <v>25.672992622203783</v>
      </c>
      <c r="N24" s="133">
        <f>IF(SER_hh_fech!N24=0,0,SER_hh_fech!N24/SER_summary!N$26)</f>
        <v>25.466997813754425</v>
      </c>
      <c r="O24" s="133">
        <f>IF(SER_hh_fech!O24=0,0,SER_hh_fech!O24/SER_summary!O$26)</f>
        <v>24.923968999085275</v>
      </c>
      <c r="P24" s="133">
        <f>IF(SER_hh_fech!P24=0,0,SER_hh_fech!P24/SER_summary!P$26)</f>
        <v>24.149979697253887</v>
      </c>
      <c r="Q24" s="133">
        <f>IF(SER_hh_fech!Q24=0,0,SER_hh_fech!Q24/SER_summary!Q$26)</f>
        <v>24.489451020123273</v>
      </c>
      <c r="R24" s="133">
        <f>IF(SER_hh_fech!R24=0,0,SER_hh_fech!R24/SER_summary!R$26)</f>
        <v>26.120290923633672</v>
      </c>
      <c r="S24" s="133">
        <f>IF(SER_hh_fech!S24=0,0,SER_hh_fech!S24/SER_summary!S$26)</f>
        <v>25.755235133659792</v>
      </c>
      <c r="T24" s="133">
        <f>IF(SER_hh_fech!T24=0,0,SER_hh_fech!T24/SER_summary!T$26)</f>
        <v>22.143767793639238</v>
      </c>
      <c r="U24" s="133">
        <f>IF(SER_hh_fech!U24=0,0,SER_hh_fech!U24/SER_summary!U$26)</f>
        <v>20.866750242045597</v>
      </c>
      <c r="V24" s="133">
        <f>IF(SER_hh_fech!V24=0,0,SER_hh_fech!V24/SER_summary!V$26)</f>
        <v>21.677615704643028</v>
      </c>
      <c r="W24" s="133">
        <f>IF(SER_hh_fech!W24=0,0,SER_hh_fech!W24/SER_summary!W$26)</f>
        <v>23.107923837067652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11.148904793509059</v>
      </c>
      <c r="C25" s="133">
        <f>IF(SER_hh_fech!C25=0,0,SER_hh_fech!C25/SER_summary!C$26)</f>
        <v>12.463689112496581</v>
      </c>
      <c r="D25" s="133">
        <f>IF(SER_hh_fech!D25=0,0,SER_hh_fech!D25/SER_summary!D$26)</f>
        <v>14.520618894146031</v>
      </c>
      <c r="E25" s="133">
        <f>IF(SER_hh_fech!E25=0,0,SER_hh_fech!E25/SER_summary!E$26)</f>
        <v>15.138748878244357</v>
      </c>
      <c r="F25" s="133">
        <f>IF(SER_hh_fech!F25=0,0,SER_hh_fech!F25/SER_summary!F$26)</f>
        <v>17.607928739841256</v>
      </c>
      <c r="G25" s="133">
        <f>IF(SER_hh_fech!G25=0,0,SER_hh_fech!G25/SER_summary!G$26)</f>
        <v>17.585269170712081</v>
      </c>
      <c r="H25" s="133">
        <f>IF(SER_hh_fech!H25=0,0,SER_hh_fech!H25/SER_summary!H$26)</f>
        <v>18.172585512550647</v>
      </c>
      <c r="I25" s="133">
        <f>IF(SER_hh_fech!I25=0,0,SER_hh_fech!I25/SER_summary!I$26)</f>
        <v>19.004489022874981</v>
      </c>
      <c r="J25" s="133">
        <f>IF(SER_hh_fech!J25=0,0,SER_hh_fech!J25/SER_summary!J$26)</f>
        <v>19.753881437660567</v>
      </c>
      <c r="K25" s="133">
        <f>IF(SER_hh_fech!K25=0,0,SER_hh_fech!K25/SER_summary!K$26)</f>
        <v>19.953338949844902</v>
      </c>
      <c r="L25" s="133">
        <f>IF(SER_hh_fech!L25=0,0,SER_hh_fech!L25/SER_summary!L$26)</f>
        <v>19.83731738312342</v>
      </c>
      <c r="M25" s="133">
        <f>IF(SER_hh_fech!M25=0,0,SER_hh_fech!M25/SER_summary!M$26)</f>
        <v>19.773126744848952</v>
      </c>
      <c r="N25" s="133">
        <f>IF(SER_hh_fech!N25=0,0,SER_hh_fech!N25/SER_summary!N$26)</f>
        <v>20.049973294143051</v>
      </c>
      <c r="O25" s="133">
        <f>IF(SER_hh_fech!O25=0,0,SER_hh_fech!O25/SER_summary!O$26)</f>
        <v>20.691448329206747</v>
      </c>
      <c r="P25" s="133">
        <f>IF(SER_hh_fech!P25=0,0,SER_hh_fech!P25/SER_summary!P$26)</f>
        <v>20.243275488494152</v>
      </c>
      <c r="Q25" s="133">
        <f>IF(SER_hh_fech!Q25=0,0,SER_hh_fech!Q25/SER_summary!Q$26)</f>
        <v>19.84124121360701</v>
      </c>
      <c r="R25" s="133">
        <f>IF(SER_hh_fech!R25=0,0,SER_hh_fech!R25/SER_summary!R$26)</f>
        <v>20.25689421753669</v>
      </c>
      <c r="S25" s="133">
        <f>IF(SER_hh_fech!S25=0,0,SER_hh_fech!S25/SER_summary!S$26)</f>
        <v>23.2520680340828</v>
      </c>
      <c r="T25" s="133">
        <f>IF(SER_hh_fech!T25=0,0,SER_hh_fech!T25/SER_summary!T$26)</f>
        <v>18.975802893548273</v>
      </c>
      <c r="U25" s="133">
        <f>IF(SER_hh_fech!U25=0,0,SER_hh_fech!U25/SER_summary!U$26)</f>
        <v>19.225638044284825</v>
      </c>
      <c r="V25" s="133">
        <f>IF(SER_hh_fech!V25=0,0,SER_hh_fech!V25/SER_summary!V$26)</f>
        <v>19.703262657561503</v>
      </c>
      <c r="W25" s="133">
        <f>IF(SER_hh_fech!W25=0,0,SER_hh_fech!W25/SER_summary!W$26)</f>
        <v>16.777463668620697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14.300289432120167</v>
      </c>
      <c r="C26" s="65">
        <f>IF(SER_hh_fech!C26=0,0,SER_hh_fech!C26/SER_summary!C$26)</f>
        <v>14.523728231371329</v>
      </c>
      <c r="D26" s="65">
        <f>IF(SER_hh_fech!D26=0,0,SER_hh_fech!D26/SER_summary!D$26)</f>
        <v>19.347162906415793</v>
      </c>
      <c r="E26" s="65">
        <f>IF(SER_hh_fech!E26=0,0,SER_hh_fech!E26/SER_summary!E$26)</f>
        <v>17.88809971412449</v>
      </c>
      <c r="F26" s="65">
        <f>IF(SER_hh_fech!F26=0,0,SER_hh_fech!F26/SER_summary!F$26)</f>
        <v>20.388477945189255</v>
      </c>
      <c r="G26" s="65">
        <f>IF(SER_hh_fech!G26=0,0,SER_hh_fech!G26/SER_summary!G$26)</f>
        <v>21.069658318714993</v>
      </c>
      <c r="H26" s="65">
        <f>IF(SER_hh_fech!H26=0,0,SER_hh_fech!H26/SER_summary!H$26)</f>
        <v>21.808179995059898</v>
      </c>
      <c r="I26" s="65">
        <f>IF(SER_hh_fech!I26=0,0,SER_hh_fech!I26/SER_summary!I$26)</f>
        <v>23.41533162899735</v>
      </c>
      <c r="J26" s="65">
        <f>IF(SER_hh_fech!J26=0,0,SER_hh_fech!J26/SER_summary!J$26)</f>
        <v>23.602689429851274</v>
      </c>
      <c r="K26" s="65">
        <f>IF(SER_hh_fech!K26=0,0,SER_hh_fech!K26/SER_summary!K$26)</f>
        <v>23.772842475147598</v>
      </c>
      <c r="L26" s="65">
        <f>IF(SER_hh_fech!L26=0,0,SER_hh_fech!L26/SER_summary!L$26)</f>
        <v>23.41614178522806</v>
      </c>
      <c r="M26" s="65">
        <f>IF(SER_hh_fech!M26=0,0,SER_hh_fech!M26/SER_summary!M$26)</f>
        <v>23.424542036372003</v>
      </c>
      <c r="N26" s="65">
        <f>IF(SER_hh_fech!N26=0,0,SER_hh_fech!N26/SER_summary!N$26)</f>
        <v>22.535024642039559</v>
      </c>
      <c r="O26" s="65">
        <f>IF(SER_hh_fech!O26=0,0,SER_hh_fech!O26/SER_summary!O$26)</f>
        <v>24.421312151066878</v>
      </c>
      <c r="P26" s="65">
        <f>IF(SER_hh_fech!P26=0,0,SER_hh_fech!P26/SER_summary!P$26)</f>
        <v>23.591088138501149</v>
      </c>
      <c r="Q26" s="65">
        <f>IF(SER_hh_fech!Q26=0,0,SER_hh_fech!Q26/SER_summary!Q$26)</f>
        <v>23.907322745191273</v>
      </c>
      <c r="R26" s="65">
        <f>IF(SER_hh_fech!R26=0,0,SER_hh_fech!R26/SER_summary!R$26)</f>
        <v>23.457400350341501</v>
      </c>
      <c r="S26" s="65">
        <f>IF(SER_hh_fech!S26=0,0,SER_hh_fech!S26/SER_summary!S$26)</f>
        <v>21.954415686183943</v>
      </c>
      <c r="T26" s="65">
        <f>IF(SER_hh_fech!T26=0,0,SER_hh_fech!T26/SER_summary!T$26)</f>
        <v>22.60983667427849</v>
      </c>
      <c r="U26" s="65">
        <f>IF(SER_hh_fech!U26=0,0,SER_hh_fech!U26/SER_summary!U$26)</f>
        <v>22.123935812413951</v>
      </c>
      <c r="V26" s="65">
        <f>IF(SER_hh_fech!V26=0,0,SER_hh_fech!V26/SER_summary!V$26)</f>
        <v>19.459219247620382</v>
      </c>
      <c r="W26" s="65">
        <f>IF(SER_hh_fech!W26=0,0,SER_hh_fech!W26/SER_summary!W$26)</f>
        <v>20.719117233824477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9.7383583267630566E-4</v>
      </c>
      <c r="E27" s="146">
        <f>IF(SER_hh_fech!E27=0,0,SER_hh_fech!E27/SER_summary!E$26)</f>
        <v>9.5705950759254819E-4</v>
      </c>
      <c r="F27" s="146">
        <f>IF(SER_hh_fech!F27=0,0,SER_hh_fech!F27/SER_summary!F$26)</f>
        <v>3.7197202551142918E-3</v>
      </c>
      <c r="G27" s="146">
        <f>IF(SER_hh_fech!G27=0,0,SER_hh_fech!G27/SER_summary!G$26)</f>
        <v>5.4599095324256832E-3</v>
      </c>
      <c r="H27" s="146">
        <f>IF(SER_hh_fech!H27=0,0,SER_hh_fech!H27/SER_summary!H$26)</f>
        <v>9.6391593107406515E-3</v>
      </c>
      <c r="I27" s="146">
        <f>IF(SER_hh_fech!I27=0,0,SER_hh_fech!I27/SER_summary!I$26)</f>
        <v>1.2623148909410513E-2</v>
      </c>
      <c r="J27" s="146">
        <f>IF(SER_hh_fech!J27=0,0,SER_hh_fech!J27/SER_summary!J$26)</f>
        <v>4.3768459899540577E-2</v>
      </c>
      <c r="K27" s="146">
        <f>IF(SER_hh_fech!K27=0,0,SER_hh_fech!K27/SER_summary!K$26)</f>
        <v>6.5305919595189527E-2</v>
      </c>
      <c r="L27" s="146">
        <f>IF(SER_hh_fech!L27=0,0,SER_hh_fech!L27/SER_summary!L$26)</f>
        <v>7.8564439797144683E-2</v>
      </c>
      <c r="M27" s="146">
        <f>IF(SER_hh_fech!M27=0,0,SER_hh_fech!M27/SER_summary!M$26)</f>
        <v>0.10263047688919638</v>
      </c>
      <c r="N27" s="146">
        <f>IF(SER_hh_fech!N27=0,0,SER_hh_fech!N27/SER_summary!N$26)</f>
        <v>0.12312683197195265</v>
      </c>
      <c r="O27" s="146">
        <f>IF(SER_hh_fech!O27=0,0,SER_hh_fech!O27/SER_summary!O$26)</f>
        <v>0.13355709035714941</v>
      </c>
      <c r="P27" s="146">
        <f>IF(SER_hh_fech!P27=0,0,SER_hh_fech!P27/SER_summary!P$26)</f>
        <v>0.14601386909792999</v>
      </c>
      <c r="Q27" s="146">
        <f>IF(SER_hh_fech!Q27=0,0,SER_hh_fech!Q27/SER_summary!Q$26)</f>
        <v>0.16586448207353094</v>
      </c>
      <c r="R27" s="146">
        <f>IF(SER_hh_fech!R27=0,0,SER_hh_fech!R27/SER_summary!R$26)</f>
        <v>0.17472038725441036</v>
      </c>
      <c r="S27" s="146">
        <f>IF(SER_hh_fech!S27=0,0,SER_hh_fech!S27/SER_summary!S$26)</f>
        <v>0.17230823100269679</v>
      </c>
      <c r="T27" s="146">
        <f>IF(SER_hh_fech!T27=0,0,SER_hh_fech!T27/SER_summary!T$26)</f>
        <v>0.17372458416490225</v>
      </c>
      <c r="U27" s="146">
        <f>IF(SER_hh_fech!U27=0,0,SER_hh_fech!U27/SER_summary!U$26)</f>
        <v>0.16450040134921051</v>
      </c>
      <c r="V27" s="146">
        <f>IF(SER_hh_fech!V27=0,0,SER_hh_fech!V27/SER_summary!V$26)</f>
        <v>0.15525796933129918</v>
      </c>
      <c r="W27" s="146">
        <f>IF(SER_hh_fech!W27=0,0,SER_hh_fech!W27/SER_summary!W$26)</f>
        <v>0.1487548465964873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5.9163070512229137</v>
      </c>
      <c r="E28" s="147">
        <f>IF(SER_hh_fech!E28=0,0,SER_hh_fech!E28/SER_summary!E$26)</f>
        <v>6.3180545274897781</v>
      </c>
      <c r="F28" s="147">
        <f>IF(SER_hh_fech!F28=0,0,SER_hh_fech!F28/SER_summary!F$26)</f>
        <v>6.7928428312425329</v>
      </c>
      <c r="G28" s="147">
        <f>IF(SER_hh_fech!G28=0,0,SER_hh_fech!G28/SER_summary!G$26)</f>
        <v>6.8728700777665424</v>
      </c>
      <c r="H28" s="147">
        <f>IF(SER_hh_fech!H28=0,0,SER_hh_fech!H28/SER_summary!H$26)</f>
        <v>7.2610519798021125</v>
      </c>
      <c r="I28" s="147">
        <f>IF(SER_hh_fech!I28=0,0,SER_hh_fech!I28/SER_summary!I$26)</f>
        <v>7.7343939001827833</v>
      </c>
      <c r="J28" s="147">
        <f>IF(SER_hh_fech!J28=0,0,SER_hh_fech!J28/SER_summary!J$26)</f>
        <v>7.9722897420024887</v>
      </c>
      <c r="K28" s="147">
        <f>IF(SER_hh_fech!K28=0,0,SER_hh_fech!K28/SER_summary!K$26)</f>
        <v>8.1068036666194292</v>
      </c>
      <c r="L28" s="147">
        <f>IF(SER_hh_fech!L28=0,0,SER_hh_fech!L28/SER_summary!L$26)</f>
        <v>7.8120512110647784</v>
      </c>
      <c r="M28" s="147">
        <f>IF(SER_hh_fech!M28=0,0,SER_hh_fech!M28/SER_summary!M$26)</f>
        <v>8.1477347138112179</v>
      </c>
      <c r="N28" s="147">
        <f>IF(SER_hh_fech!N28=0,0,SER_hh_fech!N28/SER_summary!N$26)</f>
        <v>8.5494704862710709</v>
      </c>
      <c r="O28" s="147">
        <f>IF(SER_hh_fech!O28=0,0,SER_hh_fech!O28/SER_summary!O$26)</f>
        <v>8.5610758853108138</v>
      </c>
      <c r="P28" s="147">
        <f>IF(SER_hh_fech!P28=0,0,SER_hh_fech!P28/SER_summary!P$26)</f>
        <v>8.6830469248017206</v>
      </c>
      <c r="Q28" s="147">
        <f>IF(SER_hh_fech!Q28=0,0,SER_hh_fech!Q28/SER_summary!Q$26)</f>
        <v>8.6938505588864885</v>
      </c>
      <c r="R28" s="147">
        <f>IF(SER_hh_fech!R28=0,0,SER_hh_fech!R28/SER_summary!R$26)</f>
        <v>8.9482303537572534</v>
      </c>
      <c r="S28" s="147">
        <f>IF(SER_hh_fech!S28=0,0,SER_hh_fech!S28/SER_summary!S$26)</f>
        <v>8.9733740580464882</v>
      </c>
      <c r="T28" s="147">
        <f>IF(SER_hh_fech!T28=0,0,SER_hh_fech!T28/SER_summary!T$26)</f>
        <v>7.5508380148526202</v>
      </c>
      <c r="U28" s="147">
        <f>IF(SER_hh_fech!U28=0,0,SER_hh_fech!U28/SER_summary!U$26)</f>
        <v>8.2592176088878464</v>
      </c>
      <c r="V28" s="147">
        <f>IF(SER_hh_fech!V28=0,0,SER_hh_fech!V28/SER_summary!V$26)</f>
        <v>7.7996716601369611</v>
      </c>
      <c r="W28" s="147">
        <f>IF(SER_hh_fech!W28=0,0,SER_hh_fech!W28/SER_summary!W$26)</f>
        <v>8.7964367756334241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16.370859831517951</v>
      </c>
      <c r="C29" s="131">
        <f>IF(SER_hh_fech!C29=0,0,SER_hh_fech!C29/SER_summary!C$26)</f>
        <v>19.098176997595765</v>
      </c>
      <c r="D29" s="131">
        <f>IF(SER_hh_fech!D29=0,0,SER_hh_fech!D29/SER_summary!D$26)</f>
        <v>21.742175457872523</v>
      </c>
      <c r="E29" s="131">
        <f>IF(SER_hh_fech!E29=0,0,SER_hh_fech!E29/SER_summary!E$26)</f>
        <v>24.115082891567599</v>
      </c>
      <c r="F29" s="131">
        <f>IF(SER_hh_fech!F29=0,0,SER_hh_fech!F29/SER_summary!F$26)</f>
        <v>24.325901914514517</v>
      </c>
      <c r="G29" s="131">
        <f>IF(SER_hh_fech!G29=0,0,SER_hh_fech!G29/SER_summary!G$26)</f>
        <v>24.698889751601985</v>
      </c>
      <c r="H29" s="131">
        <f>IF(SER_hh_fech!H29=0,0,SER_hh_fech!H29/SER_summary!H$26)</f>
        <v>25.147095576623688</v>
      </c>
      <c r="I29" s="131">
        <f>IF(SER_hh_fech!I29=0,0,SER_hh_fech!I29/SER_summary!I$26)</f>
        <v>26.048001043376498</v>
      </c>
      <c r="J29" s="131">
        <f>IF(SER_hh_fech!J29=0,0,SER_hh_fech!J29/SER_summary!J$26)</f>
        <v>26.33076092913976</v>
      </c>
      <c r="K29" s="131">
        <f>IF(SER_hh_fech!K29=0,0,SER_hh_fech!K29/SER_summary!K$26)</f>
        <v>25.618493518986234</v>
      </c>
      <c r="L29" s="131">
        <f>IF(SER_hh_fech!L29=0,0,SER_hh_fech!L29/SER_summary!L$26)</f>
        <v>25.900866234987603</v>
      </c>
      <c r="M29" s="131">
        <f>IF(SER_hh_fech!M29=0,0,SER_hh_fech!M29/SER_summary!M$26)</f>
        <v>25.964287040340007</v>
      </c>
      <c r="N29" s="131">
        <f>IF(SER_hh_fech!N29=0,0,SER_hh_fech!N29/SER_summary!N$26)</f>
        <v>25.632241651826682</v>
      </c>
      <c r="O29" s="131">
        <f>IF(SER_hh_fech!O29=0,0,SER_hh_fech!O29/SER_summary!O$26)</f>
        <v>25.60675087828632</v>
      </c>
      <c r="P29" s="131">
        <f>IF(SER_hh_fech!P29=0,0,SER_hh_fech!P29/SER_summary!P$26)</f>
        <v>25.373774115107565</v>
      </c>
      <c r="Q29" s="131">
        <f>IF(SER_hh_fech!Q29=0,0,SER_hh_fech!Q29/SER_summary!Q$26)</f>
        <v>25.218151329444254</v>
      </c>
      <c r="R29" s="131">
        <f>IF(SER_hh_fech!R29=0,0,SER_hh_fech!R29/SER_summary!R$26)</f>
        <v>24.929439605666399</v>
      </c>
      <c r="S29" s="131">
        <f>IF(SER_hh_fech!S29=0,0,SER_hh_fech!S29/SER_summary!S$26)</f>
        <v>24.1089719844706</v>
      </c>
      <c r="T29" s="131">
        <f>IF(SER_hh_fech!T29=0,0,SER_hh_fech!T29/SER_summary!T$26)</f>
        <v>23.918649792545576</v>
      </c>
      <c r="U29" s="131">
        <f>IF(SER_hh_fech!U29=0,0,SER_hh_fech!U29/SER_summary!U$26)</f>
        <v>23.680442008029878</v>
      </c>
      <c r="V29" s="131">
        <f>IF(SER_hh_fech!V29=0,0,SER_hh_fech!V29/SER_summary!V$26)</f>
        <v>21.78318364392435</v>
      </c>
      <c r="W29" s="131">
        <f>IF(SER_hh_fech!W29=0,0,SER_hh_fech!W29/SER_summary!W$26)</f>
        <v>22.262250869123896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9.139708944400418</v>
      </c>
      <c r="C30" s="133">
        <f>IF(SER_hh_fech!C30=0,0,SER_hh_fech!C30/SER_summary!C$26)</f>
        <v>28.236061547596531</v>
      </c>
      <c r="D30" s="133">
        <f>IF(SER_hh_fech!D30=0,0,SER_hh_fech!D30/SER_summary!D$26)</f>
        <v>23.041204317737439</v>
      </c>
      <c r="E30" s="133">
        <f>IF(SER_hh_fech!E30=0,0,SER_hh_fech!E30/SER_summary!E$26)</f>
        <v>33.641667831087425</v>
      </c>
      <c r="F30" s="133">
        <f>IF(SER_hh_fech!F30=0,0,SER_hh_fech!F30/SER_summary!F$26)</f>
        <v>30.287220491355349</v>
      </c>
      <c r="G30" s="133">
        <f>IF(SER_hh_fech!G30=0,0,SER_hh_fech!G30/SER_summary!G$26)</f>
        <v>29.192489830938165</v>
      </c>
      <c r="H30" s="133">
        <f>IF(SER_hh_fech!H30=0,0,SER_hh_fech!H30/SER_summary!H$26)</f>
        <v>32.62063226454999</v>
      </c>
      <c r="I30" s="133">
        <f>IF(SER_hh_fech!I30=0,0,SER_hh_fech!I30/SER_summary!I$26)</f>
        <v>34.684926476318793</v>
      </c>
      <c r="J30" s="133">
        <f>IF(SER_hh_fech!J30=0,0,SER_hh_fech!J30/SER_summary!J$26)</f>
        <v>34.066211795503968</v>
      </c>
      <c r="K30" s="133">
        <f>IF(SER_hh_fech!K30=0,0,SER_hh_fech!K30/SER_summary!K$26)</f>
        <v>29.64803643765903</v>
      </c>
      <c r="L30" s="133">
        <f>IF(SER_hh_fech!L30=0,0,SER_hh_fech!L30/SER_summary!L$26)</f>
        <v>28.252128987376359</v>
      </c>
      <c r="M30" s="133">
        <f>IF(SER_hh_fech!M30=0,0,SER_hh_fech!M30/SER_summary!M$26)</f>
        <v>30.380188033486885</v>
      </c>
      <c r="N30" s="133">
        <f>IF(SER_hh_fech!N30=0,0,SER_hh_fech!N30/SER_summary!N$26)</f>
        <v>31.568067718519266</v>
      </c>
      <c r="O30" s="133">
        <f>IF(SER_hh_fech!O30=0,0,SER_hh_fech!O30/SER_summary!O$26)</f>
        <v>32.317831415156924</v>
      </c>
      <c r="P30" s="133">
        <f>IF(SER_hh_fech!P30=0,0,SER_hh_fech!P30/SER_summary!P$26)</f>
        <v>27.892227791005528</v>
      </c>
      <c r="Q30" s="133">
        <f>IF(SER_hh_fech!Q30=0,0,SER_hh_fech!Q30/SER_summary!Q$26)</f>
        <v>30.822107164660078</v>
      </c>
      <c r="R30" s="133">
        <f>IF(SER_hh_fech!R30=0,0,SER_hh_fech!R30/SER_summary!R$26)</f>
        <v>31.750274572228992</v>
      </c>
      <c r="S30" s="133">
        <f>IF(SER_hh_fech!S30=0,0,SER_hh_fech!S30/SER_summary!S$26)</f>
        <v>30.776812101797045</v>
      </c>
      <c r="T30" s="133">
        <f>IF(SER_hh_fech!T30=0,0,SER_hh_fech!T30/SER_summary!T$26)</f>
        <v>29.333807857431687</v>
      </c>
      <c r="U30" s="133">
        <f>IF(SER_hh_fech!U30=0,0,SER_hh_fech!U30/SER_summary!U$26)</f>
        <v>34.236249064921161</v>
      </c>
      <c r="V30" s="133">
        <f>IF(SER_hh_fech!V30=0,0,SER_hh_fech!V30/SER_summary!V$26)</f>
        <v>23.856740907272048</v>
      </c>
      <c r="W30" s="133">
        <f>IF(SER_hh_fech!W30=0,0,SER_hh_fech!W30/SER_summary!W$26)</f>
        <v>23.304353860845971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19.964762086952803</v>
      </c>
      <c r="C31" s="133">
        <f>IF(SER_hh_fech!C31=0,0,SER_hh_fech!C31/SER_summary!C$26)</f>
        <v>23.565708016143819</v>
      </c>
      <c r="D31" s="133">
        <f>IF(SER_hh_fech!D31=0,0,SER_hh_fech!D31/SER_summary!D$26)</f>
        <v>26.595222029893158</v>
      </c>
      <c r="E31" s="133">
        <f>IF(SER_hh_fech!E31=0,0,SER_hh_fech!E31/SER_summary!E$26)</f>
        <v>29.117036961825693</v>
      </c>
      <c r="F31" s="133">
        <f>IF(SER_hh_fech!F31=0,0,SER_hh_fech!F31/SER_summary!F$26)</f>
        <v>29.010610531304138</v>
      </c>
      <c r="G31" s="133">
        <f>IF(SER_hh_fech!G31=0,0,SER_hh_fech!G31/SER_summary!G$26)</f>
        <v>30.335044716487314</v>
      </c>
      <c r="H31" s="133">
        <f>IF(SER_hh_fech!H31=0,0,SER_hh_fech!H31/SER_summary!H$26)</f>
        <v>31.155354735418836</v>
      </c>
      <c r="I31" s="133">
        <f>IF(SER_hh_fech!I31=0,0,SER_hh_fech!I31/SER_summary!I$26)</f>
        <v>31.597282624858412</v>
      </c>
      <c r="J31" s="133">
        <f>IF(SER_hh_fech!J31=0,0,SER_hh_fech!J31/SER_summary!J$26)</f>
        <v>31.824871542287223</v>
      </c>
      <c r="K31" s="133">
        <f>IF(SER_hh_fech!K31=0,0,SER_hh_fech!K31/SER_summary!K$26)</f>
        <v>31.548736318754813</v>
      </c>
      <c r="L31" s="133">
        <f>IF(SER_hh_fech!L31=0,0,SER_hh_fech!L31/SER_summary!L$26)</f>
        <v>30.061638482488075</v>
      </c>
      <c r="M31" s="133">
        <f>IF(SER_hh_fech!M31=0,0,SER_hh_fech!M31/SER_summary!M$26)</f>
        <v>31.706965482901449</v>
      </c>
      <c r="N31" s="133">
        <f>IF(SER_hh_fech!N31=0,0,SER_hh_fech!N31/SER_summary!N$26)</f>
        <v>32.391344927106161</v>
      </c>
      <c r="O31" s="133">
        <f>IF(SER_hh_fech!O31=0,0,SER_hh_fech!O31/SER_summary!O$26)</f>
        <v>31.468326815467762</v>
      </c>
      <c r="P31" s="133">
        <f>IF(SER_hh_fech!P31=0,0,SER_hh_fech!P31/SER_summary!P$26)</f>
        <v>30.787960860215023</v>
      </c>
      <c r="Q31" s="133">
        <f>IF(SER_hh_fech!Q31=0,0,SER_hh_fech!Q31/SER_summary!Q$26)</f>
        <v>31.546449100101281</v>
      </c>
      <c r="R31" s="133">
        <f>IF(SER_hh_fech!R31=0,0,SER_hh_fech!R31/SER_summary!R$26)</f>
        <v>30.669274395752215</v>
      </c>
      <c r="S31" s="133">
        <f>IF(SER_hh_fech!S31=0,0,SER_hh_fech!S31/SER_summary!S$26)</f>
        <v>29.513658732062314</v>
      </c>
      <c r="T31" s="133">
        <f>IF(SER_hh_fech!T31=0,0,SER_hh_fech!T31/SER_summary!T$26)</f>
        <v>29.382559364293481</v>
      </c>
      <c r="U31" s="133">
        <f>IF(SER_hh_fech!U31=0,0,SER_hh_fech!U31/SER_summary!U$26)</f>
        <v>29.684648388452686</v>
      </c>
      <c r="V31" s="133">
        <f>IF(SER_hh_fech!V31=0,0,SER_hh_fech!V31/SER_summary!V$26)</f>
        <v>24.545919626962171</v>
      </c>
      <c r="W31" s="133">
        <f>IF(SER_hh_fech!W31=0,0,SER_hh_fech!W31/SER_summary!W$26)</f>
        <v>33.408534136627587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15.673099003904378</v>
      </c>
      <c r="C33" s="68">
        <f>IF(SER_hh_fech!C33=0,0,SER_hh_fech!C33/SER_summary!C$26)</f>
        <v>17.837471667450298</v>
      </c>
      <c r="D33" s="68">
        <f>IF(SER_hh_fech!D33=0,0,SER_hh_fech!D33/SER_summary!D$26)</f>
        <v>20.526149556704432</v>
      </c>
      <c r="E33" s="68">
        <f>IF(SER_hh_fech!E33=0,0,SER_hh_fech!E33/SER_summary!E$26)</f>
        <v>22.359057909987264</v>
      </c>
      <c r="F33" s="68">
        <f>IF(SER_hh_fech!F33=0,0,SER_hh_fech!F33/SER_summary!F$26)</f>
        <v>22.772040014326898</v>
      </c>
      <c r="G33" s="68">
        <f>IF(SER_hh_fech!G33=0,0,SER_hh_fech!G33/SER_summary!G$26)</f>
        <v>22.90562717729766</v>
      </c>
      <c r="H33" s="68">
        <f>IF(SER_hh_fech!H33=0,0,SER_hh_fech!H33/SER_summary!H$26)</f>
        <v>23.036967576390861</v>
      </c>
      <c r="I33" s="68">
        <f>IF(SER_hh_fech!I33=0,0,SER_hh_fech!I33/SER_summary!I$26)</f>
        <v>24.056043757109755</v>
      </c>
      <c r="J33" s="68">
        <f>IF(SER_hh_fech!J33=0,0,SER_hh_fech!J33/SER_summary!J$26)</f>
        <v>24.538089424137269</v>
      </c>
      <c r="K33" s="68">
        <f>IF(SER_hh_fech!K33=0,0,SER_hh_fech!K33/SER_summary!K$26)</f>
        <v>23.964956380658961</v>
      </c>
      <c r="L33" s="68">
        <f>IF(SER_hh_fech!L33=0,0,SER_hh_fech!L33/SER_summary!L$26)</f>
        <v>24.715788299073932</v>
      </c>
      <c r="M33" s="68">
        <f>IF(SER_hh_fech!M33=0,0,SER_hh_fech!M33/SER_summary!M$26)</f>
        <v>24.176826713760914</v>
      </c>
      <c r="N33" s="68">
        <f>IF(SER_hh_fech!N33=0,0,SER_hh_fech!N33/SER_summary!N$26)</f>
        <v>23.348350005722491</v>
      </c>
      <c r="O33" s="68">
        <f>IF(SER_hh_fech!O33=0,0,SER_hh_fech!O33/SER_summary!O$26)</f>
        <v>23.45874865629311</v>
      </c>
      <c r="P33" s="68">
        <f>IF(SER_hh_fech!P33=0,0,SER_hh_fech!P33/SER_summary!P$26)</f>
        <v>23.500806899368843</v>
      </c>
      <c r="Q33" s="68">
        <f>IF(SER_hh_fech!Q33=0,0,SER_hh_fech!Q33/SER_summary!Q$26)</f>
        <v>22.936307178340353</v>
      </c>
      <c r="R33" s="68">
        <f>IF(SER_hh_fech!R33=0,0,SER_hh_fech!R33/SER_summary!R$26)</f>
        <v>22.861220568910177</v>
      </c>
      <c r="S33" s="68">
        <f>IF(SER_hh_fech!S33=0,0,SER_hh_fech!S33/SER_summary!S$26)</f>
        <v>22.225990454035859</v>
      </c>
      <c r="T33" s="68">
        <f>IF(SER_hh_fech!T33=0,0,SER_hh_fech!T33/SER_summary!T$26)</f>
        <v>22.170932348040687</v>
      </c>
      <c r="U33" s="68">
        <f>IF(SER_hh_fech!U33=0,0,SER_hh_fech!U33/SER_summary!U$26)</f>
        <v>21.594664496743011</v>
      </c>
      <c r="V33" s="68">
        <f>IF(SER_hh_fech!V33=0,0,SER_hh_fech!V33/SER_summary!V$26)</f>
        <v>20.939092917250044</v>
      </c>
      <c r="W33" s="68">
        <f>IF(SER_hh_fech!W33=0,0,SER_hh_fech!W33/SER_summary!W$26)</f>
        <v>19.134269262601787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94.607774023569306</v>
      </c>
      <c r="C3" s="126">
        <f>IF(SER_hh_tesh!C3=0,0,SER_hh_tesh!C3/SER_summary!C$26)</f>
        <v>105.12217728243891</v>
      </c>
      <c r="D3" s="126">
        <f>IF(SER_hh_tesh!D3=0,0,SER_hh_tesh!D3/SER_summary!D$26)</f>
        <v>121.33471975698859</v>
      </c>
      <c r="E3" s="126">
        <f>IF(SER_hh_tesh!E3=0,0,SER_hh_tesh!E3/SER_summary!E$26)</f>
        <v>123.98997451099144</v>
      </c>
      <c r="F3" s="126">
        <f>IF(SER_hh_tesh!F3=0,0,SER_hh_tesh!F3/SER_summary!F$26)</f>
        <v>132.23092619198695</v>
      </c>
      <c r="G3" s="126">
        <f>IF(SER_hh_tesh!G3=0,0,SER_hh_tesh!G3/SER_summary!G$26)</f>
        <v>128.85946814910679</v>
      </c>
      <c r="H3" s="126">
        <f>IF(SER_hh_tesh!H3=0,0,SER_hh_tesh!H3/SER_summary!H$26)</f>
        <v>141.70758679893069</v>
      </c>
      <c r="I3" s="126">
        <f>IF(SER_hh_tesh!I3=0,0,SER_hh_tesh!I3/SER_summary!I$26)</f>
        <v>126.11409621666489</v>
      </c>
      <c r="J3" s="126">
        <f>IF(SER_hh_tesh!J3=0,0,SER_hh_tesh!J3/SER_summary!J$26)</f>
        <v>142.43248175368902</v>
      </c>
      <c r="K3" s="126">
        <f>IF(SER_hh_tesh!K3=0,0,SER_hh_tesh!K3/SER_summary!K$26)</f>
        <v>138.82387577016942</v>
      </c>
      <c r="L3" s="126">
        <f>IF(SER_hh_tesh!L3=0,0,SER_hh_tesh!L3/SER_summary!L$26)</f>
        <v>156.96448362219633</v>
      </c>
      <c r="M3" s="126">
        <f>IF(SER_hh_tesh!M3=0,0,SER_hh_tesh!M3/SER_summary!M$26)</f>
        <v>144.50059223614878</v>
      </c>
      <c r="N3" s="126">
        <f>IF(SER_hh_tesh!N3=0,0,SER_hh_tesh!N3/SER_summary!N$26)</f>
        <v>141.74716215425039</v>
      </c>
      <c r="O3" s="126">
        <f>IF(SER_hh_tesh!O3=0,0,SER_hh_tesh!O3/SER_summary!O$26)</f>
        <v>136.08508170356009</v>
      </c>
      <c r="P3" s="126">
        <f>IF(SER_hh_tesh!P3=0,0,SER_hh_tesh!P3/SER_summary!P$26)</f>
        <v>126.19744057727414</v>
      </c>
      <c r="Q3" s="126">
        <f>IF(SER_hh_tesh!Q3=0,0,SER_hh_tesh!Q3/SER_summary!Q$26)</f>
        <v>125.10784381677549</v>
      </c>
      <c r="R3" s="126">
        <f>IF(SER_hh_tesh!R3=0,0,SER_hh_tesh!R3/SER_summary!R$26)</f>
        <v>137.32478694215689</v>
      </c>
      <c r="S3" s="126">
        <f>IF(SER_hh_tesh!S3=0,0,SER_hh_tesh!S3/SER_summary!S$26)</f>
        <v>127.24021587674117</v>
      </c>
      <c r="T3" s="126">
        <f>IF(SER_hh_tesh!T3=0,0,SER_hh_tesh!T3/SER_summary!T$26)</f>
        <v>124.19733957399302</v>
      </c>
      <c r="U3" s="126">
        <f>IF(SER_hh_tesh!U3=0,0,SER_hh_tesh!U3/SER_summary!U$26)</f>
        <v>122.80287208056357</v>
      </c>
      <c r="V3" s="126">
        <f>IF(SER_hh_tesh!V3=0,0,SER_hh_tesh!V3/SER_summary!V$26)</f>
        <v>118.21014684087773</v>
      </c>
      <c r="W3" s="126">
        <f>IF(SER_hh_tesh!W3=0,0,SER_hh_tesh!W3/SER_summary!W$26)</f>
        <v>132.7618809169264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72.354991852892269</v>
      </c>
      <c r="C4" s="131">
        <f>IF(SER_hh_tesh!C4=0,0,SER_hh_tesh!C4/SER_summary!C$26)</f>
        <v>80.069401520612885</v>
      </c>
      <c r="D4" s="131">
        <f>IF(SER_hh_tesh!D4=0,0,SER_hh_tesh!D4/SER_summary!D$26)</f>
        <v>92.18644475591546</v>
      </c>
      <c r="E4" s="131">
        <f>IF(SER_hh_tesh!E4=0,0,SER_hh_tesh!E4/SER_summary!E$26)</f>
        <v>92.340925030052659</v>
      </c>
      <c r="F4" s="131">
        <f>IF(SER_hh_tesh!F4=0,0,SER_hh_tesh!F4/SER_summary!F$26)</f>
        <v>99.300962345975876</v>
      </c>
      <c r="G4" s="131">
        <f>IF(SER_hh_tesh!G4=0,0,SER_hh_tesh!G4/SER_summary!G$26)</f>
        <v>95.332363207705427</v>
      </c>
      <c r="H4" s="131">
        <f>IF(SER_hh_tesh!H4=0,0,SER_hh_tesh!H4/SER_summary!H$26)</f>
        <v>106.73415087481183</v>
      </c>
      <c r="I4" s="131">
        <f>IF(SER_hh_tesh!I4=0,0,SER_hh_tesh!I4/SER_summary!I$26)</f>
        <v>89.235661462644927</v>
      </c>
      <c r="J4" s="131">
        <f>IF(SER_hh_tesh!J4=0,0,SER_hh_tesh!J4/SER_summary!J$26)</f>
        <v>104.5560241647552</v>
      </c>
      <c r="K4" s="131">
        <f>IF(SER_hh_tesh!K4=0,0,SER_hh_tesh!K4/SER_summary!K$26)</f>
        <v>101.00684279927984</v>
      </c>
      <c r="L4" s="131">
        <f>IF(SER_hh_tesh!L4=0,0,SER_hh_tesh!L4/SER_summary!L$26)</f>
        <v>118.05118677428008</v>
      </c>
      <c r="M4" s="131">
        <f>IF(SER_hh_tesh!M4=0,0,SER_hh_tesh!M4/SER_summary!M$26)</f>
        <v>105.86583582835573</v>
      </c>
      <c r="N4" s="131">
        <f>IF(SER_hh_tesh!N4=0,0,SER_hh_tesh!N4/SER_summary!N$26)</f>
        <v>102.93893290318677</v>
      </c>
      <c r="O4" s="131">
        <f>IF(SER_hh_tesh!O4=0,0,SER_hh_tesh!O4/SER_summary!O$26)</f>
        <v>96.735925481836873</v>
      </c>
      <c r="P4" s="131">
        <f>IF(SER_hh_tesh!P4=0,0,SER_hh_tesh!P4/SER_summary!P$26)</f>
        <v>87.019564995484927</v>
      </c>
      <c r="Q4" s="131">
        <f>IF(SER_hh_tesh!Q4=0,0,SER_hh_tesh!Q4/SER_summary!Q$26)</f>
        <v>85.122133918810718</v>
      </c>
      <c r="R4" s="131">
        <f>IF(SER_hh_tesh!R4=0,0,SER_hh_tesh!R4/SER_summary!R$26)</f>
        <v>97.663065339445438</v>
      </c>
      <c r="S4" s="131">
        <f>IF(SER_hh_tesh!S4=0,0,SER_hh_tesh!S4/SER_summary!S$26)</f>
        <v>88.234872128186083</v>
      </c>
      <c r="T4" s="131">
        <f>IF(SER_hh_tesh!T4=0,0,SER_hh_tesh!T4/SER_summary!T$26)</f>
        <v>85.350384662854509</v>
      </c>
      <c r="U4" s="131">
        <f>IF(SER_hh_tesh!U4=0,0,SER_hh_tesh!U4/SER_summary!U$26)</f>
        <v>83.742361386171311</v>
      </c>
      <c r="V4" s="131">
        <f>IF(SER_hh_tesh!V4=0,0,SER_hh_tesh!V4/SER_summary!V$26)</f>
        <v>81.959959352864303</v>
      </c>
      <c r="W4" s="131">
        <f>IF(SER_hh_tesh!W4=0,0,SER_hh_tesh!W4/SER_summary!W$26)</f>
        <v>94.830936534764888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79.856873566820411</v>
      </c>
      <c r="C5" s="133">
        <f>IF(SER_hh_tesh!C5=0,0,SER_hh_tesh!C5/SER_summary!C$26)</f>
        <v>59.71049850974817</v>
      </c>
      <c r="D5" s="133">
        <f>IF(SER_hh_tesh!D5=0,0,SER_hh_tesh!D5/SER_summary!D$26)</f>
        <v>99.952245001843607</v>
      </c>
      <c r="E5" s="133">
        <f>IF(SER_hh_tesh!E5=0,0,SER_hh_tesh!E5/SER_summary!E$26)</f>
        <v>97.881671708085349</v>
      </c>
      <c r="F5" s="133">
        <f>IF(SER_hh_tesh!F5=0,0,SER_hh_tesh!F5/SER_summary!F$26)</f>
        <v>93.274845222052804</v>
      </c>
      <c r="G5" s="133">
        <f>IF(SER_hh_tesh!G5=0,0,SER_hh_tesh!G5/SER_summary!G$26)</f>
        <v>92.818802143013158</v>
      </c>
      <c r="H5" s="133">
        <f>IF(SER_hh_tesh!H5=0,0,SER_hh_tesh!H5/SER_summary!H$26)</f>
        <v>106.94880391293067</v>
      </c>
      <c r="I5" s="133">
        <f>IF(SER_hh_tesh!I5=0,0,SER_hh_tesh!I5/SER_summary!I$26)</f>
        <v>89.537504785957282</v>
      </c>
      <c r="J5" s="133">
        <f>IF(SER_hh_tesh!J5=0,0,SER_hh_tesh!J5/SER_summary!J$26)</f>
        <v>98.551145674302447</v>
      </c>
      <c r="K5" s="133">
        <f>IF(SER_hh_tesh!K5=0,0,SER_hh_tesh!K5/SER_summary!K$26)</f>
        <v>104.09277375820309</v>
      </c>
      <c r="L5" s="133">
        <f>IF(SER_hh_tesh!L5=0,0,SER_hh_tesh!L5/SER_summary!L$26)</f>
        <v>117.69830169362436</v>
      </c>
      <c r="M5" s="133">
        <f>IF(SER_hh_tesh!M5=0,0,SER_hh_tesh!M5/SER_summary!M$26)</f>
        <v>102.77583659912824</v>
      </c>
      <c r="N5" s="133">
        <f>IF(SER_hh_tesh!N5=0,0,SER_hh_tesh!N5/SER_summary!N$26)</f>
        <v>104.15254667932992</v>
      </c>
      <c r="O5" s="133">
        <f>IF(SER_hh_tesh!O5=0,0,SER_hh_tesh!O5/SER_summary!O$26)</f>
        <v>97.225369045245756</v>
      </c>
      <c r="P5" s="133">
        <f>IF(SER_hh_tesh!P5=0,0,SER_hh_tesh!P5/SER_summary!P$26)</f>
        <v>86.752635842615462</v>
      </c>
      <c r="Q5" s="133">
        <f>IF(SER_hh_tesh!Q5=0,0,SER_hh_tesh!Q5/SER_summary!Q$26)</f>
        <v>85.255742433339194</v>
      </c>
      <c r="R5" s="133">
        <f>IF(SER_hh_tesh!R5=0,0,SER_hh_tesh!R5/SER_summary!R$26)</f>
        <v>91.554100832882881</v>
      </c>
      <c r="S5" s="133">
        <f>IF(SER_hh_tesh!S5=0,0,SER_hh_tesh!S5/SER_summary!S$26)</f>
        <v>92.195763141010389</v>
      </c>
      <c r="T5" s="133">
        <f>IF(SER_hh_tesh!T5=0,0,SER_hh_tesh!T5/SER_summary!T$26)</f>
        <v>88.754304719469872</v>
      </c>
      <c r="U5" s="133">
        <f>IF(SER_hh_tesh!U5=0,0,SER_hh_tesh!U5/SER_summary!U$26)</f>
        <v>75.226636547276797</v>
      </c>
      <c r="V5" s="133">
        <f>IF(SER_hh_tesh!V5=0,0,SER_hh_tesh!V5/SER_summary!V$26)</f>
        <v>79.353809932750224</v>
      </c>
      <c r="W5" s="133">
        <f>IF(SER_hh_tesh!W5=0,0,SER_hh_tesh!W5/SER_summary!W$26)</f>
        <v>100.00941000711383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66.959003669393056</v>
      </c>
      <c r="C7" s="133">
        <f>IF(SER_hh_tesh!C7=0,0,SER_hh_tesh!C7/SER_summary!C$26)</f>
        <v>85.589997554796724</v>
      </c>
      <c r="D7" s="133">
        <f>IF(SER_hh_tesh!D7=0,0,SER_hh_tesh!D7/SER_summary!D$26)</f>
        <v>93.324146994288952</v>
      </c>
      <c r="E7" s="133">
        <f>IF(SER_hh_tesh!E7=0,0,SER_hh_tesh!E7/SER_summary!E$26)</f>
        <v>94.939205100279722</v>
      </c>
      <c r="F7" s="133">
        <f>IF(SER_hh_tesh!F7=0,0,SER_hh_tesh!F7/SER_summary!F$26)</f>
        <v>89.518505107065351</v>
      </c>
      <c r="G7" s="133">
        <f>IF(SER_hh_tesh!G7=0,0,SER_hh_tesh!G7/SER_summary!G$26)</f>
        <v>70.787098077381046</v>
      </c>
      <c r="H7" s="133">
        <f>IF(SER_hh_tesh!H7=0,0,SER_hh_tesh!H7/SER_summary!H$26)</f>
        <v>112.66956920694027</v>
      </c>
      <c r="I7" s="133">
        <f>IF(SER_hh_tesh!I7=0,0,SER_hh_tesh!I7/SER_summary!I$26)</f>
        <v>100.24467137193267</v>
      </c>
      <c r="J7" s="133">
        <f>IF(SER_hh_tesh!J7=0,0,SER_hh_tesh!J7/SER_summary!J$26)</f>
        <v>98.918755977844086</v>
      </c>
      <c r="K7" s="133">
        <f>IF(SER_hh_tesh!K7=0,0,SER_hh_tesh!K7/SER_summary!K$26)</f>
        <v>94.250122263908196</v>
      </c>
      <c r="L7" s="133">
        <f>IF(SER_hh_tesh!L7=0,0,SER_hh_tesh!L7/SER_summary!L$26)</f>
        <v>121.26922978220037</v>
      </c>
      <c r="M7" s="133">
        <f>IF(SER_hh_tesh!M7=0,0,SER_hh_tesh!M7/SER_summary!M$26)</f>
        <v>117.76735284877553</v>
      </c>
      <c r="N7" s="133">
        <f>IF(SER_hh_tesh!N7=0,0,SER_hh_tesh!N7/SER_summary!N$26)</f>
        <v>94.320773060468568</v>
      </c>
      <c r="O7" s="133">
        <f>IF(SER_hh_tesh!O7=0,0,SER_hh_tesh!O7/SER_summary!O$26)</f>
        <v>85.381183708320066</v>
      </c>
      <c r="P7" s="133">
        <f>IF(SER_hh_tesh!P7=0,0,SER_hh_tesh!P7/SER_summary!P$26)</f>
        <v>86.802127975535498</v>
      </c>
      <c r="Q7" s="133">
        <f>IF(SER_hh_tesh!Q7=0,0,SER_hh_tesh!Q7/SER_summary!Q$26)</f>
        <v>86.216912078868646</v>
      </c>
      <c r="R7" s="133">
        <f>IF(SER_hh_tesh!R7=0,0,SER_hh_tesh!R7/SER_summary!R$26)</f>
        <v>86.905756240210934</v>
      </c>
      <c r="S7" s="133">
        <f>IF(SER_hh_tesh!S7=0,0,SER_hh_tesh!S7/SER_summary!S$26)</f>
        <v>87.631396626721241</v>
      </c>
      <c r="T7" s="133">
        <f>IF(SER_hh_tesh!T7=0,0,SER_hh_tesh!T7/SER_summary!T$26)</f>
        <v>89.955861379470591</v>
      </c>
      <c r="U7" s="133">
        <f>IF(SER_hh_tesh!U7=0,0,SER_hh_tesh!U7/SER_summary!U$26)</f>
        <v>79.52878736942661</v>
      </c>
      <c r="V7" s="133">
        <f>IF(SER_hh_tesh!V7=0,0,SER_hh_tesh!V7/SER_summary!V$26)</f>
        <v>82.243178575390729</v>
      </c>
      <c r="W7" s="133">
        <f>IF(SER_hh_tesh!W7=0,0,SER_hh_tesh!W7/SER_summary!W$26)</f>
        <v>93.485060547238959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69.510935633026747</v>
      </c>
      <c r="C8" s="133">
        <f>IF(SER_hh_tesh!C8=0,0,SER_hh_tesh!C8/SER_summary!C$26)</f>
        <v>82.37738823470518</v>
      </c>
      <c r="D8" s="133">
        <f>IF(SER_hh_tesh!D8=0,0,SER_hh_tesh!D8/SER_summary!D$26)</f>
        <v>88.26785002941557</v>
      </c>
      <c r="E8" s="133">
        <f>IF(SER_hh_tesh!E8=0,0,SER_hh_tesh!E8/SER_summary!E$26)</f>
        <v>95.211489012868739</v>
      </c>
      <c r="F8" s="133">
        <f>IF(SER_hh_tesh!F8=0,0,SER_hh_tesh!F8/SER_summary!F$26)</f>
        <v>96.13276650453642</v>
      </c>
      <c r="G8" s="133">
        <f>IF(SER_hh_tesh!G8=0,0,SER_hh_tesh!G8/SER_summary!G$26)</f>
        <v>96.885442783093197</v>
      </c>
      <c r="H8" s="133">
        <f>IF(SER_hh_tesh!H8=0,0,SER_hh_tesh!H8/SER_summary!H$26)</f>
        <v>96.971318779814069</v>
      </c>
      <c r="I8" s="133">
        <f>IF(SER_hh_tesh!I8=0,0,SER_hh_tesh!I8/SER_summary!I$26)</f>
        <v>96.466557409979416</v>
      </c>
      <c r="J8" s="133">
        <f>IF(SER_hh_tesh!J8=0,0,SER_hh_tesh!J8/SER_summary!J$26)</f>
        <v>102.23238496420267</v>
      </c>
      <c r="K8" s="133">
        <f>IF(SER_hh_tesh!K8=0,0,SER_hh_tesh!K8/SER_summary!K$26)</f>
        <v>109.51388552481458</v>
      </c>
      <c r="L8" s="133">
        <f>IF(SER_hh_tesh!L8=0,0,SER_hh_tesh!L8/SER_summary!L$26)</f>
        <v>111.21548524620599</v>
      </c>
      <c r="M8" s="133">
        <f>IF(SER_hh_tesh!M8=0,0,SER_hh_tesh!M8/SER_summary!M$26)</f>
        <v>97.423709541460838</v>
      </c>
      <c r="N8" s="133">
        <f>IF(SER_hh_tesh!N8=0,0,SER_hh_tesh!N8/SER_summary!N$26)</f>
        <v>98.273978108916523</v>
      </c>
      <c r="O8" s="133">
        <f>IF(SER_hh_tesh!O8=0,0,SER_hh_tesh!O8/SER_summary!O$26)</f>
        <v>84.934882682612454</v>
      </c>
      <c r="P8" s="133">
        <f>IF(SER_hh_tesh!P8=0,0,SER_hh_tesh!P8/SER_summary!P$26)</f>
        <v>95.712187537181023</v>
      </c>
      <c r="Q8" s="133">
        <f>IF(SER_hh_tesh!Q8=0,0,SER_hh_tesh!Q8/SER_summary!Q$26)</f>
        <v>92.03927176821928</v>
      </c>
      <c r="R8" s="133">
        <f>IF(SER_hh_tesh!R8=0,0,SER_hh_tesh!R8/SER_summary!R$26)</f>
        <v>93.693794770902571</v>
      </c>
      <c r="S8" s="133">
        <f>IF(SER_hh_tesh!S8=0,0,SER_hh_tesh!S8/SER_summary!S$26)</f>
        <v>85.96674672388545</v>
      </c>
      <c r="T8" s="133">
        <f>IF(SER_hh_tesh!T8=0,0,SER_hh_tesh!T8/SER_summary!T$26)</f>
        <v>82.458038997793281</v>
      </c>
      <c r="U8" s="133">
        <f>IF(SER_hh_tesh!U8=0,0,SER_hh_tesh!U8/SER_summary!U$26)</f>
        <v>81.10076332491434</v>
      </c>
      <c r="V8" s="133">
        <f>IF(SER_hh_tesh!V8=0,0,SER_hh_tesh!V8/SER_summary!V$26)</f>
        <v>82.40326710316846</v>
      </c>
      <c r="W8" s="133">
        <f>IF(SER_hh_tesh!W8=0,0,SER_hh_tesh!W8/SER_summary!W$26)</f>
        <v>97.813380434284412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66.341315483549224</v>
      </c>
      <c r="C9" s="133">
        <f>IF(SER_hh_tesh!C9=0,0,SER_hh_tesh!C9/SER_summary!C$26)</f>
        <v>82.420329735263593</v>
      </c>
      <c r="D9" s="133">
        <f>IF(SER_hh_tesh!D9=0,0,SER_hh_tesh!D9/SER_summary!D$26)</f>
        <v>93.518269378853759</v>
      </c>
      <c r="E9" s="133">
        <f>IF(SER_hh_tesh!E9=0,0,SER_hh_tesh!E9/SER_summary!E$26)</f>
        <v>95.740129426977362</v>
      </c>
      <c r="F9" s="133">
        <f>IF(SER_hh_tesh!F9=0,0,SER_hh_tesh!F9/SER_summary!F$26)</f>
        <v>99.485117535685688</v>
      </c>
      <c r="G9" s="133">
        <f>IF(SER_hh_tesh!G9=0,0,SER_hh_tesh!G9/SER_summary!G$26)</f>
        <v>99.645809940121609</v>
      </c>
      <c r="H9" s="133">
        <f>IF(SER_hh_tesh!H9=0,0,SER_hh_tesh!H9/SER_summary!H$26)</f>
        <v>93.939153727607746</v>
      </c>
      <c r="I9" s="133">
        <f>IF(SER_hh_tesh!I9=0,0,SER_hh_tesh!I9/SER_summary!I$26)</f>
        <v>93.741305444130546</v>
      </c>
      <c r="J9" s="133">
        <f>IF(SER_hh_tesh!J9=0,0,SER_hh_tesh!J9/SER_summary!J$26)</f>
        <v>98.149883198189968</v>
      </c>
      <c r="K9" s="133">
        <f>IF(SER_hh_tesh!K9=0,0,SER_hh_tesh!K9/SER_summary!K$26)</f>
        <v>99.978477147812242</v>
      </c>
      <c r="L9" s="133">
        <f>IF(SER_hh_tesh!L9=0,0,SER_hh_tesh!L9/SER_summary!L$26)</f>
        <v>116.27868722809883</v>
      </c>
      <c r="M9" s="133">
        <f>IF(SER_hh_tesh!M9=0,0,SER_hh_tesh!M9/SER_summary!M$26)</f>
        <v>102.00122922410915</v>
      </c>
      <c r="N9" s="133">
        <f>IF(SER_hh_tesh!N9=0,0,SER_hh_tesh!N9/SER_summary!N$26)</f>
        <v>102.95334999638946</v>
      </c>
      <c r="O9" s="133">
        <f>IF(SER_hh_tesh!O9=0,0,SER_hh_tesh!O9/SER_summary!O$26)</f>
        <v>97.551816677171999</v>
      </c>
      <c r="P9" s="133">
        <f>IF(SER_hh_tesh!P9=0,0,SER_hh_tesh!P9/SER_summary!P$26)</f>
        <v>80.968211886267738</v>
      </c>
      <c r="Q9" s="133">
        <f>IF(SER_hh_tesh!Q9=0,0,SER_hh_tesh!Q9/SER_summary!Q$26)</f>
        <v>87.135606120735758</v>
      </c>
      <c r="R9" s="133">
        <f>IF(SER_hh_tesh!R9=0,0,SER_hh_tesh!R9/SER_summary!R$26)</f>
        <v>105.16246600481475</v>
      </c>
      <c r="S9" s="133">
        <f>IF(SER_hh_tesh!S9=0,0,SER_hh_tesh!S9/SER_summary!S$26)</f>
        <v>81.963790477518472</v>
      </c>
      <c r="T9" s="133">
        <f>IF(SER_hh_tesh!T9=0,0,SER_hh_tesh!T9/SER_summary!T$26)</f>
        <v>80.561636778396007</v>
      </c>
      <c r="U9" s="133">
        <f>IF(SER_hh_tesh!U9=0,0,SER_hh_tesh!U9/SER_summary!U$26)</f>
        <v>84.619112642422223</v>
      </c>
      <c r="V9" s="133">
        <f>IF(SER_hh_tesh!V9=0,0,SER_hh_tesh!V9/SER_summary!V$26)</f>
        <v>75.405973524297266</v>
      </c>
      <c r="W9" s="133">
        <f>IF(SER_hh_tesh!W9=0,0,SER_hh_tesh!W9/SER_summary!W$26)</f>
        <v>105.44050331972254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82.473722070549599</v>
      </c>
      <c r="C10" s="133">
        <f>IF(SER_hh_tesh!C10=0,0,SER_hh_tesh!C10/SER_summary!C$26)</f>
        <v>70.260431675562302</v>
      </c>
      <c r="D10" s="133">
        <f>IF(SER_hh_tesh!D10=0,0,SER_hh_tesh!D10/SER_summary!D$26)</f>
        <v>81.784422847630566</v>
      </c>
      <c r="E10" s="133">
        <f>IF(SER_hh_tesh!E10=0,0,SER_hh_tesh!E10/SER_summary!E$26)</f>
        <v>90.241443028263006</v>
      </c>
      <c r="F10" s="133">
        <f>IF(SER_hh_tesh!F10=0,0,SER_hh_tesh!F10/SER_summary!F$26)</f>
        <v>98.827308330780127</v>
      </c>
      <c r="G10" s="133">
        <f>IF(SER_hh_tesh!G10=0,0,SER_hh_tesh!G10/SER_summary!G$26)</f>
        <v>104.33285275029658</v>
      </c>
      <c r="H10" s="133">
        <f>IF(SER_hh_tesh!H10=0,0,SER_hh_tesh!H10/SER_summary!H$26)</f>
        <v>78.168795013464461</v>
      </c>
      <c r="I10" s="133">
        <f>IF(SER_hh_tesh!I10=0,0,SER_hh_tesh!I10/SER_summary!I$26)</f>
        <v>95.403229502705727</v>
      </c>
      <c r="J10" s="133">
        <f>IF(SER_hh_tesh!J10=0,0,SER_hh_tesh!J10/SER_summary!J$26)</f>
        <v>85.550129034427741</v>
      </c>
      <c r="K10" s="133">
        <f>IF(SER_hh_tesh!K10=0,0,SER_hh_tesh!K10/SER_summary!K$26)</f>
        <v>109.72453065929439</v>
      </c>
      <c r="L10" s="133">
        <f>IF(SER_hh_tesh!L10=0,0,SER_hh_tesh!L10/SER_summary!L$26)</f>
        <v>118.22393207405148</v>
      </c>
      <c r="M10" s="133">
        <f>IF(SER_hh_tesh!M10=0,0,SER_hh_tesh!M10/SER_summary!M$26)</f>
        <v>108.75219981930707</v>
      </c>
      <c r="N10" s="133">
        <f>IF(SER_hh_tesh!N10=0,0,SER_hh_tesh!N10/SER_summary!N$26)</f>
        <v>93.84745716595495</v>
      </c>
      <c r="O10" s="133">
        <f>IF(SER_hh_tesh!O10=0,0,SER_hh_tesh!O10/SER_summary!O$26)</f>
        <v>101.96660208784381</v>
      </c>
      <c r="P10" s="133">
        <f>IF(SER_hh_tesh!P10=0,0,SER_hh_tesh!P10/SER_summary!P$26)</f>
        <v>84.60139799766786</v>
      </c>
      <c r="Q10" s="133">
        <f>IF(SER_hh_tesh!Q10=0,0,SER_hh_tesh!Q10/SER_summary!Q$26)</f>
        <v>85.429096188864349</v>
      </c>
      <c r="R10" s="133">
        <f>IF(SER_hh_tesh!R10=0,0,SER_hh_tesh!R10/SER_summary!R$26)</f>
        <v>94.170389898034543</v>
      </c>
      <c r="S10" s="133">
        <f>IF(SER_hh_tesh!S10=0,0,SER_hh_tesh!S10/SER_summary!S$26)</f>
        <v>91.125561927520081</v>
      </c>
      <c r="T10" s="133">
        <f>IF(SER_hh_tesh!T10=0,0,SER_hh_tesh!T10/SER_summary!T$26)</f>
        <v>84.853529087760009</v>
      </c>
      <c r="U10" s="133">
        <f>IF(SER_hh_tesh!U10=0,0,SER_hh_tesh!U10/SER_summary!U$26)</f>
        <v>80.477948469749393</v>
      </c>
      <c r="V10" s="133">
        <f>IF(SER_hh_tesh!V10=0,0,SER_hh_tesh!V10/SER_summary!V$26)</f>
        <v>83.520132029032382</v>
      </c>
      <c r="W10" s="133">
        <f>IF(SER_hh_tesh!W10=0,0,SER_hh_tesh!W10/SER_summary!W$26)</f>
        <v>93.220738086406755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78.184282871390934</v>
      </c>
      <c r="C11" s="133">
        <f>IF(SER_hh_tesh!C11=0,0,SER_hh_tesh!C11/SER_summary!C$26)</f>
        <v>57.151156100499428</v>
      </c>
      <c r="D11" s="133">
        <f>IF(SER_hh_tesh!D11=0,0,SER_hh_tesh!D11/SER_summary!D$26)</f>
        <v>96.278831002235862</v>
      </c>
      <c r="E11" s="133">
        <f>IF(SER_hh_tesh!E11=0,0,SER_hh_tesh!E11/SER_summary!E$26)</f>
        <v>103.3277386481524</v>
      </c>
      <c r="F11" s="133">
        <f>IF(SER_hh_tesh!F11=0,0,SER_hh_tesh!F11/SER_summary!F$26)</f>
        <v>90.308638323050545</v>
      </c>
      <c r="G11" s="133">
        <f>IF(SER_hh_tesh!G11=0,0,SER_hh_tesh!G11/SER_summary!G$26)</f>
        <v>102.56225767605167</v>
      </c>
      <c r="H11" s="133">
        <f>IF(SER_hh_tesh!H11=0,0,SER_hh_tesh!H11/SER_summary!H$26)</f>
        <v>105.71682854585778</v>
      </c>
      <c r="I11" s="133">
        <f>IF(SER_hh_tesh!I11=0,0,SER_hh_tesh!I11/SER_summary!I$26)</f>
        <v>78.86424283634868</v>
      </c>
      <c r="J11" s="133">
        <f>IF(SER_hh_tesh!J11=0,0,SER_hh_tesh!J11/SER_summary!J$26)</f>
        <v>111.49468280965365</v>
      </c>
      <c r="K11" s="133">
        <f>IF(SER_hh_tesh!K11=0,0,SER_hh_tesh!K11/SER_summary!K$26)</f>
        <v>116.52070305014085</v>
      </c>
      <c r="L11" s="133">
        <f>IF(SER_hh_tesh!L11=0,0,SER_hh_tesh!L11/SER_summary!L$26)</f>
        <v>105.83986640474714</v>
      </c>
      <c r="M11" s="133">
        <f>IF(SER_hh_tesh!M11=0,0,SER_hh_tesh!M11/SER_summary!M$26)</f>
        <v>80.362092757576107</v>
      </c>
      <c r="N11" s="133">
        <f>IF(SER_hh_tesh!N11=0,0,SER_hh_tesh!N11/SER_summary!N$26)</f>
        <v>93.432570338910281</v>
      </c>
      <c r="O11" s="133">
        <f>IF(SER_hh_tesh!O11=0,0,SER_hh_tesh!O11/SER_summary!O$26)</f>
        <v>102.33668478832642</v>
      </c>
      <c r="P11" s="133">
        <f>IF(SER_hh_tesh!P11=0,0,SER_hh_tesh!P11/SER_summary!P$26)</f>
        <v>96.160306337605633</v>
      </c>
      <c r="Q11" s="133">
        <f>IF(SER_hh_tesh!Q11=0,0,SER_hh_tesh!Q11/SER_summary!Q$26)</f>
        <v>89.91192528757125</v>
      </c>
      <c r="R11" s="133">
        <f>IF(SER_hh_tesh!R11=0,0,SER_hh_tesh!R11/SER_summary!R$26)</f>
        <v>87.165576676351691</v>
      </c>
      <c r="S11" s="133">
        <f>IF(SER_hh_tesh!S11=0,0,SER_hh_tesh!S11/SER_summary!S$26)</f>
        <v>86.467055897510974</v>
      </c>
      <c r="T11" s="133">
        <f>IF(SER_hh_tesh!T11=0,0,SER_hh_tesh!T11/SER_summary!T$26)</f>
        <v>85.772575349841674</v>
      </c>
      <c r="U11" s="133">
        <f>IF(SER_hh_tesh!U11=0,0,SER_hh_tesh!U11/SER_summary!U$26)</f>
        <v>85.255594979912601</v>
      </c>
      <c r="V11" s="133">
        <f>IF(SER_hh_tesh!V11=0,0,SER_hh_tesh!V11/SER_summary!V$26)</f>
        <v>83.425529814152128</v>
      </c>
      <c r="W11" s="133">
        <f>IF(SER_hh_tesh!W11=0,0,SER_hh_tesh!W11/SER_summary!W$26)</f>
        <v>91.067770656748891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70.540716218061917</v>
      </c>
      <c r="C12" s="133">
        <f>IF(SER_hh_tesh!C12=0,0,SER_hh_tesh!C12/SER_summary!C$26)</f>
        <v>78.975514277021134</v>
      </c>
      <c r="D12" s="133">
        <f>IF(SER_hh_tesh!D12=0,0,SER_hh_tesh!D12/SER_summary!D$26)</f>
        <v>93.917552444416572</v>
      </c>
      <c r="E12" s="133">
        <f>IF(SER_hh_tesh!E12=0,0,SER_hh_tesh!E12/SER_summary!E$26)</f>
        <v>80.913638592577797</v>
      </c>
      <c r="F12" s="133">
        <f>IF(SER_hh_tesh!F12=0,0,SER_hh_tesh!F12/SER_summary!F$26)</f>
        <v>108.14465619122873</v>
      </c>
      <c r="G12" s="133">
        <f>IF(SER_hh_tesh!G12=0,0,SER_hh_tesh!G12/SER_summary!G$26)</f>
        <v>93.600973173836252</v>
      </c>
      <c r="H12" s="133">
        <f>IF(SER_hh_tesh!H12=0,0,SER_hh_tesh!H12/SER_summary!H$26)</f>
        <v>114.04539487308813</v>
      </c>
      <c r="I12" s="133">
        <f>IF(SER_hh_tesh!I12=0,0,SER_hh_tesh!I12/SER_summary!I$26)</f>
        <v>77.041171392586193</v>
      </c>
      <c r="J12" s="133">
        <f>IF(SER_hh_tesh!J12=0,0,SER_hh_tesh!J12/SER_summary!J$26)</f>
        <v>110.52370128170804</v>
      </c>
      <c r="K12" s="133">
        <f>IF(SER_hh_tesh!K12=0,0,SER_hh_tesh!K12/SER_summary!K$26)</f>
        <v>104.09367229213781</v>
      </c>
      <c r="L12" s="133">
        <f>IF(SER_hh_tesh!L12=0,0,SER_hh_tesh!L12/SER_summary!L$26)</f>
        <v>116.20994650335668</v>
      </c>
      <c r="M12" s="133">
        <f>IF(SER_hh_tesh!M12=0,0,SER_hh_tesh!M12/SER_summary!M$26)</f>
        <v>99.674832926119223</v>
      </c>
      <c r="N12" s="133">
        <f>IF(SER_hh_tesh!N12=0,0,SER_hh_tesh!N12/SER_summary!N$26)</f>
        <v>99.192302584268447</v>
      </c>
      <c r="O12" s="133">
        <f>IF(SER_hh_tesh!O12=0,0,SER_hh_tesh!O12/SER_summary!O$26)</f>
        <v>102.28863356868702</v>
      </c>
      <c r="P12" s="133">
        <f>IF(SER_hh_tesh!P12=0,0,SER_hh_tesh!P12/SER_summary!P$26)</f>
        <v>87.799902591414522</v>
      </c>
      <c r="Q12" s="133">
        <f>IF(SER_hh_tesh!Q12=0,0,SER_hh_tesh!Q12/SER_summary!Q$26)</f>
        <v>79.930541187692597</v>
      </c>
      <c r="R12" s="133">
        <f>IF(SER_hh_tesh!R12=0,0,SER_hh_tesh!R12/SER_summary!R$26)</f>
        <v>94.03784178846233</v>
      </c>
      <c r="S12" s="133">
        <f>IF(SER_hh_tesh!S12=0,0,SER_hh_tesh!S12/SER_summary!S$26)</f>
        <v>94.746389460887883</v>
      </c>
      <c r="T12" s="133">
        <f>IF(SER_hh_tesh!T12=0,0,SER_hh_tesh!T12/SER_summary!T$26)</f>
        <v>80.932927276712576</v>
      </c>
      <c r="U12" s="133">
        <f>IF(SER_hh_tesh!U12=0,0,SER_hh_tesh!U12/SER_summary!U$26)</f>
        <v>85.100283180966542</v>
      </c>
      <c r="V12" s="133">
        <f>IF(SER_hh_tesh!V12=0,0,SER_hh_tesh!V12/SER_summary!V$26)</f>
        <v>87.709369876479286</v>
      </c>
      <c r="W12" s="133">
        <f>IF(SER_hh_tesh!W12=0,0,SER_hh_tesh!W12/SER_summary!W$26)</f>
        <v>79.479570747295554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66.496946621513217</v>
      </c>
      <c r="C13" s="133">
        <f>IF(SER_hh_tesh!C13=0,0,SER_hh_tesh!C13/SER_summary!C$26)</f>
        <v>85.74095882034203</v>
      </c>
      <c r="D13" s="133">
        <f>IF(SER_hh_tesh!D13=0,0,SER_hh_tesh!D13/SER_summary!D$26)</f>
        <v>78.998838110243469</v>
      </c>
      <c r="E13" s="133">
        <f>IF(SER_hh_tesh!E13=0,0,SER_hh_tesh!E13/SER_summary!E$26)</f>
        <v>90.394222968765291</v>
      </c>
      <c r="F13" s="133">
        <f>IF(SER_hh_tesh!F13=0,0,SER_hh_tesh!F13/SER_summary!F$26)</f>
        <v>83.938082544418648</v>
      </c>
      <c r="G13" s="133">
        <f>IF(SER_hh_tesh!G13=0,0,SER_hh_tesh!G13/SER_summary!G$26)</f>
        <v>94.557632508055164</v>
      </c>
      <c r="H13" s="133">
        <f>IF(SER_hh_tesh!H13=0,0,SER_hh_tesh!H13/SER_summary!H$26)</f>
        <v>99.573783006777305</v>
      </c>
      <c r="I13" s="133">
        <f>IF(SER_hh_tesh!I13=0,0,SER_hh_tesh!I13/SER_summary!I$26)</f>
        <v>98.899302876539991</v>
      </c>
      <c r="J13" s="133">
        <f>IF(SER_hh_tesh!J13=0,0,SER_hh_tesh!J13/SER_summary!J$26)</f>
        <v>104.09211870039908</v>
      </c>
      <c r="K13" s="133">
        <f>IF(SER_hh_tesh!K13=0,0,SER_hh_tesh!K13/SER_summary!K$26)</f>
        <v>108.56644192388939</v>
      </c>
      <c r="L13" s="133">
        <f>IF(SER_hh_tesh!L13=0,0,SER_hh_tesh!L13/SER_summary!L$26)</f>
        <v>108.15999980107831</v>
      </c>
      <c r="M13" s="133">
        <f>IF(SER_hh_tesh!M13=0,0,SER_hh_tesh!M13/SER_summary!M$26)</f>
        <v>102.8913412134182</v>
      </c>
      <c r="N13" s="133">
        <f>IF(SER_hh_tesh!N13=0,0,SER_hh_tesh!N13/SER_summary!N$26)</f>
        <v>97.686194284187806</v>
      </c>
      <c r="O13" s="133">
        <f>IF(SER_hh_tesh!O13=0,0,SER_hh_tesh!O13/SER_summary!O$26)</f>
        <v>83.325042823091565</v>
      </c>
      <c r="P13" s="133">
        <f>IF(SER_hh_tesh!P13=0,0,SER_hh_tesh!P13/SER_summary!P$26)</f>
        <v>94.53301409086032</v>
      </c>
      <c r="Q13" s="133">
        <f>IF(SER_hh_tesh!Q13=0,0,SER_hh_tesh!Q13/SER_summary!Q$26)</f>
        <v>91.646955787732068</v>
      </c>
      <c r="R13" s="133">
        <f>IF(SER_hh_tesh!R13=0,0,SER_hh_tesh!R13/SER_summary!R$26)</f>
        <v>91.027588607407864</v>
      </c>
      <c r="S13" s="133">
        <f>IF(SER_hh_tesh!S13=0,0,SER_hh_tesh!S13/SER_summary!S$26)</f>
        <v>87.994013003500498</v>
      </c>
      <c r="T13" s="133">
        <f>IF(SER_hh_tesh!T13=0,0,SER_hh_tesh!T13/SER_summary!T$26)</f>
        <v>84.251001045068278</v>
      </c>
      <c r="U13" s="133">
        <f>IF(SER_hh_tesh!U13=0,0,SER_hh_tesh!U13/SER_summary!U$26)</f>
        <v>83.347352787011488</v>
      </c>
      <c r="V13" s="133">
        <f>IF(SER_hh_tesh!V13=0,0,SER_hh_tesh!V13/SER_summary!V$26)</f>
        <v>82.878582343382647</v>
      </c>
      <c r="W13" s="133">
        <f>IF(SER_hh_tesh!W13=0,0,SER_hh_tesh!W13/SER_summary!W$26)</f>
        <v>95.419250409155083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73.179088988219746</v>
      </c>
      <c r="C14" s="65">
        <f>IF(SER_hh_tesh!C14=0,0,SER_hh_tesh!C14/SER_summary!C$26)</f>
        <v>86.768329130750132</v>
      </c>
      <c r="D14" s="65">
        <f>IF(SER_hh_tesh!D14=0,0,SER_hh_tesh!D14/SER_summary!D$26)</f>
        <v>78.232164817444954</v>
      </c>
      <c r="E14" s="65">
        <f>IF(SER_hh_tesh!E14=0,0,SER_hh_tesh!E14/SER_summary!E$26)</f>
        <v>90.844896454867737</v>
      </c>
      <c r="F14" s="65">
        <f>IF(SER_hh_tesh!F14=0,0,SER_hh_tesh!F14/SER_summary!F$26)</f>
        <v>88.831866090927306</v>
      </c>
      <c r="G14" s="65">
        <f>IF(SER_hh_tesh!G14=0,0,SER_hh_tesh!G14/SER_summary!G$26)</f>
        <v>96.715343007991791</v>
      </c>
      <c r="H14" s="65">
        <f>IF(SER_hh_tesh!H14=0,0,SER_hh_tesh!H14/SER_summary!H$26)</f>
        <v>110.5648308650802</v>
      </c>
      <c r="I14" s="65">
        <f>IF(SER_hh_tesh!I14=0,0,SER_hh_tesh!I14/SER_summary!I$26)</f>
        <v>89.03648736392752</v>
      </c>
      <c r="J14" s="65">
        <f>IF(SER_hh_tesh!J14=0,0,SER_hh_tesh!J14/SER_summary!J$26)</f>
        <v>110.62066888269918</v>
      </c>
      <c r="K14" s="65">
        <f>IF(SER_hh_tesh!K14=0,0,SER_hh_tesh!K14/SER_summary!K$26)</f>
        <v>92.833302051594188</v>
      </c>
      <c r="L14" s="65">
        <f>IF(SER_hh_tesh!L14=0,0,SER_hh_tesh!L14/SER_summary!L$26)</f>
        <v>116.60264243147886</v>
      </c>
      <c r="M14" s="65">
        <f>IF(SER_hh_tesh!M14=0,0,SER_hh_tesh!M14/SER_summary!M$26)</f>
        <v>111.43970457369431</v>
      </c>
      <c r="N14" s="65">
        <f>IF(SER_hh_tesh!N14=0,0,SER_hh_tesh!N14/SER_summary!N$26)</f>
        <v>106.53152035178627</v>
      </c>
      <c r="O14" s="65">
        <f>IF(SER_hh_tesh!O14=0,0,SER_hh_tesh!O14/SER_summary!O$26)</f>
        <v>87.212351228125527</v>
      </c>
      <c r="P14" s="65">
        <f>IF(SER_hh_tesh!P14=0,0,SER_hh_tesh!P14/SER_summary!P$26)</f>
        <v>92.288235580370468</v>
      </c>
      <c r="Q14" s="65">
        <f>IF(SER_hh_tesh!Q14=0,0,SER_hh_tesh!Q14/SER_summary!Q$26)</f>
        <v>83.842343008023846</v>
      </c>
      <c r="R14" s="65">
        <f>IF(SER_hh_tesh!R14=0,0,SER_hh_tesh!R14/SER_summary!R$26)</f>
        <v>94.957042902977108</v>
      </c>
      <c r="S14" s="65">
        <f>IF(SER_hh_tesh!S14=0,0,SER_hh_tesh!S14/SER_summary!S$26)</f>
        <v>82.950497227917879</v>
      </c>
      <c r="T14" s="65">
        <f>IF(SER_hh_tesh!T14=0,0,SER_hh_tesh!T14/SER_summary!T$26)</f>
        <v>89.840549017979683</v>
      </c>
      <c r="U14" s="65">
        <f>IF(SER_hh_tesh!U14=0,0,SER_hh_tesh!U14/SER_summary!U$26)</f>
        <v>84.494597257493879</v>
      </c>
      <c r="V14" s="65">
        <f>IF(SER_hh_tesh!V14=0,0,SER_hh_tesh!V14/SER_summary!V$26)</f>
        <v>81.140789865298515</v>
      </c>
      <c r="W14" s="65">
        <f>IF(SER_hh_tesh!W14=0,0,SER_hh_tesh!W14/SER_summary!W$26)</f>
        <v>95.565431684976261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0.91716497871082359</v>
      </c>
      <c r="C15" s="135">
        <f>IF(SER_hh_tesh!C15=0,0,SER_hh_tesh!C15/SER_summary!C$26)</f>
        <v>1.0274610302317293</v>
      </c>
      <c r="D15" s="135">
        <f>IF(SER_hh_tesh!D15=0,0,SER_hh_tesh!D15/SER_summary!D$26)</f>
        <v>1.2039622266641683</v>
      </c>
      <c r="E15" s="135">
        <f>IF(SER_hh_tesh!E15=0,0,SER_hh_tesh!E15/SER_summary!E$26)</f>
        <v>1.1828535289419879</v>
      </c>
      <c r="F15" s="135">
        <f>IF(SER_hh_tesh!F15=0,0,SER_hh_tesh!F15/SER_summary!F$26)</f>
        <v>1.1844805512609977</v>
      </c>
      <c r="G15" s="135">
        <f>IF(SER_hh_tesh!G15=0,0,SER_hh_tesh!G15/SER_summary!G$26)</f>
        <v>1.1017233335413157</v>
      </c>
      <c r="H15" s="135">
        <f>IF(SER_hh_tesh!H15=0,0,SER_hh_tesh!H15/SER_summary!H$26)</f>
        <v>1.1579752514768393</v>
      </c>
      <c r="I15" s="135">
        <f>IF(SER_hh_tesh!I15=0,0,SER_hh_tesh!I15/SER_summary!I$26)</f>
        <v>1.0528658951919312</v>
      </c>
      <c r="J15" s="135">
        <f>IF(SER_hh_tesh!J15=0,0,SER_hh_tesh!J15/SER_summary!J$26)</f>
        <v>1.1329263912790286</v>
      </c>
      <c r="K15" s="135">
        <f>IF(SER_hh_tesh!K15=0,0,SER_hh_tesh!K15/SER_summary!K$26)</f>
        <v>1.1420463500603995</v>
      </c>
      <c r="L15" s="135">
        <f>IF(SER_hh_tesh!L15=0,0,SER_hh_tesh!L15/SER_summary!L$26)</f>
        <v>1.3167788202691273</v>
      </c>
      <c r="M15" s="135">
        <f>IF(SER_hh_tesh!M15=0,0,SER_hh_tesh!M15/SER_summary!M$26)</f>
        <v>1.1743909687684677</v>
      </c>
      <c r="N15" s="135">
        <f>IF(SER_hh_tesh!N15=0,0,SER_hh_tesh!N15/SER_summary!N$26)</f>
        <v>1.1237476832493769</v>
      </c>
      <c r="O15" s="135">
        <f>IF(SER_hh_tesh!O15=0,0,SER_hh_tesh!O15/SER_summary!O$26)</f>
        <v>1.0478497940191434</v>
      </c>
      <c r="P15" s="135">
        <f>IF(SER_hh_tesh!P15=0,0,SER_hh_tesh!P15/SER_summary!P$26)</f>
        <v>0.90068237325430633</v>
      </c>
      <c r="Q15" s="135">
        <f>IF(SER_hh_tesh!Q15=0,0,SER_hh_tesh!Q15/SER_summary!Q$26)</f>
        <v>0.92214513700068312</v>
      </c>
      <c r="R15" s="135">
        <f>IF(SER_hh_tesh!R15=0,0,SER_hh_tesh!R15/SER_summary!R$26)</f>
        <v>1.0524314941144071</v>
      </c>
      <c r="S15" s="135">
        <f>IF(SER_hh_tesh!S15=0,0,SER_hh_tesh!S15/SER_summary!S$26)</f>
        <v>0.88449227909646932</v>
      </c>
      <c r="T15" s="135">
        <f>IF(SER_hh_tesh!T15=0,0,SER_hh_tesh!T15/SER_summary!T$26)</f>
        <v>0.84109765689054161</v>
      </c>
      <c r="U15" s="135">
        <f>IF(SER_hh_tesh!U15=0,0,SER_hh_tesh!U15/SER_summary!U$26)</f>
        <v>0.82772555981666607</v>
      </c>
      <c r="V15" s="135">
        <f>IF(SER_hh_tesh!V15=0,0,SER_hh_tesh!V15/SER_summary!V$26)</f>
        <v>0.7880339108254969</v>
      </c>
      <c r="W15" s="135">
        <f>IF(SER_hh_tesh!W15=0,0,SER_hh_tesh!W15/SER_summary!W$26)</f>
        <v>0.98622644090025058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28.118051707795889</v>
      </c>
      <c r="C16" s="131">
        <f>IF(SER_hh_tesh!C16=0,0,SER_hh_tesh!C16/SER_summary!C$26)</f>
        <v>28.218961525565977</v>
      </c>
      <c r="D16" s="131">
        <f>IF(SER_hh_tesh!D16=0,0,SER_hh_tesh!D16/SER_summary!D$26)</f>
        <v>28.705590494755825</v>
      </c>
      <c r="E16" s="131">
        <f>IF(SER_hh_tesh!E16=0,0,SER_hh_tesh!E16/SER_summary!E$26)</f>
        <v>28.190818169671868</v>
      </c>
      <c r="F16" s="131">
        <f>IF(SER_hh_tesh!F16=0,0,SER_hh_tesh!F16/SER_summary!F$26)</f>
        <v>28.118337886105042</v>
      </c>
      <c r="G16" s="131">
        <f>IF(SER_hh_tesh!G16=0,0,SER_hh_tesh!G16/SER_summary!G$26)</f>
        <v>28.355184947293754</v>
      </c>
      <c r="H16" s="131">
        <f>IF(SER_hh_tesh!H16=0,0,SER_hh_tesh!H16/SER_summary!H$26)</f>
        <v>29.958693688482818</v>
      </c>
      <c r="I16" s="131">
        <f>IF(SER_hh_tesh!I16=0,0,SER_hh_tesh!I16/SER_summary!I$26)</f>
        <v>28.813330278474915</v>
      </c>
      <c r="J16" s="131">
        <f>IF(SER_hh_tesh!J16=0,0,SER_hh_tesh!J16/SER_summary!J$26)</f>
        <v>28.306775426686922</v>
      </c>
      <c r="K16" s="131">
        <f>IF(SER_hh_tesh!K16=0,0,SER_hh_tesh!K16/SER_summary!K$26)</f>
        <v>28.378803371964242</v>
      </c>
      <c r="L16" s="131">
        <f>IF(SER_hh_tesh!L16=0,0,SER_hh_tesh!L16/SER_summary!L$26)</f>
        <v>32.159097406489316</v>
      </c>
      <c r="M16" s="131">
        <f>IF(SER_hh_tesh!M16=0,0,SER_hh_tesh!M16/SER_summary!M$26)</f>
        <v>28.484602985232808</v>
      </c>
      <c r="N16" s="131">
        <f>IF(SER_hh_tesh!N16=0,0,SER_hh_tesh!N16/SER_summary!N$26)</f>
        <v>29.888309314035165</v>
      </c>
      <c r="O16" s="131">
        <f>IF(SER_hh_tesh!O16=0,0,SER_hh_tesh!O16/SER_summary!O$26)</f>
        <v>29.839459574771283</v>
      </c>
      <c r="P16" s="131">
        <f>IF(SER_hh_tesh!P16=0,0,SER_hh_tesh!P16/SER_summary!P$26)</f>
        <v>29.359672617186419</v>
      </c>
      <c r="Q16" s="131">
        <f>IF(SER_hh_tesh!Q16=0,0,SER_hh_tesh!Q16/SER_summary!Q$26)</f>
        <v>33.6210054375873</v>
      </c>
      <c r="R16" s="131">
        <f>IF(SER_hh_tesh!R16=0,0,SER_hh_tesh!R16/SER_summary!R$26)</f>
        <v>29.12894123220952</v>
      </c>
      <c r="S16" s="131">
        <f>IF(SER_hh_tesh!S16=0,0,SER_hh_tesh!S16/SER_summary!S$26)</f>
        <v>29.345136202637022</v>
      </c>
      <c r="T16" s="131">
        <f>IF(SER_hh_tesh!T16=0,0,SER_hh_tesh!T16/SER_summary!T$26)</f>
        <v>30.197890104076176</v>
      </c>
      <c r="U16" s="131">
        <f>IF(SER_hh_tesh!U16=0,0,SER_hh_tesh!U16/SER_summary!U$26)</f>
        <v>32.734313190861393</v>
      </c>
      <c r="V16" s="131">
        <f>IF(SER_hh_tesh!V16=0,0,SER_hh_tesh!V16/SER_summary!V$26)</f>
        <v>29.013266846797052</v>
      </c>
      <c r="W16" s="131">
        <f>IF(SER_hh_tesh!W16=0,0,SER_hh_tesh!W16/SER_summary!W$26)</f>
        <v>30.23608136294855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28.118051707795885</v>
      </c>
      <c r="C17" s="133">
        <f>IF(SER_hh_tesh!C17=0,0,SER_hh_tesh!C17/SER_summary!C$26)</f>
        <v>28.219007351936732</v>
      </c>
      <c r="D17" s="133">
        <f>IF(SER_hh_tesh!D17=0,0,SER_hh_tesh!D17/SER_summary!D$26)</f>
        <v>28.70560535167867</v>
      </c>
      <c r="E17" s="133">
        <f>IF(SER_hh_tesh!E17=0,0,SER_hh_tesh!E17/SER_summary!E$26)</f>
        <v>28.19080879838339</v>
      </c>
      <c r="F17" s="133">
        <f>IF(SER_hh_tesh!F17=0,0,SER_hh_tesh!F17/SER_summary!F$26)</f>
        <v>28.118317020569549</v>
      </c>
      <c r="G17" s="133">
        <f>IF(SER_hh_tesh!G17=0,0,SER_hh_tesh!G17/SER_summary!G$26)</f>
        <v>28.355165166673824</v>
      </c>
      <c r="H17" s="133">
        <f>IF(SER_hh_tesh!H17=0,0,SER_hh_tesh!H17/SER_summary!H$26)</f>
        <v>29.958682050147004</v>
      </c>
      <c r="I17" s="133">
        <f>IF(SER_hh_tesh!I17=0,0,SER_hh_tesh!I17/SER_summary!I$26)</f>
        <v>28.813328722737285</v>
      </c>
      <c r="J17" s="133">
        <f>IF(SER_hh_tesh!J17=0,0,SER_hh_tesh!J17/SER_summary!J$26)</f>
        <v>28.306780090848498</v>
      </c>
      <c r="K17" s="133">
        <f>IF(SER_hh_tesh!K17=0,0,SER_hh_tesh!K17/SER_summary!K$26)</f>
        <v>28.378812046221221</v>
      </c>
      <c r="L17" s="133">
        <f>IF(SER_hh_tesh!L17=0,0,SER_hh_tesh!L17/SER_summary!L$26)</f>
        <v>32.159112387029012</v>
      </c>
      <c r="M17" s="133">
        <f>IF(SER_hh_tesh!M17=0,0,SER_hh_tesh!M17/SER_summary!M$26)</f>
        <v>28.484620504624633</v>
      </c>
      <c r="N17" s="133">
        <f>IF(SER_hh_tesh!N17=0,0,SER_hh_tesh!N17/SER_summary!N$26)</f>
        <v>29.888308619866745</v>
      </c>
      <c r="O17" s="133">
        <f>IF(SER_hh_tesh!O17=0,0,SER_hh_tesh!O17/SER_summary!O$26)</f>
        <v>29.83944214148535</v>
      </c>
      <c r="P17" s="133">
        <f>IF(SER_hh_tesh!P17=0,0,SER_hh_tesh!P17/SER_summary!P$26)</f>
        <v>29.359645218561173</v>
      </c>
      <c r="Q17" s="133">
        <f>IF(SER_hh_tesh!Q17=0,0,SER_hh_tesh!Q17/SER_summary!Q$26)</f>
        <v>33.620975152608217</v>
      </c>
      <c r="R17" s="133">
        <f>IF(SER_hh_tesh!R17=0,0,SER_hh_tesh!R17/SER_summary!R$26)</f>
        <v>29.12892441835335</v>
      </c>
      <c r="S17" s="133">
        <f>IF(SER_hh_tesh!S17=0,0,SER_hh_tesh!S17/SER_summary!S$26)</f>
        <v>29.345134585876906</v>
      </c>
      <c r="T17" s="133">
        <f>IF(SER_hh_tesh!T17=0,0,SER_hh_tesh!T17/SER_summary!T$26)</f>
        <v>30.197903071900292</v>
      </c>
      <c r="U17" s="133">
        <f>IF(SER_hh_tesh!U17=0,0,SER_hh_tesh!U17/SER_summary!U$26)</f>
        <v>32.734336964352693</v>
      </c>
      <c r="V17" s="133">
        <f>IF(SER_hh_tesh!V17=0,0,SER_hh_tesh!V17/SER_summary!V$26)</f>
        <v>27.061041898086891</v>
      </c>
      <c r="W17" s="133">
        <f>IF(SER_hh_tesh!W17=0,0,SER_hh_tesh!W17/SER_summary!W$26)</f>
        <v>28.255692638656452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28.118051707795885</v>
      </c>
      <c r="C18" s="133">
        <f>IF(SER_hh_tesh!C18=0,0,SER_hh_tesh!C18/SER_summary!C$26)</f>
        <v>28.218961452606059</v>
      </c>
      <c r="D18" s="133">
        <f>IF(SER_hh_tesh!D18=0,0,SER_hh_tesh!D18/SER_summary!D$26)</f>
        <v>28.705590469184866</v>
      </c>
      <c r="E18" s="133">
        <f>IF(SER_hh_tesh!E18=0,0,SER_hh_tesh!E18/SER_summary!E$26)</f>
        <v>28.190818186801824</v>
      </c>
      <c r="F18" s="133">
        <f>IF(SER_hh_tesh!F18=0,0,SER_hh_tesh!F18/SER_summary!F$26)</f>
        <v>28.118337928829042</v>
      </c>
      <c r="G18" s="133">
        <f>IF(SER_hh_tesh!G18=0,0,SER_hh_tesh!G18/SER_summary!G$26)</f>
        <v>28.355184991123732</v>
      </c>
      <c r="H18" s="133">
        <f>IF(SER_hh_tesh!H18=0,0,SER_hh_tesh!H18/SER_summary!H$26)</f>
        <v>29.958693714650007</v>
      </c>
      <c r="I18" s="133">
        <f>IF(SER_hh_tesh!I18=0,0,SER_hh_tesh!I18/SER_summary!I$26)</f>
        <v>28.813330282227536</v>
      </c>
      <c r="J18" s="133">
        <f>IF(SER_hh_tesh!J18=0,0,SER_hh_tesh!J18/SER_summary!J$26)</f>
        <v>28.306775415307275</v>
      </c>
      <c r="K18" s="133">
        <f>IF(SER_hh_tesh!K18=0,0,SER_hh_tesh!K18/SER_summary!K$26)</f>
        <v>28.378803350391937</v>
      </c>
      <c r="L18" s="133">
        <f>IF(SER_hh_tesh!L18=0,0,SER_hh_tesh!L18/SER_summary!L$26)</f>
        <v>32.159097369695978</v>
      </c>
      <c r="M18" s="133">
        <f>IF(SER_hh_tesh!M18=0,0,SER_hh_tesh!M18/SER_summary!M$26)</f>
        <v>28.484602937955493</v>
      </c>
      <c r="N18" s="133">
        <f>IF(SER_hh_tesh!N18=0,0,SER_hh_tesh!N18/SER_summary!N$26)</f>
        <v>29.888309316075805</v>
      </c>
      <c r="O18" s="133">
        <f>IF(SER_hh_tesh!O18=0,0,SER_hh_tesh!O18/SER_summary!O$26)</f>
        <v>29.839459636888733</v>
      </c>
      <c r="P18" s="133">
        <f>IF(SER_hh_tesh!P18=0,0,SER_hh_tesh!P18/SER_summary!P$26)</f>
        <v>29.359672745452325</v>
      </c>
      <c r="Q18" s="133">
        <f>IF(SER_hh_tesh!Q18=0,0,SER_hh_tesh!Q18/SER_summary!Q$26)</f>
        <v>33.621005604817235</v>
      </c>
      <c r="R18" s="133">
        <f>IF(SER_hh_tesh!R18=0,0,SER_hh_tesh!R18/SER_summary!R$26)</f>
        <v>29.128941370651773</v>
      </c>
      <c r="S18" s="133">
        <f>IF(SER_hh_tesh!S18=0,0,SER_hh_tesh!S18/SER_summary!S$26)</f>
        <v>29.345136218443141</v>
      </c>
      <c r="T18" s="133">
        <f>IF(SER_hh_tesh!T18=0,0,SER_hh_tesh!T18/SER_summary!T$26)</f>
        <v>30.197889965384295</v>
      </c>
      <c r="U18" s="133">
        <f>IF(SER_hh_tesh!U18=0,0,SER_hh_tesh!U18/SER_summary!U$26)</f>
        <v>32.734312923408922</v>
      </c>
      <c r="V18" s="133">
        <f>IF(SER_hh_tesh!V18=0,0,SER_hh_tesh!V18/SER_summary!V$26)</f>
        <v>29.03684404561551</v>
      </c>
      <c r="W18" s="133">
        <f>IF(SER_hh_tesh!W18=0,0,SER_hh_tesh!W18/SER_summary!W$26)</f>
        <v>30.259709805745537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8.8543673619431562</v>
      </c>
      <c r="C19" s="131">
        <f>IF(SER_hh_tesh!C19=0,0,SER_hh_tesh!C19/SER_summary!C$26)</f>
        <v>9.7257935527922097</v>
      </c>
      <c r="D19" s="131">
        <f>IF(SER_hh_tesh!D19=0,0,SER_hh_tesh!D19/SER_summary!D$26)</f>
        <v>11.788991401860166</v>
      </c>
      <c r="E19" s="131">
        <f>IF(SER_hh_tesh!E19=0,0,SER_hh_tesh!E19/SER_summary!E$26)</f>
        <v>12.589510799973883</v>
      </c>
      <c r="F19" s="131">
        <f>IF(SER_hh_tesh!F19=0,0,SER_hh_tesh!F19/SER_summary!F$26)</f>
        <v>13.535657906982141</v>
      </c>
      <c r="G19" s="131">
        <f>IF(SER_hh_tesh!G19=0,0,SER_hh_tesh!G19/SER_summary!G$26)</f>
        <v>13.695092091185142</v>
      </c>
      <c r="H19" s="131">
        <f>IF(SER_hh_tesh!H19=0,0,SER_hh_tesh!H19/SER_summary!H$26)</f>
        <v>14.468669340541576</v>
      </c>
      <c r="I19" s="131">
        <f>IF(SER_hh_tesh!I19=0,0,SER_hh_tesh!I19/SER_summary!I$26)</f>
        <v>15.411880956706048</v>
      </c>
      <c r="J19" s="131">
        <f>IF(SER_hh_tesh!J19=0,0,SER_hh_tesh!J19/SER_summary!J$26)</f>
        <v>15.885942042781117</v>
      </c>
      <c r="K19" s="131">
        <f>IF(SER_hh_tesh!K19=0,0,SER_hh_tesh!K19/SER_summary!K$26)</f>
        <v>15.997155222699163</v>
      </c>
      <c r="L19" s="131">
        <f>IF(SER_hh_tesh!L19=0,0,SER_hh_tesh!L19/SER_summary!L$26)</f>
        <v>16.140451050989025</v>
      </c>
      <c r="M19" s="131">
        <f>IF(SER_hh_tesh!M19=0,0,SER_hh_tesh!M19/SER_summary!M$26)</f>
        <v>16.20288541249279</v>
      </c>
      <c r="N19" s="131">
        <f>IF(SER_hh_tesh!N19=0,0,SER_hh_tesh!N19/SER_summary!N$26)</f>
        <v>16.435714498528778</v>
      </c>
      <c r="O19" s="131">
        <f>IF(SER_hh_tesh!O19=0,0,SER_hh_tesh!O19/SER_summary!O$26)</f>
        <v>16.929791848104323</v>
      </c>
      <c r="P19" s="131">
        <f>IF(SER_hh_tesh!P19=0,0,SER_hh_tesh!P19/SER_summary!P$26)</f>
        <v>16.850760285139039</v>
      </c>
      <c r="Q19" s="131">
        <f>IF(SER_hh_tesh!Q19=0,0,SER_hh_tesh!Q19/SER_summary!Q$26)</f>
        <v>17.109071114868193</v>
      </c>
      <c r="R19" s="131">
        <f>IF(SER_hh_tesh!R19=0,0,SER_hh_tesh!R19/SER_summary!R$26)</f>
        <v>17.455010121187232</v>
      </c>
      <c r="S19" s="131">
        <f>IF(SER_hh_tesh!S19=0,0,SER_hh_tesh!S19/SER_summary!S$26)</f>
        <v>17.216913042677408</v>
      </c>
      <c r="T19" s="131">
        <f>IF(SER_hh_tesh!T19=0,0,SER_hh_tesh!T19/SER_summary!T$26)</f>
        <v>16.834934280371751</v>
      </c>
      <c r="U19" s="131">
        <f>IF(SER_hh_tesh!U19=0,0,SER_hh_tesh!U19/SER_summary!U$26)</f>
        <v>16.731033314365792</v>
      </c>
      <c r="V19" s="131">
        <f>IF(SER_hh_tesh!V19=0,0,SER_hh_tesh!V19/SER_summary!V$26)</f>
        <v>15.58947004077746</v>
      </c>
      <c r="W19" s="131">
        <f>IF(SER_hh_tesh!W19=0,0,SER_hh_tesh!W19/SER_summary!W$26)</f>
        <v>16.88076092893267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6.6501677701970099</v>
      </c>
      <c r="C20" s="133">
        <f>IF(SER_hh_tesh!C20=0,0,SER_hh_tesh!C20/SER_summary!C$26)</f>
        <v>10.673591385983601</v>
      </c>
      <c r="D20" s="133">
        <f>IF(SER_hh_tesh!D20=0,0,SER_hh_tesh!D20/SER_summary!D$26)</f>
        <v>12.877874332442758</v>
      </c>
      <c r="E20" s="133">
        <f>IF(SER_hh_tesh!E20=0,0,SER_hh_tesh!E20/SER_summary!E$26)</f>
        <v>12.978901860258217</v>
      </c>
      <c r="F20" s="133">
        <f>IF(SER_hh_tesh!F20=0,0,SER_hh_tesh!F20/SER_summary!F$26)</f>
        <v>13.693040866147122</v>
      </c>
      <c r="G20" s="133">
        <f>IF(SER_hh_tesh!G20=0,0,SER_hh_tesh!G20/SER_summary!G$26)</f>
        <v>13.965482465951963</v>
      </c>
      <c r="H20" s="133">
        <f>IF(SER_hh_tesh!H20=0,0,SER_hh_tesh!H20/SER_summary!H$26)</f>
        <v>13.033302168320782</v>
      </c>
      <c r="I20" s="133">
        <f>IF(SER_hh_tesh!I20=0,0,SER_hh_tesh!I20/SER_summary!I$26)</f>
        <v>15.67243652223126</v>
      </c>
      <c r="J20" s="133">
        <f>IF(SER_hh_tesh!J20=0,0,SER_hh_tesh!J20/SER_summary!J$26)</f>
        <v>15.805271365205297</v>
      </c>
      <c r="K20" s="133">
        <f>IF(SER_hh_tesh!K20=0,0,SER_hh_tesh!K20/SER_summary!K$26)</f>
        <v>15.810001370326708</v>
      </c>
      <c r="L20" s="133">
        <f>IF(SER_hh_tesh!L20=0,0,SER_hh_tesh!L20/SER_summary!L$26)</f>
        <v>16.392340302013061</v>
      </c>
      <c r="M20" s="133">
        <f>IF(SER_hh_tesh!M20=0,0,SER_hh_tesh!M20/SER_summary!M$26)</f>
        <v>16.2973248495652</v>
      </c>
      <c r="N20" s="133">
        <f>IF(SER_hh_tesh!N20=0,0,SER_hh_tesh!N20/SER_summary!N$26)</f>
        <v>16.472192868329145</v>
      </c>
      <c r="O20" s="133">
        <f>IF(SER_hh_tesh!O20=0,0,SER_hh_tesh!O20/SER_summary!O$26)</f>
        <v>16.900173578742741</v>
      </c>
      <c r="P20" s="133">
        <f>IF(SER_hh_tesh!P20=0,0,SER_hh_tesh!P20/SER_summary!P$26)</f>
        <v>16.833451590332363</v>
      </c>
      <c r="Q20" s="133">
        <f>IF(SER_hh_tesh!Q20=0,0,SER_hh_tesh!Q20/SER_summary!Q$26)</f>
        <v>17.002210797161354</v>
      </c>
      <c r="R20" s="133">
        <f>IF(SER_hh_tesh!R20=0,0,SER_hh_tesh!R20/SER_summary!R$26)</f>
        <v>19.352545740859885</v>
      </c>
      <c r="S20" s="133">
        <f>IF(SER_hh_tesh!S20=0,0,SER_hh_tesh!S20/SER_summary!S$26)</f>
        <v>18.069168461821523</v>
      </c>
      <c r="T20" s="133">
        <f>IF(SER_hh_tesh!T20=0,0,SER_hh_tesh!T20/SER_summary!T$26)</f>
        <v>15.167007061811525</v>
      </c>
      <c r="U20" s="133">
        <f>IF(SER_hh_tesh!U20=0,0,SER_hh_tesh!U20/SER_summary!U$26)</f>
        <v>12.861948041618204</v>
      </c>
      <c r="V20" s="133">
        <f>IF(SER_hh_tesh!V20=0,0,SER_hh_tesh!V20/SER_summary!V$26)</f>
        <v>15.229383827019218</v>
      </c>
      <c r="W20" s="133">
        <f>IF(SER_hh_tesh!W20=0,0,SER_hh_tesh!W20/SER_summary!W$26)</f>
        <v>21.08705405482117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8.5008008140306721</v>
      </c>
      <c r="C21" s="133">
        <f>IF(SER_hh_tesh!C21=0,0,SER_hh_tesh!C21/SER_summary!C$26)</f>
        <v>10.512143857859199</v>
      </c>
      <c r="D21" s="133">
        <f>IF(SER_hh_tesh!D21=0,0,SER_hh_tesh!D21/SER_summary!D$26)</f>
        <v>10.136865826554233</v>
      </c>
      <c r="E21" s="133">
        <f>IF(SER_hh_tesh!E21=0,0,SER_hh_tesh!E21/SER_summary!E$26)</f>
        <v>15.414152551412698</v>
      </c>
      <c r="F21" s="133">
        <f>IF(SER_hh_tesh!F21=0,0,SER_hh_tesh!F21/SER_summary!F$26)</f>
        <v>13.622297537698474</v>
      </c>
      <c r="G21" s="133">
        <f>IF(SER_hh_tesh!G21=0,0,SER_hh_tesh!G21/SER_summary!G$26)</f>
        <v>12.633564887550419</v>
      </c>
      <c r="H21" s="133">
        <f>IF(SER_hh_tesh!H21=0,0,SER_hh_tesh!H21/SER_summary!H$26)</f>
        <v>15.361279871882406</v>
      </c>
      <c r="I21" s="133">
        <f>IF(SER_hh_tesh!I21=0,0,SER_hh_tesh!I21/SER_summary!I$26)</f>
        <v>15.162213929741061</v>
      </c>
      <c r="J21" s="133">
        <f>IF(SER_hh_tesh!J21=0,0,SER_hh_tesh!J21/SER_summary!J$26)</f>
        <v>15.615349510703668</v>
      </c>
      <c r="K21" s="133">
        <f>IF(SER_hh_tesh!K21=0,0,SER_hh_tesh!K21/SER_summary!K$26)</f>
        <v>15.444384216587039</v>
      </c>
      <c r="L21" s="133">
        <f>IF(SER_hh_tesh!L21=0,0,SER_hh_tesh!L21/SER_summary!L$26)</f>
        <v>15.365200770648137</v>
      </c>
      <c r="M21" s="133">
        <f>IF(SER_hh_tesh!M21=0,0,SER_hh_tesh!M21/SER_summary!M$26)</f>
        <v>15.439662193013124</v>
      </c>
      <c r="N21" s="133">
        <f>IF(SER_hh_tesh!N21=0,0,SER_hh_tesh!N21/SER_summary!N$26)</f>
        <v>20.825177341724007</v>
      </c>
      <c r="O21" s="133">
        <f>IF(SER_hh_tesh!O21=0,0,SER_hh_tesh!O21/SER_summary!O$26)</f>
        <v>14.12648350073788</v>
      </c>
      <c r="P21" s="133">
        <f>IF(SER_hh_tesh!P21=0,0,SER_hh_tesh!P21/SER_summary!P$26)</f>
        <v>16.877799455253683</v>
      </c>
      <c r="Q21" s="133">
        <f>IF(SER_hh_tesh!Q21=0,0,SER_hh_tesh!Q21/SER_summary!Q$26)</f>
        <v>16.404414688973418</v>
      </c>
      <c r="R21" s="133">
        <f>IF(SER_hh_tesh!R21=0,0,SER_hh_tesh!R21/SER_summary!R$26)</f>
        <v>17.328991117052745</v>
      </c>
      <c r="S21" s="133">
        <f>IF(SER_hh_tesh!S21=0,0,SER_hh_tesh!S21/SER_summary!S$26)</f>
        <v>17.552422592797768</v>
      </c>
      <c r="T21" s="133">
        <f>IF(SER_hh_tesh!T21=0,0,SER_hh_tesh!T21/SER_summary!T$26)</f>
        <v>16.536135751051713</v>
      </c>
      <c r="U21" s="133">
        <f>IF(SER_hh_tesh!U21=0,0,SER_hh_tesh!U21/SER_summary!U$26)</f>
        <v>19.146824115313382</v>
      </c>
      <c r="V21" s="133">
        <f>IF(SER_hh_tesh!V21=0,0,SER_hh_tesh!V21/SER_summary!V$26)</f>
        <v>14.594553780472042</v>
      </c>
      <c r="W21" s="133">
        <f>IF(SER_hh_tesh!W21=0,0,SER_hh_tesh!W21/SER_summary!W$26)</f>
        <v>16.012463655165917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9.0947158763764424</v>
      </c>
      <c r="C22" s="133">
        <f>IF(SER_hh_tesh!C22=0,0,SER_hh_tesh!C22/SER_summary!C$26)</f>
        <v>9.5397853247180642</v>
      </c>
      <c r="D22" s="133">
        <f>IF(SER_hh_tesh!D22=0,0,SER_hh_tesh!D22/SER_summary!D$26)</f>
        <v>11.666731749913488</v>
      </c>
      <c r="E22" s="133">
        <f>IF(SER_hh_tesh!E22=0,0,SER_hh_tesh!E22/SER_summary!E$26)</f>
        <v>12.644376130952132</v>
      </c>
      <c r="F22" s="133">
        <f>IF(SER_hh_tesh!F22=0,0,SER_hh_tesh!F22/SER_summary!F$26)</f>
        <v>13.540977806152318</v>
      </c>
      <c r="G22" s="133">
        <f>IF(SER_hh_tesh!G22=0,0,SER_hh_tesh!G22/SER_summary!G$26)</f>
        <v>13.332094530575413</v>
      </c>
      <c r="H22" s="133">
        <f>IF(SER_hh_tesh!H22=0,0,SER_hh_tesh!H22/SER_summary!H$26)</f>
        <v>14.351109895686957</v>
      </c>
      <c r="I22" s="133">
        <f>IF(SER_hh_tesh!I22=0,0,SER_hh_tesh!I22/SER_summary!I$26)</f>
        <v>15.396136226346098</v>
      </c>
      <c r="J22" s="133">
        <f>IF(SER_hh_tesh!J22=0,0,SER_hh_tesh!J22/SER_summary!J$26)</f>
        <v>15.921371372457394</v>
      </c>
      <c r="K22" s="133">
        <f>IF(SER_hh_tesh!K22=0,0,SER_hh_tesh!K22/SER_summary!K$26)</f>
        <v>15.859552933480291</v>
      </c>
      <c r="L22" s="133">
        <f>IF(SER_hh_tesh!L22=0,0,SER_hh_tesh!L22/SER_summary!L$26)</f>
        <v>16.505154102012977</v>
      </c>
      <c r="M22" s="133">
        <f>IF(SER_hh_tesh!M22=0,0,SER_hh_tesh!M22/SER_summary!M$26)</f>
        <v>16.312683207643865</v>
      </c>
      <c r="N22" s="133">
        <f>IF(SER_hh_tesh!N22=0,0,SER_hh_tesh!N22/SER_summary!N$26)</f>
        <v>16.432321062129304</v>
      </c>
      <c r="O22" s="133">
        <f>IF(SER_hh_tesh!O22=0,0,SER_hh_tesh!O22/SER_summary!O$26)</f>
        <v>16.79866329779184</v>
      </c>
      <c r="P22" s="133">
        <f>IF(SER_hh_tesh!P22=0,0,SER_hh_tesh!P22/SER_summary!P$26)</f>
        <v>16.769221042226867</v>
      </c>
      <c r="Q22" s="133">
        <f>IF(SER_hh_tesh!Q22=0,0,SER_hh_tesh!Q22/SER_summary!Q$26)</f>
        <v>17.15411399992766</v>
      </c>
      <c r="R22" s="133">
        <f>IF(SER_hh_tesh!R22=0,0,SER_hh_tesh!R22/SER_summary!R$26)</f>
        <v>16.890519229633036</v>
      </c>
      <c r="S22" s="133">
        <f>IF(SER_hh_tesh!S22=0,0,SER_hh_tesh!S22/SER_summary!S$26)</f>
        <v>17.959398083777252</v>
      </c>
      <c r="T22" s="133">
        <f>IF(SER_hh_tesh!T22=0,0,SER_hh_tesh!T22/SER_summary!T$26)</f>
        <v>17.438829822911554</v>
      </c>
      <c r="U22" s="133">
        <f>IF(SER_hh_tesh!U22=0,0,SER_hh_tesh!U22/SER_summary!U$26)</f>
        <v>15.054035975943103</v>
      </c>
      <c r="V22" s="133">
        <f>IF(SER_hh_tesh!V22=0,0,SER_hh_tesh!V22/SER_summary!V$26)</f>
        <v>15.586730058421105</v>
      </c>
      <c r="W22" s="133">
        <f>IF(SER_hh_tesh!W22=0,0,SER_hh_tesh!W22/SER_summary!W$26)</f>
        <v>18.078644565020419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8.2325972805082603</v>
      </c>
      <c r="C23" s="133">
        <f>IF(SER_hh_tesh!C23=0,0,SER_hh_tesh!C23/SER_summary!C$26)</f>
        <v>9.9420081752529441</v>
      </c>
      <c r="D23" s="133">
        <f>IF(SER_hh_tesh!D23=0,0,SER_hh_tesh!D23/SER_summary!D$26)</f>
        <v>11.167695858907923</v>
      </c>
      <c r="E23" s="133">
        <f>IF(SER_hh_tesh!E23=0,0,SER_hh_tesh!E23/SER_summary!E$26)</f>
        <v>13.463408153350853</v>
      </c>
      <c r="F23" s="133">
        <f>IF(SER_hh_tesh!F23=0,0,SER_hh_tesh!F23/SER_summary!F$26)</f>
        <v>13.54001530293575</v>
      </c>
      <c r="G23" s="133">
        <f>IF(SER_hh_tesh!G23=0,0,SER_hh_tesh!G23/SER_summary!G$26)</f>
        <v>13.884137488006925</v>
      </c>
      <c r="H23" s="133">
        <f>IF(SER_hh_tesh!H23=0,0,SER_hh_tesh!H23/SER_summary!H$26)</f>
        <v>14.383329294682531</v>
      </c>
      <c r="I23" s="133">
        <f>IF(SER_hh_tesh!I23=0,0,SER_hh_tesh!I23/SER_summary!I$26)</f>
        <v>15.147829481846127</v>
      </c>
      <c r="J23" s="133">
        <f>IF(SER_hh_tesh!J23=0,0,SER_hh_tesh!J23/SER_summary!J$26)</f>
        <v>15.928874704796979</v>
      </c>
      <c r="K23" s="133">
        <f>IF(SER_hh_tesh!K23=0,0,SER_hh_tesh!K23/SER_summary!K$26)</f>
        <v>15.66032366566869</v>
      </c>
      <c r="L23" s="133">
        <f>IF(SER_hh_tesh!L23=0,0,SER_hh_tesh!L23/SER_summary!L$26)</f>
        <v>16.613057538120685</v>
      </c>
      <c r="M23" s="133">
        <f>IF(SER_hh_tesh!M23=0,0,SER_hh_tesh!M23/SER_summary!M$26)</f>
        <v>16.471311909063289</v>
      </c>
      <c r="N23" s="133">
        <f>IF(SER_hh_tesh!N23=0,0,SER_hh_tesh!N23/SER_summary!N$26)</f>
        <v>16.382750467532954</v>
      </c>
      <c r="O23" s="133">
        <f>IF(SER_hh_tesh!O23=0,0,SER_hh_tesh!O23/SER_summary!O$26)</f>
        <v>16.748498817363245</v>
      </c>
      <c r="P23" s="133">
        <f>IF(SER_hh_tesh!P23=0,0,SER_hh_tesh!P23/SER_summary!P$26)</f>
        <v>16.970467716781712</v>
      </c>
      <c r="Q23" s="133">
        <f>IF(SER_hh_tesh!Q23=0,0,SER_hh_tesh!Q23/SER_summary!Q$26)</f>
        <v>17.621495451945311</v>
      </c>
      <c r="R23" s="133">
        <f>IF(SER_hh_tesh!R23=0,0,SER_hh_tesh!R23/SER_summary!R$26)</f>
        <v>18.581063031924675</v>
      </c>
      <c r="S23" s="133">
        <f>IF(SER_hh_tesh!S23=0,0,SER_hh_tesh!S23/SER_summary!S$26)</f>
        <v>16.417480338931096</v>
      </c>
      <c r="T23" s="133">
        <f>IF(SER_hh_tesh!T23=0,0,SER_hh_tesh!T23/SER_summary!T$26)</f>
        <v>16.887921110453085</v>
      </c>
      <c r="U23" s="133">
        <f>IF(SER_hh_tesh!U23=0,0,SER_hh_tesh!U23/SER_summary!U$26)</f>
        <v>15.826624193822463</v>
      </c>
      <c r="V23" s="133">
        <f>IF(SER_hh_tesh!V23=0,0,SER_hh_tesh!V23/SER_summary!V$26)</f>
        <v>14.278696116678681</v>
      </c>
      <c r="W23" s="133">
        <f>IF(SER_hh_tesh!W23=0,0,SER_hh_tesh!W23/SER_summary!W$26)</f>
        <v>19.85440153590433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9.0767760669541246</v>
      </c>
      <c r="C24" s="133">
        <f>IF(SER_hh_tesh!C24=0,0,SER_hh_tesh!C24/SER_summary!C$26)</f>
        <v>9.5298000032619239</v>
      </c>
      <c r="D24" s="133">
        <f>IF(SER_hh_tesh!D24=0,0,SER_hh_tesh!D24/SER_summary!D$26)</f>
        <v>11.921837977815056</v>
      </c>
      <c r="E24" s="133">
        <f>IF(SER_hh_tesh!E24=0,0,SER_hh_tesh!E24/SER_summary!E$26)</f>
        <v>12.52774361051719</v>
      </c>
      <c r="F24" s="133">
        <f>IF(SER_hh_tesh!F24=0,0,SER_hh_tesh!F24/SER_summary!F$26)</f>
        <v>13.013496280346372</v>
      </c>
      <c r="G24" s="133">
        <f>IF(SER_hh_tesh!G24=0,0,SER_hh_tesh!G24/SER_summary!G$26)</f>
        <v>12.892755678022029</v>
      </c>
      <c r="H24" s="133">
        <f>IF(SER_hh_tesh!H24=0,0,SER_hh_tesh!H24/SER_summary!H$26)</f>
        <v>14.027506731317761</v>
      </c>
      <c r="I24" s="133">
        <f>IF(SER_hh_tesh!I24=0,0,SER_hh_tesh!I24/SER_summary!I$26)</f>
        <v>15.735749503236184</v>
      </c>
      <c r="J24" s="133">
        <f>IF(SER_hh_tesh!J24=0,0,SER_hh_tesh!J24/SER_summary!J$26)</f>
        <v>16.285551320906123</v>
      </c>
      <c r="K24" s="133">
        <f>IF(SER_hh_tesh!K24=0,0,SER_hh_tesh!K24/SER_summary!K$26)</f>
        <v>16.172215571539734</v>
      </c>
      <c r="L24" s="133">
        <f>IF(SER_hh_tesh!L24=0,0,SER_hh_tesh!L24/SER_summary!L$26)</f>
        <v>16.065151483758033</v>
      </c>
      <c r="M24" s="133">
        <f>IF(SER_hh_tesh!M24=0,0,SER_hh_tesh!M24/SER_summary!M$26)</f>
        <v>16.235393478492522</v>
      </c>
      <c r="N24" s="133">
        <f>IF(SER_hh_tesh!N24=0,0,SER_hh_tesh!N24/SER_summary!N$26)</f>
        <v>16.605268296112222</v>
      </c>
      <c r="O24" s="133">
        <f>IF(SER_hh_tesh!O24=0,0,SER_hh_tesh!O24/SER_summary!O$26)</f>
        <v>16.684302049301277</v>
      </c>
      <c r="P24" s="133">
        <f>IF(SER_hh_tesh!P24=0,0,SER_hh_tesh!P24/SER_summary!P$26)</f>
        <v>16.295472735520065</v>
      </c>
      <c r="Q24" s="133">
        <f>IF(SER_hh_tesh!Q24=0,0,SER_hh_tesh!Q24/SER_summary!Q$26)</f>
        <v>16.712975826989148</v>
      </c>
      <c r="R24" s="133">
        <f>IF(SER_hh_tesh!R24=0,0,SER_hh_tesh!R24/SER_summary!R$26)</f>
        <v>18.063388259119186</v>
      </c>
      <c r="S24" s="133">
        <f>IF(SER_hh_tesh!S24=0,0,SER_hh_tesh!S24/SER_summary!S$26)</f>
        <v>18.041573828010797</v>
      </c>
      <c r="T24" s="133">
        <f>IF(SER_hh_tesh!T24=0,0,SER_hh_tesh!T24/SER_summary!T$26)</f>
        <v>15.716844399912576</v>
      </c>
      <c r="U24" s="133">
        <f>IF(SER_hh_tesh!U24=0,0,SER_hh_tesh!U24/SER_summary!U$26)</f>
        <v>15.097427157487608</v>
      </c>
      <c r="V24" s="133">
        <f>IF(SER_hh_tesh!V24=0,0,SER_hh_tesh!V24/SER_summary!V$26)</f>
        <v>16.078853720274378</v>
      </c>
      <c r="W24" s="133">
        <f>IF(SER_hh_tesh!W24=0,0,SER_hh_tesh!W24/SER_summary!W$26)</f>
        <v>17.492617143639592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8.720076937217117</v>
      </c>
      <c r="C25" s="133">
        <f>IF(SER_hh_tesh!C25=0,0,SER_hh_tesh!C25/SER_summary!C$26)</f>
        <v>9.7802395908056052</v>
      </c>
      <c r="D25" s="133">
        <f>IF(SER_hh_tesh!D25=0,0,SER_hh_tesh!D25/SER_summary!D$26)</f>
        <v>11.443597508129994</v>
      </c>
      <c r="E25" s="133">
        <f>IF(SER_hh_tesh!E25=0,0,SER_hh_tesh!E25/SER_summary!E$26)</f>
        <v>11.989327187988073</v>
      </c>
      <c r="F25" s="133">
        <f>IF(SER_hh_tesh!F25=0,0,SER_hh_tesh!F25/SER_summary!F$26)</f>
        <v>14.018861171968901</v>
      </c>
      <c r="G25" s="133">
        <f>IF(SER_hh_tesh!G25=0,0,SER_hh_tesh!G25/SER_summary!G$26)</f>
        <v>14.060741949380034</v>
      </c>
      <c r="H25" s="133">
        <f>IF(SER_hh_tesh!H25=0,0,SER_hh_tesh!H25/SER_summary!H$26)</f>
        <v>14.58273711587124</v>
      </c>
      <c r="I25" s="133">
        <f>IF(SER_hh_tesh!I25=0,0,SER_hh_tesh!I25/SER_summary!I$26)</f>
        <v>15.299463872674238</v>
      </c>
      <c r="J25" s="133">
        <f>IF(SER_hh_tesh!J25=0,0,SER_hh_tesh!J25/SER_summary!J$26)</f>
        <v>15.955718743892747</v>
      </c>
      <c r="K25" s="133">
        <f>IF(SER_hh_tesh!K25=0,0,SER_hh_tesh!K25/SER_summary!K$26)</f>
        <v>16.17171672466656</v>
      </c>
      <c r="L25" s="133">
        <f>IF(SER_hh_tesh!L25=0,0,SER_hh_tesh!L25/SER_summary!L$26)</f>
        <v>16.134037213496683</v>
      </c>
      <c r="M25" s="133">
        <f>IF(SER_hh_tesh!M25=0,0,SER_hh_tesh!M25/SER_summary!M$26)</f>
        <v>16.144239353300087</v>
      </c>
      <c r="N25" s="133">
        <f>IF(SER_hh_tesh!N25=0,0,SER_hh_tesh!N25/SER_summary!N$26)</f>
        <v>16.44464336397699</v>
      </c>
      <c r="O25" s="133">
        <f>IF(SER_hh_tesh!O25=0,0,SER_hh_tesh!O25/SER_summary!O$26)</f>
        <v>17.050549962707102</v>
      </c>
      <c r="P25" s="133">
        <f>IF(SER_hh_tesh!P25=0,0,SER_hh_tesh!P25/SER_summary!P$26)</f>
        <v>16.716501516555166</v>
      </c>
      <c r="Q25" s="133">
        <f>IF(SER_hh_tesh!Q25=0,0,SER_hh_tesh!Q25/SER_summary!Q$26)</f>
        <v>16.453571707462611</v>
      </c>
      <c r="R25" s="133">
        <f>IF(SER_hh_tesh!R25=0,0,SER_hh_tesh!R25/SER_summary!R$26)</f>
        <v>16.897869093122985</v>
      </c>
      <c r="S25" s="133">
        <f>IF(SER_hh_tesh!S25=0,0,SER_hh_tesh!S25/SER_summary!S$26)</f>
        <v>19.531779605249852</v>
      </c>
      <c r="T25" s="133">
        <f>IF(SER_hh_tesh!T25=0,0,SER_hh_tesh!T25/SER_summary!T$26)</f>
        <v>16.047321048368271</v>
      </c>
      <c r="U25" s="133">
        <f>IF(SER_hh_tesh!U25=0,0,SER_hh_tesh!U25/SER_summary!U$26)</f>
        <v>16.359031969594007</v>
      </c>
      <c r="V25" s="133">
        <f>IF(SER_hh_tesh!V25=0,0,SER_hh_tesh!V25/SER_summary!V$26)</f>
        <v>16.877049691185331</v>
      </c>
      <c r="W25" s="133">
        <f>IF(SER_hh_tesh!W25=0,0,SER_hh_tesh!W25/SER_summary!W$26)</f>
        <v>14.456714613435871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9.2162991603346054</v>
      </c>
      <c r="C26" s="65">
        <f>IF(SER_hh_tesh!C26=0,0,SER_hh_tesh!C26/SER_summary!C$26)</f>
        <v>9.3699448793904576</v>
      </c>
      <c r="D26" s="65">
        <f>IF(SER_hh_tesh!D26=0,0,SER_hh_tesh!D26/SER_summary!D$26)</f>
        <v>12.489740562056802</v>
      </c>
      <c r="E26" s="65">
        <f>IF(SER_hh_tesh!E26=0,0,SER_hh_tesh!E26/SER_summary!E$26)</f>
        <v>11.570058959588104</v>
      </c>
      <c r="F26" s="65">
        <f>IF(SER_hh_tesh!F26=0,0,SER_hh_tesh!F26/SER_summary!F$26)</f>
        <v>13.246615630587032</v>
      </c>
      <c r="G26" s="65">
        <f>IF(SER_hh_tesh!G26=0,0,SER_hh_tesh!G26/SER_summary!G$26)</f>
        <v>13.767747003664651</v>
      </c>
      <c r="H26" s="65">
        <f>IF(SER_hh_tesh!H26=0,0,SER_hh_tesh!H26/SER_summary!H$26)</f>
        <v>14.363849822512654</v>
      </c>
      <c r="I26" s="65">
        <f>IF(SER_hh_tesh!I26=0,0,SER_hh_tesh!I26/SER_summary!I$26)</f>
        <v>15.54630489525757</v>
      </c>
      <c r="J26" s="65">
        <f>IF(SER_hh_tesh!J26=0,0,SER_hh_tesh!J26/SER_summary!J$26)</f>
        <v>15.783545461368416</v>
      </c>
      <c r="K26" s="65">
        <f>IF(SER_hh_tesh!K26=0,0,SER_hh_tesh!K26/SER_summary!K$26)</f>
        <v>16.007097125077618</v>
      </c>
      <c r="L26" s="65">
        <f>IF(SER_hh_tesh!L26=0,0,SER_hh_tesh!L26/SER_summary!L$26)</f>
        <v>15.847211650136533</v>
      </c>
      <c r="M26" s="65">
        <f>IF(SER_hh_tesh!M26=0,0,SER_hh_tesh!M26/SER_summary!M$26)</f>
        <v>15.991532760375268</v>
      </c>
      <c r="N26" s="65">
        <f>IF(SER_hh_tesh!N26=0,0,SER_hh_tesh!N26/SER_summary!N$26)</f>
        <v>15.547226764460152</v>
      </c>
      <c r="O26" s="65">
        <f>IF(SER_hh_tesh!O26=0,0,SER_hh_tesh!O26/SER_summary!O$26)</f>
        <v>17.036011156645365</v>
      </c>
      <c r="P26" s="65">
        <f>IF(SER_hh_tesh!P26=0,0,SER_hh_tesh!P26/SER_summary!P$26)</f>
        <v>16.579480517003272</v>
      </c>
      <c r="Q26" s="65">
        <f>IF(SER_hh_tesh!Q26=0,0,SER_hh_tesh!Q26/SER_summary!Q$26)</f>
        <v>16.93900481840333</v>
      </c>
      <c r="R26" s="65">
        <f>IF(SER_hh_tesh!R26=0,0,SER_hh_tesh!R26/SER_summary!R$26)</f>
        <v>16.816385564278853</v>
      </c>
      <c r="S26" s="65">
        <f>IF(SER_hh_tesh!S26=0,0,SER_hh_tesh!S26/SER_summary!S$26)</f>
        <v>16.053173675368512</v>
      </c>
      <c r="T26" s="65">
        <f>IF(SER_hh_tesh!T26=0,0,SER_hh_tesh!T26/SER_summary!T$26)</f>
        <v>16.898416694215591</v>
      </c>
      <c r="U26" s="65">
        <f>IF(SER_hh_tesh!U26=0,0,SER_hh_tesh!U26/SER_summary!U$26)</f>
        <v>16.922140819072006</v>
      </c>
      <c r="V26" s="65">
        <f>IF(SER_hh_tesh!V26=0,0,SER_hh_tesh!V26/SER_summary!V$26)</f>
        <v>15.232935713535339</v>
      </c>
      <c r="W26" s="65">
        <f>IF(SER_hh_tesh!W26=0,0,SER_hh_tesh!W26/SER_summary!W$26)</f>
        <v>16.598492246248117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9.7383583267630566E-4</v>
      </c>
      <c r="E27" s="146">
        <f>IF(SER_hh_tesh!E27=0,0,SER_hh_tesh!E27/SER_summary!E$26)</f>
        <v>9.5705950759254819E-4</v>
      </c>
      <c r="F27" s="146">
        <f>IF(SER_hh_tesh!F27=0,0,SER_hh_tesh!F27/SER_summary!F$26)</f>
        <v>3.7197202551142918E-3</v>
      </c>
      <c r="G27" s="146">
        <f>IF(SER_hh_tesh!G27=0,0,SER_hh_tesh!G27/SER_summary!G$26)</f>
        <v>5.4599095324256832E-3</v>
      </c>
      <c r="H27" s="146">
        <f>IF(SER_hh_tesh!H27=0,0,SER_hh_tesh!H27/SER_summary!H$26)</f>
        <v>9.6391593107406515E-3</v>
      </c>
      <c r="I27" s="146">
        <f>IF(SER_hh_tesh!I27=0,0,SER_hh_tesh!I27/SER_summary!I$26)</f>
        <v>1.2623148909410513E-2</v>
      </c>
      <c r="J27" s="146">
        <f>IF(SER_hh_tesh!J27=0,0,SER_hh_tesh!J27/SER_summary!J$26)</f>
        <v>4.3768459899540577E-2</v>
      </c>
      <c r="K27" s="146">
        <f>IF(SER_hh_tesh!K27=0,0,SER_hh_tesh!K27/SER_summary!K$26)</f>
        <v>6.5305919595189527E-2</v>
      </c>
      <c r="L27" s="146">
        <f>IF(SER_hh_tesh!L27=0,0,SER_hh_tesh!L27/SER_summary!L$26)</f>
        <v>7.8564439797144683E-2</v>
      </c>
      <c r="M27" s="146">
        <f>IF(SER_hh_tesh!M27=0,0,SER_hh_tesh!M27/SER_summary!M$26)</f>
        <v>0.10263047688919638</v>
      </c>
      <c r="N27" s="146">
        <f>IF(SER_hh_tesh!N27=0,0,SER_hh_tesh!N27/SER_summary!N$26)</f>
        <v>0.12312683197195265</v>
      </c>
      <c r="O27" s="146">
        <f>IF(SER_hh_tesh!O27=0,0,SER_hh_tesh!O27/SER_summary!O$26)</f>
        <v>0.13355709035714941</v>
      </c>
      <c r="P27" s="146">
        <f>IF(SER_hh_tesh!P27=0,0,SER_hh_tesh!P27/SER_summary!P$26)</f>
        <v>0.14601386909792999</v>
      </c>
      <c r="Q27" s="146">
        <f>IF(SER_hh_tesh!Q27=0,0,SER_hh_tesh!Q27/SER_summary!Q$26)</f>
        <v>0.16586448207353094</v>
      </c>
      <c r="R27" s="146">
        <f>IF(SER_hh_tesh!R27=0,0,SER_hh_tesh!R27/SER_summary!R$26)</f>
        <v>0.17472038725441036</v>
      </c>
      <c r="S27" s="146">
        <f>IF(SER_hh_tesh!S27=0,0,SER_hh_tesh!S27/SER_summary!S$26)</f>
        <v>0.17230823100269679</v>
      </c>
      <c r="T27" s="146">
        <f>IF(SER_hh_tesh!T27=0,0,SER_hh_tesh!T27/SER_summary!T$26)</f>
        <v>0.17372458416490225</v>
      </c>
      <c r="U27" s="146">
        <f>IF(SER_hh_tesh!U27=0,0,SER_hh_tesh!U27/SER_summary!U$26)</f>
        <v>0.16450040134921051</v>
      </c>
      <c r="V27" s="146">
        <f>IF(SER_hh_tesh!V27=0,0,SER_hh_tesh!V27/SER_summary!V$26)</f>
        <v>0.15525796933129918</v>
      </c>
      <c r="W27" s="146">
        <f>IF(SER_hh_tesh!W27=0,0,SER_hh_tesh!W27/SER_summary!W$26)</f>
        <v>0.1487548465964873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5.9163070512229137</v>
      </c>
      <c r="E28" s="147">
        <f>IF(SER_hh_tesh!E28=0,0,SER_hh_tesh!E28/SER_summary!E$26)</f>
        <v>6.3180545274897781</v>
      </c>
      <c r="F28" s="147">
        <f>IF(SER_hh_tesh!F28=0,0,SER_hh_tesh!F28/SER_summary!F$26)</f>
        <v>6.7928428312425329</v>
      </c>
      <c r="G28" s="147">
        <f>IF(SER_hh_tesh!G28=0,0,SER_hh_tesh!G28/SER_summary!G$26)</f>
        <v>6.8728700777665424</v>
      </c>
      <c r="H28" s="147">
        <f>IF(SER_hh_tesh!H28=0,0,SER_hh_tesh!H28/SER_summary!H$26)</f>
        <v>7.2610519798021125</v>
      </c>
      <c r="I28" s="147">
        <f>IF(SER_hh_tesh!I28=0,0,SER_hh_tesh!I28/SER_summary!I$26)</f>
        <v>7.7343939001827833</v>
      </c>
      <c r="J28" s="147">
        <f>IF(SER_hh_tesh!J28=0,0,SER_hh_tesh!J28/SER_summary!J$26)</f>
        <v>7.9722897420024887</v>
      </c>
      <c r="K28" s="147">
        <f>IF(SER_hh_tesh!K28=0,0,SER_hh_tesh!K28/SER_summary!K$26)</f>
        <v>8.1068036666194292</v>
      </c>
      <c r="L28" s="147">
        <f>IF(SER_hh_tesh!L28=0,0,SER_hh_tesh!L28/SER_summary!L$26)</f>
        <v>7.8120512110647784</v>
      </c>
      <c r="M28" s="147">
        <f>IF(SER_hh_tesh!M28=0,0,SER_hh_tesh!M28/SER_summary!M$26)</f>
        <v>8.1477347138112179</v>
      </c>
      <c r="N28" s="147">
        <f>IF(SER_hh_tesh!N28=0,0,SER_hh_tesh!N28/SER_summary!N$26)</f>
        <v>8.5494704862710709</v>
      </c>
      <c r="O28" s="147">
        <f>IF(SER_hh_tesh!O28=0,0,SER_hh_tesh!O28/SER_summary!O$26)</f>
        <v>8.5610758853108138</v>
      </c>
      <c r="P28" s="147">
        <f>IF(SER_hh_tesh!P28=0,0,SER_hh_tesh!P28/SER_summary!P$26)</f>
        <v>8.6830469248017206</v>
      </c>
      <c r="Q28" s="147">
        <f>IF(SER_hh_tesh!Q28=0,0,SER_hh_tesh!Q28/SER_summary!Q$26)</f>
        <v>8.6938505588864885</v>
      </c>
      <c r="R28" s="147">
        <f>IF(SER_hh_tesh!R28=0,0,SER_hh_tesh!R28/SER_summary!R$26)</f>
        <v>8.9482303537572534</v>
      </c>
      <c r="S28" s="147">
        <f>IF(SER_hh_tesh!S28=0,0,SER_hh_tesh!S28/SER_summary!S$26)</f>
        <v>8.9733740580464882</v>
      </c>
      <c r="T28" s="147">
        <f>IF(SER_hh_tesh!T28=0,0,SER_hh_tesh!T28/SER_summary!T$26)</f>
        <v>7.5508380148526202</v>
      </c>
      <c r="U28" s="147">
        <f>IF(SER_hh_tesh!U28=0,0,SER_hh_tesh!U28/SER_summary!U$26)</f>
        <v>8.2592176088878464</v>
      </c>
      <c r="V28" s="147">
        <f>IF(SER_hh_tesh!V28=0,0,SER_hh_tesh!V28/SER_summary!V$26)</f>
        <v>7.7996716601369611</v>
      </c>
      <c r="W28" s="147">
        <f>IF(SER_hh_tesh!W28=0,0,SER_hh_tesh!W28/SER_summary!W$26)</f>
        <v>8.7964367756334241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11.882081906190818</v>
      </c>
      <c r="C29" s="131">
        <f>IF(SER_hh_tesh!C29=0,0,SER_hh_tesh!C29/SER_summary!C$26)</f>
        <v>13.778567702427404</v>
      </c>
      <c r="D29" s="131">
        <f>IF(SER_hh_tesh!D29=0,0,SER_hh_tesh!D29/SER_summary!D$26)</f>
        <v>15.693247550186511</v>
      </c>
      <c r="E29" s="131">
        <f>IF(SER_hh_tesh!E29=0,0,SER_hh_tesh!E29/SER_summary!E$26)</f>
        <v>17.332186131905857</v>
      </c>
      <c r="F29" s="131">
        <f>IF(SER_hh_tesh!F29=0,0,SER_hh_tesh!F29/SER_summary!F$26)</f>
        <v>17.527421794270662</v>
      </c>
      <c r="G29" s="131">
        <f>IF(SER_hh_tesh!G29=0,0,SER_hh_tesh!G29/SER_summary!G$26)</f>
        <v>17.771477308870537</v>
      </c>
      <c r="H29" s="131">
        <f>IF(SER_hh_tesh!H29=0,0,SER_hh_tesh!H29/SER_summary!H$26)</f>
        <v>18.1013283411733</v>
      </c>
      <c r="I29" s="131">
        <f>IF(SER_hh_tesh!I29=0,0,SER_hh_tesh!I29/SER_summary!I$26)</f>
        <v>18.861745956697231</v>
      </c>
      <c r="J29" s="131">
        <f>IF(SER_hh_tesh!J29=0,0,SER_hh_tesh!J29/SER_summary!J$26)</f>
        <v>19.208590759433431</v>
      </c>
      <c r="K29" s="131">
        <f>IF(SER_hh_tesh!K29=0,0,SER_hh_tesh!K29/SER_summary!K$26)</f>
        <v>18.797088584865154</v>
      </c>
      <c r="L29" s="131">
        <f>IF(SER_hh_tesh!L29=0,0,SER_hh_tesh!L29/SER_summary!L$26)</f>
        <v>19.096691686655902</v>
      </c>
      <c r="M29" s="131">
        <f>IF(SER_hh_tesh!M29=0,0,SER_hh_tesh!M29/SER_summary!M$26)</f>
        <v>19.023623993315365</v>
      </c>
      <c r="N29" s="131">
        <f>IF(SER_hh_tesh!N29=0,0,SER_hh_tesh!N29/SER_summary!N$26)</f>
        <v>18.670581571169418</v>
      </c>
      <c r="O29" s="131">
        <f>IF(SER_hh_tesh!O29=0,0,SER_hh_tesh!O29/SER_summary!O$26)</f>
        <v>18.653238863912559</v>
      </c>
      <c r="P29" s="131">
        <f>IF(SER_hh_tesh!P29=0,0,SER_hh_tesh!P29/SER_summary!P$26)</f>
        <v>18.566518046712481</v>
      </c>
      <c r="Q29" s="131">
        <f>IF(SER_hh_tesh!Q29=0,0,SER_hh_tesh!Q29/SER_summary!Q$26)</f>
        <v>18.444844030607175</v>
      </c>
      <c r="R29" s="131">
        <f>IF(SER_hh_tesh!R29=0,0,SER_hh_tesh!R29/SER_summary!R$26)</f>
        <v>18.367993892145211</v>
      </c>
      <c r="S29" s="131">
        <f>IF(SER_hh_tesh!S29=0,0,SER_hh_tesh!S29/SER_summary!S$26)</f>
        <v>17.920726293163508</v>
      </c>
      <c r="T29" s="131">
        <f>IF(SER_hh_tesh!T29=0,0,SER_hh_tesh!T29/SER_summary!T$26)</f>
        <v>17.980792023053933</v>
      </c>
      <c r="U29" s="131">
        <f>IF(SER_hh_tesh!U29=0,0,SER_hh_tesh!U29/SER_summary!U$26)</f>
        <v>17.89105658226979</v>
      </c>
      <c r="V29" s="131">
        <f>IF(SER_hh_tesh!V29=0,0,SER_hh_tesh!V29/SER_summary!V$26)</f>
        <v>16.790499746515632</v>
      </c>
      <c r="W29" s="131">
        <f>IF(SER_hh_tesh!W29=0,0,SER_hh_tesh!W29/SER_summary!W$26)</f>
        <v>16.915395202879871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5.3395458195456404</v>
      </c>
      <c r="C30" s="133">
        <f>IF(SER_hh_tesh!C30=0,0,SER_hh_tesh!C30/SER_summary!C$26)</f>
        <v>16.586556161881862</v>
      </c>
      <c r="D30" s="133">
        <f>IF(SER_hh_tesh!D30=0,0,SER_hh_tesh!D30/SER_summary!D$26)</f>
        <v>13.575118660055052</v>
      </c>
      <c r="E30" s="133">
        <f>IF(SER_hh_tesh!E30=0,0,SER_hh_tesh!E30/SER_summary!E$26)</f>
        <v>19.857522006183363</v>
      </c>
      <c r="F30" s="133">
        <f>IF(SER_hh_tesh!F30=0,0,SER_hh_tesh!F30/SER_summary!F$26)</f>
        <v>17.895468864032694</v>
      </c>
      <c r="G30" s="133">
        <f>IF(SER_hh_tesh!G30=0,0,SER_hh_tesh!G30/SER_summary!G$26)</f>
        <v>17.2632992622488</v>
      </c>
      <c r="H30" s="133">
        <f>IF(SER_hh_tesh!H30=0,0,SER_hh_tesh!H30/SER_summary!H$26)</f>
        <v>19.304153696949985</v>
      </c>
      <c r="I30" s="133">
        <f>IF(SER_hh_tesh!I30=0,0,SER_hh_tesh!I30/SER_summary!I$26)</f>
        <v>20.533669878103144</v>
      </c>
      <c r="J30" s="133">
        <f>IF(SER_hh_tesh!J30=0,0,SER_hh_tesh!J30/SER_summary!J$26)</f>
        <v>20.173825042747008</v>
      </c>
      <c r="K30" s="133">
        <f>IF(SER_hh_tesh!K30=0,0,SER_hh_tesh!K30/SER_summary!K$26)</f>
        <v>17.563202572461574</v>
      </c>
      <c r="L30" s="133">
        <f>IF(SER_hh_tesh!L30=0,0,SER_hh_tesh!L30/SER_summary!L$26)</f>
        <v>16.73994690660405</v>
      </c>
      <c r="M30" s="133">
        <f>IF(SER_hh_tesh!M30=0,0,SER_hh_tesh!M30/SER_summary!M$26)</f>
        <v>18.001757198466244</v>
      </c>
      <c r="N30" s="133">
        <f>IF(SER_hh_tesh!N30=0,0,SER_hh_tesh!N30/SER_summary!N$26)</f>
        <v>18.720313247595872</v>
      </c>
      <c r="O30" s="133">
        <f>IF(SER_hh_tesh!O30=0,0,SER_hh_tesh!O30/SER_summary!O$26)</f>
        <v>19.208938127820062</v>
      </c>
      <c r="P30" s="133">
        <f>IF(SER_hh_tesh!P30=0,0,SER_hh_tesh!P30/SER_summary!P$26)</f>
        <v>16.612593349234611</v>
      </c>
      <c r="Q30" s="133">
        <f>IF(SER_hh_tesh!Q30=0,0,SER_hh_tesh!Q30/SER_summary!Q$26)</f>
        <v>18.387166610424185</v>
      </c>
      <c r="R30" s="133">
        <f>IF(SER_hh_tesh!R30=0,0,SER_hh_tesh!R30/SER_summary!R$26)</f>
        <v>18.969854431553109</v>
      </c>
      <c r="S30" s="133">
        <f>IF(SER_hh_tesh!S30=0,0,SER_hh_tesh!S30/SER_summary!S$26)</f>
        <v>18.421704562541596</v>
      </c>
      <c r="T30" s="133">
        <f>IF(SER_hh_tesh!T30=0,0,SER_hh_tesh!T30/SER_summary!T$26)</f>
        <v>17.578505793320272</v>
      </c>
      <c r="U30" s="133">
        <f>IF(SER_hh_tesh!U30=0,0,SER_hh_tesh!U30/SER_summary!U$26)</f>
        <v>20.53282787866377</v>
      </c>
      <c r="V30" s="133">
        <f>IF(SER_hh_tesh!V30=0,0,SER_hh_tesh!V30/SER_summary!V$26)</f>
        <v>14.315894089665141</v>
      </c>
      <c r="W30" s="133">
        <f>IF(SER_hh_tesh!W30=0,0,SER_hh_tesh!W30/SER_summary!W$26)</f>
        <v>14.00388083070276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11.725209187357846</v>
      </c>
      <c r="C31" s="133">
        <f>IF(SER_hh_tesh!C31=0,0,SER_hh_tesh!C31/SER_summary!C$26)</f>
        <v>13.8594897350818</v>
      </c>
      <c r="D31" s="133">
        <f>IF(SER_hh_tesh!D31=0,0,SER_hh_tesh!D31/SER_summary!D$26)</f>
        <v>15.66565158811178</v>
      </c>
      <c r="E31" s="133">
        <f>IF(SER_hh_tesh!E31=0,0,SER_hh_tesh!E31/SER_summary!E$26)</f>
        <v>17.181285771442944</v>
      </c>
      <c r="F31" s="133">
        <f>IF(SER_hh_tesh!F31=0,0,SER_hh_tesh!F31/SER_summary!F$26)</f>
        <v>17.151718043402209</v>
      </c>
      <c r="G31" s="133">
        <f>IF(SER_hh_tesh!G31=0,0,SER_hh_tesh!G31/SER_summary!G$26)</f>
        <v>17.972686805913572</v>
      </c>
      <c r="H31" s="133">
        <f>IF(SER_hh_tesh!H31=0,0,SER_hh_tesh!H31/SER_summary!H$26)</f>
        <v>18.496707130987055</v>
      </c>
      <c r="I31" s="133">
        <f>IF(SER_hh_tesh!I31=0,0,SER_hh_tesh!I31/SER_summary!I$26)</f>
        <v>18.797041362730315</v>
      </c>
      <c r="J31" s="133">
        <f>IF(SER_hh_tesh!J31=0,0,SER_hh_tesh!J31/SER_summary!J$26)</f>
        <v>18.972334501973489</v>
      </c>
      <c r="K31" s="133">
        <f>IF(SER_hh_tesh!K31=0,0,SER_hh_tesh!K31/SER_summary!K$26)</f>
        <v>18.852634934979584</v>
      </c>
      <c r="L31" s="133">
        <f>IF(SER_hh_tesh!L31=0,0,SER_hh_tesh!L31/SER_summary!L$26)</f>
        <v>17.997495209791101</v>
      </c>
      <c r="M31" s="133">
        <f>IF(SER_hh_tesh!M31=0,0,SER_hh_tesh!M31/SER_summary!M$26)</f>
        <v>19.002336068912662</v>
      </c>
      <c r="N31" s="133">
        <f>IF(SER_hh_tesh!N31=0,0,SER_hh_tesh!N31/SER_summary!N$26)</f>
        <v>19.432155311887943</v>
      </c>
      <c r="O31" s="133">
        <f>IF(SER_hh_tesh!O31=0,0,SER_hh_tesh!O31/SER_summary!O$26)</f>
        <v>18.896329642032399</v>
      </c>
      <c r="P31" s="133">
        <f>IF(SER_hh_tesh!P31=0,0,SER_hh_tesh!P31/SER_summary!P$26)</f>
        <v>18.501155186517668</v>
      </c>
      <c r="Q31" s="133">
        <f>IF(SER_hh_tesh!Q31=0,0,SER_hh_tesh!Q31/SER_summary!Q$26)</f>
        <v>18.968160767099111</v>
      </c>
      <c r="R31" s="133">
        <f>IF(SER_hh_tesh!R31=0,0,SER_hh_tesh!R31/SER_summary!R$26)</f>
        <v>18.455251747896416</v>
      </c>
      <c r="S31" s="133">
        <f>IF(SER_hh_tesh!S31=0,0,SER_hh_tesh!S31/SER_summary!S$26)</f>
        <v>17.782170959530795</v>
      </c>
      <c r="T31" s="133">
        <f>IF(SER_hh_tesh!T31=0,0,SER_hh_tesh!T31/SER_summary!T$26)</f>
        <v>17.734075454138846</v>
      </c>
      <c r="U31" s="133">
        <f>IF(SER_hh_tesh!U31=0,0,SER_hh_tesh!U31/SER_summary!U$26)</f>
        <v>17.979068223388911</v>
      </c>
      <c r="V31" s="133">
        <f>IF(SER_hh_tesh!V31=0,0,SER_hh_tesh!V31/SER_summary!V$26)</f>
        <v>14.929795027105502</v>
      </c>
      <c r="W31" s="133">
        <f>IF(SER_hh_tesh!W31=0,0,SER_hh_tesh!W31/SER_summary!W$26)</f>
        <v>20.42683901526232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12.008970452103025</v>
      </c>
      <c r="C33" s="68">
        <f>IF(SER_hh_tesh!C33=0,0,SER_hh_tesh!C33/SER_summary!C$26)</f>
        <v>13.689704911346928</v>
      </c>
      <c r="D33" s="68">
        <f>IF(SER_hh_tesh!D33=0,0,SER_hh_tesh!D33/SER_summary!D$26)</f>
        <v>15.782825137720787</v>
      </c>
      <c r="E33" s="68">
        <f>IF(SER_hh_tesh!E33=0,0,SER_hh_tesh!E33/SER_summary!E$26)</f>
        <v>17.232459283260596</v>
      </c>
      <c r="F33" s="68">
        <f>IF(SER_hh_tesh!F33=0,0,SER_hh_tesh!F33/SER_summary!F$26)</f>
        <v>17.599837083265442</v>
      </c>
      <c r="G33" s="68">
        <f>IF(SER_hh_tesh!G33=0,0,SER_hh_tesh!G33/SER_summary!G$26)</f>
        <v>17.75268094549757</v>
      </c>
      <c r="H33" s="68">
        <f>IF(SER_hh_tesh!H33=0,0,SER_hh_tesh!H33/SER_summary!H$26)</f>
        <v>17.91344837310379</v>
      </c>
      <c r="I33" s="68">
        <f>IF(SER_hh_tesh!I33=0,0,SER_hh_tesh!I33/SER_summary!I$26)</f>
        <v>18.771571242530484</v>
      </c>
      <c r="J33" s="68">
        <f>IF(SER_hh_tesh!J33=0,0,SER_hh_tesh!J33/SER_summary!J$26)</f>
        <v>19.21628224279133</v>
      </c>
      <c r="K33" s="68">
        <f>IF(SER_hh_tesh!K33=0,0,SER_hh_tesh!K33/SER_summary!K$26)</f>
        <v>18.834311536234221</v>
      </c>
      <c r="L33" s="68">
        <f>IF(SER_hh_tesh!L33=0,0,SER_hh_tesh!L33/SER_summary!L$26)</f>
        <v>19.468587623726354</v>
      </c>
      <c r="M33" s="68">
        <f>IF(SER_hh_tesh!M33=0,0,SER_hh_tesh!M33/SER_summary!M$26)</f>
        <v>19.060700113349125</v>
      </c>
      <c r="N33" s="68">
        <f>IF(SER_hh_tesh!N33=0,0,SER_hh_tesh!N33/SER_summary!N$26)</f>
        <v>18.431580858268561</v>
      </c>
      <c r="O33" s="68">
        <f>IF(SER_hh_tesh!O33=0,0,SER_hh_tesh!O33/SER_summary!O$26)</f>
        <v>18.555630514379899</v>
      </c>
      <c r="P33" s="68">
        <f>IF(SER_hh_tesh!P33=0,0,SER_hh_tesh!P33/SER_summary!P$26)</f>
        <v>18.648899157589632</v>
      </c>
      <c r="Q33" s="68">
        <f>IF(SER_hh_tesh!Q33=0,0,SER_hh_tesh!Q33/SER_summary!Q$26)</f>
        <v>18.273966046690742</v>
      </c>
      <c r="R33" s="68">
        <f>IF(SER_hh_tesh!R33=0,0,SER_hh_tesh!R33/SER_summary!R$26)</f>
        <v>18.318234978053557</v>
      </c>
      <c r="S33" s="68">
        <f>IF(SER_hh_tesh!S33=0,0,SER_hh_tesh!S33/SER_summary!S$26)</f>
        <v>17.94286399861025</v>
      </c>
      <c r="T33" s="68">
        <f>IF(SER_hh_tesh!T33=0,0,SER_hh_tesh!T33/SER_summary!T$26)</f>
        <v>18.065749072175837</v>
      </c>
      <c r="U33" s="68">
        <f>IF(SER_hh_tesh!U33=0,0,SER_hh_tesh!U33/SER_summary!U$26)</f>
        <v>17.766631737866351</v>
      </c>
      <c r="V33" s="68">
        <f>IF(SER_hh_tesh!V33=0,0,SER_hh_tesh!V33/SER_summary!V$26)</f>
        <v>17.398009197233492</v>
      </c>
      <c r="W33" s="68">
        <f>IF(SER_hh_tesh!W33=0,0,SER_hh_tesh!W33/SER_summary!W$26)</f>
        <v>16.04299589705985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19.505514167861886</v>
      </c>
      <c r="C3" s="126">
        <f>IF(SER_hh_emih!C3=0,0,SER_hh_emih!C3/SER_summary!C$26)</f>
        <v>21.265252089299395</v>
      </c>
      <c r="D3" s="126">
        <f>IF(SER_hh_emih!D3=0,0,SER_hh_emih!D3/SER_summary!D$26)</f>
        <v>28.142200391864559</v>
      </c>
      <c r="E3" s="126">
        <f>IF(SER_hh_emih!E3=0,0,SER_hh_emih!E3/SER_summary!E$26)</f>
        <v>29.03080968054368</v>
      </c>
      <c r="F3" s="126">
        <f>IF(SER_hh_emih!F3=0,0,SER_hh_emih!F3/SER_summary!F$26)</f>
        <v>27.443398828135667</v>
      </c>
      <c r="G3" s="126">
        <f>IF(SER_hh_emih!G3=0,0,SER_hh_emih!G3/SER_summary!G$26)</f>
        <v>25.583143592396933</v>
      </c>
      <c r="H3" s="126">
        <f>IF(SER_hh_emih!H3=0,0,SER_hh_emih!H3/SER_summary!H$26)</f>
        <v>27.477528602519314</v>
      </c>
      <c r="I3" s="126">
        <f>IF(SER_hh_emih!I3=0,0,SER_hh_emih!I3/SER_summary!I$26)</f>
        <v>25.333203749675182</v>
      </c>
      <c r="J3" s="126">
        <f>IF(SER_hh_emih!J3=0,0,SER_hh_emih!J3/SER_summary!J$26)</f>
        <v>26.069950052516699</v>
      </c>
      <c r="K3" s="126">
        <f>IF(SER_hh_emih!K3=0,0,SER_hh_emih!K3/SER_summary!K$26)</f>
        <v>26.412501311492338</v>
      </c>
      <c r="L3" s="126">
        <f>IF(SER_hh_emih!L3=0,0,SER_hh_emih!L3/SER_summary!L$26)</f>
        <v>29.95558985697474</v>
      </c>
      <c r="M3" s="126">
        <f>IF(SER_hh_emih!M3=0,0,SER_hh_emih!M3/SER_summary!M$26)</f>
        <v>26.815575585618738</v>
      </c>
      <c r="N3" s="126">
        <f>IF(SER_hh_emih!N3=0,0,SER_hh_emih!N3/SER_summary!N$26)</f>
        <v>25.433047455422539</v>
      </c>
      <c r="O3" s="126">
        <f>IF(SER_hh_emih!O3=0,0,SER_hh_emih!O3/SER_summary!O$26)</f>
        <v>23.31209362349432</v>
      </c>
      <c r="P3" s="126">
        <f>IF(SER_hh_emih!P3=0,0,SER_hh_emih!P3/SER_summary!P$26)</f>
        <v>20.401896185037387</v>
      </c>
      <c r="Q3" s="126">
        <f>IF(SER_hh_emih!Q3=0,0,SER_hh_emih!Q3/SER_summary!Q$26)</f>
        <v>20.522942609572826</v>
      </c>
      <c r="R3" s="126">
        <f>IF(SER_hh_emih!R3=0,0,SER_hh_emih!R3/SER_summary!R$26)</f>
        <v>21.922876786353974</v>
      </c>
      <c r="S3" s="126">
        <f>IF(SER_hh_emih!S3=0,0,SER_hh_emih!S3/SER_summary!S$26)</f>
        <v>18.630498847778984</v>
      </c>
      <c r="T3" s="126">
        <f>IF(SER_hh_emih!T3=0,0,SER_hh_emih!T3/SER_summary!T$26)</f>
        <v>17.145040530698047</v>
      </c>
      <c r="U3" s="126">
        <f>IF(SER_hh_emih!U3=0,0,SER_hh_emih!U3/SER_summary!U$26)</f>
        <v>15.423351159600678</v>
      </c>
      <c r="V3" s="126">
        <f>IF(SER_hh_emih!V3=0,0,SER_hh_emih!V3/SER_summary!V$26)</f>
        <v>14.241983416758622</v>
      </c>
      <c r="W3" s="126">
        <f>IF(SER_hh_emih!W3=0,0,SER_hh_emih!W3/SER_summary!W$26)</f>
        <v>18.052438787321226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17.613755869239018</v>
      </c>
      <c r="C4" s="131">
        <f>IF(SER_hh_emih!C4=0,0,SER_hh_emih!C4/SER_summary!C$26)</f>
        <v>18.757502839342742</v>
      </c>
      <c r="D4" s="131">
        <f>IF(SER_hh_emih!D4=0,0,SER_hh_emih!D4/SER_summary!D$26)</f>
        <v>25.21176661313806</v>
      </c>
      <c r="E4" s="131">
        <f>IF(SER_hh_emih!E4=0,0,SER_hh_emih!E4/SER_summary!E$26)</f>
        <v>25.319794874301035</v>
      </c>
      <c r="F4" s="131">
        <f>IF(SER_hh_emih!F4=0,0,SER_hh_emih!F4/SER_summary!F$26)</f>
        <v>23.846477048424727</v>
      </c>
      <c r="G4" s="131">
        <f>IF(SER_hh_emih!G4=0,0,SER_hh_emih!G4/SER_summary!G$26)</f>
        <v>22.014079653629359</v>
      </c>
      <c r="H4" s="131">
        <f>IF(SER_hh_emih!H4=0,0,SER_hh_emih!H4/SER_summary!H$26)</f>
        <v>23.796851285032002</v>
      </c>
      <c r="I4" s="131">
        <f>IF(SER_hh_emih!I4=0,0,SER_hh_emih!I4/SER_summary!I$26)</f>
        <v>21.637195847832697</v>
      </c>
      <c r="J4" s="131">
        <f>IF(SER_hh_emih!J4=0,0,SER_hh_emih!J4/SER_summary!J$26)</f>
        <v>22.455008503244244</v>
      </c>
      <c r="K4" s="131">
        <f>IF(SER_hh_emih!K4=0,0,SER_hh_emih!K4/SER_summary!K$26)</f>
        <v>22.955877141804326</v>
      </c>
      <c r="L4" s="131">
        <f>IF(SER_hh_emih!L4=0,0,SER_hh_emih!L4/SER_summary!L$26)</f>
        <v>26.411720690930359</v>
      </c>
      <c r="M4" s="131">
        <f>IF(SER_hh_emih!M4=0,0,SER_hh_emih!M4/SER_summary!M$26)</f>
        <v>23.182128433917494</v>
      </c>
      <c r="N4" s="131">
        <f>IF(SER_hh_emih!N4=0,0,SER_hh_emih!N4/SER_summary!N$26)</f>
        <v>21.599938282716753</v>
      </c>
      <c r="O4" s="131">
        <f>IF(SER_hh_emih!O4=0,0,SER_hh_emih!O4/SER_summary!O$26)</f>
        <v>19.628598152867237</v>
      </c>
      <c r="P4" s="131">
        <f>IF(SER_hh_emih!P4=0,0,SER_hh_emih!P4/SER_summary!P$26)</f>
        <v>16.769436166312179</v>
      </c>
      <c r="Q4" s="131">
        <f>IF(SER_hh_emih!Q4=0,0,SER_hh_emih!Q4/SER_summary!Q$26)</f>
        <v>16.867486591082226</v>
      </c>
      <c r="R4" s="131">
        <f>IF(SER_hh_emih!R4=0,0,SER_hh_emih!R4/SER_summary!R$26)</f>
        <v>18.319695885256209</v>
      </c>
      <c r="S4" s="131">
        <f>IF(SER_hh_emih!S4=0,0,SER_hh_emih!S4/SER_summary!S$26)</f>
        <v>15.440057406977326</v>
      </c>
      <c r="T4" s="131">
        <f>IF(SER_hh_emih!T4=0,0,SER_hh_emih!T4/SER_summary!T$26)</f>
        <v>14.288100489838156</v>
      </c>
      <c r="U4" s="131">
        <f>IF(SER_hh_emih!U4=0,0,SER_hh_emih!U4/SER_summary!U$26)</f>
        <v>12.718695636614408</v>
      </c>
      <c r="V4" s="131">
        <f>IF(SER_hh_emih!V4=0,0,SER_hh_emih!V4/SER_summary!V$26)</f>
        <v>12.009714120025626</v>
      </c>
      <c r="W4" s="131">
        <f>IF(SER_hh_emih!W4=0,0,SER_hh_emih!W4/SER_summary!W$26)</f>
        <v>15.230469366298019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54.448483937659233</v>
      </c>
      <c r="C5" s="133">
        <f>IF(SER_hh_emih!C5=0,0,SER_hh_emih!C5/SER_summary!C$26)</f>
        <v>39.341680093553705</v>
      </c>
      <c r="D5" s="133">
        <f>IF(SER_hh_emih!D5=0,0,SER_hh_emih!D5/SER_summary!D$26)</f>
        <v>65.180684052027132</v>
      </c>
      <c r="E5" s="133">
        <f>IF(SER_hh_emih!E5=0,0,SER_hh_emih!E5/SER_summary!E$26)</f>
        <v>62.964138186809272</v>
      </c>
      <c r="F5" s="133">
        <f>IF(SER_hh_emih!F5=0,0,SER_hh_emih!F5/SER_summary!F$26)</f>
        <v>58.70686528889533</v>
      </c>
      <c r="G5" s="133">
        <f>IF(SER_hh_emih!G5=0,0,SER_hh_emih!G5/SER_summary!G$26)</f>
        <v>56.755617544163321</v>
      </c>
      <c r="H5" s="133">
        <f>IF(SER_hh_emih!H5=0,0,SER_hh_emih!H5/SER_summary!H$26)</f>
        <v>64.372309902664426</v>
      </c>
      <c r="I5" s="133">
        <f>IF(SER_hh_emih!I5=0,0,SER_hh_emih!I5/SER_summary!I$26)</f>
        <v>53.094016052265403</v>
      </c>
      <c r="J5" s="133">
        <f>IF(SER_hh_emih!J5=0,0,SER_hh_emih!J5/SER_summary!J$26)</f>
        <v>57.304645799552482</v>
      </c>
      <c r="K5" s="133">
        <f>IF(SER_hh_emih!K5=0,0,SER_hh_emih!K5/SER_summary!K$26)</f>
        <v>59.369404776768178</v>
      </c>
      <c r="L5" s="133">
        <f>IF(SER_hh_emih!L5=0,0,SER_hh_emih!L5/SER_summary!L$26)</f>
        <v>66.291781349868614</v>
      </c>
      <c r="M5" s="133">
        <f>IF(SER_hh_emih!M5=0,0,SER_hh_emih!M5/SER_summary!M$26)</f>
        <v>56.795987890903362</v>
      </c>
      <c r="N5" s="133">
        <f>IF(SER_hh_emih!N5=0,0,SER_hh_emih!N5/SER_summary!N$26)</f>
        <v>56.19286874014756</v>
      </c>
      <c r="O5" s="133">
        <f>IF(SER_hh_emih!O5=0,0,SER_hh_emih!O5/SER_summary!O$26)</f>
        <v>51.755467551118336</v>
      </c>
      <c r="P5" s="133">
        <f>IF(SER_hh_emih!P5=0,0,SER_hh_emih!P5/SER_summary!P$26)</f>
        <v>45.927629572690023</v>
      </c>
      <c r="Q5" s="133">
        <f>IF(SER_hh_emih!Q5=0,0,SER_hh_emih!Q5/SER_summary!Q$26)</f>
        <v>44.960728321246449</v>
      </c>
      <c r="R5" s="133">
        <f>IF(SER_hh_emih!R5=0,0,SER_hh_emih!R5/SER_summary!R$26)</f>
        <v>47.995514268739463</v>
      </c>
      <c r="S5" s="133">
        <f>IF(SER_hh_emih!S5=0,0,SER_hh_emih!S5/SER_summary!S$26)</f>
        <v>47.824683085552508</v>
      </c>
      <c r="T5" s="133">
        <f>IF(SER_hh_emih!T5=0,0,SER_hh_emih!T5/SER_summary!T$26)</f>
        <v>45.665025956990718</v>
      </c>
      <c r="U5" s="133">
        <f>IF(SER_hh_emih!U5=0,0,SER_hh_emih!U5/SER_summary!U$26)</f>
        <v>38.41038307568229</v>
      </c>
      <c r="V5" s="133">
        <f>IF(SER_hh_emih!V5=0,0,SER_hh_emih!V5/SER_summary!V$26)</f>
        <v>40.043095752643104</v>
      </c>
      <c r="W5" s="133">
        <f>IF(SER_hh_emih!W5=0,0,SER_hh_emih!W5/SER_summary!W$26)</f>
        <v>50.145127786215475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39.102087049544444</v>
      </c>
      <c r="C7" s="133">
        <f>IF(SER_hh_emih!C7=0,0,SER_hh_emih!C7/SER_summary!C$26)</f>
        <v>49.348463387290444</v>
      </c>
      <c r="D7" s="133">
        <f>IF(SER_hh_emih!D7=0,0,SER_hh_emih!D7/SER_summary!D$26)</f>
        <v>53.374487262380683</v>
      </c>
      <c r="E7" s="133">
        <f>IF(SER_hh_emih!E7=0,0,SER_hh_emih!E7/SER_summary!E$26)</f>
        <v>54.098821339916846</v>
      </c>
      <c r="F7" s="133">
        <f>IF(SER_hh_emih!F7=0,0,SER_hh_emih!F7/SER_summary!F$26)</f>
        <v>50.830533501626725</v>
      </c>
      <c r="G7" s="133">
        <f>IF(SER_hh_emih!G7=0,0,SER_hh_emih!G7/SER_summary!G$26)</f>
        <v>39.51640296768764</v>
      </c>
      <c r="H7" s="133">
        <f>IF(SER_hh_emih!H7=0,0,SER_hh_emih!H7/SER_summary!H$26)</f>
        <v>60.731111446590312</v>
      </c>
      <c r="I7" s="133">
        <f>IF(SER_hh_emih!I7=0,0,SER_hh_emih!I7/SER_summary!I$26)</f>
        <v>52.644511334302692</v>
      </c>
      <c r="J7" s="133">
        <f>IF(SER_hh_emih!J7=0,0,SER_hh_emih!J7/SER_summary!J$26)</f>
        <v>51.088810317421618</v>
      </c>
      <c r="K7" s="133">
        <f>IF(SER_hh_emih!K7=0,0,SER_hh_emih!K7/SER_summary!K$26)</f>
        <v>47.870906079714494</v>
      </c>
      <c r="L7" s="133">
        <f>IF(SER_hh_emih!L7=0,0,SER_hh_emih!L7/SER_summary!L$26)</f>
        <v>60.526833568963276</v>
      </c>
      <c r="M7" s="133">
        <f>IF(SER_hh_emih!M7=0,0,SER_hh_emih!M7/SER_summary!M$26)</f>
        <v>57.816882894303262</v>
      </c>
      <c r="N7" s="133">
        <f>IF(SER_hh_emih!N7=0,0,SER_hh_emih!N7/SER_summary!N$26)</f>
        <v>45.654387515288441</v>
      </c>
      <c r="O7" s="133">
        <f>IF(SER_hh_emih!O7=0,0,SER_hh_emih!O7/SER_summary!O$26)</f>
        <v>40.767540467784897</v>
      </c>
      <c r="P7" s="133">
        <f>IF(SER_hh_emih!P7=0,0,SER_hh_emih!P7/SER_summary!P$26)</f>
        <v>41.397167153924762</v>
      </c>
      <c r="Q7" s="133">
        <f>IF(SER_hh_emih!Q7=0,0,SER_hh_emih!Q7/SER_summary!Q$26)</f>
        <v>40.763419326114864</v>
      </c>
      <c r="R7" s="133">
        <f>IF(SER_hh_emih!R7=0,0,SER_hh_emih!R7/SER_summary!R$26)</f>
        <v>40.285063813220482</v>
      </c>
      <c r="S7" s="133">
        <f>IF(SER_hh_emih!S7=0,0,SER_hh_emih!S7/SER_summary!S$26)</f>
        <v>39.329273676428464</v>
      </c>
      <c r="T7" s="133">
        <f>IF(SER_hh_emih!T7=0,0,SER_hh_emih!T7/SER_summary!T$26)</f>
        <v>39.175618284745482</v>
      </c>
      <c r="U7" s="133">
        <f>IF(SER_hh_emih!U7=0,0,SER_hh_emih!U7/SER_summary!U$26)</f>
        <v>33.761812396886597</v>
      </c>
      <c r="V7" s="133">
        <f>IF(SER_hh_emih!V7=0,0,SER_hh_emih!V7/SER_summary!V$26)</f>
        <v>33.943315105637687</v>
      </c>
      <c r="W7" s="133">
        <f>IF(SER_hh_emih!W7=0,0,SER_hh_emih!W7/SER_summary!W$26)</f>
        <v>37.302773869947885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13.646018755582705</v>
      </c>
      <c r="C8" s="133">
        <f>IF(SER_hh_emih!C8=0,0,SER_hh_emih!C8/SER_summary!C$26)</f>
        <v>16.154095744727311</v>
      </c>
      <c r="D8" s="133">
        <f>IF(SER_hh_emih!D8=0,0,SER_hh_emih!D8/SER_summary!D$26)</f>
        <v>17.267444268713007</v>
      </c>
      <c r="E8" s="133">
        <f>IF(SER_hh_emih!E8=0,0,SER_hh_emih!E8/SER_summary!E$26)</f>
        <v>18.333628694338604</v>
      </c>
      <c r="F8" s="133">
        <f>IF(SER_hh_emih!F8=0,0,SER_hh_emih!F8/SER_summary!F$26)</f>
        <v>18.057074207398411</v>
      </c>
      <c r="G8" s="133">
        <f>IF(SER_hh_emih!G8=0,0,SER_hh_emih!G8/SER_summary!G$26)</f>
        <v>17.619283854724621</v>
      </c>
      <c r="H8" s="133">
        <f>IF(SER_hh_emih!H8=0,0,SER_hh_emih!H8/SER_summary!H$26)</f>
        <v>17.147964821276769</v>
      </c>
      <c r="I8" s="133">
        <f>IF(SER_hh_emih!I8=0,0,SER_hh_emih!I8/SER_summary!I$26)</f>
        <v>16.387451033053384</v>
      </c>
      <c r="J8" s="133">
        <f>IF(SER_hh_emih!J8=0,0,SER_hh_emih!J8/SER_summary!J$26)</f>
        <v>16.842394202362645</v>
      </c>
      <c r="K8" s="133">
        <f>IF(SER_hh_emih!K8=0,0,SER_hh_emih!K8/SER_summary!K$26)</f>
        <v>17.53390984283752</v>
      </c>
      <c r="L8" s="133">
        <f>IF(SER_hh_emih!L8=0,0,SER_hh_emih!L8/SER_summary!L$26)</f>
        <v>17.481885675104941</v>
      </c>
      <c r="M8" s="133">
        <f>IF(SER_hh_emih!M8=0,0,SER_hh_emih!M8/SER_summary!M$26)</f>
        <v>14.690372077665284</v>
      </c>
      <c r="N8" s="133">
        <f>IF(SER_hh_emih!N8=0,0,SER_hh_emih!N8/SER_summary!N$26)</f>
        <v>13.734597730375222</v>
      </c>
      <c r="O8" s="133">
        <f>IF(SER_hh_emih!O8=0,0,SER_hh_emih!O8/SER_summary!O$26)</f>
        <v>10.901186581858219</v>
      </c>
      <c r="P8" s="133">
        <f>IF(SER_hh_emih!P8=0,0,SER_hh_emih!P8/SER_summary!P$26)</f>
        <v>11.481689895889284</v>
      </c>
      <c r="Q8" s="133">
        <f>IF(SER_hh_emih!Q8=0,0,SER_hh_emih!Q8/SER_summary!Q$26)</f>
        <v>10.542060395194325</v>
      </c>
      <c r="R8" s="133">
        <f>IF(SER_hh_emih!R8=0,0,SER_hh_emih!R8/SER_summary!R$26)</f>
        <v>10.382273279925755</v>
      </c>
      <c r="S8" s="133">
        <f>IF(SER_hh_emih!S8=0,0,SER_hh_emih!S8/SER_summary!S$26)</f>
        <v>9.0981407950220845</v>
      </c>
      <c r="T8" s="133">
        <f>IF(SER_hh_emih!T8=0,0,SER_hh_emih!T8/SER_summary!T$26)</f>
        <v>8.3436373099194601</v>
      </c>
      <c r="U8" s="133">
        <f>IF(SER_hh_emih!U8=0,0,SER_hh_emih!U8/SER_summary!U$26)</f>
        <v>7.8429216599455351</v>
      </c>
      <c r="V8" s="133">
        <f>IF(SER_hh_emih!V8=0,0,SER_hh_emih!V8/SER_summary!V$26)</f>
        <v>7.61651594444149</v>
      </c>
      <c r="W8" s="133">
        <f>IF(SER_hh_emih!W8=0,0,SER_hh_emih!W8/SER_summary!W$26)</f>
        <v>8.9664427441722552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26.239098114694674</v>
      </c>
      <c r="C9" s="133">
        <f>IF(SER_hh_emih!C9=0,0,SER_hh_emih!C9/SER_summary!C$26)</f>
        <v>31.88505452510352</v>
      </c>
      <c r="D9" s="133">
        <f>IF(SER_hh_emih!D9=0,0,SER_hh_emih!D9/SER_summary!D$26)</f>
        <v>35.484961082843114</v>
      </c>
      <c r="E9" s="133">
        <f>IF(SER_hh_emih!E9=0,0,SER_hh_emih!E9/SER_summary!E$26)</f>
        <v>35.554043923308917</v>
      </c>
      <c r="F9" s="133">
        <f>IF(SER_hh_emih!F9=0,0,SER_hh_emih!F9/SER_summary!F$26)</f>
        <v>36.087020124974863</v>
      </c>
      <c r="G9" s="133">
        <f>IF(SER_hh_emih!G9=0,0,SER_hh_emih!G9/SER_summary!G$26)</f>
        <v>35.604973583528199</v>
      </c>
      <c r="H9" s="133">
        <f>IF(SER_hh_emih!H9=0,0,SER_hh_emih!H9/SER_summary!H$26)</f>
        <v>33.157188511857839</v>
      </c>
      <c r="I9" s="133">
        <f>IF(SER_hh_emih!I9=0,0,SER_hh_emih!I9/SER_summary!I$26)</f>
        <v>32.495152397102046</v>
      </c>
      <c r="J9" s="133">
        <f>IF(SER_hh_emih!J9=0,0,SER_hh_emih!J9/SER_summary!J$26)</f>
        <v>33.106039441640924</v>
      </c>
      <c r="K9" s="133">
        <f>IF(SER_hh_emih!K9=0,0,SER_hh_emih!K9/SER_summary!K$26)</f>
        <v>33.036794618666839</v>
      </c>
      <c r="L9" s="133">
        <f>IF(SER_hh_emih!L9=0,0,SER_hh_emih!L9/SER_summary!L$26)</f>
        <v>37.864498870546853</v>
      </c>
      <c r="M9" s="133">
        <f>IF(SER_hh_emih!M9=0,0,SER_hh_emih!M9/SER_summary!M$26)</f>
        <v>32.281138242355318</v>
      </c>
      <c r="N9" s="133">
        <f>IF(SER_hh_emih!N9=0,0,SER_hh_emih!N9/SER_summary!N$26)</f>
        <v>31.672103324884088</v>
      </c>
      <c r="O9" s="133">
        <f>IF(SER_hh_emih!O9=0,0,SER_hh_emih!O9/SER_summary!O$26)</f>
        <v>29.416554414465335</v>
      </c>
      <c r="P9" s="133">
        <f>IF(SER_hh_emih!P9=0,0,SER_hh_emih!P9/SER_summary!P$26)</f>
        <v>24.063604709471431</v>
      </c>
      <c r="Q9" s="133">
        <f>IF(SER_hh_emih!Q9=0,0,SER_hh_emih!Q9/SER_summary!Q$26)</f>
        <v>25.555521693182403</v>
      </c>
      <c r="R9" s="133">
        <f>IF(SER_hh_emih!R9=0,0,SER_hh_emih!R9/SER_summary!R$26)</f>
        <v>30.476158859036698</v>
      </c>
      <c r="S9" s="133">
        <f>IF(SER_hh_emih!S9=0,0,SER_hh_emih!S9/SER_summary!S$26)</f>
        <v>23.3235101121032</v>
      </c>
      <c r="T9" s="133">
        <f>IF(SER_hh_emih!T9=0,0,SER_hh_emih!T9/SER_summary!T$26)</f>
        <v>22.554195359868839</v>
      </c>
      <c r="U9" s="133">
        <f>IF(SER_hh_emih!U9=0,0,SER_hh_emih!U9/SER_summary!U$26)</f>
        <v>23.281520651587979</v>
      </c>
      <c r="V9" s="133">
        <f>IF(SER_hh_emih!V9=0,0,SER_hh_emih!V9/SER_summary!V$26)</f>
        <v>20.301759908941722</v>
      </c>
      <c r="W9" s="133">
        <f>IF(SER_hh_emih!W9=0,0,SER_hh_emih!W9/SER_summary!W$26)</f>
        <v>28.587222812137867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0.26367230691103777</v>
      </c>
      <c r="C10" s="133">
        <f>IF(SER_hh_emih!C10=0,0,SER_hh_emih!C10/SER_summary!C$26)</f>
        <v>1.2534699235346745</v>
      </c>
      <c r="D10" s="133">
        <f>IF(SER_hh_emih!D10=0,0,SER_hh_emih!D10/SER_summary!D$26)</f>
        <v>1.6107470608075225</v>
      </c>
      <c r="E10" s="133">
        <f>IF(SER_hh_emih!E10=0,0,SER_hh_emih!E10/SER_summary!E$26)</f>
        <v>1.253813186693981</v>
      </c>
      <c r="F10" s="133">
        <f>IF(SER_hh_emih!F10=0,0,SER_hh_emih!F10/SER_summary!F$26)</f>
        <v>3.7394228359462753E-2</v>
      </c>
      <c r="G10" s="133">
        <f>IF(SER_hh_emih!G10=0,0,SER_hh_emih!G10/SER_summary!G$26)</f>
        <v>0.42134609740637552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0.65183560890224834</v>
      </c>
      <c r="K10" s="133">
        <f>IF(SER_hh_emih!K10=0,0,SER_hh_emih!K10/SER_summary!K$26)</f>
        <v>1.8612024473791526</v>
      </c>
      <c r="L10" s="133">
        <f>IF(SER_hh_emih!L10=0,0,SER_hh_emih!L10/SER_summary!L$26)</f>
        <v>0.3727537343599045</v>
      </c>
      <c r="M10" s="133">
        <f>IF(SER_hh_emih!M10=0,0,SER_hh_emih!M10/SER_summary!M$26)</f>
        <v>0.56764202940570807</v>
      </c>
      <c r="N10" s="133">
        <f>IF(SER_hh_emih!N10=0,0,SER_hh_emih!N10/SER_summary!N$26)</f>
        <v>0.44756937466435431</v>
      </c>
      <c r="O10" s="133">
        <f>IF(SER_hh_emih!O10=0,0,SER_hh_emih!O10/SER_summary!O$26)</f>
        <v>5.0608146119644548</v>
      </c>
      <c r="P10" s="133">
        <f>IF(SER_hh_emih!P10=0,0,SER_hh_emih!P10/SER_summary!P$26)</f>
        <v>2.5485468343569933</v>
      </c>
      <c r="Q10" s="133">
        <f>IF(SER_hh_emih!Q10=0,0,SER_hh_emih!Q10/SER_summary!Q$26)</f>
        <v>2.0995320009879359</v>
      </c>
      <c r="R10" s="133">
        <f>IF(SER_hh_emih!R10=0,0,SER_hh_emih!R10/SER_summary!R$26)</f>
        <v>3.4346752009484232</v>
      </c>
      <c r="S10" s="133">
        <f>IF(SER_hh_emih!S10=0,0,SER_hh_emih!S10/SER_summary!S$26)</f>
        <v>2.3715391567068003</v>
      </c>
      <c r="T10" s="133">
        <f>IF(SER_hh_emih!T10=0,0,SER_hh_emih!T10/SER_summary!T$26)</f>
        <v>2.093988944695623</v>
      </c>
      <c r="U10" s="133">
        <f>IF(SER_hh_emih!U10=0,0,SER_hh_emih!U10/SER_summary!U$26)</f>
        <v>1.8724726383648636</v>
      </c>
      <c r="V10" s="133">
        <f>IF(SER_hh_emih!V10=0,0,SER_hh_emih!V10/SER_summary!V$26)</f>
        <v>5.1302901247010535</v>
      </c>
      <c r="W10" s="133">
        <f>IF(SER_hh_emih!W10=0,0,SER_hh_emih!W10/SER_summary!W$26)</f>
        <v>6.2457641121814564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6.6860756044945686E-3</v>
      </c>
      <c r="C16" s="131">
        <f>IF(SER_hh_emih!C16=0,0,SER_hh_emih!C16/SER_summary!C$26)</f>
        <v>7.053737975440442E-3</v>
      </c>
      <c r="D16" s="131">
        <f>IF(SER_hh_emih!D16=0,0,SER_hh_emih!D16/SER_summary!D$26)</f>
        <v>7.7759856064731842E-3</v>
      </c>
      <c r="E16" s="131">
        <f>IF(SER_hh_emih!E16=0,0,SER_hh_emih!E16/SER_summary!E$26)</f>
        <v>8.0899667100023942E-3</v>
      </c>
      <c r="F16" s="131">
        <f>IF(SER_hh_emih!F16=0,0,SER_hh_emih!F16/SER_summary!F$26)</f>
        <v>8.9280995258522074E-3</v>
      </c>
      <c r="G16" s="131">
        <f>IF(SER_hh_emih!G16=0,0,SER_hh_emih!G16/SER_summary!G$26)</f>
        <v>9.6722781308732093E-3</v>
      </c>
      <c r="H16" s="131">
        <f>IF(SER_hh_emih!H16=0,0,SER_hh_emih!H16/SER_summary!H$26)</f>
        <v>1.0330963381226238E-2</v>
      </c>
      <c r="I16" s="131">
        <f>IF(SER_hh_emih!I16=0,0,SER_hh_emih!I16/SER_summary!I$26)</f>
        <v>1.0664224938534313E-2</v>
      </c>
      <c r="J16" s="131">
        <f>IF(SER_hh_emih!J16=0,0,SER_hh_emih!J16/SER_summary!J$26)</f>
        <v>1.0546042243369698E-2</v>
      </c>
      <c r="K16" s="131">
        <f>IF(SER_hh_emih!K16=0,0,SER_hh_emih!K16/SER_summary!K$26)</f>
        <v>1.0801036060518856E-2</v>
      </c>
      <c r="L16" s="131">
        <f>IF(SER_hh_emih!L16=0,0,SER_hh_emih!L16/SER_summary!L$26)</f>
        <v>1.2081600647910874E-2</v>
      </c>
      <c r="M16" s="131">
        <f>IF(SER_hh_emih!M16=0,0,SER_hh_emih!M16/SER_summary!M$26)</f>
        <v>1.1695090762900972E-2</v>
      </c>
      <c r="N16" s="131">
        <f>IF(SER_hh_emih!N16=0,0,SER_hh_emih!N16/SER_summary!N$26)</f>
        <v>1.3277762508417739E-2</v>
      </c>
      <c r="O16" s="131">
        <f>IF(SER_hh_emih!O16=0,0,SER_hh_emih!O16/SER_summary!O$26)</f>
        <v>1.5937486124253043E-2</v>
      </c>
      <c r="P16" s="131">
        <f>IF(SER_hh_emih!P16=0,0,SER_hh_emih!P16/SER_summary!P$26)</f>
        <v>2.0209737250019188E-2</v>
      </c>
      <c r="Q16" s="131">
        <f>IF(SER_hh_emih!Q16=0,0,SER_hh_emih!Q16/SER_summary!Q$26)</f>
        <v>2.6863958290839887E-2</v>
      </c>
      <c r="R16" s="131">
        <f>IF(SER_hh_emih!R16=0,0,SER_hh_emih!R16/SER_summary!R$26)</f>
        <v>3.3804935305225561E-2</v>
      </c>
      <c r="S16" s="131">
        <f>IF(SER_hh_emih!S16=0,0,SER_hh_emih!S16/SER_summary!S$26)</f>
        <v>3.9528997539598591E-2</v>
      </c>
      <c r="T16" s="131">
        <f>IF(SER_hh_emih!T16=0,0,SER_hh_emih!T16/SER_summary!T$26)</f>
        <v>4.3759893809216202E-2</v>
      </c>
      <c r="U16" s="131">
        <f>IF(SER_hh_emih!U16=0,0,SER_hh_emih!U16/SER_summary!U$26)</f>
        <v>4.9125014025329927E-2</v>
      </c>
      <c r="V16" s="131">
        <f>IF(SER_hh_emih!V16=0,0,SER_hh_emih!V16/SER_summary!V$26)</f>
        <v>4.2630820103345388E-2</v>
      </c>
      <c r="W16" s="131">
        <f>IF(SER_hh_emih!W16=0,0,SER_hh_emih!W16/SER_summary!W$26)</f>
        <v>4.431099567612231E-2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4.4306186262948568</v>
      </c>
      <c r="C17" s="133">
        <f>IF(SER_hh_emih!C17=0,0,SER_hh_emih!C17/SER_summary!C$26)</f>
        <v>4.4375302340234839</v>
      </c>
      <c r="D17" s="133">
        <f>IF(SER_hh_emih!D17=0,0,SER_hh_emih!D17/SER_summary!D$26)</f>
        <v>4.5256833023067369</v>
      </c>
      <c r="E17" s="133">
        <f>IF(SER_hh_emih!E17=0,0,SER_hh_emih!E17/SER_summary!E$26)</f>
        <v>4.4338687619393315</v>
      </c>
      <c r="F17" s="133">
        <f>IF(SER_hh_emih!F17=0,0,SER_hh_emih!F17/SER_summary!F$26)</f>
        <v>4.3692301731540057</v>
      </c>
      <c r="G17" s="133">
        <f>IF(SER_hh_emih!G17=0,0,SER_hh_emih!G17/SER_summary!G$26)</f>
        <v>4.3748048106811028</v>
      </c>
      <c r="H17" s="133">
        <f>IF(SER_hh_emih!H17=0,0,SER_hh_emih!H17/SER_summary!H$26)</f>
        <v>4.6052159997033932</v>
      </c>
      <c r="I17" s="133">
        <f>IF(SER_hh_emih!I17=0,0,SER_hh_emih!I17/SER_summary!I$26)</f>
        <v>4.4317708867898897</v>
      </c>
      <c r="J17" s="133">
        <f>IF(SER_hh_emih!J17=0,0,SER_hh_emih!J17/SER_summary!J$26)</f>
        <v>4.3330404768344541</v>
      </c>
      <c r="K17" s="133">
        <f>IF(SER_hh_emih!K17=0,0,SER_hh_emih!K17/SER_summary!K$26)</f>
        <v>4.3539141280828746</v>
      </c>
      <c r="L17" s="133">
        <f>IF(SER_hh_emih!L17=0,0,SER_hh_emih!L17/SER_summary!L$26)</f>
        <v>4.9311493653792509</v>
      </c>
      <c r="M17" s="133">
        <f>IF(SER_hh_emih!M17=0,0,SER_hh_emih!M17/SER_summary!M$26)</f>
        <v>4.3455043068253776</v>
      </c>
      <c r="N17" s="133">
        <f>IF(SER_hh_emih!N17=0,0,SER_hh_emih!N17/SER_summary!N$26)</f>
        <v>4.5300005862179606</v>
      </c>
      <c r="O17" s="133">
        <f>IF(SER_hh_emih!O17=0,0,SER_hh_emih!O17/SER_summary!O$26)</f>
        <v>4.4887985928594887</v>
      </c>
      <c r="P17" s="133">
        <f>IF(SER_hh_emih!P17=0,0,SER_hh_emih!P17/SER_summary!P$26)</f>
        <v>4.3371714304290823</v>
      </c>
      <c r="Q17" s="133">
        <f>IF(SER_hh_emih!Q17=0,0,SER_hh_emih!Q17/SER_summary!Q$26)</f>
        <v>4.8918687017875513</v>
      </c>
      <c r="R17" s="133">
        <f>IF(SER_hh_emih!R17=0,0,SER_hh_emih!R17/SER_summary!R$26)</f>
        <v>4.1394252199101143</v>
      </c>
      <c r="S17" s="133">
        <f>IF(SER_hh_emih!S17=0,0,SER_hh_emih!S17/SER_summary!S$26)</f>
        <v>4.0828318167937159</v>
      </c>
      <c r="T17" s="133">
        <f>IF(SER_hh_emih!T17=0,0,SER_hh_emih!T17/SER_summary!T$26)</f>
        <v>4.1353519602278945</v>
      </c>
      <c r="U17" s="133">
        <f>IF(SER_hh_emih!U17=0,0,SER_hh_emih!U17/SER_summary!U$26)</f>
        <v>4.4157815732436658</v>
      </c>
      <c r="V17" s="133">
        <f>IF(SER_hh_emih!V17=0,0,SER_hh_emih!V17/SER_summary!V$26)</f>
        <v>3.5725221880538909</v>
      </c>
      <c r="W17" s="133">
        <f>IF(SER_hh_emih!W17=0,0,SER_hh_emih!W17/SER_summary!W$26)</f>
        <v>3.7581823224127309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1.1549817403994775</v>
      </c>
      <c r="C19" s="131">
        <f>IF(SER_hh_emih!C19=0,0,SER_hh_emih!C19/SER_summary!C$26)</f>
        <v>1.5189994563591753</v>
      </c>
      <c r="D19" s="131">
        <f>IF(SER_hh_emih!D19=0,0,SER_hh_emih!D19/SER_summary!D$26)</f>
        <v>1.7728685304512033</v>
      </c>
      <c r="E19" s="131">
        <f>IF(SER_hh_emih!E19=0,0,SER_hh_emih!E19/SER_summary!E$26)</f>
        <v>2.2847944851134629</v>
      </c>
      <c r="F19" s="131">
        <f>IF(SER_hh_emih!F19=0,0,SER_hh_emih!F19/SER_summary!F$26)</f>
        <v>2.1664529539747837</v>
      </c>
      <c r="G19" s="131">
        <f>IF(SER_hh_emih!G19=0,0,SER_hh_emih!G19/SER_summary!G$26)</f>
        <v>2.0439294096430149</v>
      </c>
      <c r="H19" s="131">
        <f>IF(SER_hh_emih!H19=0,0,SER_hh_emih!H19/SER_summary!H$26)</f>
        <v>2.0757436639448152</v>
      </c>
      <c r="I19" s="131">
        <f>IF(SER_hh_emih!I19=0,0,SER_hh_emih!I19/SER_summary!I$26)</f>
        <v>2.0902838245271402</v>
      </c>
      <c r="J19" s="131">
        <f>IF(SER_hh_emih!J19=0,0,SER_hh_emih!J19/SER_summary!J$26)</f>
        <v>2.0904116459471984</v>
      </c>
      <c r="K19" s="131">
        <f>IF(SER_hh_emih!K19=0,0,SER_hh_emih!K19/SER_summary!K$26)</f>
        <v>2.0301553021253151</v>
      </c>
      <c r="L19" s="131">
        <f>IF(SER_hh_emih!L19=0,0,SER_hh_emih!L19/SER_summary!L$26)</f>
        <v>2.1606604283662909</v>
      </c>
      <c r="M19" s="131">
        <f>IF(SER_hh_emih!M19=0,0,SER_hh_emih!M19/SER_summary!M$26)</f>
        <v>2.1089439109036441</v>
      </c>
      <c r="N19" s="131">
        <f>IF(SER_hh_emih!N19=0,0,SER_hh_emih!N19/SER_summary!N$26)</f>
        <v>2.1939909572473466</v>
      </c>
      <c r="O19" s="131">
        <f>IF(SER_hh_emih!O19=0,0,SER_hh_emih!O19/SER_summary!O$26)</f>
        <v>2.0118459242574609</v>
      </c>
      <c r="P19" s="131">
        <f>IF(SER_hh_emih!P19=0,0,SER_hh_emih!P19/SER_summary!P$26)</f>
        <v>2.0187563095951266</v>
      </c>
      <c r="Q19" s="131">
        <f>IF(SER_hh_emih!Q19=0,0,SER_hh_emih!Q19/SER_summary!Q$26)</f>
        <v>1.9833054709440585</v>
      </c>
      <c r="R19" s="131">
        <f>IF(SER_hh_emih!R19=0,0,SER_hh_emih!R19/SER_summary!R$26)</f>
        <v>2.000440364027412</v>
      </c>
      <c r="S19" s="131">
        <f>IF(SER_hh_emih!S19=0,0,SER_hh_emih!S19/SER_summary!S$26)</f>
        <v>1.6980493932658016</v>
      </c>
      <c r="T19" s="131">
        <f>IF(SER_hh_emih!T19=0,0,SER_hh_emih!T19/SER_summary!T$26)</f>
        <v>1.4459237410330277</v>
      </c>
      <c r="U19" s="131">
        <f>IF(SER_hh_emih!U19=0,0,SER_hh_emih!U19/SER_summary!U$26)</f>
        <v>1.2581454553595992</v>
      </c>
      <c r="V19" s="131">
        <f>IF(SER_hh_emih!V19=0,0,SER_hh_emih!V19/SER_summary!V$26)</f>
        <v>1.0863356407883555</v>
      </c>
      <c r="W19" s="131">
        <f>IF(SER_hh_emih!W19=0,0,SER_hh_emih!W19/SER_summary!W$26)</f>
        <v>1.3023580249944626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4.3053669270143269</v>
      </c>
      <c r="C20" s="133">
        <f>IF(SER_hh_emih!C20=0,0,SER_hh_emih!C20/SER_summary!C$26)</f>
        <v>6.4906544773595556</v>
      </c>
      <c r="D20" s="133">
        <f>IF(SER_hh_emih!D20=0,0,SER_hh_emih!D20/SER_summary!D$26)</f>
        <v>7.7271110199673592</v>
      </c>
      <c r="E20" s="133">
        <f>IF(SER_hh_emih!E20=0,0,SER_hh_emih!E20/SER_summary!E$26)</f>
        <v>7.6909793958427128</v>
      </c>
      <c r="F20" s="133">
        <f>IF(SER_hh_emih!F20=0,0,SER_hh_emih!F20/SER_summary!F$26)</f>
        <v>7.9879610609227036</v>
      </c>
      <c r="G20" s="133">
        <f>IF(SER_hh_emih!G20=0,0,SER_hh_emih!G20/SER_summary!G$26)</f>
        <v>7.974805257224685</v>
      </c>
      <c r="H20" s="133">
        <f>IF(SER_hh_emih!H20=0,0,SER_hh_emih!H20/SER_summary!H$26)</f>
        <v>7.3934049857780924</v>
      </c>
      <c r="I20" s="133">
        <f>IF(SER_hh_emih!I20=0,0,SER_hh_emih!I20/SER_summary!I$26)</f>
        <v>8.7843226690512335</v>
      </c>
      <c r="J20" s="133">
        <f>IF(SER_hh_emih!J20=0,0,SER_hh_emih!J20/SER_summary!J$26)</f>
        <v>8.697054990107155</v>
      </c>
      <c r="K20" s="133">
        <f>IF(SER_hh_emih!K20=0,0,SER_hh_emih!K20/SER_summary!K$26)</f>
        <v>8.5474575406919797</v>
      </c>
      <c r="L20" s="133">
        <f>IF(SER_hh_emih!L20=0,0,SER_hh_emih!L20/SER_summary!L$26)</f>
        <v>8.7549526625500693</v>
      </c>
      <c r="M20" s="133">
        <f>IF(SER_hh_emih!M20=0,0,SER_hh_emih!M20/SER_summary!M$26)</f>
        <v>8.5488458836262051</v>
      </c>
      <c r="N20" s="133">
        <f>IF(SER_hh_emih!N20=0,0,SER_hh_emih!N20/SER_summary!N$26)</f>
        <v>8.4492346618554208</v>
      </c>
      <c r="O20" s="133">
        <f>IF(SER_hh_emih!O20=0,0,SER_hh_emih!O20/SER_summary!O$26)</f>
        <v>8.5583302470485414</v>
      </c>
      <c r="P20" s="133">
        <f>IF(SER_hh_emih!P20=0,0,SER_hh_emih!P20/SER_summary!P$26)</f>
        <v>8.4415134928541757</v>
      </c>
      <c r="Q20" s="133">
        <f>IF(SER_hh_emih!Q20=0,0,SER_hh_emih!Q20/SER_summary!Q$26)</f>
        <v>8.4610438278578943</v>
      </c>
      <c r="R20" s="133">
        <f>IF(SER_hh_emih!R20=0,0,SER_hh_emih!R20/SER_summary!R$26)</f>
        <v>9.5445131145725064</v>
      </c>
      <c r="S20" s="133">
        <f>IF(SER_hh_emih!S20=0,0,SER_hh_emih!S20/SER_summary!S$26)</f>
        <v>8.8383606080216968</v>
      </c>
      <c r="T20" s="133">
        <f>IF(SER_hh_emih!T20=0,0,SER_hh_emih!T20/SER_summary!T$26)</f>
        <v>7.3845251550668731</v>
      </c>
      <c r="U20" s="133">
        <f>IF(SER_hh_emih!U20=0,0,SER_hh_emih!U20/SER_summary!U$26)</f>
        <v>6.2466486765461955</v>
      </c>
      <c r="V20" s="133">
        <f>IF(SER_hh_emih!V20=0,0,SER_hh_emih!V20/SER_summary!V$26)</f>
        <v>7.3568312283589812</v>
      </c>
      <c r="W20" s="133">
        <f>IF(SER_hh_emih!W20=0,0,SER_hh_emih!W20/SER_summary!W$26)</f>
        <v>10.156616676868119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3.5580642857536198</v>
      </c>
      <c r="C21" s="133">
        <f>IF(SER_hh_emih!C21=0,0,SER_hh_emih!C21/SER_summary!C$26)</f>
        <v>4.3883372402962317</v>
      </c>
      <c r="D21" s="133">
        <f>IF(SER_hh_emih!D21=0,0,SER_hh_emih!D21/SER_summary!D$26)</f>
        <v>4.2164147897381996</v>
      </c>
      <c r="E21" s="133">
        <f>IF(SER_hh_emih!E21=0,0,SER_hh_emih!E21/SER_summary!E$26)</f>
        <v>6.3868435017173777</v>
      </c>
      <c r="F21" s="133">
        <f>IF(SER_hh_emih!F21=0,0,SER_hh_emih!F21/SER_summary!F$26)</f>
        <v>5.6286861124479426</v>
      </c>
      <c r="G21" s="133">
        <f>IF(SER_hh_emih!G21=0,0,SER_hh_emih!G21/SER_summary!G$26)</f>
        <v>5.2144971283181256</v>
      </c>
      <c r="H21" s="133">
        <f>IF(SER_hh_emih!H21=0,0,SER_hh_emih!H21/SER_summary!H$26)</f>
        <v>6.3304823744901064</v>
      </c>
      <c r="I21" s="133">
        <f>IF(SER_hh_emih!I21=0,0,SER_hh_emih!I21/SER_summary!I$26)</f>
        <v>6.2394381921642781</v>
      </c>
      <c r="J21" s="133">
        <f>IF(SER_hh_emih!J21=0,0,SER_hh_emih!J21/SER_summary!J$26)</f>
        <v>6.4112338920868828</v>
      </c>
      <c r="K21" s="133">
        <f>IF(SER_hh_emih!K21=0,0,SER_hh_emih!K21/SER_summary!K$26)</f>
        <v>6.3145006022453929</v>
      </c>
      <c r="L21" s="133">
        <f>IF(SER_hh_emih!L21=0,0,SER_hh_emih!L21/SER_summary!L$26)</f>
        <v>6.2156079042367134</v>
      </c>
      <c r="M21" s="133">
        <f>IF(SER_hh_emih!M21=0,0,SER_hh_emih!M21/SER_summary!M$26)</f>
        <v>6.155601777545467</v>
      </c>
      <c r="N21" s="133">
        <f>IF(SER_hh_emih!N21=0,0,SER_hh_emih!N21/SER_summary!N$26)</f>
        <v>8.1336789533142309</v>
      </c>
      <c r="O21" s="133">
        <f>IF(SER_hh_emih!O21=0,0,SER_hh_emih!O21/SER_summary!O$26)</f>
        <v>5.4304785591069251</v>
      </c>
      <c r="P21" s="133">
        <f>IF(SER_hh_emih!P21=0,0,SER_hh_emih!P21/SER_summary!P$26)</f>
        <v>6.4615687837781186</v>
      </c>
      <c r="Q21" s="133">
        <f>IF(SER_hh_emih!Q21=0,0,SER_hh_emih!Q21/SER_summary!Q$26)</f>
        <v>6.2402026352169528</v>
      </c>
      <c r="R21" s="133">
        <f>IF(SER_hh_emih!R21=0,0,SER_hh_emih!R21/SER_summary!R$26)</f>
        <v>6.4045146690619177</v>
      </c>
      <c r="S21" s="133">
        <f>IF(SER_hh_emih!S21=0,0,SER_hh_emih!S21/SER_summary!S$26)</f>
        <v>6.2475843574677983</v>
      </c>
      <c r="T21" s="133">
        <f>IF(SER_hh_emih!T21=0,0,SER_hh_emih!T21/SER_summary!T$26)</f>
        <v>5.7115822233320293</v>
      </c>
      <c r="U21" s="133">
        <f>IF(SER_hh_emih!U21=0,0,SER_hh_emih!U21/SER_summary!U$26)</f>
        <v>6.473127597265683</v>
      </c>
      <c r="V21" s="133">
        <f>IF(SER_hh_emih!V21=0,0,SER_hh_emih!V21/SER_summary!V$26)</f>
        <v>4.8948984812265355</v>
      </c>
      <c r="W21" s="133">
        <f>IF(SER_hh_emih!W21=0,0,SER_hh_emih!W21/SER_summary!W$26)</f>
        <v>5.362126326597469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4.7403550531554144</v>
      </c>
      <c r="C22" s="133">
        <f>IF(SER_hh_emih!C22=0,0,SER_hh_emih!C22/SER_summary!C$26)</f>
        <v>4.9592132223546086</v>
      </c>
      <c r="D22" s="133">
        <f>IF(SER_hh_emih!D22=0,0,SER_hh_emih!D22/SER_summary!D$26)</f>
        <v>6.0592322590038057</v>
      </c>
      <c r="E22" s="133">
        <f>IF(SER_hh_emih!E22=0,0,SER_hh_emih!E22/SER_summary!E$26)</f>
        <v>6.5416600495187485</v>
      </c>
      <c r="F22" s="133">
        <f>IF(SER_hh_emih!F22=0,0,SER_hh_emih!F22/SER_summary!F$26)</f>
        <v>6.9763220587548407</v>
      </c>
      <c r="G22" s="133">
        <f>IF(SER_hh_emih!G22=0,0,SER_hh_emih!G22/SER_summary!G$26)</f>
        <v>6.8463254724687799</v>
      </c>
      <c r="H22" s="133">
        <f>IF(SER_hh_emih!H22=0,0,SER_hh_emih!H22/SER_summary!H$26)</f>
        <v>7.3251847956971892</v>
      </c>
      <c r="I22" s="133">
        <f>IF(SER_hh_emih!I22=0,0,SER_hh_emih!I22/SER_summary!I$26)</f>
        <v>7.8043455142694507</v>
      </c>
      <c r="J22" s="133">
        <f>IF(SER_hh_emih!J22=0,0,SER_hh_emih!J22/SER_summary!J$26)</f>
        <v>8.0082331567078491</v>
      </c>
      <c r="K22" s="133">
        <f>IF(SER_hh_emih!K22=0,0,SER_hh_emih!K22/SER_summary!K$26)</f>
        <v>7.9123840800910443</v>
      </c>
      <c r="L22" s="133">
        <f>IF(SER_hh_emih!L22=0,0,SER_hh_emih!L22/SER_summary!L$26)</f>
        <v>8.1617009089145061</v>
      </c>
      <c r="M22" s="133">
        <f>IF(SER_hh_emih!M22=0,0,SER_hh_emih!M22/SER_summary!M$26)</f>
        <v>7.9861644551711928</v>
      </c>
      <c r="N22" s="133">
        <f>IF(SER_hh_emih!N22=0,0,SER_hh_emih!N22/SER_summary!N$26)</f>
        <v>7.9410165505708576</v>
      </c>
      <c r="O22" s="133">
        <f>IF(SER_hh_emih!O22=0,0,SER_hh_emih!O22/SER_summary!O$26)</f>
        <v>7.9972504114788032</v>
      </c>
      <c r="P22" s="133">
        <f>IF(SER_hh_emih!P22=0,0,SER_hh_emih!P22/SER_summary!P$26)</f>
        <v>7.9275873060493458</v>
      </c>
      <c r="Q22" s="133">
        <f>IF(SER_hh_emih!Q22=0,0,SER_hh_emih!Q22/SER_summary!Q$26)</f>
        <v>8.0052651749718517</v>
      </c>
      <c r="R22" s="133">
        <f>IF(SER_hh_emih!R22=0,0,SER_hh_emih!R22/SER_summary!R$26)</f>
        <v>7.7413616349081664</v>
      </c>
      <c r="S22" s="133">
        <f>IF(SER_hh_emih!S22=0,0,SER_hh_emih!S22/SER_summary!S$26)</f>
        <v>8.0424483960815163</v>
      </c>
      <c r="T22" s="133">
        <f>IF(SER_hh_emih!T22=0,0,SER_hh_emih!T22/SER_summary!T$26)</f>
        <v>7.6473204289859202</v>
      </c>
      <c r="U22" s="133">
        <f>IF(SER_hh_emih!U22=0,0,SER_hh_emih!U22/SER_summary!U$26)</f>
        <v>6.4181929674516223</v>
      </c>
      <c r="V22" s="133">
        <f>IF(SER_hh_emih!V22=0,0,SER_hh_emih!V22/SER_summary!V$26)</f>
        <v>6.4836452941121481</v>
      </c>
      <c r="W22" s="133">
        <f>IF(SER_hh_emih!W22=0,0,SER_hh_emih!W22/SER_summary!W$26)</f>
        <v>7.2816213512420784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3.1269645245530708</v>
      </c>
      <c r="C23" s="133">
        <f>IF(SER_hh_emih!C23=0,0,SER_hh_emih!C23/SER_summary!C$26)</f>
        <v>3.7147322299895182</v>
      </c>
      <c r="D23" s="133">
        <f>IF(SER_hh_emih!D23=0,0,SER_hh_emih!D23/SER_summary!D$26)</f>
        <v>4.1120838698881492</v>
      </c>
      <c r="E23" s="133">
        <f>IF(SER_hh_emih!E23=0,0,SER_hh_emih!E23/SER_summary!E$26)</f>
        <v>4.872622249865656</v>
      </c>
      <c r="F23" s="133">
        <f>IF(SER_hh_emih!F23=0,0,SER_hh_emih!F23/SER_summary!F$26)</f>
        <v>4.7996032279879213</v>
      </c>
      <c r="G23" s="133">
        <f>IF(SER_hh_emih!G23=0,0,SER_hh_emih!G23/SER_summary!G$26)</f>
        <v>4.845613936141886</v>
      </c>
      <c r="H23" s="133">
        <f>IF(SER_hh_emih!H23=0,0,SER_hh_emih!H23/SER_summary!H$26)</f>
        <v>4.963271449798941</v>
      </c>
      <c r="I23" s="133">
        <f>IF(SER_hh_emih!I23=0,0,SER_hh_emih!I23/SER_summary!I$26)</f>
        <v>5.1866880056377633</v>
      </c>
      <c r="J23" s="133">
        <f>IF(SER_hh_emih!J23=0,0,SER_hh_emih!J23/SER_summary!J$26)</f>
        <v>5.3718388332048557</v>
      </c>
      <c r="K23" s="133">
        <f>IF(SER_hh_emih!K23=0,0,SER_hh_emih!K23/SER_summary!K$26)</f>
        <v>5.2321255799393551</v>
      </c>
      <c r="L23" s="133">
        <f>IF(SER_hh_emih!L23=0,0,SER_hh_emih!L23/SER_summary!L$26)</f>
        <v>5.4777998022869365</v>
      </c>
      <c r="M23" s="133">
        <f>IF(SER_hh_emih!M23=0,0,SER_hh_emih!M23/SER_summary!M$26)</f>
        <v>5.3471105185774697</v>
      </c>
      <c r="N23" s="133">
        <f>IF(SER_hh_emih!N23=0,0,SER_hh_emih!N23/SER_summary!N$26)</f>
        <v>5.2306318379887093</v>
      </c>
      <c r="O23" s="133">
        <f>IF(SER_hh_emih!O23=0,0,SER_hh_emih!O23/SER_summary!O$26)</f>
        <v>5.2724542040240818</v>
      </c>
      <c r="P23" s="133">
        <f>IF(SER_hh_emih!P23=0,0,SER_hh_emih!P23/SER_summary!P$26)</f>
        <v>5.2655849735564297</v>
      </c>
      <c r="Q23" s="133">
        <f>IF(SER_hh_emih!Q23=0,0,SER_hh_emih!Q23/SER_summary!Q$26)</f>
        <v>5.4002798779548833</v>
      </c>
      <c r="R23" s="133">
        <f>IF(SER_hh_emih!R23=0,0,SER_hh_emih!R23/SER_summary!R$26)</f>
        <v>5.6367948071149492</v>
      </c>
      <c r="S23" s="133">
        <f>IF(SER_hh_emih!S23=0,0,SER_hh_emih!S23/SER_summary!S$26)</f>
        <v>4.9052529860364054</v>
      </c>
      <c r="T23" s="133">
        <f>IF(SER_hh_emih!T23=0,0,SER_hh_emih!T23/SER_summary!T$26)</f>
        <v>4.9830933923787262</v>
      </c>
      <c r="U23" s="133">
        <f>IF(SER_hh_emih!U23=0,0,SER_hh_emih!U23/SER_summary!U$26)</f>
        <v>4.6135444328093431</v>
      </c>
      <c r="V23" s="133">
        <f>IF(SER_hh_emih!V23=0,0,SER_hh_emih!V23/SER_summary!V$26)</f>
        <v>4.052182418571074</v>
      </c>
      <c r="W23" s="133">
        <f>IF(SER_hh_emih!W23=0,0,SER_hh_emih!W23/SER_summary!W$26)</f>
        <v>5.6026754087888868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2.8438650529909206E-2</v>
      </c>
      <c r="C24" s="133">
        <f>IF(SER_hh_emih!C24=0,0,SER_hh_emih!C24/SER_summary!C$26)</f>
        <v>0.16490974158727537</v>
      </c>
      <c r="D24" s="133">
        <f>IF(SER_hh_emih!D24=0,0,SER_hh_emih!D24/SER_summary!D$26)</f>
        <v>0.22488957155250855</v>
      </c>
      <c r="E24" s="133">
        <f>IF(SER_hh_emih!E24=0,0,SER_hh_emih!E24/SER_summary!E$26)</f>
        <v>0.16443324881781285</v>
      </c>
      <c r="F24" s="133">
        <f>IF(SER_hh_emih!F24=0,0,SER_hh_emih!F24/SER_summary!F$26)</f>
        <v>4.552758854398627E-3</v>
      </c>
      <c r="G24" s="133">
        <f>IF(SER_hh_emih!G24=0,0,SER_hh_emih!G24/SER_summary!G$26)</f>
        <v>4.6517408883284851E-2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0.1034183671600496</v>
      </c>
      <c r="K24" s="133">
        <f>IF(SER_hh_emih!K24=0,0,SER_hh_emih!K24/SER_summary!K$26)</f>
        <v>0.23120206024993076</v>
      </c>
      <c r="L24" s="133">
        <f>IF(SER_hh_emih!L24=0,0,SER_hh_emih!L24/SER_summary!L$26)</f>
        <v>4.2628112101067768E-2</v>
      </c>
      <c r="M24" s="133">
        <f>IF(SER_hh_emih!M24=0,0,SER_hh_emih!M24/SER_summary!M$26)</f>
        <v>7.1070268993873378E-2</v>
      </c>
      <c r="N24" s="133">
        <f>IF(SER_hh_emih!N24=0,0,SER_hh_emih!N24/SER_summary!N$26)</f>
        <v>6.5904005809073768E-2</v>
      </c>
      <c r="O24" s="133">
        <f>IF(SER_hh_emih!O24=0,0,SER_hh_emih!O24/SER_summary!O$26)</f>
        <v>0.68355709203547876</v>
      </c>
      <c r="P24" s="133">
        <f>IF(SER_hh_emih!P24=0,0,SER_hh_emih!P24/SER_summary!P$26)</f>
        <v>0.40202645505869256</v>
      </c>
      <c r="Q24" s="133">
        <f>IF(SER_hh_emih!Q24=0,0,SER_hh_emih!Q24/SER_summary!Q$26)</f>
        <v>0.33264003339863107</v>
      </c>
      <c r="R24" s="133">
        <f>IF(SER_hh_emih!R24=0,0,SER_hh_emih!R24/SER_summary!R$26)</f>
        <v>0.52659831316783745</v>
      </c>
      <c r="S24" s="133">
        <f>IF(SER_hh_emih!S24=0,0,SER_hh_emih!S24/SER_summary!S$26)</f>
        <v>0.37057257768854196</v>
      </c>
      <c r="T24" s="133">
        <f>IF(SER_hh_emih!T24=0,0,SER_hh_emih!T24/SER_summary!T$26)</f>
        <v>0.302171635643459</v>
      </c>
      <c r="U24" s="133">
        <f>IF(SER_hh_emih!U24=0,0,SER_hh_emih!U24/SER_summary!U$26)</f>
        <v>0.26853000139986327</v>
      </c>
      <c r="V24" s="133">
        <f>IF(SER_hh_emih!V24=0,0,SER_hh_emih!V24/SER_summary!V$26)</f>
        <v>0.73673685463605787</v>
      </c>
      <c r="W24" s="133">
        <f>IF(SER_hh_emih!W24=0,0,SER_hh_emih!W24/SER_summary!W$26)</f>
        <v>0.85693562903703335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0.73641599567327798</v>
      </c>
      <c r="C29" s="131">
        <f>IF(SER_hh_emih!C29=0,0,SER_hh_emih!C29/SER_summary!C$26)</f>
        <v>0.98836274497426913</v>
      </c>
      <c r="D29" s="131">
        <f>IF(SER_hh_emih!D29=0,0,SER_hh_emih!D29/SER_summary!D$26)</f>
        <v>1.1571139399373069</v>
      </c>
      <c r="E29" s="131">
        <f>IF(SER_hh_emih!E29=0,0,SER_hh_emih!E29/SER_summary!E$26)</f>
        <v>1.4257246198503359</v>
      </c>
      <c r="F29" s="131">
        <f>IF(SER_hh_emih!F29=0,0,SER_hh_emih!F29/SER_summary!F$26)</f>
        <v>1.4298760550142482</v>
      </c>
      <c r="G29" s="131">
        <f>IF(SER_hh_emih!G29=0,0,SER_hh_emih!G29/SER_summary!G$26)</f>
        <v>1.5244316568671092</v>
      </c>
      <c r="H29" s="131">
        <f>IF(SER_hh_emih!H29=0,0,SER_hh_emih!H29/SER_summary!H$26)</f>
        <v>1.6041048513013376</v>
      </c>
      <c r="I29" s="131">
        <f>IF(SER_hh_emih!I29=0,0,SER_hh_emih!I29/SER_summary!I$26)</f>
        <v>1.6047600007415728</v>
      </c>
      <c r="J29" s="131">
        <f>IF(SER_hh_emih!J29=0,0,SER_hh_emih!J29/SER_summary!J$26)</f>
        <v>1.5234934625482213</v>
      </c>
      <c r="K29" s="131">
        <f>IF(SER_hh_emih!K29=0,0,SER_hh_emih!K29/SER_summary!K$26)</f>
        <v>1.4253183872436863</v>
      </c>
      <c r="L29" s="131">
        <f>IF(SER_hh_emih!L29=0,0,SER_hh_emih!L29/SER_summary!L$26)</f>
        <v>1.3818276719933489</v>
      </c>
      <c r="M29" s="131">
        <f>IF(SER_hh_emih!M29=0,0,SER_hh_emih!M29/SER_summary!M$26)</f>
        <v>1.5231038968063439</v>
      </c>
      <c r="N29" s="131">
        <f>IF(SER_hh_emih!N29=0,0,SER_hh_emih!N29/SER_summary!N$26)</f>
        <v>1.6374736463699804</v>
      </c>
      <c r="O29" s="131">
        <f>IF(SER_hh_emih!O29=0,0,SER_hh_emih!O29/SER_summary!O$26)</f>
        <v>1.6696380296093134</v>
      </c>
      <c r="P29" s="131">
        <f>IF(SER_hh_emih!P29=0,0,SER_hh_emih!P29/SER_summary!P$26)</f>
        <v>1.6111151011672009</v>
      </c>
      <c r="Q29" s="131">
        <f>IF(SER_hh_emih!Q29=0,0,SER_hh_emih!Q29/SER_summary!Q$26)</f>
        <v>1.6686094413888024</v>
      </c>
      <c r="R29" s="131">
        <f>IF(SER_hh_emih!R29=0,0,SER_hh_emih!R29/SER_summary!R$26)</f>
        <v>1.5982856000120667</v>
      </c>
      <c r="S29" s="131">
        <f>IF(SER_hh_emih!S29=0,0,SER_hh_emih!S29/SER_summary!S$26)</f>
        <v>1.4871821048333105</v>
      </c>
      <c r="T29" s="131">
        <f>IF(SER_hh_emih!T29=0,0,SER_hh_emih!T29/SER_summary!T$26)</f>
        <v>1.4051746289291243</v>
      </c>
      <c r="U29" s="131">
        <f>IF(SER_hh_emih!U29=0,0,SER_hh_emih!U29/SER_summary!U$26)</f>
        <v>1.439849244084451</v>
      </c>
      <c r="V29" s="131">
        <f>IF(SER_hh_emih!V29=0,0,SER_hh_emih!V29/SER_summary!V$26)</f>
        <v>1.1402469280269814</v>
      </c>
      <c r="W29" s="131">
        <f>IF(SER_hh_emih!W29=0,0,SER_hh_emih!W29/SER_summary!W$26)</f>
        <v>1.5135518613263568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2.0761762838099993</v>
      </c>
      <c r="C30" s="133">
        <f>IF(SER_hh_emih!C30=0,0,SER_hh_emih!C30/SER_summary!C$26)</f>
        <v>6.4141037411520294</v>
      </c>
      <c r="D30" s="133">
        <f>IF(SER_hh_emih!D30=0,0,SER_hh_emih!D30/SER_summary!D$26)</f>
        <v>5.2340399728172375</v>
      </c>
      <c r="E30" s="133">
        <f>IF(SER_hh_emih!E30=0,0,SER_hh_emih!E30/SER_summary!E$26)</f>
        <v>7.6420412645098219</v>
      </c>
      <c r="F30" s="133">
        <f>IF(SER_hh_emih!F30=0,0,SER_hh_emih!F30/SER_summary!F$26)</f>
        <v>6.8800450068162817</v>
      </c>
      <c r="G30" s="133">
        <f>IF(SER_hh_emih!G30=0,0,SER_hh_emih!G30/SER_summary!G$26)</f>
        <v>6.6313659899959143</v>
      </c>
      <c r="H30" s="133">
        <f>IF(SER_hh_emih!H30=0,0,SER_hh_emih!H30/SER_summary!H$26)</f>
        <v>7.4101028252151782</v>
      </c>
      <c r="I30" s="133">
        <f>IF(SER_hh_emih!I30=0,0,SER_hh_emih!I30/SER_summary!I$26)</f>
        <v>7.8790278983605768</v>
      </c>
      <c r="J30" s="133">
        <f>IF(SER_hh_emih!J30=0,0,SER_hh_emih!J30/SER_summary!J$26)</f>
        <v>7.7384806714666823</v>
      </c>
      <c r="K30" s="133">
        <f>IF(SER_hh_emih!K30=0,0,SER_hh_emih!K30/SER_summary!K$26)</f>
        <v>6.7348479571786264</v>
      </c>
      <c r="L30" s="133">
        <f>IF(SER_hh_emih!L30=0,0,SER_hh_emih!L30/SER_summary!L$26)</f>
        <v>6.417753620772416</v>
      </c>
      <c r="M30" s="133">
        <f>IF(SER_hh_emih!M30=0,0,SER_hh_emih!M30/SER_summary!M$26)</f>
        <v>6.901163513686881</v>
      </c>
      <c r="N30" s="133">
        <f>IF(SER_hh_emih!N30=0,0,SER_hh_emih!N30/SER_summary!N$26)</f>
        <v>7.1710022629388366</v>
      </c>
      <c r="O30" s="133">
        <f>IF(SER_hh_emih!O30=0,0,SER_hh_emih!O30/SER_summary!O$26)</f>
        <v>7.3413185842670483</v>
      </c>
      <c r="P30" s="133">
        <f>IF(SER_hh_emih!P30=0,0,SER_hh_emih!P30/SER_summary!P$26)</f>
        <v>6.3359984650048169</v>
      </c>
      <c r="Q30" s="133">
        <f>IF(SER_hh_emih!Q30=0,0,SER_hh_emih!Q30/SER_summary!Q$26)</f>
        <v>7.0015498635241844</v>
      </c>
      <c r="R30" s="133">
        <f>IF(SER_hh_emih!R30=0,0,SER_hh_emih!R30/SER_summary!R$26)</f>
        <v>7.2123923718275398</v>
      </c>
      <c r="S30" s="133">
        <f>IF(SER_hh_emih!S30=0,0,SER_hh_emih!S30/SER_summary!S$26)</f>
        <v>6.9912606370442179</v>
      </c>
      <c r="T30" s="133">
        <f>IF(SER_hh_emih!T30=0,0,SER_hh_emih!T30/SER_summary!T$26)</f>
        <v>6.663467792894183</v>
      </c>
      <c r="U30" s="133">
        <f>IF(SER_hh_emih!U30=0,0,SER_hh_emih!U30/SER_summary!U$26)</f>
        <v>7.7771063375874929</v>
      </c>
      <c r="V30" s="133">
        <f>IF(SER_hh_emih!V30=0,0,SER_hh_emih!V30/SER_summary!V$26)</f>
        <v>5.4192972644959196</v>
      </c>
      <c r="W30" s="133">
        <f>IF(SER_hh_emih!W30=0,0,SER_hh_emih!W30/SER_summary!W$26)</f>
        <v>5.2938170230297716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3.9623183893111631</v>
      </c>
      <c r="C31" s="133">
        <f>IF(SER_hh_emih!C31=0,0,SER_hh_emih!C31/SER_summary!C$26)</f>
        <v>4.6787430842765225</v>
      </c>
      <c r="D31" s="133">
        <f>IF(SER_hh_emih!D31=0,0,SER_hh_emih!D31/SER_summary!D$26)</f>
        <v>5.3116521475394824</v>
      </c>
      <c r="E31" s="133">
        <f>IF(SER_hh_emih!E31=0,0,SER_hh_emih!E31/SER_summary!E$26)</f>
        <v>5.8196637555595734</v>
      </c>
      <c r="F31" s="133">
        <f>IF(SER_hh_emih!F31=0,0,SER_hh_emih!F31/SER_summary!F$26)</f>
        <v>5.7494285599479866</v>
      </c>
      <c r="G31" s="133">
        <f>IF(SER_hh_emih!G31=0,0,SER_hh_emih!G31/SER_summary!G$26)</f>
        <v>5.9862370534251736</v>
      </c>
      <c r="H31" s="133">
        <f>IF(SER_hh_emih!H31=0,0,SER_hh_emih!H31/SER_summary!H$26)</f>
        <v>6.1391625382865112</v>
      </c>
      <c r="I31" s="133">
        <f>IF(SER_hh_emih!I31=0,0,SER_hh_emih!I31/SER_summary!I$26)</f>
        <v>6.2440184237991279</v>
      </c>
      <c r="J31" s="133">
        <f>IF(SER_hh_emih!J31=0,0,SER_hh_emih!J31/SER_summary!J$26)</f>
        <v>6.2691008137304323</v>
      </c>
      <c r="K31" s="133">
        <f>IF(SER_hh_emih!K31=0,0,SER_hh_emih!K31/SER_summary!K$26)</f>
        <v>6.2334427748450869</v>
      </c>
      <c r="L31" s="133">
        <f>IF(SER_hh_emih!L31=0,0,SER_hh_emih!L31/SER_summary!L$26)</f>
        <v>5.9407011604872366</v>
      </c>
      <c r="M31" s="133">
        <f>IF(SER_hh_emih!M31=0,0,SER_hh_emih!M31/SER_summary!M$26)</f>
        <v>6.2466069599597933</v>
      </c>
      <c r="N31" s="133">
        <f>IF(SER_hh_emih!N31=0,0,SER_hh_emih!N31/SER_summary!N$26)</f>
        <v>6.3621988264441534</v>
      </c>
      <c r="O31" s="133">
        <f>IF(SER_hh_emih!O31=0,0,SER_hh_emih!O31/SER_summary!O$26)</f>
        <v>6.1835913047448079</v>
      </c>
      <c r="P31" s="133">
        <f>IF(SER_hh_emih!P31=0,0,SER_hh_emih!P31/SER_summary!P$26)</f>
        <v>6.0285309746876052</v>
      </c>
      <c r="Q31" s="133">
        <f>IF(SER_hh_emih!Q31=0,0,SER_hh_emih!Q31/SER_summary!Q$26)</f>
        <v>6.1683511285088599</v>
      </c>
      <c r="R31" s="133">
        <f>IF(SER_hh_emih!R31=0,0,SER_hh_emih!R31/SER_summary!R$26)</f>
        <v>5.9940946569349425</v>
      </c>
      <c r="S31" s="133">
        <f>IF(SER_hh_emih!S31=0,0,SER_hh_emih!S31/SER_summary!S$26)</f>
        <v>5.7250231488750982</v>
      </c>
      <c r="T31" s="133">
        <f>IF(SER_hh_emih!T31=0,0,SER_hh_emih!T31/SER_summary!T$26)</f>
        <v>5.6753468480590836</v>
      </c>
      <c r="U31" s="133">
        <f>IF(SER_hh_emih!U31=0,0,SER_hh_emih!U31/SER_summary!U$26)</f>
        <v>5.7121635234827259</v>
      </c>
      <c r="V31" s="133">
        <f>IF(SER_hh_emih!V31=0,0,SER_hh_emih!V31/SER_summary!V$26)</f>
        <v>4.6801696318799229</v>
      </c>
      <c r="W31" s="133">
        <f>IF(SER_hh_emih!W31=0,0,SER_hh_emih!W31/SER_summary!W$26)</f>
        <v>6.4949430287650394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1267.8297614244789</v>
      </c>
      <c r="D3" s="125">
        <f t="shared" si="0"/>
        <v>2153.2066759765426</v>
      </c>
      <c r="E3" s="125">
        <f t="shared" si="0"/>
        <v>6828.809052553629</v>
      </c>
      <c r="F3" s="125">
        <f t="shared" si="0"/>
        <v>10407.973444589961</v>
      </c>
      <c r="G3" s="125">
        <f t="shared" si="0"/>
        <v>8702.9586394855578</v>
      </c>
      <c r="H3" s="125">
        <f t="shared" si="0"/>
        <v>14383.191902988547</v>
      </c>
      <c r="I3" s="125">
        <f t="shared" si="0"/>
        <v>15928.705485102244</v>
      </c>
      <c r="J3" s="125">
        <f t="shared" si="0"/>
        <v>15472.338845019982</v>
      </c>
      <c r="K3" s="125">
        <f t="shared" si="0"/>
        <v>13004.898054513726</v>
      </c>
      <c r="L3" s="125">
        <f t="shared" si="0"/>
        <v>2150.6258930730637</v>
      </c>
      <c r="M3" s="125">
        <f t="shared" si="0"/>
        <v>11693.781608539855</v>
      </c>
      <c r="N3" s="125">
        <f t="shared" si="0"/>
        <v>9736.9147689785059</v>
      </c>
      <c r="O3" s="125">
        <f t="shared" si="0"/>
        <v>4197.2674431868309</v>
      </c>
      <c r="P3" s="125">
        <f t="shared" si="0"/>
        <v>10759.162366140397</v>
      </c>
      <c r="Q3" s="125">
        <f t="shared" si="0"/>
        <v>6917.0947286999772</v>
      </c>
      <c r="R3" s="125">
        <f t="shared" si="0"/>
        <v>8785.5782198308771</v>
      </c>
      <c r="S3" s="125">
        <f t="shared" si="0"/>
        <v>10972.335069342822</v>
      </c>
      <c r="T3" s="125">
        <f t="shared" si="0"/>
        <v>10911.606224991705</v>
      </c>
      <c r="U3" s="125">
        <f t="shared" si="0"/>
        <v>10213.629492682863</v>
      </c>
      <c r="V3" s="125">
        <f t="shared" si="0"/>
        <v>9434.1873260228531</v>
      </c>
      <c r="W3" s="125">
        <f t="shared" si="0"/>
        <v>9060.3535430842694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1267.8297614244789</v>
      </c>
      <c r="D4" s="140">
        <f t="shared" si="1"/>
        <v>2153.2066759765426</v>
      </c>
      <c r="E4" s="140">
        <f t="shared" si="1"/>
        <v>6828.809052553629</v>
      </c>
      <c r="F4" s="140">
        <f t="shared" si="1"/>
        <v>10407.973444589961</v>
      </c>
      <c r="G4" s="140">
        <f t="shared" si="1"/>
        <v>8702.9586394855578</v>
      </c>
      <c r="H4" s="140">
        <f t="shared" si="1"/>
        <v>14383.191902988547</v>
      </c>
      <c r="I4" s="140">
        <f t="shared" si="1"/>
        <v>15928.705485102244</v>
      </c>
      <c r="J4" s="140">
        <f t="shared" si="1"/>
        <v>15472.338845019982</v>
      </c>
      <c r="K4" s="140">
        <f t="shared" si="1"/>
        <v>13004.898054513726</v>
      </c>
      <c r="L4" s="140">
        <f t="shared" si="1"/>
        <v>2150.6258930730637</v>
      </c>
      <c r="M4" s="140">
        <f t="shared" si="1"/>
        <v>11693.781608539855</v>
      </c>
      <c r="N4" s="140">
        <f t="shared" si="1"/>
        <v>9736.9147689785059</v>
      </c>
      <c r="O4" s="140">
        <f t="shared" si="1"/>
        <v>4197.2674431868309</v>
      </c>
      <c r="P4" s="140">
        <f t="shared" si="1"/>
        <v>10759.162366140397</v>
      </c>
      <c r="Q4" s="140">
        <f t="shared" si="1"/>
        <v>6917.0947286999772</v>
      </c>
      <c r="R4" s="140">
        <f t="shared" ref="R4:W4" si="2">SUM(R5:R14)</f>
        <v>8785.5782198308771</v>
      </c>
      <c r="S4" s="140">
        <f t="shared" si="2"/>
        <v>10972.335069342822</v>
      </c>
      <c r="T4" s="140">
        <f t="shared" si="2"/>
        <v>10911.606224991705</v>
      </c>
      <c r="U4" s="140">
        <f t="shared" si="2"/>
        <v>10213.629492682863</v>
      </c>
      <c r="V4" s="140">
        <f t="shared" si="2"/>
        <v>9434.1873260228531</v>
      </c>
      <c r="W4" s="140">
        <f t="shared" si="2"/>
        <v>9060.3535430842694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216.99346341896461</v>
      </c>
      <c r="D5" s="141">
        <v>409.26618864256596</v>
      </c>
      <c r="E5" s="141">
        <v>1187.6761520100238</v>
      </c>
      <c r="F5" s="141">
        <v>1392.5547398936437</v>
      </c>
      <c r="G5" s="141">
        <v>1153.6786166386219</v>
      </c>
      <c r="H5" s="141">
        <v>1745.7892700447783</v>
      </c>
      <c r="I5" s="141">
        <v>2159.8998858458522</v>
      </c>
      <c r="J5" s="141">
        <v>1941.2452776904981</v>
      </c>
      <c r="K5" s="141">
        <v>2209.1582738676466</v>
      </c>
      <c r="L5" s="141">
        <v>403.62462341964692</v>
      </c>
      <c r="M5" s="141">
        <v>1634.725501243737</v>
      </c>
      <c r="N5" s="141">
        <v>1384.7187785112926</v>
      </c>
      <c r="O5" s="141">
        <v>607.15430988808441</v>
      </c>
      <c r="P5" s="141">
        <v>763.48977458684965</v>
      </c>
      <c r="Q5" s="141">
        <v>644.51946909222579</v>
      </c>
      <c r="R5" s="141">
        <v>767.32908965722947</v>
      </c>
      <c r="S5" s="141">
        <v>1333.7104352848357</v>
      </c>
      <c r="T5" s="141">
        <v>826.77751382661597</v>
      </c>
      <c r="U5" s="141">
        <v>598.57557962929548</v>
      </c>
      <c r="V5" s="141">
        <v>894.54347347169141</v>
      </c>
      <c r="W5" s="141">
        <v>952.22161404605504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119.69172733875857</v>
      </c>
      <c r="D7" s="141">
        <v>132.89330804610719</v>
      </c>
      <c r="E7" s="141">
        <v>56.039429073411981</v>
      </c>
      <c r="F7" s="141">
        <v>71.962636158010568</v>
      </c>
      <c r="G7" s="141">
        <v>835.72831471845893</v>
      </c>
      <c r="H7" s="141">
        <v>2643.1437355650442</v>
      </c>
      <c r="I7" s="141">
        <v>2351.7662609170457</v>
      </c>
      <c r="J7" s="141">
        <v>1196.9793476926027</v>
      </c>
      <c r="K7" s="141">
        <v>955.53351892210435</v>
      </c>
      <c r="L7" s="141">
        <v>195.98471288478825</v>
      </c>
      <c r="M7" s="141">
        <v>475.85578236425357</v>
      </c>
      <c r="N7" s="141">
        <v>0</v>
      </c>
      <c r="O7" s="141">
        <v>0</v>
      </c>
      <c r="P7" s="141">
        <v>0</v>
      </c>
      <c r="Q7" s="141">
        <v>253.21920258151641</v>
      </c>
      <c r="R7" s="141">
        <v>559.52182089528253</v>
      </c>
      <c r="S7" s="141">
        <v>1046.0818449469718</v>
      </c>
      <c r="T7" s="141">
        <v>1023.560600502633</v>
      </c>
      <c r="U7" s="141">
        <v>721.44734946954395</v>
      </c>
      <c r="V7" s="141">
        <v>764.0256523570016</v>
      </c>
      <c r="W7" s="141">
        <v>828.1850612556259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4.3872200248254403E-2</v>
      </c>
      <c r="D8" s="141">
        <v>6.8267876958011953E-2</v>
      </c>
      <c r="E8" s="141">
        <v>0.30792539339387426</v>
      </c>
      <c r="F8" s="141">
        <v>0.33824975304847166</v>
      </c>
      <c r="G8" s="141">
        <v>0.41273099194598595</v>
      </c>
      <c r="H8" s="141">
        <v>0.44084119491994844</v>
      </c>
      <c r="I8" s="141">
        <v>0.77212980057719582</v>
      </c>
      <c r="J8" s="141">
        <v>0.3788037689565531</v>
      </c>
      <c r="K8" s="141">
        <v>0.34720513678663634</v>
      </c>
      <c r="L8" s="141">
        <v>1.5468343009482213E-2</v>
      </c>
      <c r="M8" s="141">
        <v>0.26492858155173377</v>
      </c>
      <c r="N8" s="141">
        <v>0.5268008581834166</v>
      </c>
      <c r="O8" s="141">
        <v>0.40146787545098994</v>
      </c>
      <c r="P8" s="141">
        <v>1.698557351241899</v>
      </c>
      <c r="Q8" s="141">
        <v>0.72921162307950049</v>
      </c>
      <c r="R8" s="141">
        <v>0.4005670309745693</v>
      </c>
      <c r="S8" s="141">
        <v>0.47369078812353499</v>
      </c>
      <c r="T8" s="141">
        <v>0.67333571843902629</v>
      </c>
      <c r="U8" s="141">
        <v>0.93401036995997311</v>
      </c>
      <c r="V8" s="141">
        <v>1.0382691056511675</v>
      </c>
      <c r="W8" s="141">
        <v>0.82417139181955501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541.75049462587094</v>
      </c>
      <c r="D9" s="141">
        <v>973.19598875242525</v>
      </c>
      <c r="E9" s="141">
        <v>3352.2981949615869</v>
      </c>
      <c r="F9" s="141">
        <v>3074.8353092441312</v>
      </c>
      <c r="G9" s="141">
        <v>1252.2688367432729</v>
      </c>
      <c r="H9" s="141">
        <v>1350.2929319000766</v>
      </c>
      <c r="I9" s="141">
        <v>4415.1723981881396</v>
      </c>
      <c r="J9" s="141">
        <v>5610.0430461678643</v>
      </c>
      <c r="K9" s="141">
        <v>5069.0974041380114</v>
      </c>
      <c r="L9" s="141">
        <v>327.35696557043104</v>
      </c>
      <c r="M9" s="141">
        <v>4562.7289098140864</v>
      </c>
      <c r="N9" s="141">
        <v>3429.3981232827323</v>
      </c>
      <c r="O9" s="141">
        <v>1108.4891342463904</v>
      </c>
      <c r="P9" s="141">
        <v>4448.575268275752</v>
      </c>
      <c r="Q9" s="141">
        <v>2502.0330222766911</v>
      </c>
      <c r="R9" s="141">
        <v>1875.1466067564816</v>
      </c>
      <c r="S9" s="141">
        <v>889.45466145817147</v>
      </c>
      <c r="T9" s="141">
        <v>1255.5118142523304</v>
      </c>
      <c r="U9" s="141">
        <v>1943.8258584519115</v>
      </c>
      <c r="V9" s="141">
        <v>1856.4875214658771</v>
      </c>
      <c r="W9" s="141">
        <v>1866.2132096134039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53.359771060669402</v>
      </c>
      <c r="I10" s="141">
        <v>442.12625681602668</v>
      </c>
      <c r="J10" s="141">
        <v>525.33521908952901</v>
      </c>
      <c r="K10" s="141">
        <v>866.50744517357839</v>
      </c>
      <c r="L10" s="141">
        <v>125.48329468342436</v>
      </c>
      <c r="M10" s="141">
        <v>553.30997660015237</v>
      </c>
      <c r="N10" s="141">
        <v>310.02727365260694</v>
      </c>
      <c r="O10" s="141">
        <v>221.45678810416831</v>
      </c>
      <c r="P10" s="141">
        <v>202.52189688296423</v>
      </c>
      <c r="Q10" s="141">
        <v>238.5738459288664</v>
      </c>
      <c r="R10" s="141">
        <v>175.82880832285537</v>
      </c>
      <c r="S10" s="141">
        <v>269.15506693568688</v>
      </c>
      <c r="T10" s="141">
        <v>195.10429464922422</v>
      </c>
      <c r="U10" s="141">
        <v>206.1901304265667</v>
      </c>
      <c r="V10" s="141">
        <v>270.14855290467352</v>
      </c>
      <c r="W10" s="141">
        <v>249.25789222312315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0.74426577741386424</v>
      </c>
      <c r="D11" s="141">
        <v>3.3595023913498667</v>
      </c>
      <c r="E11" s="141">
        <v>10.362185131146104</v>
      </c>
      <c r="F11" s="141">
        <v>11.202999091186546</v>
      </c>
      <c r="G11" s="141">
        <v>9.4426933890548348</v>
      </c>
      <c r="H11" s="141">
        <v>9.231582656831657</v>
      </c>
      <c r="I11" s="141">
        <v>12.391754222539038</v>
      </c>
      <c r="J11" s="141">
        <v>14.617962858199057</v>
      </c>
      <c r="K11" s="141">
        <v>7.1170772043588526</v>
      </c>
      <c r="L11" s="141">
        <v>0.15014910218441629</v>
      </c>
      <c r="M11" s="141">
        <v>10.819979521308506</v>
      </c>
      <c r="N11" s="141">
        <v>24.56198370867277</v>
      </c>
      <c r="O11" s="141">
        <v>17.784390646923555</v>
      </c>
      <c r="P11" s="141">
        <v>47.257480659041065</v>
      </c>
      <c r="Q11" s="141">
        <v>15.284949143408332</v>
      </c>
      <c r="R11" s="141">
        <v>5.5776641108492218</v>
      </c>
      <c r="S11" s="141">
        <v>18.520408435252744</v>
      </c>
      <c r="T11" s="141">
        <v>23.543208986683332</v>
      </c>
      <c r="U11" s="141">
        <v>22.283557913644916</v>
      </c>
      <c r="V11" s="141">
        <v>17.144030683509335</v>
      </c>
      <c r="W11" s="141">
        <v>11.748561440129718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386.9943368449774</v>
      </c>
      <c r="D12" s="141">
        <v>630.42069655285218</v>
      </c>
      <c r="E12" s="141">
        <v>2196.3644457125743</v>
      </c>
      <c r="F12" s="141">
        <v>5808.4421399488974</v>
      </c>
      <c r="G12" s="141">
        <v>2481.2592727966794</v>
      </c>
      <c r="H12" s="141">
        <v>4047.4394872515641</v>
      </c>
      <c r="I12" s="141">
        <v>2656.4625235294038</v>
      </c>
      <c r="J12" s="141">
        <v>2746.0163110644189</v>
      </c>
      <c r="K12" s="141">
        <v>1649.0883200879675</v>
      </c>
      <c r="L12" s="141">
        <v>331.9229192855675</v>
      </c>
      <c r="M12" s="141">
        <v>1572.222263981427</v>
      </c>
      <c r="N12" s="141">
        <v>2342.9485221144605</v>
      </c>
      <c r="O12" s="141">
        <v>1489.5304038042618</v>
      </c>
      <c r="P12" s="141">
        <v>2595.595679376182</v>
      </c>
      <c r="Q12" s="141">
        <v>2113.4747094607296</v>
      </c>
      <c r="R12" s="141">
        <v>3072.7816498562847</v>
      </c>
      <c r="S12" s="141">
        <v>4485.1409561925584</v>
      </c>
      <c r="T12" s="141">
        <v>3205.1636572848292</v>
      </c>
      <c r="U12" s="141">
        <v>3068.9827765002146</v>
      </c>
      <c r="V12" s="141">
        <v>2257.0415609333222</v>
      </c>
      <c r="W12" s="141">
        <v>1630.33496053147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1.6116012182452997</v>
      </c>
      <c r="D13" s="141">
        <v>4.0027237142843957</v>
      </c>
      <c r="E13" s="141">
        <v>25.760720271492179</v>
      </c>
      <c r="F13" s="141">
        <v>48.637370501042533</v>
      </c>
      <c r="G13" s="141">
        <v>68.094967325767954</v>
      </c>
      <c r="H13" s="141">
        <v>91.050387654997877</v>
      </c>
      <c r="I13" s="141">
        <v>115.08918378453581</v>
      </c>
      <c r="J13" s="141">
        <v>62.357555732910797</v>
      </c>
      <c r="K13" s="141">
        <v>51.054050505588634</v>
      </c>
      <c r="L13" s="141">
        <v>4.6822795047369512</v>
      </c>
      <c r="M13" s="141">
        <v>47.502818595880122</v>
      </c>
      <c r="N13" s="141">
        <v>68.860861729478501</v>
      </c>
      <c r="O13" s="141">
        <v>55.394947628326399</v>
      </c>
      <c r="P13" s="141">
        <v>263.5650231278359</v>
      </c>
      <c r="Q13" s="141">
        <v>131.84562464305134</v>
      </c>
      <c r="R13" s="141">
        <v>86.100936820492805</v>
      </c>
      <c r="S13" s="141">
        <v>110.86191057441573</v>
      </c>
      <c r="T13" s="141">
        <v>118.64056715983629</v>
      </c>
      <c r="U13" s="141">
        <v>131.80559828030169</v>
      </c>
      <c r="V13" s="141">
        <v>124.87755926332551</v>
      </c>
      <c r="W13" s="141">
        <v>80.962904146789938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0</v>
      </c>
      <c r="D14" s="142">
        <v>0</v>
      </c>
      <c r="E14" s="142">
        <v>0</v>
      </c>
      <c r="F14" s="142">
        <v>0</v>
      </c>
      <c r="G14" s="142">
        <v>2902.0732068817561</v>
      </c>
      <c r="H14" s="142">
        <v>4442.4438956596659</v>
      </c>
      <c r="I14" s="142">
        <v>3775.0250919981231</v>
      </c>
      <c r="J14" s="142">
        <v>3375.3653209550012</v>
      </c>
      <c r="K14" s="142">
        <v>2196.9947594776841</v>
      </c>
      <c r="L14" s="142">
        <v>761.4054802792748</v>
      </c>
      <c r="M14" s="142">
        <v>2836.3514478374586</v>
      </c>
      <c r="N14" s="142">
        <v>2175.8724251210806</v>
      </c>
      <c r="O14" s="142">
        <v>697.05600099322498</v>
      </c>
      <c r="P14" s="142">
        <v>2436.458685880531</v>
      </c>
      <c r="Q14" s="142">
        <v>1017.414693950408</v>
      </c>
      <c r="R14" s="142">
        <v>2242.891076380427</v>
      </c>
      <c r="S14" s="142">
        <v>2818.9360947268055</v>
      </c>
      <c r="T14" s="142">
        <v>4262.6312326111129</v>
      </c>
      <c r="U14" s="142">
        <v>3519.5846316414245</v>
      </c>
      <c r="V14" s="142">
        <v>3248.8807058378011</v>
      </c>
      <c r="W14" s="142">
        <v>3440.6051684358513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1266.2181602062335</v>
      </c>
      <c r="D15" s="144">
        <f t="shared" si="3"/>
        <v>2149.2039522622581</v>
      </c>
      <c r="E15" s="144">
        <f t="shared" si="3"/>
        <v>6803.0483322821365</v>
      </c>
      <c r="F15" s="144">
        <f t="shared" si="3"/>
        <v>10359.336074088918</v>
      </c>
      <c r="G15" s="144">
        <f t="shared" si="3"/>
        <v>5732.7904652780344</v>
      </c>
      <c r="H15" s="144">
        <f t="shared" si="3"/>
        <v>9849.6976196738833</v>
      </c>
      <c r="I15" s="144">
        <f t="shared" si="3"/>
        <v>12038.591209319586</v>
      </c>
      <c r="J15" s="144">
        <f t="shared" si="3"/>
        <v>12034.615968332069</v>
      </c>
      <c r="K15" s="144">
        <f t="shared" si="3"/>
        <v>10756.849244530453</v>
      </c>
      <c r="L15" s="144">
        <f t="shared" si="3"/>
        <v>1384.5381332890522</v>
      </c>
      <c r="M15" s="144">
        <f t="shared" si="3"/>
        <v>8809.9273421065172</v>
      </c>
      <c r="N15" s="144">
        <f t="shared" si="3"/>
        <v>7492.1814821279477</v>
      </c>
      <c r="O15" s="144">
        <f t="shared" si="3"/>
        <v>3444.8164945652798</v>
      </c>
      <c r="P15" s="144">
        <f t="shared" si="3"/>
        <v>8059.1386571320309</v>
      </c>
      <c r="Q15" s="144">
        <f t="shared" si="3"/>
        <v>5767.8344101065177</v>
      </c>
      <c r="R15" s="144">
        <f t="shared" ref="R15:W15" si="4">SUM(R5:R12)</f>
        <v>6456.5862066299578</v>
      </c>
      <c r="S15" s="144">
        <f t="shared" si="4"/>
        <v>8042.5370640416004</v>
      </c>
      <c r="T15" s="144">
        <f t="shared" si="4"/>
        <v>6530.3344252207553</v>
      </c>
      <c r="U15" s="144">
        <f t="shared" si="4"/>
        <v>6562.2392627611371</v>
      </c>
      <c r="V15" s="144">
        <f t="shared" si="4"/>
        <v>6060.429060921726</v>
      </c>
      <c r="W15" s="144">
        <f t="shared" si="4"/>
        <v>5538.785470501628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1267.8297614244786</v>
      </c>
      <c r="D16" s="140">
        <f t="shared" si="5"/>
        <v>2153.2066759765426</v>
      </c>
      <c r="E16" s="140">
        <f t="shared" si="5"/>
        <v>3523.5802972612796</v>
      </c>
      <c r="F16" s="140">
        <f t="shared" si="5"/>
        <v>4466.1563033063321</v>
      </c>
      <c r="G16" s="140">
        <f t="shared" si="5"/>
        <v>4933.7713125911541</v>
      </c>
      <c r="H16" s="140">
        <f t="shared" si="5"/>
        <v>6112.8505574838327</v>
      </c>
      <c r="I16" s="140">
        <f t="shared" si="5"/>
        <v>7703.6139265876063</v>
      </c>
      <c r="J16" s="140">
        <f t="shared" si="5"/>
        <v>7521.1160882890008</v>
      </c>
      <c r="K16" s="140">
        <f t="shared" si="5"/>
        <v>6123.8680986320051</v>
      </c>
      <c r="L16" s="140">
        <f t="shared" si="5"/>
        <v>2150.6258930730633</v>
      </c>
      <c r="M16" s="140">
        <f t="shared" si="5"/>
        <v>7113.0281035139233</v>
      </c>
      <c r="N16" s="140">
        <f t="shared" si="5"/>
        <v>7181.0776829279694</v>
      </c>
      <c r="O16" s="140">
        <f t="shared" si="5"/>
        <v>4197.26744318683</v>
      </c>
      <c r="P16" s="140">
        <f t="shared" si="5"/>
        <v>7697.1473002488838</v>
      </c>
      <c r="Q16" s="140">
        <f t="shared" si="5"/>
        <v>6917.0947286999772</v>
      </c>
      <c r="R16" s="140">
        <f t="shared" ref="R16:W16" si="6">SUM(R17:R18)</f>
        <v>7636.9801361012751</v>
      </c>
      <c r="S16" s="140">
        <f t="shared" si="6"/>
        <v>8179.3076212216429</v>
      </c>
      <c r="T16" s="140">
        <f t="shared" si="6"/>
        <v>8697.5846236406378</v>
      </c>
      <c r="U16" s="140">
        <f t="shared" si="6"/>
        <v>8617.3825002836184</v>
      </c>
      <c r="V16" s="140">
        <f t="shared" si="6"/>
        <v>6791.9247948007469</v>
      </c>
      <c r="W16" s="140">
        <f t="shared" si="6"/>
        <v>9060.3535430842694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2.6520005187238387</v>
      </c>
      <c r="D17" s="141">
        <v>4.9044513975682982</v>
      </c>
      <c r="E17" s="141">
        <v>7.7193922162912614</v>
      </c>
      <c r="F17" s="141">
        <v>12.319651588791391</v>
      </c>
      <c r="G17" s="141">
        <v>13.094484128720705</v>
      </c>
      <c r="H17" s="141">
        <v>12.939619263532673</v>
      </c>
      <c r="I17" s="141">
        <v>21.141217443612582</v>
      </c>
      <c r="J17" s="141">
        <v>17.104184032699184</v>
      </c>
      <c r="K17" s="141">
        <v>16.691694063840565</v>
      </c>
      <c r="L17" s="141">
        <v>4.6983497024262935</v>
      </c>
      <c r="M17" s="141">
        <v>28.764404061182443</v>
      </c>
      <c r="N17" s="141">
        <v>30.404217866005332</v>
      </c>
      <c r="O17" s="141">
        <v>32.117573270234118</v>
      </c>
      <c r="P17" s="141">
        <v>81.855405582164948</v>
      </c>
      <c r="Q17" s="141">
        <v>59.840060263734749</v>
      </c>
      <c r="R17" s="141">
        <v>176.57331619150406</v>
      </c>
      <c r="S17" s="141">
        <v>120.35958049991957</v>
      </c>
      <c r="T17" s="141">
        <v>98.275990279860338</v>
      </c>
      <c r="U17" s="141">
        <v>87.610737388289067</v>
      </c>
      <c r="V17" s="141">
        <v>92.11070931412479</v>
      </c>
      <c r="W17" s="141">
        <v>72.031953419949232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1265.1777609057549</v>
      </c>
      <c r="D18" s="141">
        <v>2148.3022245789743</v>
      </c>
      <c r="E18" s="141">
        <v>3515.8609050449882</v>
      </c>
      <c r="F18" s="141">
        <v>4453.8366517175409</v>
      </c>
      <c r="G18" s="141">
        <v>4920.6768284624331</v>
      </c>
      <c r="H18" s="141">
        <v>6099.9109382203005</v>
      </c>
      <c r="I18" s="141">
        <v>7682.4727091439936</v>
      </c>
      <c r="J18" s="141">
        <v>7504.0119042563019</v>
      </c>
      <c r="K18" s="141">
        <v>6107.1764045681648</v>
      </c>
      <c r="L18" s="141">
        <v>2145.9275433706371</v>
      </c>
      <c r="M18" s="141">
        <v>7084.2636994527411</v>
      </c>
      <c r="N18" s="141">
        <v>7150.6734650619637</v>
      </c>
      <c r="O18" s="141">
        <v>4165.1498699165959</v>
      </c>
      <c r="P18" s="141">
        <v>7615.2918946667187</v>
      </c>
      <c r="Q18" s="141">
        <v>6857.2546684362424</v>
      </c>
      <c r="R18" s="141">
        <v>7460.406819909771</v>
      </c>
      <c r="S18" s="141">
        <v>8058.9480407217234</v>
      </c>
      <c r="T18" s="141">
        <v>8599.3086333607771</v>
      </c>
      <c r="U18" s="141">
        <v>8529.7717628953287</v>
      </c>
      <c r="V18" s="141">
        <v>6699.8140854866224</v>
      </c>
      <c r="W18" s="141">
        <v>8988.3215896643196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1267.8297614244789</v>
      </c>
      <c r="D19" s="140">
        <f t="shared" si="7"/>
        <v>2153.2066759765426</v>
      </c>
      <c r="E19" s="140">
        <f t="shared" si="7"/>
        <v>6828.8090525536281</v>
      </c>
      <c r="F19" s="140">
        <f t="shared" si="7"/>
        <v>10407.973444589963</v>
      </c>
      <c r="G19" s="140">
        <f t="shared" si="7"/>
        <v>8702.9586394855578</v>
      </c>
      <c r="H19" s="140">
        <f t="shared" si="7"/>
        <v>14383.19190298855</v>
      </c>
      <c r="I19" s="140">
        <f t="shared" si="7"/>
        <v>15928.705485102246</v>
      </c>
      <c r="J19" s="140">
        <f t="shared" si="7"/>
        <v>15472.33884501998</v>
      </c>
      <c r="K19" s="140">
        <f t="shared" si="7"/>
        <v>13004.898054513726</v>
      </c>
      <c r="L19" s="140">
        <f t="shared" si="7"/>
        <v>2150.6258930730637</v>
      </c>
      <c r="M19" s="140">
        <f t="shared" si="7"/>
        <v>11693.781608539854</v>
      </c>
      <c r="N19" s="140">
        <f t="shared" si="7"/>
        <v>9736.9147689785077</v>
      </c>
      <c r="O19" s="140">
        <f t="shared" si="7"/>
        <v>4197.2674431868309</v>
      </c>
      <c r="P19" s="140">
        <f t="shared" si="7"/>
        <v>10759.162366140397</v>
      </c>
      <c r="Q19" s="140">
        <f t="shared" si="7"/>
        <v>6917.0947286999772</v>
      </c>
      <c r="R19" s="140">
        <f t="shared" ref="R19:W19" si="8">SUM(R20:R26)</f>
        <v>8785.5782198308771</v>
      </c>
      <c r="S19" s="140">
        <f t="shared" si="8"/>
        <v>10972.335069342822</v>
      </c>
      <c r="T19" s="140">
        <f t="shared" si="8"/>
        <v>10911.606224991703</v>
      </c>
      <c r="U19" s="140">
        <f t="shared" si="8"/>
        <v>10213.629492682863</v>
      </c>
      <c r="V19" s="140">
        <f t="shared" si="8"/>
        <v>9434.1873260228531</v>
      </c>
      <c r="W19" s="140">
        <f t="shared" si="8"/>
        <v>9060.3535430842676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247.73105282653668</v>
      </c>
      <c r="D20" s="141">
        <v>250.50066918663012</v>
      </c>
      <c r="E20" s="141">
        <v>426.25553296449255</v>
      </c>
      <c r="F20" s="141">
        <v>120.52926564138855</v>
      </c>
      <c r="G20" s="141">
        <v>53.73415663721255</v>
      </c>
      <c r="H20" s="141">
        <v>54.632005953756249</v>
      </c>
      <c r="I20" s="141">
        <v>558.46902848661034</v>
      </c>
      <c r="J20" s="141">
        <v>621.96010749590562</v>
      </c>
      <c r="K20" s="141">
        <v>680.53380744000265</v>
      </c>
      <c r="L20" s="141">
        <v>152.73652769535352</v>
      </c>
      <c r="M20" s="141">
        <v>586.63172350098353</v>
      </c>
      <c r="N20" s="141">
        <v>489.34081037306657</v>
      </c>
      <c r="O20" s="141">
        <v>240.17307504019666</v>
      </c>
      <c r="P20" s="141">
        <v>725.09487629200146</v>
      </c>
      <c r="Q20" s="141">
        <v>432.67719467012677</v>
      </c>
      <c r="R20" s="141">
        <v>354.70457355761226</v>
      </c>
      <c r="S20" s="141">
        <v>0</v>
      </c>
      <c r="T20" s="141">
        <v>0</v>
      </c>
      <c r="U20" s="141">
        <v>0.66900667131325731</v>
      </c>
      <c r="V20" s="141">
        <v>55.453729677962905</v>
      </c>
      <c r="W20" s="141">
        <v>165.76121412918297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180.99360996125995</v>
      </c>
      <c r="D21" s="141">
        <v>367.61771892437059</v>
      </c>
      <c r="E21" s="141">
        <v>972.74083621572595</v>
      </c>
      <c r="F21" s="141">
        <v>759.03547426062767</v>
      </c>
      <c r="G21" s="141">
        <v>9.8470514444338288</v>
      </c>
      <c r="H21" s="141">
        <v>118.68963982310309</v>
      </c>
      <c r="I21" s="141">
        <v>0</v>
      </c>
      <c r="J21" s="141">
        <v>135.804984318137</v>
      </c>
      <c r="K21" s="141">
        <v>331.06207154535082</v>
      </c>
      <c r="L21" s="141">
        <v>239.27687053638471</v>
      </c>
      <c r="M21" s="141">
        <v>1035.7908115124674</v>
      </c>
      <c r="N21" s="141">
        <v>901.07686990532966</v>
      </c>
      <c r="O21" s="141">
        <v>148.12209707050559</v>
      </c>
      <c r="P21" s="141">
        <v>89.744523437703478</v>
      </c>
      <c r="Q21" s="141">
        <v>81.463565223543142</v>
      </c>
      <c r="R21" s="141">
        <v>669.38448208430498</v>
      </c>
      <c r="S21" s="141">
        <v>784.6842669566015</v>
      </c>
      <c r="T21" s="141">
        <v>503.73481374037033</v>
      </c>
      <c r="U21" s="141">
        <v>275.41992633502048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35.60624427086713</v>
      </c>
      <c r="D22" s="141">
        <v>82.960417201651779</v>
      </c>
      <c r="E22" s="141">
        <v>233.08804962977717</v>
      </c>
      <c r="F22" s="141">
        <v>362.5528966079554</v>
      </c>
      <c r="G22" s="141">
        <v>345.64231742875677</v>
      </c>
      <c r="H22" s="141">
        <v>624.07980152264815</v>
      </c>
      <c r="I22" s="141">
        <v>729.42512369843939</v>
      </c>
      <c r="J22" s="141">
        <v>783.53070268047122</v>
      </c>
      <c r="K22" s="141">
        <v>662.73374423845792</v>
      </c>
      <c r="L22" s="141">
        <v>146.29995704331745</v>
      </c>
      <c r="M22" s="141">
        <v>487.76774384597167</v>
      </c>
      <c r="N22" s="141">
        <v>381.7356319837574</v>
      </c>
      <c r="O22" s="141">
        <v>172.84574579181154</v>
      </c>
      <c r="P22" s="141">
        <v>271.87507772092641</v>
      </c>
      <c r="Q22" s="141">
        <v>272.71290236165811</v>
      </c>
      <c r="R22" s="141">
        <v>327.50701429495905</v>
      </c>
      <c r="S22" s="141">
        <v>398.66835096856124</v>
      </c>
      <c r="T22" s="141">
        <v>284.98010025786942</v>
      </c>
      <c r="U22" s="141">
        <v>350.58211721815343</v>
      </c>
      <c r="V22" s="141">
        <v>241.70988369613363</v>
      </c>
      <c r="W22" s="141">
        <v>323.34578326707191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281.36998041146904</v>
      </c>
      <c r="D23" s="141">
        <v>657.05559034104976</v>
      </c>
      <c r="E23" s="141">
        <v>1886.155298215253</v>
      </c>
      <c r="F23" s="141">
        <v>1844.918004451145</v>
      </c>
      <c r="G23" s="141">
        <v>1514.4614772783764</v>
      </c>
      <c r="H23" s="141">
        <v>1758.6296133855242</v>
      </c>
      <c r="I23" s="141">
        <v>2038.7808164213022</v>
      </c>
      <c r="J23" s="141">
        <v>2450.6595685905263</v>
      </c>
      <c r="K23" s="141">
        <v>2231.260026675066</v>
      </c>
      <c r="L23" s="141">
        <v>543.05558039084451</v>
      </c>
      <c r="M23" s="141">
        <v>1730.7424785927983</v>
      </c>
      <c r="N23" s="141">
        <v>1292.424245406143</v>
      </c>
      <c r="O23" s="141">
        <v>625.56726840176498</v>
      </c>
      <c r="P23" s="141">
        <v>1853.0199834466748</v>
      </c>
      <c r="Q23" s="141">
        <v>872.30036517017743</v>
      </c>
      <c r="R23" s="141">
        <v>481.89208761648786</v>
      </c>
      <c r="S23" s="141">
        <v>0</v>
      </c>
      <c r="T23" s="141">
        <v>0</v>
      </c>
      <c r="U23" s="141">
        <v>4.5532035651731304</v>
      </c>
      <c r="V23" s="141">
        <v>484.79593138426026</v>
      </c>
      <c r="W23" s="141">
        <v>769.30096264920076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10.027486238639131</v>
      </c>
      <c r="D24" s="141">
        <v>17.094862905371482</v>
      </c>
      <c r="E24" s="141">
        <v>43.154596497842221</v>
      </c>
      <c r="F24" s="141">
        <v>88.331744961486734</v>
      </c>
      <c r="G24" s="141">
        <v>129.84161412007808</v>
      </c>
      <c r="H24" s="141">
        <v>275.65150909715692</v>
      </c>
      <c r="I24" s="141">
        <v>345.56323012123335</v>
      </c>
      <c r="J24" s="141">
        <v>314.51139667839584</v>
      </c>
      <c r="K24" s="141">
        <v>230.38588361306319</v>
      </c>
      <c r="L24" s="141">
        <v>43.29311518023524</v>
      </c>
      <c r="M24" s="141">
        <v>166.55428246115864</v>
      </c>
      <c r="N24" s="141">
        <v>137.66204856256732</v>
      </c>
      <c r="O24" s="141">
        <v>67.860338127119519</v>
      </c>
      <c r="P24" s="141">
        <v>213.24187721970372</v>
      </c>
      <c r="Q24" s="141">
        <v>201.85899002328489</v>
      </c>
      <c r="R24" s="141">
        <v>235.79175177551124</v>
      </c>
      <c r="S24" s="141">
        <v>193.2187302501566</v>
      </c>
      <c r="T24" s="141">
        <v>178.71162151639564</v>
      </c>
      <c r="U24" s="141">
        <v>299.97974146822486</v>
      </c>
      <c r="V24" s="141">
        <v>434.14733962580328</v>
      </c>
      <c r="W24" s="141">
        <v>369.64229694610498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283.90276612926743</v>
      </c>
      <c r="D25" s="141">
        <v>608.443661856277</v>
      </c>
      <c r="E25" s="141">
        <v>1992.4582676660998</v>
      </c>
      <c r="F25" s="141">
        <v>3335.2949414074133</v>
      </c>
      <c r="G25" s="141">
        <v>2465.3287259511899</v>
      </c>
      <c r="H25" s="141">
        <v>2804.2006204071258</v>
      </c>
      <c r="I25" s="141">
        <v>2391.7479028071316</v>
      </c>
      <c r="J25" s="141">
        <v>2362.294052084037</v>
      </c>
      <c r="K25" s="141">
        <v>1971.1546566915054</v>
      </c>
      <c r="L25" s="141">
        <v>399.86976747503479</v>
      </c>
      <c r="M25" s="141">
        <v>1625.9837495476813</v>
      </c>
      <c r="N25" s="141">
        <v>1432.872826126182</v>
      </c>
      <c r="O25" s="141">
        <v>712.98317577864941</v>
      </c>
      <c r="P25" s="141">
        <v>1410.7256778928104</v>
      </c>
      <c r="Q25" s="141">
        <v>1679.995981086143</v>
      </c>
      <c r="R25" s="141">
        <v>2285.3909723085194</v>
      </c>
      <c r="S25" s="141">
        <v>2375.0299889424759</v>
      </c>
      <c r="T25" s="141">
        <v>1943.3355376766922</v>
      </c>
      <c r="U25" s="141">
        <v>1406.8866428326812</v>
      </c>
      <c r="V25" s="141">
        <v>1348.5499845321776</v>
      </c>
      <c r="W25" s="141">
        <v>1051.9281967300542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228.19862158643949</v>
      </c>
      <c r="D26" s="142">
        <v>169.53375556119187</v>
      </c>
      <c r="E26" s="142">
        <v>1274.9564713644381</v>
      </c>
      <c r="F26" s="142">
        <v>3897.3111172599451</v>
      </c>
      <c r="G26" s="142">
        <v>4184.1032966255107</v>
      </c>
      <c r="H26" s="142">
        <v>8747.3087127992349</v>
      </c>
      <c r="I26" s="142">
        <v>9864.719383567528</v>
      </c>
      <c r="J26" s="142">
        <v>8803.5780331725073</v>
      </c>
      <c r="K26" s="142">
        <v>6897.767864310279</v>
      </c>
      <c r="L26" s="142">
        <v>626.09407475189334</v>
      </c>
      <c r="M26" s="142">
        <v>6060.3108190787934</v>
      </c>
      <c r="N26" s="142">
        <v>5101.802336621462</v>
      </c>
      <c r="O26" s="142">
        <v>2229.7157429767826</v>
      </c>
      <c r="P26" s="142">
        <v>6195.4603501305774</v>
      </c>
      <c r="Q26" s="142">
        <v>3376.085730165044</v>
      </c>
      <c r="R26" s="142">
        <v>4430.9073381934832</v>
      </c>
      <c r="S26" s="142">
        <v>7220.7337322250278</v>
      </c>
      <c r="T26" s="142">
        <v>8000.8441518003756</v>
      </c>
      <c r="U26" s="142">
        <v>7875.538854592296</v>
      </c>
      <c r="V26" s="142">
        <v>6869.5304571065153</v>
      </c>
      <c r="W26" s="142">
        <v>6380.3750893626529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42.853348206577529</v>
      </c>
      <c r="E27" s="151">
        <v>0</v>
      </c>
      <c r="F27" s="151">
        <v>127.06579836647761</v>
      </c>
      <c r="G27" s="151">
        <v>83.24331404416742</v>
      </c>
      <c r="H27" s="151">
        <v>191.93045278306514</v>
      </c>
      <c r="I27" s="151">
        <v>127.78305335972023</v>
      </c>
      <c r="J27" s="151">
        <v>1446.5527430783852</v>
      </c>
      <c r="K27" s="151">
        <v>1032.3046547999595</v>
      </c>
      <c r="L27" s="151">
        <v>635.1369783825736</v>
      </c>
      <c r="M27" s="151">
        <v>1090.3833972948808</v>
      </c>
      <c r="N27" s="151">
        <v>826.8683374731537</v>
      </c>
      <c r="O27" s="151">
        <v>517.90752226056156</v>
      </c>
      <c r="P27" s="151">
        <v>729.82393779949393</v>
      </c>
      <c r="Q27" s="151">
        <v>1129.4369941610862</v>
      </c>
      <c r="R27" s="151">
        <v>482.69881692124562</v>
      </c>
      <c r="S27" s="151">
        <v>266.2335126986996</v>
      </c>
      <c r="T27" s="151">
        <v>2091.7710844785574</v>
      </c>
      <c r="U27" s="151">
        <v>0</v>
      </c>
      <c r="V27" s="151">
        <v>257.65369278781424</v>
      </c>
      <c r="W27" s="151">
        <v>1.1158124747025558E-2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1267.8297614244789</v>
      </c>
      <c r="D29" s="140">
        <f t="shared" si="9"/>
        <v>2153.2066759765426</v>
      </c>
      <c r="E29" s="140">
        <f t="shared" si="9"/>
        <v>6828.809052553629</v>
      </c>
      <c r="F29" s="140">
        <f t="shared" si="9"/>
        <v>10407.973444589961</v>
      </c>
      <c r="G29" s="140">
        <f t="shared" si="9"/>
        <v>8702.9586394855578</v>
      </c>
      <c r="H29" s="140">
        <f t="shared" si="9"/>
        <v>14383.191902988548</v>
      </c>
      <c r="I29" s="140">
        <f t="shared" si="9"/>
        <v>15928.705485102244</v>
      </c>
      <c r="J29" s="140">
        <f t="shared" si="9"/>
        <v>15472.33884501998</v>
      </c>
      <c r="K29" s="140">
        <f t="shared" si="9"/>
        <v>13004.898054513724</v>
      </c>
      <c r="L29" s="140">
        <f t="shared" si="9"/>
        <v>2150.6258930730637</v>
      </c>
      <c r="M29" s="140">
        <f t="shared" si="9"/>
        <v>11693.781608539855</v>
      </c>
      <c r="N29" s="140">
        <f t="shared" si="9"/>
        <v>9736.9147689785059</v>
      </c>
      <c r="O29" s="140">
        <f t="shared" si="9"/>
        <v>4197.2674431868309</v>
      </c>
      <c r="P29" s="140">
        <f t="shared" si="9"/>
        <v>10759.162366140399</v>
      </c>
      <c r="Q29" s="140">
        <f t="shared" si="9"/>
        <v>6917.0947286999772</v>
      </c>
      <c r="R29" s="140">
        <f t="shared" ref="R29:W29" si="10">SUM(R30:R33)</f>
        <v>8785.5782198308771</v>
      </c>
      <c r="S29" s="140">
        <f t="shared" si="10"/>
        <v>10972.335069342824</v>
      </c>
      <c r="T29" s="140">
        <f t="shared" si="10"/>
        <v>10911.606224991705</v>
      </c>
      <c r="U29" s="140">
        <f t="shared" si="10"/>
        <v>10213.629492682863</v>
      </c>
      <c r="V29" s="140">
        <f t="shared" si="10"/>
        <v>9434.1873260228531</v>
      </c>
      <c r="W29" s="140">
        <f t="shared" si="10"/>
        <v>9060.3535430842676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120.14247285798719</v>
      </c>
      <c r="D30" s="141">
        <v>240.88457928266365</v>
      </c>
      <c r="E30" s="141">
        <v>729.55405421567116</v>
      </c>
      <c r="F30" s="141">
        <v>619.76624619672054</v>
      </c>
      <c r="G30" s="141">
        <v>450.97770352536594</v>
      </c>
      <c r="H30" s="141">
        <v>472.56937924712787</v>
      </c>
      <c r="I30" s="141">
        <v>100.36150458082571</v>
      </c>
      <c r="J30" s="141">
        <v>0</v>
      </c>
      <c r="K30" s="141">
        <v>0</v>
      </c>
      <c r="L30" s="141">
        <v>0</v>
      </c>
      <c r="M30" s="141">
        <v>0</v>
      </c>
      <c r="N30" s="141">
        <v>168.80147031041415</v>
      </c>
      <c r="O30" s="141">
        <v>227.00392564471241</v>
      </c>
      <c r="P30" s="141">
        <v>504.58417680937208</v>
      </c>
      <c r="Q30" s="141">
        <v>405.61755346304847</v>
      </c>
      <c r="R30" s="141">
        <v>398.11824688825016</v>
      </c>
      <c r="S30" s="141">
        <v>400.51439807359696</v>
      </c>
      <c r="T30" s="141">
        <v>166.75328481394567</v>
      </c>
      <c r="U30" s="141">
        <v>86.33627038058853</v>
      </c>
      <c r="V30" s="141">
        <v>39.845926275619171</v>
      </c>
      <c r="W30" s="141">
        <v>89.23925851854338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278.6697377656925</v>
      </c>
      <c r="D31" s="141">
        <v>462.18771461734968</v>
      </c>
      <c r="E31" s="141">
        <v>1382.2581670357772</v>
      </c>
      <c r="F31" s="141">
        <v>2088.3160309895602</v>
      </c>
      <c r="G31" s="141">
        <v>2009.0178193050483</v>
      </c>
      <c r="H31" s="141">
        <v>2739.204873420068</v>
      </c>
      <c r="I31" s="141">
        <v>2666.9358849176269</v>
      </c>
      <c r="J31" s="141">
        <v>2473.8564764250677</v>
      </c>
      <c r="K31" s="141">
        <v>2520.5734753778133</v>
      </c>
      <c r="L31" s="141">
        <v>644.05095289651297</v>
      </c>
      <c r="M31" s="141">
        <v>4567.6361024048329</v>
      </c>
      <c r="N31" s="141">
        <v>3642.7482074818868</v>
      </c>
      <c r="O31" s="141">
        <v>1340.133633213896</v>
      </c>
      <c r="P31" s="141">
        <v>2297.1770398664303</v>
      </c>
      <c r="Q31" s="141">
        <v>1372.3697079909423</v>
      </c>
      <c r="R31" s="141">
        <v>1269.4850095533288</v>
      </c>
      <c r="S31" s="141">
        <v>1517.5810629600344</v>
      </c>
      <c r="T31" s="141">
        <v>1381.4127844409263</v>
      </c>
      <c r="U31" s="141">
        <v>2188.2047275198302</v>
      </c>
      <c r="V31" s="141">
        <v>2084.3871759673252</v>
      </c>
      <c r="W31" s="141">
        <v>2271.8999795381028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869.0175508007992</v>
      </c>
      <c r="D33" s="153">
        <v>1450.1343820765292</v>
      </c>
      <c r="E33" s="153">
        <v>4716.9968313021809</v>
      </c>
      <c r="F33" s="153">
        <v>7699.8911674036799</v>
      </c>
      <c r="G33" s="153">
        <v>6242.9631166551435</v>
      </c>
      <c r="H33" s="153">
        <v>11171.417650321353</v>
      </c>
      <c r="I33" s="153">
        <v>13161.408095603791</v>
      </c>
      <c r="J33" s="153">
        <v>12998.482368594912</v>
      </c>
      <c r="K33" s="153">
        <v>10484.324579135911</v>
      </c>
      <c r="L33" s="153">
        <v>1506.5749401765509</v>
      </c>
      <c r="M33" s="153">
        <v>7126.1455061350225</v>
      </c>
      <c r="N33" s="153">
        <v>5925.3650911862051</v>
      </c>
      <c r="O33" s="153">
        <v>2630.1298843282225</v>
      </c>
      <c r="P33" s="153">
        <v>7957.4011494645965</v>
      </c>
      <c r="Q33" s="153">
        <v>5139.1074672459863</v>
      </c>
      <c r="R33" s="153">
        <v>7117.9749633892989</v>
      </c>
      <c r="S33" s="153">
        <v>9054.2396083091917</v>
      </c>
      <c r="T33" s="153">
        <v>9363.4401557368328</v>
      </c>
      <c r="U33" s="153">
        <v>7939.0884947824452</v>
      </c>
      <c r="V33" s="153">
        <v>7309.9542237799096</v>
      </c>
      <c r="W33" s="153">
        <v>6699.2143050276218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16.577606934222814</v>
      </c>
      <c r="D3" s="126">
        <f t="shared" si="0"/>
        <v>32.615554493892176</v>
      </c>
      <c r="E3" s="126">
        <f t="shared" si="0"/>
        <v>97.849200687290121</v>
      </c>
      <c r="F3" s="126">
        <f t="shared" si="0"/>
        <v>150.00581994819547</v>
      </c>
      <c r="G3" s="126">
        <f t="shared" si="0"/>
        <v>117.68547313997229</v>
      </c>
      <c r="H3" s="126">
        <f t="shared" si="0"/>
        <v>219.23554670854122</v>
      </c>
      <c r="I3" s="126">
        <f t="shared" si="0"/>
        <v>217.00278674051941</v>
      </c>
      <c r="J3" s="126">
        <f t="shared" si="0"/>
        <v>223.55365495621567</v>
      </c>
      <c r="K3" s="126">
        <f t="shared" si="0"/>
        <v>184.61531900376303</v>
      </c>
      <c r="L3" s="126">
        <f t="shared" si="0"/>
        <v>33.724823938905715</v>
      </c>
      <c r="M3" s="126">
        <f t="shared" si="0"/>
        <v>162.73214049240647</v>
      </c>
      <c r="N3" s="126">
        <f t="shared" si="0"/>
        <v>127.53078513929697</v>
      </c>
      <c r="O3" s="126">
        <f t="shared" si="0"/>
        <v>51.367200073321484</v>
      </c>
      <c r="P3" s="126">
        <f t="shared" si="0"/>
        <v>112.83775103242567</v>
      </c>
      <c r="Q3" s="126">
        <f t="shared" si="0"/>
        <v>70.946379272949287</v>
      </c>
      <c r="R3" s="126">
        <f t="shared" ref="R3:W3" si="1">SUM(R4,R16,R19,R29)</f>
        <v>91.402885439019201</v>
      </c>
      <c r="S3" s="126">
        <f t="shared" si="1"/>
        <v>102.9812769664167</v>
      </c>
      <c r="T3" s="126">
        <f t="shared" si="1"/>
        <v>94.899749378052192</v>
      </c>
      <c r="U3" s="126">
        <f t="shared" si="1"/>
        <v>84.212446490659488</v>
      </c>
      <c r="V3" s="126">
        <f t="shared" si="1"/>
        <v>70.060518530084735</v>
      </c>
      <c r="W3" s="126">
        <f t="shared" si="1"/>
        <v>69.703150056792921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11.912005712597322</v>
      </c>
      <c r="D4" s="131">
        <f t="shared" si="2"/>
        <v>24.074125232554017</v>
      </c>
      <c r="E4" s="131">
        <f t="shared" si="2"/>
        <v>71.3402280635175</v>
      </c>
      <c r="F4" s="131">
        <f t="shared" si="2"/>
        <v>110.93399580875557</v>
      </c>
      <c r="G4" s="131">
        <f t="shared" si="2"/>
        <v>83.706316675305331</v>
      </c>
      <c r="H4" s="131">
        <f t="shared" si="2"/>
        <v>163.69145118016118</v>
      </c>
      <c r="I4" s="131">
        <f t="shared" si="2"/>
        <v>152.62911155548312</v>
      </c>
      <c r="J4" s="131">
        <f t="shared" si="2"/>
        <v>160.58888414336832</v>
      </c>
      <c r="K4" s="131">
        <f t="shared" si="2"/>
        <v>132.17443001085789</v>
      </c>
      <c r="L4" s="131">
        <f t="shared" si="2"/>
        <v>23.989590821042373</v>
      </c>
      <c r="M4" s="131">
        <f t="shared" si="2"/>
        <v>113.54478220401533</v>
      </c>
      <c r="N4" s="131">
        <f t="shared" si="2"/>
        <v>85.968005880907668</v>
      </c>
      <c r="O4" s="131">
        <f t="shared" si="2"/>
        <v>33.13429120825505</v>
      </c>
      <c r="P4" s="131">
        <f t="shared" si="2"/>
        <v>70.116589661210853</v>
      </c>
      <c r="Q4" s="131">
        <f t="shared" si="2"/>
        <v>42.477484685662496</v>
      </c>
      <c r="R4" s="131">
        <f t="shared" ref="R4:W4" si="3">SUM(R5:R15)</f>
        <v>57.348522793023264</v>
      </c>
      <c r="S4" s="131">
        <f t="shared" si="3"/>
        <v>62.801136602095191</v>
      </c>
      <c r="T4" s="131">
        <f t="shared" si="3"/>
        <v>55.888734571744557</v>
      </c>
      <c r="U4" s="131">
        <f t="shared" si="3"/>
        <v>47.224867312783672</v>
      </c>
      <c r="V4" s="131">
        <f t="shared" si="3"/>
        <v>39.635957067096633</v>
      </c>
      <c r="W4" s="131">
        <f t="shared" si="3"/>
        <v>37.983359851026677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1.6442008971466149</v>
      </c>
      <c r="D5" s="133">
        <v>5.0796033380328263</v>
      </c>
      <c r="E5" s="133">
        <v>14.116087194968795</v>
      </c>
      <c r="F5" s="133">
        <v>15.409473892558243</v>
      </c>
      <c r="G5" s="133">
        <v>12.394104268701478</v>
      </c>
      <c r="H5" s="133">
        <v>21.074368894082767</v>
      </c>
      <c r="I5" s="133">
        <v>21.2728337139921</v>
      </c>
      <c r="J5" s="133">
        <v>20.472096512921404</v>
      </c>
      <c r="K5" s="133">
        <v>23.905759293704318</v>
      </c>
      <c r="L5" s="133">
        <v>4.7669983898557193</v>
      </c>
      <c r="M5" s="133">
        <v>16.302140995228321</v>
      </c>
      <c r="N5" s="133">
        <v>13.495331044487974</v>
      </c>
      <c r="O5" s="133">
        <v>5.2999518638610983</v>
      </c>
      <c r="P5" s="133">
        <v>5.6907825676586894</v>
      </c>
      <c r="Q5" s="133">
        <v>4.4904281797048693</v>
      </c>
      <c r="R5" s="133">
        <v>5.4204235497111357</v>
      </c>
      <c r="S5" s="133">
        <v>8.9180336811523375</v>
      </c>
      <c r="T5" s="133">
        <v>4.9543086204758966</v>
      </c>
      <c r="U5" s="133">
        <v>2.8038793746205917</v>
      </c>
      <c r="V5" s="133">
        <v>4.0478774204094172</v>
      </c>
      <c r="W5" s="133">
        <v>4.5825500518271243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1.5066421305457547</v>
      </c>
      <c r="D7" s="133">
        <v>1.782689622589988</v>
      </c>
      <c r="E7" s="133">
        <v>0.74615733702127363</v>
      </c>
      <c r="F7" s="133">
        <v>0.88040366868501796</v>
      </c>
      <c r="G7" s="133">
        <v>7.8793791705002105</v>
      </c>
      <c r="H7" s="133">
        <v>38.759825589347365</v>
      </c>
      <c r="I7" s="133">
        <v>29.896618812823824</v>
      </c>
      <c r="J7" s="133">
        <v>14.560317159498252</v>
      </c>
      <c r="K7" s="133">
        <v>10.703625141655326</v>
      </c>
      <c r="L7" s="133">
        <v>2.7132076950476995</v>
      </c>
      <c r="M7" s="133">
        <v>6.0917130551821188</v>
      </c>
      <c r="N7" s="133">
        <v>0</v>
      </c>
      <c r="O7" s="133">
        <v>0</v>
      </c>
      <c r="P7" s="133">
        <v>0</v>
      </c>
      <c r="Q7" s="133">
        <v>1.7483845256354296</v>
      </c>
      <c r="R7" s="133">
        <v>3.6625883451100725</v>
      </c>
      <c r="S7" s="133">
        <v>6.5235955178216729</v>
      </c>
      <c r="T7" s="133">
        <v>6.1641179800155017</v>
      </c>
      <c r="U7" s="133">
        <v>3.5791263542769944</v>
      </c>
      <c r="V7" s="133">
        <v>3.6211527572674109</v>
      </c>
      <c r="W7" s="133">
        <v>3.8031180335978769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2.7017637091889755E-4</v>
      </c>
      <c r="D8" s="133">
        <v>4.1731860290376258E-4</v>
      </c>
      <c r="E8" s="133">
        <v>1.8848390875701893E-3</v>
      </c>
      <c r="F8" s="133">
        <v>1.943763452340526E-3</v>
      </c>
      <c r="G8" s="133">
        <v>2.225248008239469E-3</v>
      </c>
      <c r="H8" s="133">
        <v>2.2167888352760518E-3</v>
      </c>
      <c r="I8" s="133">
        <v>3.6075061080511344E-3</v>
      </c>
      <c r="J8" s="133">
        <v>1.7474002872474301E-3</v>
      </c>
      <c r="K8" s="133">
        <v>1.5971963867088639E-3</v>
      </c>
      <c r="L8" s="133">
        <v>6.7036748775783185E-5</v>
      </c>
      <c r="M8" s="133">
        <v>9.3082142051843959E-4</v>
      </c>
      <c r="N8" s="133">
        <v>1.72157304742696E-3</v>
      </c>
      <c r="O8" s="133">
        <v>1.0359476671623978E-3</v>
      </c>
      <c r="P8" s="133">
        <v>4.5859930442675879E-3</v>
      </c>
      <c r="Q8" s="133">
        <v>1.7474131207217967E-3</v>
      </c>
      <c r="R8" s="133">
        <v>9.1821475589785168E-4</v>
      </c>
      <c r="S8" s="133">
        <v>9.3731624345846822E-4</v>
      </c>
      <c r="T8" s="133">
        <v>1.200295862014992E-3</v>
      </c>
      <c r="U8" s="133">
        <v>1.5296092625261032E-3</v>
      </c>
      <c r="V8" s="133">
        <v>1.5936654703751925E-3</v>
      </c>
      <c r="W8" s="133">
        <v>1.2684340319707756E-3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5.7415637365173238</v>
      </c>
      <c r="D9" s="133">
        <v>11.415113032206142</v>
      </c>
      <c r="E9" s="133">
        <v>39.250845014925432</v>
      </c>
      <c r="F9" s="133">
        <v>36.444923167463656</v>
      </c>
      <c r="G9" s="133">
        <v>14.454023160907852</v>
      </c>
      <c r="H9" s="133">
        <v>14.267791596597528</v>
      </c>
      <c r="I9" s="133">
        <v>45.253412794478571</v>
      </c>
      <c r="J9" s="133">
        <v>58.480139973616751</v>
      </c>
      <c r="K9" s="133">
        <v>52.140746173097099</v>
      </c>
      <c r="L9" s="133">
        <v>3.7681002374022698</v>
      </c>
      <c r="M9" s="133">
        <v>44.268194015273295</v>
      </c>
      <c r="N9" s="133">
        <v>31.996034535558803</v>
      </c>
      <c r="O9" s="133">
        <v>9.2363192151746052</v>
      </c>
      <c r="P9" s="133">
        <v>28.998084238156444</v>
      </c>
      <c r="Q9" s="133">
        <v>16.49297410461919</v>
      </c>
      <c r="R9" s="133">
        <v>14.080824404009247</v>
      </c>
      <c r="S9" s="133">
        <v>4.8940733229413</v>
      </c>
      <c r="T9" s="133">
        <v>6.3551911527614005</v>
      </c>
      <c r="U9" s="133">
        <v>9.6140243937216976</v>
      </c>
      <c r="V9" s="133">
        <v>7.5294308198840998</v>
      </c>
      <c r="W9" s="133">
        <v>8.960600027357188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0.5394156433142232</v>
      </c>
      <c r="I10" s="133">
        <v>5.3763921043254204</v>
      </c>
      <c r="J10" s="133">
        <v>5.6451753681779513</v>
      </c>
      <c r="K10" s="133">
        <v>11.777614287689897</v>
      </c>
      <c r="L10" s="133">
        <v>1.7896238546700627</v>
      </c>
      <c r="M10" s="133">
        <v>7.0997162462398968</v>
      </c>
      <c r="N10" s="133">
        <v>3.3396010607852342</v>
      </c>
      <c r="O10" s="133">
        <v>2.5041763799652239</v>
      </c>
      <c r="P10" s="133">
        <v>1.8304639630525372</v>
      </c>
      <c r="Q10" s="133">
        <v>2.0882773068778433</v>
      </c>
      <c r="R10" s="133">
        <v>1.617014018068847</v>
      </c>
      <c r="S10" s="133">
        <v>2.2728423841440355</v>
      </c>
      <c r="T10" s="133">
        <v>1.4435399658918977</v>
      </c>
      <c r="U10" s="133">
        <v>1.3502889284531281</v>
      </c>
      <c r="V10" s="133">
        <v>1.6979453392228065</v>
      </c>
      <c r="W10" s="133">
        <v>1.48545687021465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4.0628451651111589E-3</v>
      </c>
      <c r="D11" s="133">
        <v>3.0409977004422981E-2</v>
      </c>
      <c r="E11" s="133">
        <v>9.9091416075290234E-2</v>
      </c>
      <c r="F11" s="133">
        <v>9.2076931767841014E-2</v>
      </c>
      <c r="G11" s="133">
        <v>8.6505541154988583E-2</v>
      </c>
      <c r="H11" s="133">
        <v>8.5446898315421377E-2</v>
      </c>
      <c r="I11" s="133">
        <v>8.3809218774655067E-2</v>
      </c>
      <c r="J11" s="133">
        <v>0.13672670189311004</v>
      </c>
      <c r="K11" s="133">
        <v>6.7763032947770571E-2</v>
      </c>
      <c r="L11" s="133">
        <v>1.2592076013231382E-3</v>
      </c>
      <c r="M11" s="133">
        <v>6.6892710274988804E-2</v>
      </c>
      <c r="N11" s="133">
        <v>0.17134845286266367</v>
      </c>
      <c r="O11" s="133">
        <v>0.13055088051764047</v>
      </c>
      <c r="P11" s="133">
        <v>0.31686362536832596</v>
      </c>
      <c r="Q11" s="133">
        <v>9.1663048509922865E-2</v>
      </c>
      <c r="R11" s="133">
        <v>3.0810271163915996E-2</v>
      </c>
      <c r="S11" s="133">
        <v>9.6281631665397133E-2</v>
      </c>
      <c r="T11" s="133">
        <v>0.11457611114868764</v>
      </c>
      <c r="U11" s="133">
        <v>0.10073268097994927</v>
      </c>
      <c r="V11" s="133">
        <v>6.9933812667577436E-2</v>
      </c>
      <c r="W11" s="133">
        <v>4.4223756351905431E-2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2.903882638061194</v>
      </c>
      <c r="D12" s="133">
        <v>5.5480098326305418</v>
      </c>
      <c r="E12" s="133">
        <v>16.411415319722217</v>
      </c>
      <c r="F12" s="133">
        <v>57.195703195200636</v>
      </c>
      <c r="G12" s="133">
        <v>20.786677217168123</v>
      </c>
      <c r="H12" s="133">
        <v>40.594387814504479</v>
      </c>
      <c r="I12" s="133">
        <v>17.641969607976268</v>
      </c>
      <c r="J12" s="133">
        <v>25.601510211592466</v>
      </c>
      <c r="K12" s="133">
        <v>14.12645617216665</v>
      </c>
      <c r="L12" s="133">
        <v>3.0833410275132334</v>
      </c>
      <c r="M12" s="133">
        <v>12.148127417078328</v>
      </c>
      <c r="N12" s="133">
        <v>17.412352776007648</v>
      </c>
      <c r="O12" s="133">
        <v>10.949967626623343</v>
      </c>
      <c r="P12" s="133">
        <v>15.688923580275572</v>
      </c>
      <c r="Q12" s="133">
        <v>11.086499562847761</v>
      </c>
      <c r="R12" s="133">
        <v>18.071497855417963</v>
      </c>
      <c r="S12" s="133">
        <v>25.268353478091182</v>
      </c>
      <c r="T12" s="133">
        <v>14.523456332221594</v>
      </c>
      <c r="U12" s="133">
        <v>13.646510567868667</v>
      </c>
      <c r="V12" s="133">
        <v>9.5316725829792777</v>
      </c>
      <c r="W12" s="133">
        <v>5.2690598638739035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7.639460415517098E-3</v>
      </c>
      <c r="D13" s="133">
        <v>1.6107824170133019E-2</v>
      </c>
      <c r="E13" s="133">
        <v>0.10966694882284787</v>
      </c>
      <c r="F13" s="133">
        <v>0.17832945213892357</v>
      </c>
      <c r="G13" s="133">
        <v>0.26104535521999805</v>
      </c>
      <c r="H13" s="133">
        <v>0.34174035501805394</v>
      </c>
      <c r="I13" s="133">
        <v>0.39915022703758873</v>
      </c>
      <c r="J13" s="133">
        <v>0.21114350941140661</v>
      </c>
      <c r="K13" s="133">
        <v>0.1670324860838574</v>
      </c>
      <c r="L13" s="133">
        <v>1.4082990178541591E-2</v>
      </c>
      <c r="M13" s="133">
        <v>0.12521992556590752</v>
      </c>
      <c r="N13" s="133">
        <v>0.15796839019872963</v>
      </c>
      <c r="O13" s="133">
        <v>9.85138705640482E-2</v>
      </c>
      <c r="P13" s="133">
        <v>0.49263314631995342</v>
      </c>
      <c r="Q13" s="133">
        <v>0.22009593097981389</v>
      </c>
      <c r="R13" s="133">
        <v>0.13414066769718089</v>
      </c>
      <c r="S13" s="133">
        <v>0.15716901091272364</v>
      </c>
      <c r="T13" s="133">
        <v>0.15117582637325738</v>
      </c>
      <c r="U13" s="133">
        <v>0.15491531093550553</v>
      </c>
      <c r="V13" s="133">
        <v>0.13431354268054158</v>
      </c>
      <c r="W13" s="133">
        <v>8.4452794317394816E-2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27.450636788358036</v>
      </c>
      <c r="H14" s="65">
        <v>47.208863873495446</v>
      </c>
      <c r="I14" s="65">
        <v>31.679859556933888</v>
      </c>
      <c r="J14" s="65">
        <v>34.43855449657913</v>
      </c>
      <c r="K14" s="65">
        <v>18.345556193952618</v>
      </c>
      <c r="L14" s="65">
        <v>7.7373130376939523</v>
      </c>
      <c r="M14" s="65">
        <v>26.708152465898081</v>
      </c>
      <c r="N14" s="65">
        <v>18.87203519525977</v>
      </c>
      <c r="O14" s="65">
        <v>4.7258000524211239</v>
      </c>
      <c r="P14" s="65">
        <v>16.650700239731734</v>
      </c>
      <c r="Q14" s="65">
        <v>5.9631449560921235</v>
      </c>
      <c r="R14" s="65">
        <v>14.014713066992826</v>
      </c>
      <c r="S14" s="65">
        <v>14.384576331430038</v>
      </c>
      <c r="T14" s="65">
        <v>21.944821615785845</v>
      </c>
      <c r="U14" s="65">
        <v>15.742262001832476</v>
      </c>
      <c r="V14" s="65">
        <v>12.800739948096364</v>
      </c>
      <c r="W14" s="65">
        <v>13.543579602510956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0.10374382837488832</v>
      </c>
      <c r="D15" s="135">
        <v>0.20177428731705851</v>
      </c>
      <c r="E15" s="135">
        <v>0.60507999289408121</v>
      </c>
      <c r="F15" s="135">
        <v>0.73114173748891464</v>
      </c>
      <c r="G15" s="135">
        <v>0.39171992528641347</v>
      </c>
      <c r="H15" s="135">
        <v>0.81739372665057641</v>
      </c>
      <c r="I15" s="135">
        <v>1.0214580130327482</v>
      </c>
      <c r="J15" s="135">
        <v>1.0414728093906009</v>
      </c>
      <c r="K15" s="135">
        <v>0.9382800331736374</v>
      </c>
      <c r="L15" s="135">
        <v>0.11559734433079392</v>
      </c>
      <c r="M15" s="135">
        <v>0.73369455185388788</v>
      </c>
      <c r="N15" s="135">
        <v>0.52161285269942381</v>
      </c>
      <c r="O15" s="135">
        <v>0.18797537146080925</v>
      </c>
      <c r="P15" s="135">
        <v>0.4435523076033242</v>
      </c>
      <c r="Q15" s="135">
        <v>0.29426965727482057</v>
      </c>
      <c r="R15" s="135">
        <v>0.31559240009617784</v>
      </c>
      <c r="S15" s="135">
        <v>0.28527392769305132</v>
      </c>
      <c r="T15" s="135">
        <v>0.23634667120847125</v>
      </c>
      <c r="U15" s="135">
        <v>0.23159809083213873</v>
      </c>
      <c r="V15" s="135">
        <v>0.20129717841876546</v>
      </c>
      <c r="W15" s="135">
        <v>0.20905041694370263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1.1914854641732939</v>
      </c>
      <c r="D16" s="131">
        <f t="shared" si="4"/>
        <v>1.9806047329289878</v>
      </c>
      <c r="E16" s="131">
        <f t="shared" si="4"/>
        <v>3.0687009440728956</v>
      </c>
      <c r="F16" s="131">
        <f t="shared" si="4"/>
        <v>3.7503995971138657</v>
      </c>
      <c r="G16" s="131">
        <f t="shared" si="4"/>
        <v>4.040013258558246</v>
      </c>
      <c r="H16" s="131">
        <f t="shared" si="4"/>
        <v>5.1194817153169874</v>
      </c>
      <c r="I16" s="131">
        <f t="shared" si="4"/>
        <v>6.0230382994157594</v>
      </c>
      <c r="J16" s="131">
        <f t="shared" si="4"/>
        <v>5.5945798724352604</v>
      </c>
      <c r="K16" s="131">
        <f t="shared" si="4"/>
        <v>4.4025135515366367</v>
      </c>
      <c r="L16" s="131">
        <f t="shared" si="4"/>
        <v>1.6832693873655113</v>
      </c>
      <c r="M16" s="131">
        <f t="shared" si="4"/>
        <v>4.750076197809836</v>
      </c>
      <c r="N16" s="131">
        <f t="shared" si="4"/>
        <v>4.8067008849772588</v>
      </c>
      <c r="O16" s="131">
        <f t="shared" si="4"/>
        <v>2.6695280703125106</v>
      </c>
      <c r="P16" s="131">
        <f t="shared" si="4"/>
        <v>4.5897354663276522</v>
      </c>
      <c r="Q16" s="131">
        <f t="shared" si="4"/>
        <v>4.497568810696519</v>
      </c>
      <c r="R16" s="131">
        <f t="shared" ref="R16:W16" si="5">SUM(R17:R18)</f>
        <v>4.2672549517017124</v>
      </c>
      <c r="S16" s="131">
        <f t="shared" si="5"/>
        <v>4.4119633524734141</v>
      </c>
      <c r="T16" s="131">
        <f t="shared" si="5"/>
        <v>4.6709871938065595</v>
      </c>
      <c r="U16" s="131">
        <f t="shared" si="5"/>
        <v>4.8602249648885749</v>
      </c>
      <c r="V16" s="131">
        <f t="shared" si="5"/>
        <v>3.2823831787726894</v>
      </c>
      <c r="W16" s="131">
        <f t="shared" si="5"/>
        <v>4.2108942694331324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4.5043197732848456E-3</v>
      </c>
      <c r="D17" s="133">
        <v>8.3947783947998129E-3</v>
      </c>
      <c r="E17" s="133">
        <v>1.288499204986999E-2</v>
      </c>
      <c r="F17" s="133">
        <v>2.0420957084792486E-2</v>
      </c>
      <c r="G17" s="133">
        <v>2.1782881578104145E-2</v>
      </c>
      <c r="H17" s="133">
        <v>2.2612732328035342E-2</v>
      </c>
      <c r="I17" s="133">
        <v>3.5434273973780225E-2</v>
      </c>
      <c r="J17" s="133">
        <v>2.7984755240548415E-2</v>
      </c>
      <c r="K17" s="133">
        <v>2.7114069938223018E-2</v>
      </c>
      <c r="L17" s="133">
        <v>8.5287734609866619E-3</v>
      </c>
      <c r="M17" s="133">
        <v>4.5942514399552915E-2</v>
      </c>
      <c r="N17" s="133">
        <v>5.0222847091344121E-2</v>
      </c>
      <c r="O17" s="133">
        <v>5.1954780824282655E-2</v>
      </c>
      <c r="P17" s="133">
        <v>0.12786849196341116</v>
      </c>
      <c r="Q17" s="133">
        <v>0.103641217977504</v>
      </c>
      <c r="R17" s="133">
        <v>0.26131869729208529</v>
      </c>
      <c r="S17" s="133">
        <v>0.17341775660885833</v>
      </c>
      <c r="T17" s="133">
        <v>0.1392548485366269</v>
      </c>
      <c r="U17" s="133">
        <v>0.12781679252670886</v>
      </c>
      <c r="V17" s="133">
        <v>0.10539856828408706</v>
      </c>
      <c r="W17" s="133">
        <v>7.8115166546088077E-2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1.1869811444000091</v>
      </c>
      <c r="D18" s="133">
        <v>1.972209954534188</v>
      </c>
      <c r="E18" s="133">
        <v>3.0558159520230257</v>
      </c>
      <c r="F18" s="133">
        <v>3.7299786400290733</v>
      </c>
      <c r="G18" s="133">
        <v>4.0182303769801422</v>
      </c>
      <c r="H18" s="133">
        <v>5.0968689829889522</v>
      </c>
      <c r="I18" s="133">
        <v>5.9876040254419793</v>
      </c>
      <c r="J18" s="133">
        <v>5.5665951171947121</v>
      </c>
      <c r="K18" s="133">
        <v>4.3753994815984134</v>
      </c>
      <c r="L18" s="133">
        <v>1.6747406139045247</v>
      </c>
      <c r="M18" s="133">
        <v>4.7041336834102827</v>
      </c>
      <c r="N18" s="133">
        <v>4.7564780378859144</v>
      </c>
      <c r="O18" s="133">
        <v>2.6175732894882278</v>
      </c>
      <c r="P18" s="133">
        <v>4.4618669743642414</v>
      </c>
      <c r="Q18" s="133">
        <v>4.3939275927190149</v>
      </c>
      <c r="R18" s="133">
        <v>4.0059362544096269</v>
      </c>
      <c r="S18" s="133">
        <v>4.2385455958645561</v>
      </c>
      <c r="T18" s="133">
        <v>4.5317323452699325</v>
      </c>
      <c r="U18" s="133">
        <v>4.7324081723618656</v>
      </c>
      <c r="V18" s="133">
        <v>3.1769846104886024</v>
      </c>
      <c r="W18" s="133">
        <v>4.132779102887044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1.5308325124846036</v>
      </c>
      <c r="D19" s="131">
        <f t="shared" si="6"/>
        <v>2.9262735609554693</v>
      </c>
      <c r="E19" s="131">
        <f t="shared" si="6"/>
        <v>10.431541813409043</v>
      </c>
      <c r="F19" s="131">
        <f t="shared" si="6"/>
        <v>15.860623490800762</v>
      </c>
      <c r="G19" s="131">
        <f t="shared" si="6"/>
        <v>13.333865817909894</v>
      </c>
      <c r="H19" s="131">
        <f t="shared" si="6"/>
        <v>23.010405201709009</v>
      </c>
      <c r="I19" s="131">
        <f t="shared" si="6"/>
        <v>27.361800061830202</v>
      </c>
      <c r="J19" s="131">
        <f t="shared" si="6"/>
        <v>26.848549957808494</v>
      </c>
      <c r="K19" s="131">
        <f t="shared" si="6"/>
        <v>22.613384182158573</v>
      </c>
      <c r="L19" s="131">
        <f t="shared" si="6"/>
        <v>3.6997873816885285</v>
      </c>
      <c r="M19" s="131">
        <f t="shared" si="6"/>
        <v>20.070016742062805</v>
      </c>
      <c r="N19" s="131">
        <f t="shared" si="6"/>
        <v>16.66658980025619</v>
      </c>
      <c r="O19" s="131">
        <f t="shared" si="6"/>
        <v>7.0392717889059711</v>
      </c>
      <c r="P19" s="131">
        <f t="shared" si="6"/>
        <v>17.37336352172106</v>
      </c>
      <c r="Q19" s="131">
        <f t="shared" si="6"/>
        <v>10.743907780453089</v>
      </c>
      <c r="R19" s="131">
        <f t="shared" ref="R19:W19" si="7">SUM(R20:R27)</f>
        <v>13.577665421169749</v>
      </c>
      <c r="S19" s="131">
        <f t="shared" si="7"/>
        <v>16.361770211225306</v>
      </c>
      <c r="T19" s="131">
        <f t="shared" si="7"/>
        <v>15.463068635921518</v>
      </c>
      <c r="U19" s="131">
        <f t="shared" si="7"/>
        <v>14.312763595540394</v>
      </c>
      <c r="V19" s="131">
        <f t="shared" si="7"/>
        <v>11.91690270232978</v>
      </c>
      <c r="W19" s="131">
        <f t="shared" si="7"/>
        <v>12.175119878311218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0.32110866404788585</v>
      </c>
      <c r="D20" s="133">
        <v>0.38673869769087454</v>
      </c>
      <c r="E20" s="133">
        <v>0.65473493554887463</v>
      </c>
      <c r="F20" s="133">
        <v>0.19277023828223047</v>
      </c>
      <c r="G20" s="133">
        <v>8.649083603059049E-2</v>
      </c>
      <c r="H20" s="133">
        <v>8.0968561354445662E-2</v>
      </c>
      <c r="I20" s="133">
        <v>0.98237313133671467</v>
      </c>
      <c r="J20" s="133">
        <v>1.0889957547652718</v>
      </c>
      <c r="K20" s="133">
        <v>1.1763642138272923</v>
      </c>
      <c r="L20" s="133">
        <v>0.26989584983598192</v>
      </c>
      <c r="M20" s="133">
        <v>1.0172541419334094</v>
      </c>
      <c r="N20" s="133">
        <v>0.84675740571098312</v>
      </c>
      <c r="O20" s="133">
        <v>0.42091441298259419</v>
      </c>
      <c r="P20" s="133">
        <v>1.250750046021273</v>
      </c>
      <c r="Q20" s="133">
        <v>0.74310217943899681</v>
      </c>
      <c r="R20" s="133">
        <v>0.68099697196422793</v>
      </c>
      <c r="S20" s="133">
        <v>0</v>
      </c>
      <c r="T20" s="133">
        <v>0</v>
      </c>
      <c r="U20" s="133">
        <v>7.995964464062598E-4</v>
      </c>
      <c r="V20" s="133">
        <v>7.6857899489949755E-2</v>
      </c>
      <c r="W20" s="133">
        <v>0.31013890246242382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0.26152550525780666</v>
      </c>
      <c r="D21" s="133">
        <v>0.5084567277119928</v>
      </c>
      <c r="E21" s="133">
        <v>2.034533400415246</v>
      </c>
      <c r="F21" s="133">
        <v>1.3891970613966003</v>
      </c>
      <c r="G21" s="133">
        <v>1.5745599984321897E-2</v>
      </c>
      <c r="H21" s="133">
        <v>0.23673777495979542</v>
      </c>
      <c r="I21" s="133">
        <v>0</v>
      </c>
      <c r="J21" s="133">
        <v>0.25301340417602097</v>
      </c>
      <c r="K21" s="133">
        <v>0.64588647163837154</v>
      </c>
      <c r="L21" s="133">
        <v>0.45599017817852805</v>
      </c>
      <c r="M21" s="133">
        <v>1.9600711594745681</v>
      </c>
      <c r="N21" s="133">
        <v>2.1837050366584969</v>
      </c>
      <c r="O21" s="133">
        <v>0.23532152191537062</v>
      </c>
      <c r="P21" s="133">
        <v>0.16007735569326681</v>
      </c>
      <c r="Q21" s="133">
        <v>0.13369327380078919</v>
      </c>
      <c r="R21" s="133">
        <v>1.1185832051544191</v>
      </c>
      <c r="S21" s="133">
        <v>1.2828054312109796</v>
      </c>
      <c r="T21" s="133">
        <v>0.75067120904218443</v>
      </c>
      <c r="U21" s="133">
        <v>0.46176018074511166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4.952847405076681E-2</v>
      </c>
      <c r="D22" s="133">
        <v>0.1399148711020651</v>
      </c>
      <c r="E22" s="133">
        <v>0.42391874323928452</v>
      </c>
      <c r="F22" s="133">
        <v>0.69964535192909161</v>
      </c>
      <c r="G22" s="133">
        <v>0.65188530829571056</v>
      </c>
      <c r="H22" s="133">
        <v>1.2554523692115065</v>
      </c>
      <c r="I22" s="133">
        <v>1.5605157967684566</v>
      </c>
      <c r="J22" s="133">
        <v>1.7026056277055106</v>
      </c>
      <c r="K22" s="133">
        <v>1.4189290431750399</v>
      </c>
      <c r="L22" s="133">
        <v>0.31397549709943967</v>
      </c>
      <c r="M22" s="133">
        <v>1.0274653579958604</v>
      </c>
      <c r="N22" s="133">
        <v>0.77580108007251891</v>
      </c>
      <c r="O22" s="133">
        <v>0.34179862699715452</v>
      </c>
      <c r="P22" s="133">
        <v>0.49897109539112111</v>
      </c>
      <c r="Q22" s="133">
        <v>0.48000304354994344</v>
      </c>
      <c r="R22" s="133">
        <v>0.55271863726913617</v>
      </c>
      <c r="S22" s="133">
        <v>0.68688387785848193</v>
      </c>
      <c r="T22" s="133">
        <v>0.45842869047467216</v>
      </c>
      <c r="U22" s="133">
        <v>0.47764669157007505</v>
      </c>
      <c r="V22" s="133">
        <v>0.33280349283794314</v>
      </c>
      <c r="W22" s="133">
        <v>0.50453427005003415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0.37381482131357602</v>
      </c>
      <c r="D23" s="133">
        <v>0.96771948482886161</v>
      </c>
      <c r="E23" s="133">
        <v>3.3081641998224534</v>
      </c>
      <c r="F23" s="133">
        <v>3.2081790831569732</v>
      </c>
      <c r="G23" s="133">
        <v>2.6645587827112198</v>
      </c>
      <c r="H23" s="133">
        <v>3.1587356955156296</v>
      </c>
      <c r="I23" s="133">
        <v>3.8044613241580003</v>
      </c>
      <c r="J23" s="133">
        <v>4.6976488763094659</v>
      </c>
      <c r="K23" s="133">
        <v>4.1471077693098488</v>
      </c>
      <c r="L23" s="133">
        <v>1.0250461995877298</v>
      </c>
      <c r="M23" s="133">
        <v>3.2318005575787416</v>
      </c>
      <c r="N23" s="133">
        <v>2.3188818817581351</v>
      </c>
      <c r="O23" s="133">
        <v>1.1087822149886652</v>
      </c>
      <c r="P23" s="133">
        <v>3.1681644145676722</v>
      </c>
      <c r="Q23" s="133">
        <v>1.4685594457981235</v>
      </c>
      <c r="R23" s="133">
        <v>0.83786417793279189</v>
      </c>
      <c r="S23" s="133">
        <v>0</v>
      </c>
      <c r="T23" s="133">
        <v>0</v>
      </c>
      <c r="U23" s="133">
        <v>6.3200843927500661E-3</v>
      </c>
      <c r="V23" s="133">
        <v>0.59577406595413751</v>
      </c>
      <c r="W23" s="133">
        <v>1.2871554855357312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1.2690776514724909E-2</v>
      </c>
      <c r="D24" s="133">
        <v>2.6382211169936515E-2</v>
      </c>
      <c r="E24" s="133">
        <v>6.8596304541016229E-2</v>
      </c>
      <c r="F24" s="133">
        <v>0.14234526181043519</v>
      </c>
      <c r="G24" s="133">
        <v>0.20288729263815378</v>
      </c>
      <c r="H24" s="133">
        <v>0.45835247769346998</v>
      </c>
      <c r="I24" s="133">
        <v>0.6308979499000833</v>
      </c>
      <c r="J24" s="133">
        <v>0.57812486182512346</v>
      </c>
      <c r="K24" s="133">
        <v>0.41155887387258799</v>
      </c>
      <c r="L24" s="133">
        <v>7.3531129374528811E-2</v>
      </c>
      <c r="M24" s="133">
        <v>0.2851115858167772</v>
      </c>
      <c r="N24" s="133">
        <v>0.23604877088640386</v>
      </c>
      <c r="O24" s="133">
        <v>0.11600684981417232</v>
      </c>
      <c r="P24" s="133">
        <v>0.35002691541638853</v>
      </c>
      <c r="Q24" s="133">
        <v>0.33196312310872</v>
      </c>
      <c r="R24" s="133">
        <v>0.41011939637536582</v>
      </c>
      <c r="S24" s="133">
        <v>0.32968841925824971</v>
      </c>
      <c r="T24" s="133">
        <v>0.25919347840355178</v>
      </c>
      <c r="U24" s="133">
        <v>0.40879049117800198</v>
      </c>
      <c r="V24" s="133">
        <v>0.61280916286778753</v>
      </c>
      <c r="W24" s="133">
        <v>0.55659089335644707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0.26528050217559757</v>
      </c>
      <c r="D25" s="133">
        <v>0.66118955516879374</v>
      </c>
      <c r="E25" s="133">
        <v>2.2593551923672557</v>
      </c>
      <c r="F25" s="133">
        <v>4.3952271551528685</v>
      </c>
      <c r="G25" s="133">
        <v>3.2409934913868699</v>
      </c>
      <c r="H25" s="133">
        <v>3.7989836099944725</v>
      </c>
      <c r="I25" s="133">
        <v>3.38120075765173</v>
      </c>
      <c r="J25" s="133">
        <v>3.4198164042280244</v>
      </c>
      <c r="K25" s="133">
        <v>2.8805052414570489</v>
      </c>
      <c r="L25" s="133">
        <v>0.56299138896368783</v>
      </c>
      <c r="M25" s="133">
        <v>2.3298164814132374</v>
      </c>
      <c r="N25" s="133">
        <v>2.0661148594331373</v>
      </c>
      <c r="O25" s="133">
        <v>1.0606590265567069</v>
      </c>
      <c r="P25" s="133">
        <v>2.0228560064749042</v>
      </c>
      <c r="Q25" s="133">
        <v>2.3292844989929065</v>
      </c>
      <c r="R25" s="133">
        <v>3.2237812449296865</v>
      </c>
      <c r="S25" s="133">
        <v>3.8082173300549007</v>
      </c>
      <c r="T25" s="133">
        <v>2.5517468809921087</v>
      </c>
      <c r="U25" s="133">
        <v>1.8578609142567457</v>
      </c>
      <c r="V25" s="133">
        <v>1.8088162889158907</v>
      </c>
      <c r="W25" s="133">
        <v>1.1850132159783646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0.24688376912424601</v>
      </c>
      <c r="D26" s="65">
        <v>0.21626701467901435</v>
      </c>
      <c r="E26" s="65">
        <v>1.6822390374749134</v>
      </c>
      <c r="F26" s="65">
        <v>5.7665641755765549</v>
      </c>
      <c r="G26" s="65">
        <v>6.427140845099971</v>
      </c>
      <c r="H26" s="65">
        <v>13.913784832443888</v>
      </c>
      <c r="I26" s="65">
        <v>16.926277759317458</v>
      </c>
      <c r="J26" s="65">
        <v>14.218968470776996</v>
      </c>
      <c r="K26" s="65">
        <v>11.288826069405426</v>
      </c>
      <c r="L26" s="65">
        <v>0.61765581283100479</v>
      </c>
      <c r="M26" s="65">
        <v>9.5388723714595258</v>
      </c>
      <c r="N26" s="65">
        <v>7.6965648492970669</v>
      </c>
      <c r="O26" s="65">
        <v>3.4177675107384617</v>
      </c>
      <c r="P26" s="65">
        <v>9.4431145402124521</v>
      </c>
      <c r="Q26" s="65">
        <v>4.516075709795329</v>
      </c>
      <c r="R26" s="65">
        <v>6.4298330981118106</v>
      </c>
      <c r="S26" s="65">
        <v>10.071830891509251</v>
      </c>
      <c r="T26" s="65">
        <v>10.261018785990325</v>
      </c>
      <c r="U26" s="65">
        <v>11.099585636951304</v>
      </c>
      <c r="V26" s="65">
        <v>8.3419564157671111</v>
      </c>
      <c r="W26" s="65">
        <v>8.3316800044382884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1.9604998603930654E-2</v>
      </c>
      <c r="E27" s="148">
        <v>0</v>
      </c>
      <c r="F27" s="148">
        <v>6.6695163496006835E-2</v>
      </c>
      <c r="G27" s="148">
        <v>4.4163661763055986E-2</v>
      </c>
      <c r="H27" s="148">
        <v>0.10738988053580147</v>
      </c>
      <c r="I27" s="148">
        <v>7.6073342697760379E-2</v>
      </c>
      <c r="J27" s="148">
        <v>0.8893765580220786</v>
      </c>
      <c r="K27" s="148">
        <v>0.64420649947295738</v>
      </c>
      <c r="L27" s="148">
        <v>0.38070132581762767</v>
      </c>
      <c r="M27" s="148">
        <v>0.67962508639068575</v>
      </c>
      <c r="N27" s="148">
        <v>0.54271591643944928</v>
      </c>
      <c r="O27" s="148">
        <v>0.3380216249128451</v>
      </c>
      <c r="P27" s="148">
        <v>0.47940314794398431</v>
      </c>
      <c r="Q27" s="148">
        <v>0.74122650596828021</v>
      </c>
      <c r="R27" s="148">
        <v>0.32376868943231096</v>
      </c>
      <c r="S27" s="148">
        <v>0.18234426133344098</v>
      </c>
      <c r="T27" s="148">
        <v>1.1820095910186752</v>
      </c>
      <c r="U27" s="148">
        <v>0</v>
      </c>
      <c r="V27" s="148">
        <v>0.1478853764969601</v>
      </c>
      <c r="W27" s="148">
        <v>7.1064899275995562E-6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1.943283244967593</v>
      </c>
      <c r="D29" s="131">
        <f t="shared" si="8"/>
        <v>3.6345509674537042</v>
      </c>
      <c r="E29" s="131">
        <f t="shared" si="8"/>
        <v>13.008729866290684</v>
      </c>
      <c r="F29" s="131">
        <f t="shared" si="8"/>
        <v>19.460801051525277</v>
      </c>
      <c r="G29" s="131">
        <f t="shared" si="8"/>
        <v>16.605277388198814</v>
      </c>
      <c r="H29" s="131">
        <f t="shared" si="8"/>
        <v>27.414208611354027</v>
      </c>
      <c r="I29" s="131">
        <f t="shared" si="8"/>
        <v>30.988836823790333</v>
      </c>
      <c r="J29" s="131">
        <f t="shared" si="8"/>
        <v>30.521640982603593</v>
      </c>
      <c r="K29" s="131">
        <f t="shared" si="8"/>
        <v>25.424991259209936</v>
      </c>
      <c r="L29" s="131">
        <f t="shared" si="8"/>
        <v>4.3521763488093042</v>
      </c>
      <c r="M29" s="131">
        <f t="shared" si="8"/>
        <v>24.367265348518515</v>
      </c>
      <c r="N29" s="131">
        <f t="shared" si="8"/>
        <v>20.089488573155847</v>
      </c>
      <c r="O29" s="131">
        <f t="shared" si="8"/>
        <v>8.5241090058479543</v>
      </c>
      <c r="P29" s="131">
        <f t="shared" si="8"/>
        <v>20.758062383166099</v>
      </c>
      <c r="Q29" s="131">
        <f t="shared" si="8"/>
        <v>13.227417996137175</v>
      </c>
      <c r="R29" s="131">
        <f t="shared" ref="R29:W29" si="9">SUM(R30:R33)</f>
        <v>16.209442273124463</v>
      </c>
      <c r="S29" s="131">
        <f t="shared" si="9"/>
        <v>19.406406800622793</v>
      </c>
      <c r="T29" s="131">
        <f t="shared" si="9"/>
        <v>18.876958976579555</v>
      </c>
      <c r="U29" s="131">
        <f t="shared" si="9"/>
        <v>17.814590617446861</v>
      </c>
      <c r="V29" s="131">
        <f t="shared" si="9"/>
        <v>15.225275581885635</v>
      </c>
      <c r="W29" s="131">
        <f t="shared" si="9"/>
        <v>15.333776058021897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0.26099960500011499</v>
      </c>
      <c r="D30" s="133">
        <v>0.42776119404181401</v>
      </c>
      <c r="E30" s="133">
        <v>1.892784682154308</v>
      </c>
      <c r="F30" s="133">
        <v>1.4473091214950351</v>
      </c>
      <c r="G30" s="133">
        <v>1.0147250566773975</v>
      </c>
      <c r="H30" s="133">
        <v>1.1876047557709035</v>
      </c>
      <c r="I30" s="133">
        <v>0.26796845901652211</v>
      </c>
      <c r="J30" s="133">
        <v>0</v>
      </c>
      <c r="K30" s="133">
        <v>0</v>
      </c>
      <c r="L30" s="133">
        <v>0</v>
      </c>
      <c r="M30" s="133">
        <v>0</v>
      </c>
      <c r="N30" s="133">
        <v>0.40933718255172413</v>
      </c>
      <c r="O30" s="133">
        <v>0.56484408427554578</v>
      </c>
      <c r="P30" s="133">
        <v>1.0858327118499762</v>
      </c>
      <c r="Q30" s="133">
        <v>0.96610295814556069</v>
      </c>
      <c r="R30" s="133">
        <v>0.9748478458426878</v>
      </c>
      <c r="S30" s="133">
        <v>0.9469271553976697</v>
      </c>
      <c r="T30" s="133">
        <v>0.37371063235656077</v>
      </c>
      <c r="U30" s="133">
        <v>0.22446496144066269</v>
      </c>
      <c r="V30" s="133">
        <v>7.1772735194536308E-2</v>
      </c>
      <c r="W30" s="133">
        <v>0.15632596759377448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0.50305924062511287</v>
      </c>
      <c r="D31" s="133">
        <v>0.94165213044126528</v>
      </c>
      <c r="E31" s="133">
        <v>3.0840419178348286</v>
      </c>
      <c r="F31" s="133">
        <v>4.6444398055423575</v>
      </c>
      <c r="G31" s="133">
        <v>4.6750880064895233</v>
      </c>
      <c r="H31" s="133">
        <v>6.5506437351764744</v>
      </c>
      <c r="I31" s="133">
        <v>6.4721630808928339</v>
      </c>
      <c r="J31" s="133">
        <v>6.0512140598021809</v>
      </c>
      <c r="K31" s="133">
        <v>6.1184606243806163</v>
      </c>
      <c r="L31" s="133">
        <v>1.4905678623092731</v>
      </c>
      <c r="M31" s="133">
        <v>11.15376713764665</v>
      </c>
      <c r="N31" s="133">
        <v>9.0964766239770984</v>
      </c>
      <c r="O31" s="133">
        <v>3.2542330016698093</v>
      </c>
      <c r="P31" s="133">
        <v>5.4615560448661293</v>
      </c>
      <c r="Q31" s="133">
        <v>3.345179502875284</v>
      </c>
      <c r="R31" s="133">
        <v>2.9978014666176702</v>
      </c>
      <c r="S31" s="133">
        <v>3.428901268503378</v>
      </c>
      <c r="T31" s="133">
        <v>3.087690578541018</v>
      </c>
      <c r="U31" s="133">
        <v>4.9175016172642882</v>
      </c>
      <c r="V31" s="133">
        <v>3.8599810516870781</v>
      </c>
      <c r="W31" s="133">
        <v>5.7157957007944118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1.1792243993423652</v>
      </c>
      <c r="D33" s="68">
        <v>2.2651376429706249</v>
      </c>
      <c r="E33" s="68">
        <v>8.0319032663015477</v>
      </c>
      <c r="F33" s="68">
        <v>13.369052124487885</v>
      </c>
      <c r="G33" s="68">
        <v>10.915464325031895</v>
      </c>
      <c r="H33" s="68">
        <v>19.67596012040665</v>
      </c>
      <c r="I33" s="68">
        <v>24.248705283880977</v>
      </c>
      <c r="J33" s="68">
        <v>24.470426922801412</v>
      </c>
      <c r="K33" s="68">
        <v>19.306530634829318</v>
      </c>
      <c r="L33" s="68">
        <v>2.8616084865000313</v>
      </c>
      <c r="M33" s="68">
        <v>13.213498210871863</v>
      </c>
      <c r="N33" s="68">
        <v>10.583674766627025</v>
      </c>
      <c r="O33" s="68">
        <v>4.7050319199026003</v>
      </c>
      <c r="P33" s="68">
        <v>14.210673626449992</v>
      </c>
      <c r="Q33" s="68">
        <v>8.9161355351163305</v>
      </c>
      <c r="R33" s="68">
        <v>12.236792960664106</v>
      </c>
      <c r="S33" s="68">
        <v>15.030578376721746</v>
      </c>
      <c r="T33" s="68">
        <v>15.415557765681976</v>
      </c>
      <c r="U33" s="68">
        <v>12.672624038741908</v>
      </c>
      <c r="V33" s="68">
        <v>11.29352179500402</v>
      </c>
      <c r="W33" s="68">
        <v>9.4616543896337095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12.760344056821456</v>
      </c>
      <c r="D3" s="126">
        <f t="shared" si="0"/>
        <v>24.860533143584298</v>
      </c>
      <c r="E3" s="126">
        <f t="shared" si="0"/>
        <v>70.853919242563592</v>
      </c>
      <c r="F3" s="126">
        <f t="shared" si="0"/>
        <v>114.7411409034797</v>
      </c>
      <c r="G3" s="126">
        <f t="shared" si="0"/>
        <v>91.204977798856646</v>
      </c>
      <c r="H3" s="126">
        <f t="shared" si="0"/>
        <v>163.88648258844756</v>
      </c>
      <c r="I3" s="126">
        <f t="shared" si="0"/>
        <v>161.21795966553111</v>
      </c>
      <c r="J3" s="126">
        <f t="shared" si="0"/>
        <v>169.00407757836231</v>
      </c>
      <c r="K3" s="126">
        <f t="shared" si="0"/>
        <v>137.29208843790974</v>
      </c>
      <c r="L3" s="126">
        <f t="shared" si="0"/>
        <v>27.69593748922491</v>
      </c>
      <c r="M3" s="126">
        <f t="shared" si="0"/>
        <v>126.42801582967149</v>
      </c>
      <c r="N3" s="126">
        <f t="shared" si="0"/>
        <v>105.08170917477129</v>
      </c>
      <c r="O3" s="126">
        <f t="shared" si="0"/>
        <v>45.372645845964904</v>
      </c>
      <c r="P3" s="126">
        <f t="shared" si="0"/>
        <v>99.732445598448194</v>
      </c>
      <c r="Q3" s="126">
        <f t="shared" si="0"/>
        <v>68.037440714953902</v>
      </c>
      <c r="R3" s="126">
        <f t="shared" ref="R3:W3" si="1">SUM(R4,R16,R19,R29)</f>
        <v>84.855682819035906</v>
      </c>
      <c r="S3" s="126">
        <f t="shared" si="1"/>
        <v>96.291745382470765</v>
      </c>
      <c r="T3" s="126">
        <f t="shared" si="1"/>
        <v>92.342322527578006</v>
      </c>
      <c r="U3" s="126">
        <f t="shared" si="1"/>
        <v>84.647641856623224</v>
      </c>
      <c r="V3" s="126">
        <f t="shared" si="1"/>
        <v>68.403424281701476</v>
      </c>
      <c r="W3" s="126">
        <f t="shared" si="1"/>
        <v>70.718870738877129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7.6581236843752869</v>
      </c>
      <c r="D4" s="131">
        <f t="shared" si="2"/>
        <v>15.670666983203263</v>
      </c>
      <c r="E4" s="131">
        <f t="shared" si="2"/>
        <v>47.30108131356986</v>
      </c>
      <c r="F4" s="131">
        <f t="shared" si="2"/>
        <v>80.292160197998442</v>
      </c>
      <c r="G4" s="131">
        <f t="shared" si="2"/>
        <v>59.49233641027373</v>
      </c>
      <c r="H4" s="131">
        <f t="shared" si="2"/>
        <v>114.22145757326645</v>
      </c>
      <c r="I4" s="131">
        <f t="shared" si="2"/>
        <v>102.69807704902406</v>
      </c>
      <c r="J4" s="131">
        <f t="shared" si="2"/>
        <v>111.49459648488211</v>
      </c>
      <c r="K4" s="131">
        <f t="shared" si="2"/>
        <v>89.743393548120324</v>
      </c>
      <c r="L4" s="131">
        <f t="shared" si="2"/>
        <v>16.853503398034334</v>
      </c>
      <c r="M4" s="131">
        <f t="shared" si="2"/>
        <v>80.326396264239435</v>
      </c>
      <c r="N4" s="131">
        <f t="shared" si="2"/>
        <v>63.480702241535603</v>
      </c>
      <c r="O4" s="131">
        <f t="shared" si="2"/>
        <v>25.093503435504829</v>
      </c>
      <c r="P4" s="131">
        <f t="shared" si="2"/>
        <v>54.994425459805669</v>
      </c>
      <c r="Q4" s="131">
        <f t="shared" si="2"/>
        <v>33.251217400249445</v>
      </c>
      <c r="R4" s="131">
        <f t="shared" ref="R4:W4" si="3">SUM(R5:R15)</f>
        <v>45.895614843153758</v>
      </c>
      <c r="S4" s="131">
        <f t="shared" si="3"/>
        <v>50.931367130954492</v>
      </c>
      <c r="T4" s="131">
        <f t="shared" si="3"/>
        <v>46.020268181602894</v>
      </c>
      <c r="U4" s="131">
        <f t="shared" si="3"/>
        <v>39.380172863252781</v>
      </c>
      <c r="V4" s="131">
        <f t="shared" si="3"/>
        <v>32.843441755057711</v>
      </c>
      <c r="W4" s="131">
        <f t="shared" si="3"/>
        <v>31.226141380401419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0.99269569243480227</v>
      </c>
      <c r="D5" s="133">
        <v>3.0991912219051425</v>
      </c>
      <c r="E5" s="133">
        <v>8.7022930825734157</v>
      </c>
      <c r="F5" s="133">
        <v>9.5975543111098034</v>
      </c>
      <c r="G5" s="133">
        <v>7.7980822178140823</v>
      </c>
      <c r="H5" s="133">
        <v>13.392931757445819</v>
      </c>
      <c r="I5" s="133">
        <v>13.653460589877144</v>
      </c>
      <c r="J5" s="133">
        <v>13.268386806737864</v>
      </c>
      <c r="K5" s="133">
        <v>15.643512967297781</v>
      </c>
      <c r="L5" s="133">
        <v>3.1491262624606637</v>
      </c>
      <c r="M5" s="133">
        <v>10.865389754236448</v>
      </c>
      <c r="N5" s="133">
        <v>9.0682240036743096</v>
      </c>
      <c r="O5" s="133">
        <v>3.5879273782967305</v>
      </c>
      <c r="P5" s="133">
        <v>3.8806582427622671</v>
      </c>
      <c r="Q5" s="133">
        <v>3.0886484764570024</v>
      </c>
      <c r="R5" s="133">
        <v>3.7727857188990139</v>
      </c>
      <c r="S5" s="133">
        <v>6.2920313943350594</v>
      </c>
      <c r="T5" s="133">
        <v>3.5447305629434429</v>
      </c>
      <c r="U5" s="133">
        <v>2.0327931624173097</v>
      </c>
      <c r="V5" s="133">
        <v>2.9678844187243798</v>
      </c>
      <c r="W5" s="133">
        <v>3.3898923856449406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0.78488016514915004</v>
      </c>
      <c r="D7" s="133">
        <v>0.93952975469617017</v>
      </c>
      <c r="E7" s="133">
        <v>0.39794658426491408</v>
      </c>
      <c r="F7" s="133">
        <v>0.47506281512747006</v>
      </c>
      <c r="G7" s="133">
        <v>4.3025291008270417</v>
      </c>
      <c r="H7" s="133">
        <v>21.420746447237061</v>
      </c>
      <c r="I7" s="133">
        <v>16.725814104120872</v>
      </c>
      <c r="J7" s="133">
        <v>8.250731063375687</v>
      </c>
      <c r="K7" s="133">
        <v>6.1484848818105418</v>
      </c>
      <c r="L7" s="133">
        <v>1.5812560773260536</v>
      </c>
      <c r="M7" s="133">
        <v>3.6319747161713427</v>
      </c>
      <c r="N7" s="133">
        <v>0</v>
      </c>
      <c r="O7" s="133">
        <v>0</v>
      </c>
      <c r="P7" s="133">
        <v>0</v>
      </c>
      <c r="Q7" s="133">
        <v>1.2221957478947731</v>
      </c>
      <c r="R7" s="133">
        <v>2.6059215649304504</v>
      </c>
      <c r="S7" s="133">
        <v>4.6996518002985193</v>
      </c>
      <c r="T7" s="133">
        <v>4.4809210605172716</v>
      </c>
      <c r="U7" s="133">
        <v>2.6199970032927005</v>
      </c>
      <c r="V7" s="133">
        <v>2.6667371690587403</v>
      </c>
      <c r="W7" s="133">
        <v>2.8115859096076412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2.7689596643080337E-4</v>
      </c>
      <c r="D8" s="133">
        <v>4.5651872300425596E-4</v>
      </c>
      <c r="E8" s="133">
        <v>2.1951256823867517E-3</v>
      </c>
      <c r="F8" s="133">
        <v>2.4037183206042194E-3</v>
      </c>
      <c r="G8" s="133">
        <v>2.9155541350131104E-3</v>
      </c>
      <c r="H8" s="133">
        <v>3.0709777751659734E-3</v>
      </c>
      <c r="I8" s="133">
        <v>5.2742177880917302E-3</v>
      </c>
      <c r="J8" s="133">
        <v>2.6918645067966888E-3</v>
      </c>
      <c r="K8" s="133">
        <v>2.5889771503379596E-3</v>
      </c>
      <c r="L8" s="133">
        <v>1.1418905409699063E-4</v>
      </c>
      <c r="M8" s="133">
        <v>1.670028387124531E-3</v>
      </c>
      <c r="N8" s="133">
        <v>3.2622064566107576E-3</v>
      </c>
      <c r="O8" s="133">
        <v>2.0768480803382422E-3</v>
      </c>
      <c r="P8" s="133">
        <v>9.7012203953000878E-3</v>
      </c>
      <c r="Q8" s="133">
        <v>3.8549948542689486E-3</v>
      </c>
      <c r="R8" s="133">
        <v>2.0598725448993638E-3</v>
      </c>
      <c r="S8" s="133">
        <v>2.1251742728105689E-3</v>
      </c>
      <c r="T8" s="133">
        <v>2.7402701938579262E-3</v>
      </c>
      <c r="U8" s="133">
        <v>3.5112990406507244E-3</v>
      </c>
      <c r="V8" s="133">
        <v>3.6817250081950261E-3</v>
      </c>
      <c r="W8" s="133">
        <v>2.9509279275237287E-3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3.4210478713773469</v>
      </c>
      <c r="D9" s="133">
        <v>6.8955520444514731</v>
      </c>
      <c r="E9" s="133">
        <v>24.033604761030922</v>
      </c>
      <c r="F9" s="133">
        <v>22.611965388410304</v>
      </c>
      <c r="G9" s="133">
        <v>9.0853776731736868</v>
      </c>
      <c r="H9" s="133">
        <v>9.0840658070888729</v>
      </c>
      <c r="I9" s="133">
        <v>29.179600548520501</v>
      </c>
      <c r="J9" s="133">
        <v>38.18945528340236</v>
      </c>
      <c r="K9" s="133">
        <v>34.488715347601769</v>
      </c>
      <c r="L9" s="133">
        <v>2.5249789473968409</v>
      </c>
      <c r="M9" s="133">
        <v>30.152674391895768</v>
      </c>
      <c r="N9" s="133">
        <v>22.247061082435664</v>
      </c>
      <c r="O9" s="133">
        <v>6.585710589775803</v>
      </c>
      <c r="P9" s="133">
        <v>21.246879083357651</v>
      </c>
      <c r="Q9" s="133">
        <v>12.359563886826436</v>
      </c>
      <c r="R9" s="133">
        <v>10.685464175105398</v>
      </c>
      <c r="S9" s="133">
        <v>3.7497732087148603</v>
      </c>
      <c r="T9" s="133">
        <v>4.9063342518170536</v>
      </c>
      <c r="U9" s="133">
        <v>7.4689146957103576</v>
      </c>
      <c r="V9" s="133">
        <v>5.8811904037795113</v>
      </c>
      <c r="W9" s="133">
        <v>7.0252072435434059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0.29745856581967967</v>
      </c>
      <c r="I10" s="133">
        <v>2.9663272559654579</v>
      </c>
      <c r="J10" s="133">
        <v>3.1162406781284089</v>
      </c>
      <c r="K10" s="133">
        <v>6.504824968146707</v>
      </c>
      <c r="L10" s="133">
        <v>0.98892478000749506</v>
      </c>
      <c r="M10" s="133">
        <v>3.9250749902666491</v>
      </c>
      <c r="N10" s="133">
        <v>1.8470582836302616</v>
      </c>
      <c r="O10" s="133">
        <v>1.385475550321037</v>
      </c>
      <c r="P10" s="133">
        <v>1.0130355277642749</v>
      </c>
      <c r="Q10" s="133">
        <v>1.1561277748735821</v>
      </c>
      <c r="R10" s="133">
        <v>0.89569195430907755</v>
      </c>
      <c r="S10" s="133">
        <v>1.2597046456928254</v>
      </c>
      <c r="T10" s="133">
        <v>0.80054146447779895</v>
      </c>
      <c r="U10" s="133">
        <v>0.74923324860902019</v>
      </c>
      <c r="V10" s="133">
        <v>0.9425647415694749</v>
      </c>
      <c r="W10" s="133">
        <v>0.8249090087393609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3.2590452945868821E-3</v>
      </c>
      <c r="D11" s="133">
        <v>2.4514679646427128E-2</v>
      </c>
      <c r="E11" s="133">
        <v>8.0276033379378484E-2</v>
      </c>
      <c r="F11" s="133">
        <v>7.4960073217711268E-2</v>
      </c>
      <c r="G11" s="133">
        <v>7.0768874838345611E-2</v>
      </c>
      <c r="H11" s="133">
        <v>7.024312752707465E-2</v>
      </c>
      <c r="I11" s="133">
        <v>6.9230685884338436E-2</v>
      </c>
      <c r="J11" s="133">
        <v>0.11348800444823028</v>
      </c>
      <c r="K11" s="133">
        <v>5.651581743003161E-2</v>
      </c>
      <c r="L11" s="133">
        <v>1.0552272240171008E-3</v>
      </c>
      <c r="M11" s="133">
        <v>5.6326278829916469E-2</v>
      </c>
      <c r="N11" s="133">
        <v>0.14498259441940703</v>
      </c>
      <c r="O11" s="133">
        <v>0.11100149995588116</v>
      </c>
      <c r="P11" s="133">
        <v>0.27070775278156811</v>
      </c>
      <c r="Q11" s="133">
        <v>7.8658698801031449E-2</v>
      </c>
      <c r="R11" s="133">
        <v>2.6541150639397357E-2</v>
      </c>
      <c r="S11" s="133">
        <v>8.3234138352104983E-2</v>
      </c>
      <c r="T11" s="133">
        <v>9.9374784021370219E-2</v>
      </c>
      <c r="U11" s="133">
        <v>8.7638428254958697E-2</v>
      </c>
      <c r="V11" s="133">
        <v>6.102373707668219E-2</v>
      </c>
      <c r="W11" s="133">
        <v>3.8696124780904652E-2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2.3416331764518046</v>
      </c>
      <c r="D12" s="133">
        <v>4.4856886261753521</v>
      </c>
      <c r="E12" s="133">
        <v>13.305094643122748</v>
      </c>
      <c r="F12" s="133">
        <v>46.49608443821473</v>
      </c>
      <c r="G12" s="133">
        <v>16.945105058119683</v>
      </c>
      <c r="H12" s="133">
        <v>33.185885349202856</v>
      </c>
      <c r="I12" s="133">
        <v>14.464067134706495</v>
      </c>
      <c r="J12" s="133">
        <v>21.053124453944989</v>
      </c>
      <c r="K12" s="133">
        <v>11.653691142187116</v>
      </c>
      <c r="L12" s="133">
        <v>2.5521582910111786</v>
      </c>
      <c r="M12" s="133">
        <v>10.10189972874136</v>
      </c>
      <c r="N12" s="133">
        <v>14.569769607066487</v>
      </c>
      <c r="O12" s="133">
        <v>9.236779144085931</v>
      </c>
      <c r="P12" s="133">
        <v>13.358560305182364</v>
      </c>
      <c r="Q12" s="133">
        <v>9.5226068418578276</v>
      </c>
      <c r="R12" s="133">
        <v>15.625761505505826</v>
      </c>
      <c r="S12" s="133">
        <v>21.989377813770577</v>
      </c>
      <c r="T12" s="133">
        <v>12.716908129442002</v>
      </c>
      <c r="U12" s="133">
        <v>12.019293470530457</v>
      </c>
      <c r="V12" s="133">
        <v>8.4416308471494297</v>
      </c>
      <c r="W12" s="133">
        <v>4.6901797327831591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1.058700932627802E-2</v>
      </c>
      <c r="D13" s="133">
        <v>2.3959850288633806E-2</v>
      </c>
      <c r="E13" s="133">
        <v>0.17459109062200684</v>
      </c>
      <c r="F13" s="133">
        <v>0.30298771610890129</v>
      </c>
      <c r="G13" s="133">
        <v>0.47220295864005207</v>
      </c>
      <c r="H13" s="133">
        <v>0.65666108028999259</v>
      </c>
      <c r="I13" s="133">
        <v>0.81306170598730043</v>
      </c>
      <c r="J13" s="133">
        <v>0.45513967510120457</v>
      </c>
      <c r="K13" s="133">
        <v>0.38043193493318783</v>
      </c>
      <c r="L13" s="133">
        <v>3.3841097884157637E-2</v>
      </c>
      <c r="M13" s="133">
        <v>0.31816462415387708</v>
      </c>
      <c r="N13" s="133">
        <v>0.4254900319425205</v>
      </c>
      <c r="O13" s="133">
        <v>0.28169406060596353</v>
      </c>
      <c r="P13" s="133">
        <v>1.4906977974590021</v>
      </c>
      <c r="Q13" s="133">
        <v>0.69605377800811785</v>
      </c>
      <c r="R13" s="133">
        <v>0.43157810224097698</v>
      </c>
      <c r="S13" s="133">
        <v>0.51112531156582042</v>
      </c>
      <c r="T13" s="133">
        <v>0.49500141883927884</v>
      </c>
      <c r="U13" s="133">
        <v>0.50999122798853758</v>
      </c>
      <c r="V13" s="133">
        <v>0.4450422504170467</v>
      </c>
      <c r="W13" s="133">
        <v>0.28189619785778497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20.423635047439408</v>
      </c>
      <c r="H14" s="65">
        <v>35.293000734229352</v>
      </c>
      <c r="I14" s="65">
        <v>23.799782793141137</v>
      </c>
      <c r="J14" s="65">
        <v>26.003865845845962</v>
      </c>
      <c r="K14" s="65">
        <v>13.9263474783892</v>
      </c>
      <c r="L14" s="65">
        <v>5.9064511813390368</v>
      </c>
      <c r="M14" s="65">
        <v>20.539527199703059</v>
      </c>
      <c r="N14" s="65">
        <v>14.653241579210905</v>
      </c>
      <c r="O14" s="65">
        <v>3.7148629929223329</v>
      </c>
      <c r="P14" s="65">
        <v>13.280633222499921</v>
      </c>
      <c r="Q14" s="65">
        <v>4.8292375434015868</v>
      </c>
      <c r="R14" s="65">
        <v>11.534218398882537</v>
      </c>
      <c r="S14" s="65">
        <v>12.059069716258868</v>
      </c>
      <c r="T14" s="65">
        <v>18.737369568142341</v>
      </c>
      <c r="U14" s="65">
        <v>13.657202236576651</v>
      </c>
      <c r="V14" s="65">
        <v>11.232389283855492</v>
      </c>
      <c r="W14" s="65">
        <v>11.951773432572995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0.10374382837488832</v>
      </c>
      <c r="D15" s="135">
        <v>0.20177428731705851</v>
      </c>
      <c r="E15" s="135">
        <v>0.60507999289408121</v>
      </c>
      <c r="F15" s="135">
        <v>0.73114173748891464</v>
      </c>
      <c r="G15" s="135">
        <v>0.39171992528641347</v>
      </c>
      <c r="H15" s="135">
        <v>0.81739372665057641</v>
      </c>
      <c r="I15" s="135">
        <v>1.0214580130327482</v>
      </c>
      <c r="J15" s="135">
        <v>1.0414728093906009</v>
      </c>
      <c r="K15" s="135">
        <v>0.9382800331736374</v>
      </c>
      <c r="L15" s="135">
        <v>0.11559734433079392</v>
      </c>
      <c r="M15" s="135">
        <v>0.73369455185388788</v>
      </c>
      <c r="N15" s="135">
        <v>0.52161285269942381</v>
      </c>
      <c r="O15" s="135">
        <v>0.18797537146080925</v>
      </c>
      <c r="P15" s="135">
        <v>0.4435523076033242</v>
      </c>
      <c r="Q15" s="135">
        <v>0.29426965727482057</v>
      </c>
      <c r="R15" s="135">
        <v>0.31559240009617784</v>
      </c>
      <c r="S15" s="135">
        <v>0.28527392769305132</v>
      </c>
      <c r="T15" s="135">
        <v>0.23634667120847125</v>
      </c>
      <c r="U15" s="135">
        <v>0.23159809083213873</v>
      </c>
      <c r="V15" s="135">
        <v>0.20129717841876546</v>
      </c>
      <c r="W15" s="135">
        <v>0.20905041694370263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2.7480861952547779</v>
      </c>
      <c r="D16" s="131">
        <f t="shared" si="4"/>
        <v>4.7139516283071963</v>
      </c>
      <c r="E16" s="131">
        <f t="shared" si="4"/>
        <v>7.533809236867155</v>
      </c>
      <c r="F16" s="131">
        <f t="shared" si="4"/>
        <v>9.4831584513624225</v>
      </c>
      <c r="G16" s="131">
        <f t="shared" si="4"/>
        <v>10.521804658421125</v>
      </c>
      <c r="H16" s="131">
        <f t="shared" si="4"/>
        <v>13.731472513420934</v>
      </c>
      <c r="I16" s="131">
        <f t="shared" si="4"/>
        <v>16.607751099683458</v>
      </c>
      <c r="J16" s="131">
        <f t="shared" si="4"/>
        <v>15.874186398169218</v>
      </c>
      <c r="K16" s="131">
        <f t="shared" si="4"/>
        <v>12.838938248196424</v>
      </c>
      <c r="L16" s="131">
        <f t="shared" si="4"/>
        <v>5.0513557278875698</v>
      </c>
      <c r="M16" s="131">
        <f t="shared" si="4"/>
        <v>14.685710448819583</v>
      </c>
      <c r="N16" s="131">
        <f t="shared" si="4"/>
        <v>15.427878494986182</v>
      </c>
      <c r="O16" s="131">
        <f t="shared" si="4"/>
        <v>8.9003161217331428</v>
      </c>
      <c r="P16" s="131">
        <f t="shared" si="4"/>
        <v>15.925105086119563</v>
      </c>
      <c r="Q16" s="131">
        <f t="shared" si="4"/>
        <v>16.245913985775957</v>
      </c>
      <c r="R16" s="131">
        <f t="shared" ref="R16:W16" si="5">SUM(R17:R18)</f>
        <v>15.391484603495227</v>
      </c>
      <c r="S16" s="131">
        <f t="shared" si="5"/>
        <v>16.428203245288525</v>
      </c>
      <c r="T16" s="131">
        <f t="shared" si="5"/>
        <v>17.756887658169894</v>
      </c>
      <c r="U16" s="131">
        <f t="shared" si="5"/>
        <v>18.763860009763317</v>
      </c>
      <c r="V16" s="131">
        <f t="shared" si="5"/>
        <v>12.796013242974176</v>
      </c>
      <c r="W16" s="131">
        <f t="shared" si="5"/>
        <v>16.767268723879717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5.7494184172788704E-3</v>
      </c>
      <c r="D17" s="133">
        <v>1.0745425302186851E-2</v>
      </c>
      <c r="E17" s="133">
        <v>1.6529821445024639E-2</v>
      </c>
      <c r="F17" s="133">
        <v>2.6243888505046737E-2</v>
      </c>
      <c r="G17" s="133">
        <v>2.8031282282774753E-2</v>
      </c>
      <c r="H17" s="133">
        <v>2.9130276663665317E-2</v>
      </c>
      <c r="I17" s="133">
        <v>4.5686861076508378E-2</v>
      </c>
      <c r="J17" s="133">
        <v>3.611272394851045E-2</v>
      </c>
      <c r="K17" s="133">
        <v>3.5028313432449346E-2</v>
      </c>
      <c r="L17" s="133">
        <v>1.1035391675284008E-2</v>
      </c>
      <c r="M17" s="133">
        <v>5.9703210781277785E-2</v>
      </c>
      <c r="N17" s="133">
        <v>6.5939482191212748E-2</v>
      </c>
      <c r="O17" s="133">
        <v>6.9395122852843411E-2</v>
      </c>
      <c r="P17" s="133">
        <v>0.17483856561632186</v>
      </c>
      <c r="Q17" s="133">
        <v>0.14522567058541797</v>
      </c>
      <c r="R17" s="133">
        <v>0.37352295958662413</v>
      </c>
      <c r="S17" s="133">
        <v>0.25271800619956863</v>
      </c>
      <c r="T17" s="133">
        <v>0.2074829177091716</v>
      </c>
      <c r="U17" s="133">
        <v>0.19486700807831603</v>
      </c>
      <c r="V17" s="133">
        <v>0.16422059554361887</v>
      </c>
      <c r="W17" s="133">
        <v>0.12384730657790984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2.7423367768374991</v>
      </c>
      <c r="D18" s="133">
        <v>4.703206203005009</v>
      </c>
      <c r="E18" s="133">
        <v>7.5172794154221307</v>
      </c>
      <c r="F18" s="133">
        <v>9.4569145628573761</v>
      </c>
      <c r="G18" s="133">
        <v>10.49377337613835</v>
      </c>
      <c r="H18" s="133">
        <v>13.70234223675727</v>
      </c>
      <c r="I18" s="133">
        <v>16.562064238606951</v>
      </c>
      <c r="J18" s="133">
        <v>15.838073674220707</v>
      </c>
      <c r="K18" s="133">
        <v>12.803909934763976</v>
      </c>
      <c r="L18" s="133">
        <v>5.0403203362122859</v>
      </c>
      <c r="M18" s="133">
        <v>14.626007238038305</v>
      </c>
      <c r="N18" s="133">
        <v>15.361939012794968</v>
      </c>
      <c r="O18" s="133">
        <v>8.8309209988803001</v>
      </c>
      <c r="P18" s="133">
        <v>15.750266520503242</v>
      </c>
      <c r="Q18" s="133">
        <v>16.100688315190538</v>
      </c>
      <c r="R18" s="133">
        <v>15.017961643908603</v>
      </c>
      <c r="S18" s="133">
        <v>16.175485239088957</v>
      </c>
      <c r="T18" s="133">
        <v>17.549404740460723</v>
      </c>
      <c r="U18" s="133">
        <v>18.568993001685001</v>
      </c>
      <c r="V18" s="133">
        <v>12.631792647430558</v>
      </c>
      <c r="W18" s="133">
        <v>16.643421417301806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0.98041038793128132</v>
      </c>
      <c r="D19" s="131">
        <f t="shared" si="6"/>
        <v>1.8913957661205985</v>
      </c>
      <c r="E19" s="131">
        <f t="shared" si="6"/>
        <v>6.76972450563885</v>
      </c>
      <c r="F19" s="131">
        <f t="shared" si="6"/>
        <v>10.848587441185151</v>
      </c>
      <c r="G19" s="131">
        <f t="shared" si="6"/>
        <v>9.2174980261699382</v>
      </c>
      <c r="H19" s="131">
        <f t="shared" si="6"/>
        <v>15.820337366724491</v>
      </c>
      <c r="I19" s="131">
        <f t="shared" si="6"/>
        <v>18.754225800877713</v>
      </c>
      <c r="J19" s="131">
        <f t="shared" si="6"/>
        <v>18.673505817139979</v>
      </c>
      <c r="K19" s="131">
        <f t="shared" si="6"/>
        <v>15.751369862944603</v>
      </c>
      <c r="L19" s="131">
        <f t="shared" si="6"/>
        <v>2.6242708691724417</v>
      </c>
      <c r="M19" s="131">
        <f t="shared" si="6"/>
        <v>14.187829078484164</v>
      </c>
      <c r="N19" s="131">
        <f t="shared" si="6"/>
        <v>11.999071687489051</v>
      </c>
      <c r="O19" s="131">
        <f t="shared" si="6"/>
        <v>5.3049615734526263</v>
      </c>
      <c r="P19" s="131">
        <f t="shared" si="6"/>
        <v>13.391445833751892</v>
      </c>
      <c r="Q19" s="131">
        <f t="shared" si="6"/>
        <v>8.6812185344392923</v>
      </c>
      <c r="R19" s="131">
        <f t="shared" ref="R19:W19" si="7">SUM(R20:R27)</f>
        <v>11.08082036973059</v>
      </c>
      <c r="S19" s="131">
        <f t="shared" si="7"/>
        <v>13.700813841032424</v>
      </c>
      <c r="T19" s="131">
        <f t="shared" si="7"/>
        <v>13.352078020783804</v>
      </c>
      <c r="U19" s="131">
        <f t="shared" si="7"/>
        <v>12.406538963398482</v>
      </c>
      <c r="V19" s="131">
        <f t="shared" si="7"/>
        <v>10.469756149162448</v>
      </c>
      <c r="W19" s="131">
        <f t="shared" si="7"/>
        <v>10.720335198444698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0.20422044059844183</v>
      </c>
      <c r="D20" s="133">
        <v>0.24860522030648802</v>
      </c>
      <c r="E20" s="133">
        <v>0.42534861883530234</v>
      </c>
      <c r="F20" s="133">
        <v>0.12654855532071213</v>
      </c>
      <c r="G20" s="133">
        <v>5.7367989268461705E-2</v>
      </c>
      <c r="H20" s="133">
        <v>5.425565391587004E-2</v>
      </c>
      <c r="I20" s="133">
        <v>0.66493659585113873</v>
      </c>
      <c r="J20" s="133">
        <v>0.74446687723197413</v>
      </c>
      <c r="K20" s="133">
        <v>0.8121048116512537</v>
      </c>
      <c r="L20" s="133">
        <v>0.18812785907502075</v>
      </c>
      <c r="M20" s="133">
        <v>0.71550066393184353</v>
      </c>
      <c r="N20" s="133">
        <v>0.60053667702058622</v>
      </c>
      <c r="O20" s="133">
        <v>0.30079006821581894</v>
      </c>
      <c r="P20" s="133">
        <v>0.90044336177271156</v>
      </c>
      <c r="Q20" s="133">
        <v>0.53969177230666732</v>
      </c>
      <c r="R20" s="133">
        <v>0.50058488633362663</v>
      </c>
      <c r="S20" s="133">
        <v>0</v>
      </c>
      <c r="T20" s="133">
        <v>0</v>
      </c>
      <c r="U20" s="133">
        <v>6.126324861565446E-4</v>
      </c>
      <c r="V20" s="133">
        <v>5.9563721719908772E-2</v>
      </c>
      <c r="W20" s="133">
        <v>0.24253247789706892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0.14694384849242209</v>
      </c>
      <c r="D21" s="133">
        <v>0.28679440027927616</v>
      </c>
      <c r="E21" s="133">
        <v>1.1527380849505451</v>
      </c>
      <c r="F21" s="133">
        <v>0.79069248406310033</v>
      </c>
      <c r="G21" s="133">
        <v>9.0079080830284593E-3</v>
      </c>
      <c r="H21" s="133">
        <v>0.13619665266026698</v>
      </c>
      <c r="I21" s="133">
        <v>0</v>
      </c>
      <c r="J21" s="133">
        <v>0.14753795512074944</v>
      </c>
      <c r="K21" s="133">
        <v>0.37994451506821275</v>
      </c>
      <c r="L21" s="133">
        <v>0.27101429413535055</v>
      </c>
      <c r="M21" s="133">
        <v>1.1900577350114196</v>
      </c>
      <c r="N21" s="133">
        <v>1.3724675997626585</v>
      </c>
      <c r="O21" s="133">
        <v>0.15529564724785003</v>
      </c>
      <c r="P21" s="133">
        <v>0.11176924695346316</v>
      </c>
      <c r="Q21" s="133">
        <v>9.7995329057289055E-2</v>
      </c>
      <c r="R21" s="133">
        <v>0.84615118699573577</v>
      </c>
      <c r="S21" s="133">
        <v>0.9993806627857027</v>
      </c>
      <c r="T21" s="133">
        <v>0.60018811140661765</v>
      </c>
      <c r="U21" s="133">
        <v>0.37707296271140356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2.6233734025686344E-2</v>
      </c>
      <c r="D22" s="133">
        <v>7.4419188115253415E-2</v>
      </c>
      <c r="E22" s="133">
        <v>0.22657429070561189</v>
      </c>
      <c r="F22" s="133">
        <v>0.37578830538747293</v>
      </c>
      <c r="G22" s="133">
        <v>0.35207524330422113</v>
      </c>
      <c r="H22" s="133">
        <v>0.68217004494752542</v>
      </c>
      <c r="I22" s="133">
        <v>0.85363061326551626</v>
      </c>
      <c r="J22" s="133">
        <v>0.9387071239862107</v>
      </c>
      <c r="K22" s="133">
        <v>0.7897268657448997</v>
      </c>
      <c r="L22" s="133">
        <v>0.17669721500049512</v>
      </c>
      <c r="M22" s="133">
        <v>0.59164717329122418</v>
      </c>
      <c r="N22" s="133">
        <v>0.46362055246898087</v>
      </c>
      <c r="O22" s="133">
        <v>0.21521050220157628</v>
      </c>
      <c r="P22" s="133">
        <v>0.33365154993639512</v>
      </c>
      <c r="Q22" s="133">
        <v>0.33798149611682282</v>
      </c>
      <c r="R22" s="133">
        <v>0.40240369734219267</v>
      </c>
      <c r="S22" s="133">
        <v>0.51591522636793519</v>
      </c>
      <c r="T22" s="133">
        <v>0.35389389911468572</v>
      </c>
      <c r="U22" s="133">
        <v>0.37703921707615168</v>
      </c>
      <c r="V22" s="133">
        <v>0.26690213558386039</v>
      </c>
      <c r="W22" s="133">
        <v>0.40762033028349071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0.216049447262603</v>
      </c>
      <c r="D23" s="133">
        <v>0.56512761926128896</v>
      </c>
      <c r="E23" s="133">
        <v>1.9526747559878794</v>
      </c>
      <c r="F23" s="133">
        <v>1.913969657977596</v>
      </c>
      <c r="G23" s="133">
        <v>1.607154151904562</v>
      </c>
      <c r="H23" s="133">
        <v>1.9266417782321976</v>
      </c>
      <c r="I23" s="133">
        <v>2.3472685697083802</v>
      </c>
      <c r="J23" s="133">
        <v>2.9334705674725612</v>
      </c>
      <c r="K23" s="133">
        <v>2.6231526967841456</v>
      </c>
      <c r="L23" s="133">
        <v>0.65728625771153781</v>
      </c>
      <c r="M23" s="133">
        <v>2.1148349620157982</v>
      </c>
      <c r="N23" s="133">
        <v>1.5610123489402208</v>
      </c>
      <c r="O23" s="133">
        <v>0.77445218315805475</v>
      </c>
      <c r="P23" s="133">
        <v>2.3061301359542892</v>
      </c>
      <c r="Q23" s="133">
        <v>1.1073896540481356</v>
      </c>
      <c r="R23" s="133">
        <v>0.6462151024002456</v>
      </c>
      <c r="S23" s="133">
        <v>0</v>
      </c>
      <c r="T23" s="133">
        <v>0</v>
      </c>
      <c r="U23" s="133">
        <v>5.1328611234140306E-3</v>
      </c>
      <c r="V23" s="133">
        <v>0.48895048610905539</v>
      </c>
      <c r="W23" s="133">
        <v>1.0620437363141726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7.3802561556559326E-3</v>
      </c>
      <c r="D24" s="133">
        <v>1.5661811666226915E-2</v>
      </c>
      <c r="E24" s="133">
        <v>4.1560518999829245E-2</v>
      </c>
      <c r="F24" s="133">
        <v>8.7997142433026046E-2</v>
      </c>
      <c r="G24" s="133">
        <v>0.12794290478452164</v>
      </c>
      <c r="H24" s="133">
        <v>0.29476836656343075</v>
      </c>
      <c r="I24" s="133">
        <v>0.41365262626242094</v>
      </c>
      <c r="J24" s="133">
        <v>0.38632025111137031</v>
      </c>
      <c r="K24" s="133">
        <v>0.28017711339896778</v>
      </c>
      <c r="L24" s="133">
        <v>5.0974175314202924E-2</v>
      </c>
      <c r="M24" s="133">
        <v>0.20092091229764311</v>
      </c>
      <c r="N24" s="133">
        <v>0.16870765766503135</v>
      </c>
      <c r="O24" s="133">
        <v>8.3871313145406592E-2</v>
      </c>
      <c r="P24" s="133">
        <v>0.25560021335797206</v>
      </c>
      <c r="Q24" s="133">
        <v>0.24527250228755881</v>
      </c>
      <c r="R24" s="133">
        <v>0.30823393274240202</v>
      </c>
      <c r="S24" s="133">
        <v>0.25248315750297634</v>
      </c>
      <c r="T24" s="133">
        <v>0.20220850369471821</v>
      </c>
      <c r="U24" s="133">
        <v>0.32430863452584469</v>
      </c>
      <c r="V24" s="133">
        <v>0.49294057599447011</v>
      </c>
      <c r="W24" s="133">
        <v>0.45266950498285613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0.21444555145030372</v>
      </c>
      <c r="D25" s="133">
        <v>0.53597274978395693</v>
      </c>
      <c r="E25" s="133">
        <v>1.8366876825201048</v>
      </c>
      <c r="F25" s="133">
        <v>3.5831675146092707</v>
      </c>
      <c r="G25" s="133">
        <v>2.649873198047894</v>
      </c>
      <c r="H25" s="133">
        <v>3.1152889971114837</v>
      </c>
      <c r="I25" s="133">
        <v>2.7810876993654565</v>
      </c>
      <c r="J25" s="133">
        <v>2.8217149954804355</v>
      </c>
      <c r="K25" s="133">
        <v>2.384626568473466</v>
      </c>
      <c r="L25" s="133">
        <v>0.46770767278717384</v>
      </c>
      <c r="M25" s="133">
        <v>1.9448752988619182</v>
      </c>
      <c r="N25" s="133">
        <v>1.7359849353105525</v>
      </c>
      <c r="O25" s="133">
        <v>0.89874100169177895</v>
      </c>
      <c r="P25" s="133">
        <v>1.7308512332920811</v>
      </c>
      <c r="Q25" s="133">
        <v>2.0112977086748476</v>
      </c>
      <c r="R25" s="133">
        <v>2.8030370456882774</v>
      </c>
      <c r="S25" s="133">
        <v>3.333441317425891</v>
      </c>
      <c r="T25" s="133">
        <v>2.2480062550137183</v>
      </c>
      <c r="U25" s="133">
        <v>1.6467436841864282</v>
      </c>
      <c r="V25" s="133">
        <v>1.6125291141921236</v>
      </c>
      <c r="W25" s="133">
        <v>1.0620057888088317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0.16513710994616837</v>
      </c>
      <c r="D26" s="65">
        <v>0.1452097781041774</v>
      </c>
      <c r="E26" s="65">
        <v>1.1341405536395768</v>
      </c>
      <c r="F26" s="65">
        <v>3.9037286178979662</v>
      </c>
      <c r="G26" s="65">
        <v>4.3699129690141927</v>
      </c>
      <c r="H26" s="65">
        <v>9.5036259927579145</v>
      </c>
      <c r="I26" s="65">
        <v>11.61757635372704</v>
      </c>
      <c r="J26" s="65">
        <v>9.8119114887145997</v>
      </c>
      <c r="K26" s="65">
        <v>7.8374307923506992</v>
      </c>
      <c r="L26" s="65">
        <v>0.43176206933103278</v>
      </c>
      <c r="M26" s="65">
        <v>6.7503672466836315</v>
      </c>
      <c r="N26" s="65">
        <v>5.5540259998815698</v>
      </c>
      <c r="O26" s="65">
        <v>2.5385792328792958</v>
      </c>
      <c r="P26" s="65">
        <v>7.273596944540996</v>
      </c>
      <c r="Q26" s="65">
        <v>3.6003635659796909</v>
      </c>
      <c r="R26" s="65">
        <v>5.250425828795799</v>
      </c>
      <c r="S26" s="65">
        <v>8.4172492156164775</v>
      </c>
      <c r="T26" s="65">
        <v>8.765771660535389</v>
      </c>
      <c r="U26" s="65">
        <v>9.6756289712890826</v>
      </c>
      <c r="V26" s="65">
        <v>7.400984739066069</v>
      </c>
      <c r="W26" s="65">
        <v>7.4934562536683504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1.9604998603930654E-2</v>
      </c>
      <c r="E27" s="148">
        <v>0</v>
      </c>
      <c r="F27" s="148">
        <v>6.6695163496006835E-2</v>
      </c>
      <c r="G27" s="148">
        <v>4.4163661763055986E-2</v>
      </c>
      <c r="H27" s="148">
        <v>0.10738988053580147</v>
      </c>
      <c r="I27" s="148">
        <v>7.6073342697760379E-2</v>
      </c>
      <c r="J27" s="148">
        <v>0.8893765580220786</v>
      </c>
      <c r="K27" s="148">
        <v>0.64420649947295738</v>
      </c>
      <c r="L27" s="148">
        <v>0.38070132581762767</v>
      </c>
      <c r="M27" s="148">
        <v>0.67962508639068575</v>
      </c>
      <c r="N27" s="148">
        <v>0.54271591643944928</v>
      </c>
      <c r="O27" s="148">
        <v>0.3380216249128451</v>
      </c>
      <c r="P27" s="148">
        <v>0.47940314794398431</v>
      </c>
      <c r="Q27" s="148">
        <v>0.74122650596828021</v>
      </c>
      <c r="R27" s="148">
        <v>0.32376868943231096</v>
      </c>
      <c r="S27" s="148">
        <v>0.18234426133344098</v>
      </c>
      <c r="T27" s="148">
        <v>1.1820095910186752</v>
      </c>
      <c r="U27" s="148">
        <v>0</v>
      </c>
      <c r="V27" s="148">
        <v>0.1478853764969601</v>
      </c>
      <c r="W27" s="148">
        <v>7.1064899275995562E-6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1.3737237892601095</v>
      </c>
      <c r="D29" s="131">
        <f t="shared" si="8"/>
        <v>2.5845187659532378</v>
      </c>
      <c r="E29" s="131">
        <f t="shared" si="8"/>
        <v>9.2493041864877217</v>
      </c>
      <c r="F29" s="131">
        <f t="shared" si="8"/>
        <v>14.11723481293369</v>
      </c>
      <c r="G29" s="131">
        <f t="shared" si="8"/>
        <v>11.973338703991864</v>
      </c>
      <c r="H29" s="131">
        <f t="shared" si="8"/>
        <v>20.113215135035677</v>
      </c>
      <c r="I29" s="131">
        <f t="shared" si="8"/>
        <v>23.157905715945869</v>
      </c>
      <c r="J29" s="131">
        <f t="shared" si="8"/>
        <v>22.961788878171006</v>
      </c>
      <c r="K29" s="131">
        <f t="shared" si="8"/>
        <v>18.958386778648379</v>
      </c>
      <c r="L29" s="131">
        <f t="shared" si="8"/>
        <v>3.1668074941305675</v>
      </c>
      <c r="M29" s="131">
        <f t="shared" si="8"/>
        <v>17.228080038128333</v>
      </c>
      <c r="N29" s="131">
        <f t="shared" si="8"/>
        <v>14.174056750760451</v>
      </c>
      <c r="O29" s="131">
        <f t="shared" si="8"/>
        <v>6.0738647152743042</v>
      </c>
      <c r="P29" s="131">
        <f t="shared" si="8"/>
        <v>15.421469218771074</v>
      </c>
      <c r="Q29" s="131">
        <f t="shared" si="8"/>
        <v>9.8590907944891981</v>
      </c>
      <c r="R29" s="131">
        <f t="shared" ref="R29:W29" si="9">SUM(R30:R33)</f>
        <v>12.487763002656319</v>
      </c>
      <c r="S29" s="131">
        <f t="shared" si="9"/>
        <v>15.231361165195326</v>
      </c>
      <c r="T29" s="131">
        <f t="shared" si="9"/>
        <v>15.213088667021413</v>
      </c>
      <c r="U29" s="131">
        <f t="shared" si="9"/>
        <v>14.097070020208649</v>
      </c>
      <c r="V29" s="131">
        <f t="shared" si="9"/>
        <v>12.294213134507141</v>
      </c>
      <c r="W29" s="131">
        <f t="shared" si="9"/>
        <v>12.005125436151289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0.1542110822130468</v>
      </c>
      <c r="D30" s="133">
        <v>0.25305529427563528</v>
      </c>
      <c r="E30" s="133">
        <v>1.12110250366803</v>
      </c>
      <c r="F30" s="133">
        <v>0.85828949317391678</v>
      </c>
      <c r="G30" s="133">
        <v>0.60247865441995663</v>
      </c>
      <c r="H30" s="133">
        <v>0.70595844681968389</v>
      </c>
      <c r="I30" s="133">
        <v>0.15947644051411608</v>
      </c>
      <c r="J30" s="133">
        <v>0</v>
      </c>
      <c r="K30" s="133">
        <v>0</v>
      </c>
      <c r="L30" s="133">
        <v>0</v>
      </c>
      <c r="M30" s="133">
        <v>0</v>
      </c>
      <c r="N30" s="133">
        <v>0.24454125200164581</v>
      </c>
      <c r="O30" s="133">
        <v>0.3374422980424242</v>
      </c>
      <c r="P30" s="133">
        <v>0.64868500135968676</v>
      </c>
      <c r="Q30" s="133">
        <v>0.57715750490747575</v>
      </c>
      <c r="R30" s="133">
        <v>0.58443857876300098</v>
      </c>
      <c r="S30" s="133">
        <v>0.57096664857440993</v>
      </c>
      <c r="T30" s="133">
        <v>0.2268397441824089</v>
      </c>
      <c r="U30" s="133">
        <v>0.13718443692771817</v>
      </c>
      <c r="V30" s="133">
        <v>4.4143340878738814E-2</v>
      </c>
      <c r="W30" s="133">
        <v>9.6709058258173899E-2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0.29888205787079936</v>
      </c>
      <c r="D31" s="133">
        <v>0.56031165390807713</v>
      </c>
      <c r="E31" s="133">
        <v>1.8378396663781036</v>
      </c>
      <c r="F31" s="133">
        <v>2.7718303503133921</v>
      </c>
      <c r="G31" s="133">
        <v>2.7942135209356995</v>
      </c>
      <c r="H31" s="133">
        <v>3.9208635669717222</v>
      </c>
      <c r="I31" s="133">
        <v>3.8794027279872521</v>
      </c>
      <c r="J31" s="133">
        <v>3.6321022633318054</v>
      </c>
      <c r="K31" s="133">
        <v>3.6773436287430399</v>
      </c>
      <c r="L31" s="133">
        <v>0.89700546394279879</v>
      </c>
      <c r="M31" s="133">
        <v>6.7167825135473329</v>
      </c>
      <c r="N31" s="133">
        <v>5.4778851278504312</v>
      </c>
      <c r="O31" s="133">
        <v>1.9596944288758276</v>
      </c>
      <c r="P31" s="133">
        <v>3.2889411878698751</v>
      </c>
      <c r="Q31" s="133">
        <v>2.0144622809769723</v>
      </c>
      <c r="R31" s="133">
        <v>1.8130523557470875</v>
      </c>
      <c r="S31" s="133">
        <v>2.0883316694627365</v>
      </c>
      <c r="T31" s="133">
        <v>1.8958100341641155</v>
      </c>
      <c r="U31" s="133">
        <v>3.0445136607514245</v>
      </c>
      <c r="V31" s="133">
        <v>2.4082137545045157</v>
      </c>
      <c r="W31" s="133">
        <v>3.5913122636906567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0.92063064917626336</v>
      </c>
      <c r="D33" s="68">
        <v>1.7711518177695256</v>
      </c>
      <c r="E33" s="68">
        <v>6.2903620164415885</v>
      </c>
      <c r="F33" s="68">
        <v>10.487114969446381</v>
      </c>
      <c r="G33" s="68">
        <v>8.576646528636207</v>
      </c>
      <c r="H33" s="68">
        <v>15.486393121244271</v>
      </c>
      <c r="I33" s="68">
        <v>19.119026547444502</v>
      </c>
      <c r="J33" s="68">
        <v>19.329686614839201</v>
      </c>
      <c r="K33" s="68">
        <v>15.28104314990534</v>
      </c>
      <c r="L33" s="68">
        <v>2.2698020301877686</v>
      </c>
      <c r="M33" s="68">
        <v>10.511297524581002</v>
      </c>
      <c r="N33" s="68">
        <v>8.451630370908374</v>
      </c>
      <c r="O33" s="68">
        <v>3.7767279883560527</v>
      </c>
      <c r="P33" s="68">
        <v>11.483843029541513</v>
      </c>
      <c r="Q33" s="68">
        <v>7.2674710086047494</v>
      </c>
      <c r="R33" s="68">
        <v>10.090272068146231</v>
      </c>
      <c r="S33" s="68">
        <v>12.572062847158179</v>
      </c>
      <c r="T33" s="68">
        <v>13.090438888674889</v>
      </c>
      <c r="U33" s="68">
        <v>10.915371922529507</v>
      </c>
      <c r="V33" s="68">
        <v>9.8418560391238863</v>
      </c>
      <c r="W33" s="68">
        <v>8.3171041142024578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0.76973378048184993</v>
      </c>
      <c r="D3" s="127">
        <f>IF(SER_hh_tes_in!D3=0,"",SER_hh_tes_in!D3/SER_hh_fec_in!D3)</f>
        <v>0.76222935741410924</v>
      </c>
      <c r="E3" s="127">
        <f>IF(SER_hh_tes_in!E3=0,"",SER_hh_tes_in!E3/SER_hh_fec_in!E3)</f>
        <v>0.72411341886175451</v>
      </c>
      <c r="F3" s="127">
        <f>IF(SER_hh_tes_in!F3=0,"",SER_hh_tes_in!F3/SER_hh_fec_in!F3)</f>
        <v>0.76491126106377461</v>
      </c>
      <c r="G3" s="127">
        <f>IF(SER_hh_tes_in!G3=0,"",SER_hh_tes_in!G3/SER_hh_fec_in!G3)</f>
        <v>0.7749892604873978</v>
      </c>
      <c r="H3" s="127">
        <f>IF(SER_hh_tes_in!H3=0,"",SER_hh_tes_in!H3/SER_hh_fec_in!H3)</f>
        <v>0.74753608640994484</v>
      </c>
      <c r="I3" s="127">
        <f>IF(SER_hh_tes_in!I3=0,"",SER_hh_tes_in!I3/SER_hh_fec_in!I3)</f>
        <v>0.74293036549022351</v>
      </c>
      <c r="J3" s="127">
        <f>IF(SER_hh_tes_in!J3=0,"",SER_hh_tes_in!J3/SER_hh_fec_in!J3)</f>
        <v>0.75598888155714916</v>
      </c>
      <c r="K3" s="127">
        <f>IF(SER_hh_tes_in!K3=0,"",SER_hh_tes_in!K3/SER_hh_fec_in!K3)</f>
        <v>0.74366574333471913</v>
      </c>
      <c r="L3" s="127">
        <f>IF(SER_hh_tes_in!L3=0,"",SER_hh_tes_in!L3/SER_hh_fec_in!L3)</f>
        <v>0.82123297483769087</v>
      </c>
      <c r="M3" s="127">
        <f>IF(SER_hh_tes_in!M3=0,"",SER_hh_tes_in!M3/SER_hh_fec_in!M3)</f>
        <v>0.7769087006851666</v>
      </c>
      <c r="N3" s="127">
        <f>IF(SER_hh_tes_in!N3=0,"",SER_hh_tes_in!N3/SER_hh_fec_in!N3)</f>
        <v>0.82397131845455651</v>
      </c>
      <c r="O3" s="127">
        <f>IF(SER_hh_tes_in!O3=0,"",SER_hh_tes_in!O3/SER_hh_fec_in!O3)</f>
        <v>0.88329996147736378</v>
      </c>
      <c r="P3" s="127">
        <f>IF(SER_hh_tes_in!P3=0,"",SER_hh_tes_in!P3/SER_hh_fec_in!P3)</f>
        <v>0.88385708405149388</v>
      </c>
      <c r="Q3" s="127">
        <f>IF(SER_hh_tes_in!Q3=0,"",SER_hh_tes_in!Q3/SER_hh_fec_in!Q3)</f>
        <v>0.95899806885417027</v>
      </c>
      <c r="R3" s="127">
        <f>IF(SER_hh_tes_in!R3=0,"",SER_hh_tes_in!R3/SER_hh_fec_in!R3)</f>
        <v>0.928369847532315</v>
      </c>
      <c r="S3" s="127">
        <f>IF(SER_hh_tes_in!S3=0,"",SER_hh_tes_in!S3/SER_hh_fec_in!S3)</f>
        <v>0.93504128341574688</v>
      </c>
      <c r="T3" s="127">
        <f>IF(SER_hh_tes_in!T3=0,"",SER_hh_tes_in!T3/SER_hh_fec_in!T3)</f>
        <v>0.97305127919478307</v>
      </c>
      <c r="U3" s="127">
        <f>IF(SER_hh_tes_in!U3=0,"",SER_hh_tes_in!U3/SER_hh_fec_in!U3)</f>
        <v>1.0051678271336293</v>
      </c>
      <c r="V3" s="127">
        <f>IF(SER_hh_tes_in!V3=0,"",SER_hh_tes_in!V3/SER_hh_fec_in!V3)</f>
        <v>0.97634767365200581</v>
      </c>
      <c r="W3" s="127">
        <f>IF(SER_hh_tes_in!W3=0,"",SER_hh_tes_in!W3/SER_hh_fec_in!W3)</f>
        <v>1.0145720915232184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0.64289120313941583</v>
      </c>
      <c r="D4" s="136">
        <f>IF(SER_hh_tes_in!D4=0,"",SER_hh_tes_in!D4/SER_hh_fec_in!D4)</f>
        <v>0.65093401450004695</v>
      </c>
      <c r="E4" s="136">
        <f>IF(SER_hh_tes_in!E4=0,"",SER_hh_tes_in!E4/SER_hh_fec_in!E4)</f>
        <v>0.66303518502149339</v>
      </c>
      <c r="F4" s="136">
        <f>IF(SER_hh_tes_in!F4=0,"",SER_hh_tes_in!F4/SER_hh_fec_in!F4)</f>
        <v>0.72378317947203441</v>
      </c>
      <c r="G4" s="136">
        <f>IF(SER_hh_tes_in!G4=0,"",SER_hh_tes_in!G4/SER_hh_fec_in!G4)</f>
        <v>0.71072696509921685</v>
      </c>
      <c r="H4" s="136">
        <f>IF(SER_hh_tes_in!H4=0,"",SER_hh_tes_in!H4/SER_hh_fec_in!H4)</f>
        <v>0.69778511186605985</v>
      </c>
      <c r="I4" s="136">
        <f>IF(SER_hh_tes_in!I4=0,"",SER_hh_tes_in!I4/SER_hh_fec_in!I4)</f>
        <v>0.67286034756018132</v>
      </c>
      <c r="J4" s="136">
        <f>IF(SER_hh_tes_in!J4=0,"",SER_hh_tes_in!J4/SER_hh_fec_in!J4)</f>
        <v>0.69428589083004966</v>
      </c>
      <c r="K4" s="136">
        <f>IF(SER_hh_tes_in!K4=0,"",SER_hh_tes_in!K4/SER_hh_fec_in!K4)</f>
        <v>0.67897696657930029</v>
      </c>
      <c r="L4" s="136">
        <f>IF(SER_hh_tes_in!L4=0,"",SER_hh_tes_in!L4/SER_hh_fec_in!L4)</f>
        <v>0.70253400834379176</v>
      </c>
      <c r="M4" s="136">
        <f>IF(SER_hh_tes_in!M4=0,"",SER_hh_tes_in!M4/SER_hh_fec_in!M4)</f>
        <v>0.70744242672384827</v>
      </c>
      <c r="N4" s="136">
        <f>IF(SER_hh_tes_in!N4=0,"",SER_hh_tes_in!N4/SER_hh_fec_in!N4)</f>
        <v>0.73842241181534496</v>
      </c>
      <c r="O4" s="136">
        <f>IF(SER_hh_tes_in!O4=0,"",SER_hh_tes_in!O4/SER_hh_fec_in!O4)</f>
        <v>0.75732730414505001</v>
      </c>
      <c r="P4" s="136">
        <f>IF(SER_hh_tes_in!P4=0,"",SER_hh_tes_in!P4/SER_hh_fec_in!P4)</f>
        <v>0.78432829841735863</v>
      </c>
      <c r="Q4" s="136">
        <f>IF(SER_hh_tes_in!Q4=0,"",SER_hh_tes_in!Q4/SER_hh_fec_in!Q4)</f>
        <v>0.78279628952400726</v>
      </c>
      <c r="R4" s="136">
        <f>IF(SER_hh_tes_in!R4=0,"",SER_hh_tes_in!R4/SER_hh_fec_in!R4)</f>
        <v>0.80029288651070873</v>
      </c>
      <c r="S4" s="136">
        <f>IF(SER_hh_tes_in!S4=0,"",SER_hh_tes_in!S4/SER_hh_fec_in!S4)</f>
        <v>0.81099435275595477</v>
      </c>
      <c r="T4" s="136">
        <f>IF(SER_hh_tes_in!T4=0,"",SER_hh_tes_in!T4/SER_hh_fec_in!T4)</f>
        <v>0.82342655517681329</v>
      </c>
      <c r="U4" s="136">
        <f>IF(SER_hh_tes_in!U4=0,"",SER_hh_tes_in!U4/SER_hh_fec_in!U4)</f>
        <v>0.83388636335231481</v>
      </c>
      <c r="V4" s="136">
        <f>IF(SER_hh_tes_in!V4=0,"",SER_hh_tes_in!V4/SER_hh_fec_in!V4)</f>
        <v>0.82862744299222035</v>
      </c>
      <c r="W4" s="136">
        <f>IF(SER_hh_tes_in!W4=0,"",SER_hh_tes_in!W4/SER_hh_fec_in!W4)</f>
        <v>0.8221005593731695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0.60375571753886637</v>
      </c>
      <c r="D5" s="137">
        <f>IF(SER_hh_tes_in!D5=0,"",SER_hh_tes_in!D5/SER_hh_fec_in!D5)</f>
        <v>0.61012465258859438</v>
      </c>
      <c r="E5" s="137">
        <f>IF(SER_hh_tes_in!E5=0,"",SER_hh_tes_in!E5/SER_hh_fec_in!E5)</f>
        <v>0.6164805418370507</v>
      </c>
      <c r="F5" s="137">
        <f>IF(SER_hh_tes_in!F5=0,"",SER_hh_tes_in!F5/SER_hh_fec_in!F5)</f>
        <v>0.62283465211260636</v>
      </c>
      <c r="G5" s="137">
        <f>IF(SER_hh_tes_in!G5=0,"",SER_hh_tes_in!G5/SER_hh_fec_in!G5)</f>
        <v>0.62917674797253276</v>
      </c>
      <c r="H5" s="137">
        <f>IF(SER_hh_tes_in!H5=0,"",SER_hh_tes_in!H5/SER_hh_fec_in!H5)</f>
        <v>0.63550808210471577</v>
      </c>
      <c r="I5" s="137">
        <f>IF(SER_hh_tes_in!I5=0,"",SER_hh_tes_in!I5/SER_hh_fec_in!I5)</f>
        <v>0.64182613249576848</v>
      </c>
      <c r="J5" s="137">
        <f>IF(SER_hh_tes_in!J5=0,"",SER_hh_tes_in!J5/SER_hh_fec_in!J5)</f>
        <v>0.64812056734703438</v>
      </c>
      <c r="K5" s="137">
        <f>IF(SER_hh_tes_in!K5=0,"",SER_hh_tes_in!K5/SER_hh_fec_in!K5)</f>
        <v>0.65438260191206588</v>
      </c>
      <c r="L5" s="137">
        <f>IF(SER_hh_tes_in!L5=0,"",SER_hh_tes_in!L5/SER_hh_fec_in!L5)</f>
        <v>0.66060988591103276</v>
      </c>
      <c r="M5" s="137">
        <f>IF(SER_hh_tes_in!M5=0,"",SER_hh_tes_in!M5/SER_hh_fec_in!M5)</f>
        <v>0.66650078400234525</v>
      </c>
      <c r="N5" s="137">
        <f>IF(SER_hh_tes_in!N5=0,"",SER_hh_tes_in!N5/SER_hh_fec_in!N5)</f>
        <v>0.67195269043645511</v>
      </c>
      <c r="O5" s="137">
        <f>IF(SER_hh_tes_in!O5=0,"",SER_hh_tes_in!O5/SER_hh_fec_in!O5)</f>
        <v>0.67697357833791139</v>
      </c>
      <c r="P5" s="137">
        <f>IF(SER_hh_tes_in!P5=0,"",SER_hh_tes_in!P5/SER_hh_fec_in!P5)</f>
        <v>0.68191996384055376</v>
      </c>
      <c r="Q5" s="137">
        <f>IF(SER_hh_tes_in!Q5=0,"",SER_hh_tes_in!Q5/SER_hh_fec_in!Q5)</f>
        <v>0.68782939017187483</v>
      </c>
      <c r="R5" s="137">
        <f>IF(SER_hh_tes_in!R5=0,"",SER_hh_tes_in!R5/SER_hh_fec_in!R5)</f>
        <v>0.69603153412247143</v>
      </c>
      <c r="S5" s="137">
        <f>IF(SER_hh_tes_in!S5=0,"",SER_hh_tes_in!S5/SER_hh_fec_in!S5)</f>
        <v>0.70554021427759839</v>
      </c>
      <c r="T5" s="137">
        <f>IF(SER_hh_tes_in!T5=0,"",SER_hh_tes_in!T5/SER_hh_fec_in!T5)</f>
        <v>0.71548440650089062</v>
      </c>
      <c r="U5" s="137">
        <f>IF(SER_hh_tes_in!U5=0,"",SER_hh_tes_in!U5/SER_hh_fec_in!U5)</f>
        <v>0.72499308665601137</v>
      </c>
      <c r="V5" s="137">
        <f>IF(SER_hh_tes_in!V5=0,"",SER_hh_tes_in!V5/SER_hh_fec_in!V5)</f>
        <v>0.73319523060661185</v>
      </c>
      <c r="W5" s="137">
        <f>IF(SER_hh_tes_in!W5=0,"",SER_hh_tes_in!W5/SER_hh_fec_in!W5)</f>
        <v>0.7397393039478849</v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0.52094664634450449</v>
      </c>
      <c r="D7" s="137">
        <f>IF(SER_hh_tes_in!D7=0,"",SER_hh_tes_in!D7/SER_hh_fec_in!D7)</f>
        <v>0.52702935092602965</v>
      </c>
      <c r="E7" s="137">
        <f>IF(SER_hh_tes_in!E7=0,"",SER_hh_tes_in!E7/SER_hh_fec_in!E7)</f>
        <v>0.53332797859168979</v>
      </c>
      <c r="F7" s="137">
        <f>IF(SER_hh_tes_in!F7=0,"",SER_hh_tes_in!F7/SER_hh_fec_in!F7)</f>
        <v>0.53959658736659954</v>
      </c>
      <c r="G7" s="137">
        <f>IF(SER_hh_tes_in!G7=0,"",SER_hh_tes_in!G7/SER_hh_fec_in!G7)</f>
        <v>0.54604925181610497</v>
      </c>
      <c r="H7" s="137">
        <f>IF(SER_hh_tes_in!H7=0,"",SER_hh_tes_in!H7/SER_hh_fec_in!H7)</f>
        <v>0.55265332393869893</v>
      </c>
      <c r="I7" s="137">
        <f>IF(SER_hh_tes_in!I7=0,"",SER_hh_tes_in!I7/SER_hh_fec_in!I7)</f>
        <v>0.55945504101442134</v>
      </c>
      <c r="J7" s="137">
        <f>IF(SER_hh_tes_in!J7=0,"",SER_hh_tes_in!J7/SER_hh_fec_in!J7)</f>
        <v>0.56665874602830468</v>
      </c>
      <c r="K7" s="137">
        <f>IF(SER_hh_tes_in!K7=0,"",SER_hh_tes_in!K7/SER_hh_fec_in!K7)</f>
        <v>0.57443013936301512</v>
      </c>
      <c r="L7" s="137">
        <f>IF(SER_hh_tes_in!L7=0,"",SER_hh_tes_in!L7/SER_hh_fec_in!L7)</f>
        <v>0.58279949604014902</v>
      </c>
      <c r="M7" s="137">
        <f>IF(SER_hh_tes_in!M7=0,"",SER_hh_tes_in!M7/SER_hh_fec_in!M7)</f>
        <v>0.5962156594164727</v>
      </c>
      <c r="N7" s="137" t="str">
        <f>IF(SER_hh_tes_in!N7=0,"",SER_hh_tes_in!N7/SER_hh_fec_in!N7)</f>
        <v/>
      </c>
      <c r="O7" s="137" t="str">
        <f>IF(SER_hh_tes_in!O7=0,"",SER_hh_tes_in!O7/SER_hh_fec_in!O7)</f>
        <v/>
      </c>
      <c r="P7" s="137" t="str">
        <f>IF(SER_hh_tes_in!P7=0,"",SER_hh_tes_in!P7/SER_hh_fec_in!P7)</f>
        <v/>
      </c>
      <c r="Q7" s="137">
        <f>IF(SER_hh_tes_in!Q7=0,"",SER_hh_tes_in!Q7/SER_hh_fec_in!Q7)</f>
        <v>0.6990428764236406</v>
      </c>
      <c r="R7" s="137">
        <f>IF(SER_hh_tes_in!R7=0,"",SER_hh_tes_in!R7/SER_hh_fec_in!R7)</f>
        <v>0.71149725805511843</v>
      </c>
      <c r="S7" s="137">
        <f>IF(SER_hh_tes_in!S7=0,"",SER_hh_tes_in!S7/SER_hh_fec_in!S7)</f>
        <v>0.72040821468155702</v>
      </c>
      <c r="T7" s="137">
        <f>IF(SER_hh_tes_in!T7=0,"",SER_hh_tes_in!T7/SER_hh_fec_in!T7)</f>
        <v>0.72693629081155298</v>
      </c>
      <c r="U7" s="137">
        <f>IF(SER_hh_tes_in!U7=0,"",SER_hh_tes_in!U7/SER_hh_fec_in!U7)</f>
        <v>0.73202137727321337</v>
      </c>
      <c r="V7" s="137">
        <f>IF(SER_hh_tes_in!V7=0,"",SER_hh_tes_in!V7/SER_hh_fec_in!V7)</f>
        <v>0.73643321555733254</v>
      </c>
      <c r="W7" s="137">
        <f>IF(SER_hh_tes_in!W7=0,"",SER_hh_tes_in!W7/SER_hh_fec_in!W7)</f>
        <v>0.73928441998624661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1.0248711443160325</v>
      </c>
      <c r="D8" s="137">
        <f>IF(SER_hh_tes_in!D8=0,"",SER_hh_tes_in!D8/SER_hh_fec_in!D8)</f>
        <v>1.0939333157633839</v>
      </c>
      <c r="E8" s="137">
        <f>IF(SER_hh_tes_in!E8=0,"",SER_hh_tes_in!E8/SER_hh_fec_in!E8)</f>
        <v>1.1646223260451181</v>
      </c>
      <c r="F8" s="137">
        <f>IF(SER_hh_tes_in!F8=0,"",SER_hh_tes_in!F8/SER_hh_fec_in!F8)</f>
        <v>1.2366310919725609</v>
      </c>
      <c r="G8" s="137">
        <f>IF(SER_hh_tes_in!G8=0,"",SER_hh_tes_in!G8/SER_hh_fec_in!G8)</f>
        <v>1.3102153666546972</v>
      </c>
      <c r="H8" s="137">
        <f>IF(SER_hh_tes_in!H8=0,"",SER_hh_tes_in!H8/SER_hh_fec_in!H8)</f>
        <v>1.3853271571460037</v>
      </c>
      <c r="I8" s="137">
        <f>IF(SER_hh_tes_in!I8=0,"",SER_hh_tes_in!I8/SER_hh_fec_in!I8)</f>
        <v>1.4620121574627065</v>
      </c>
      <c r="J8" s="137">
        <f>IF(SER_hh_tes_in!J8=0,"",SER_hh_tes_in!J8/SER_hh_fec_in!J8)</f>
        <v>1.5404967748042515</v>
      </c>
      <c r="K8" s="137">
        <f>IF(SER_hh_tes_in!K8=0,"",SER_hh_tes_in!K8/SER_hh_fec_in!K8)</f>
        <v>1.6209510438930621</v>
      </c>
      <c r="L8" s="137">
        <f>IF(SER_hh_tes_in!L8=0,"",SER_hh_tes_in!L8/SER_hh_fec_in!L8)</f>
        <v>1.7033799547605903</v>
      </c>
      <c r="M8" s="137">
        <f>IF(SER_hh_tes_in!M8=0,"",SER_hh_tes_in!M8/SER_hh_fec_in!M8)</f>
        <v>1.7941447739721925</v>
      </c>
      <c r="N8" s="137">
        <f>IF(SER_hh_tes_in!N8=0,"",SER_hh_tes_in!N8/SER_hh_fec_in!N8)</f>
        <v>1.8948986576470905</v>
      </c>
      <c r="O8" s="137">
        <f>IF(SER_hh_tes_in!O8=0,"",SER_hh_tes_in!O8/SER_hh_fec_in!O8)</f>
        <v>2.0047808843732549</v>
      </c>
      <c r="P8" s="137">
        <f>IF(SER_hh_tes_in!P8=0,"",SER_hh_tes_in!P8/SER_hh_fec_in!P8)</f>
        <v>2.1154023352535272</v>
      </c>
      <c r="Q8" s="137">
        <f>IF(SER_hh_tes_in!Q8=0,"",SER_hh_tes_in!Q8/SER_hh_fec_in!Q8)</f>
        <v>2.2061153190131604</v>
      </c>
      <c r="R8" s="137">
        <f>IF(SER_hh_tes_in!R8=0,"",SER_hh_tes_in!R8/SER_hh_fec_in!R8)</f>
        <v>2.2433450689704642</v>
      </c>
      <c r="S8" s="137">
        <f>IF(SER_hh_tes_in!S8=0,"",SER_hh_tes_in!S8/SER_hh_fec_in!S8)</f>
        <v>2.2672969636898581</v>
      </c>
      <c r="T8" s="137">
        <f>IF(SER_hh_tes_in!T8=0,"",SER_hh_tes_in!T8/SER_hh_fec_in!T8)</f>
        <v>2.2829956184783544</v>
      </c>
      <c r="U8" s="137">
        <f>IF(SER_hh_tes_in!U8=0,"",SER_hh_tes_in!U8/SER_hh_fec_in!U8)</f>
        <v>2.2955529406587933</v>
      </c>
      <c r="V8" s="137">
        <f>IF(SER_hh_tes_in!V8=0,"",SER_hh_tes_in!V8/SER_hh_fec_in!V8)</f>
        <v>2.3102244960658194</v>
      </c>
      <c r="W8" s="137">
        <f>IF(SER_hh_tes_in!W8=0,"",SER_hh_tes_in!W8/SER_hh_fec_in!W8)</f>
        <v>2.3264338965573557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0.59583904810093802</v>
      </c>
      <c r="D9" s="137">
        <f>IF(SER_hh_tes_in!D9=0,"",SER_hh_tes_in!D9/SER_hh_fec_in!D9)</f>
        <v>0.60407216511975304</v>
      </c>
      <c r="E9" s="137">
        <f>IF(SER_hh_tes_in!E9=0,"",SER_hh_tes_in!E9/SER_hh_fec_in!E9)</f>
        <v>0.61230795800426618</v>
      </c>
      <c r="F9" s="137">
        <f>IF(SER_hh_tes_in!F9=0,"",SER_hh_tes_in!F9/SER_hh_fec_in!F9)</f>
        <v>0.62044211986697839</v>
      </c>
      <c r="G9" s="137">
        <f>IF(SER_hh_tes_in!G9=0,"",SER_hh_tes_in!G9/SER_hh_fec_in!G9)</f>
        <v>0.62857085339020846</v>
      </c>
      <c r="H9" s="137">
        <f>IF(SER_hh_tes_in!H9=0,"",SER_hh_tes_in!H9/SER_hh_fec_in!H9)</f>
        <v>0.63668338197869179</v>
      </c>
      <c r="I9" s="137">
        <f>IF(SER_hh_tes_in!I9=0,"",SER_hh_tes_in!I9/SER_hh_fec_in!I9)</f>
        <v>0.64480441908418329</v>
      </c>
      <c r="J9" s="137">
        <f>IF(SER_hh_tes_in!J9=0,"",SER_hh_tes_in!J9/SER_hh_fec_in!J9)</f>
        <v>0.65303289801685649</v>
      </c>
      <c r="K9" s="137">
        <f>IF(SER_hh_tes_in!K9=0,"",SER_hh_tes_in!K9/SER_hh_fec_in!K9)</f>
        <v>0.66145419616945955</v>
      </c>
      <c r="L9" s="137">
        <f>IF(SER_hh_tes_in!L9=0,"",SER_hh_tes_in!L9/SER_hh_fec_in!L9)</f>
        <v>0.67009335960169747</v>
      </c>
      <c r="M9" s="137">
        <f>IF(SER_hh_tes_in!M9=0,"",SER_hh_tes_in!M9/SER_hh_fec_in!M9)</f>
        <v>0.68113631158055765</v>
      </c>
      <c r="N9" s="137">
        <f>IF(SER_hh_tes_in!N9=0,"",SER_hh_tes_in!N9/SER_hh_fec_in!N9)</f>
        <v>0.69530682177853587</v>
      </c>
      <c r="O9" s="137">
        <f>IF(SER_hh_tes_in!O9=0,"",SER_hh_tes_in!O9/SER_hh_fec_in!O9)</f>
        <v>0.71302327651863273</v>
      </c>
      <c r="P9" s="137">
        <f>IF(SER_hh_tes_in!P9=0,"",SER_hh_tes_in!P9/SER_hh_fec_in!P9)</f>
        <v>0.73269940554902058</v>
      </c>
      <c r="Q9" s="137">
        <f>IF(SER_hh_tes_in!Q9=0,"",SER_hh_tes_in!Q9/SER_hh_fec_in!Q9)</f>
        <v>0.74938357438910252</v>
      </c>
      <c r="R9" s="137">
        <f>IF(SER_hh_tes_in!R9=0,"",SER_hh_tes_in!R9/SER_hh_fec_in!R9)</f>
        <v>0.75886637518630762</v>
      </c>
      <c r="S9" s="137">
        <f>IF(SER_hh_tes_in!S9=0,"",SER_hh_tes_in!S9/SER_hh_fec_in!S9)</f>
        <v>0.76618656102628147</v>
      </c>
      <c r="T9" s="137">
        <f>IF(SER_hh_tes_in!T9=0,"",SER_hh_tes_in!T9/SER_hh_fec_in!T9)</f>
        <v>0.77201993360737819</v>
      </c>
      <c r="U9" s="137">
        <f>IF(SER_hh_tes_in!U9=0,"",SER_hh_tes_in!U9/SER_hh_fec_in!U9)</f>
        <v>0.77687702774998435</v>
      </c>
      <c r="V9" s="137">
        <f>IF(SER_hh_tes_in!V9=0,"",SER_hh_tes_in!V9/SER_hh_fec_in!V9)</f>
        <v>0.78109362373689228</v>
      </c>
      <c r="W9" s="137">
        <f>IF(SER_hh_tes_in!W9=0,"",SER_hh_tes_in!W9/SER_hh_fec_in!W9)</f>
        <v>0.78401080531382661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>
        <f>IF(SER_hh_tes_in!H10=0,"",SER_hh_tes_in!H10/SER_hh_fec_in!H10)</f>
        <v>0.55144593877935155</v>
      </c>
      <c r="I10" s="137">
        <f>IF(SER_hh_tes_in!I10=0,"",SER_hh_tes_in!I10/SER_hh_fec_in!I10)</f>
        <v>0.55173194186841124</v>
      </c>
      <c r="J10" s="137">
        <f>IF(SER_hh_tes_in!J10=0,"",SER_hh_tes_in!J10/SER_hh_fec_in!J10)</f>
        <v>0.55201840064965302</v>
      </c>
      <c r="K10" s="137">
        <f>IF(SER_hh_tes_in!K10=0,"",SER_hh_tes_in!K10/SER_hh_fec_in!K10)</f>
        <v>0.55230412622237324</v>
      </c>
      <c r="L10" s="137">
        <f>IF(SER_hh_tes_in!L10=0,"",SER_hh_tes_in!L10/SER_hh_fec_in!L10)</f>
        <v>0.55258806336698862</v>
      </c>
      <c r="M10" s="137">
        <f>IF(SER_hh_tes_in!M10=0,"",SER_hh_tes_in!M10/SER_hh_fec_in!M10)</f>
        <v>0.5528495582264179</v>
      </c>
      <c r="N10" s="137">
        <f>IF(SER_hh_tes_in!N10=0,"",SER_hh_tes_in!N10/SER_hh_fec_in!N10)</f>
        <v>0.55307752333626525</v>
      </c>
      <c r="O10" s="137">
        <f>IF(SER_hh_tes_in!O10=0,"",SER_hh_tes_in!O10/SER_hh_fec_in!O10)</f>
        <v>0.55326596057913358</v>
      </c>
      <c r="P10" s="137">
        <f>IF(SER_hh_tes_in!P10=0,"",SER_hh_tes_in!P10/SER_hh_fec_in!P10)</f>
        <v>0.55343101432868747</v>
      </c>
      <c r="Q10" s="137">
        <f>IF(SER_hh_tes_in!Q10=0,"",SER_hh_tes_in!Q10/SER_hh_fec_in!Q10)</f>
        <v>0.55362751444255931</v>
      </c>
      <c r="R10" s="137">
        <f>IF(SER_hh_tes_in!R10=0,"",SER_hh_tes_in!R10/SER_hh_fec_in!R10)</f>
        <v>0.55391724765551287</v>
      </c>
      <c r="S10" s="137">
        <f>IF(SER_hh_tes_in!S10=0,"",SER_hh_tes_in!S10/SER_hh_fec_in!S10)</f>
        <v>0.55424197229023286</v>
      </c>
      <c r="T10" s="137">
        <f>IF(SER_hh_tes_in!T10=0,"",SER_hh_tes_in!T10/SER_hh_fec_in!T10)</f>
        <v>0.55456827202091408</v>
      </c>
      <c r="U10" s="137">
        <f>IF(SER_hh_tes_in!U10=0,"",SER_hh_tes_in!U10/SER_hh_fec_in!U10)</f>
        <v>0.55486883793628616</v>
      </c>
      <c r="V10" s="137">
        <f>IF(SER_hh_tes_in!V10=0,"",SER_hh_tes_in!V10/SER_hh_fec_in!V10)</f>
        <v>0.55512078027253287</v>
      </c>
      <c r="W10" s="137">
        <f>IF(SER_hh_tes_in!W10=0,"",SER_hh_tes_in!W10/SER_hh_fec_in!W10)</f>
        <v>0.5553234329988731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>
        <f>IF(SER_hh_tes_in!C11=0,"",SER_hh_tes_in!C11/SER_hh_fec_in!C11)</f>
        <v>0.80215837969245252</v>
      </c>
      <c r="D11" s="137">
        <f>IF(SER_hh_tes_in!D11=0,"",SER_hh_tes_in!D11/SER_hh_fec_in!D11)</f>
        <v>0.80613936810480291</v>
      </c>
      <c r="E11" s="137">
        <f>IF(SER_hh_tes_in!E11=0,"",SER_hh_tes_in!E11/SER_hh_fec_in!E11)</f>
        <v>0.81012096263095368</v>
      </c>
      <c r="F11" s="137">
        <f>IF(SER_hh_tes_in!F11=0,"",SER_hh_tes_in!F11/SER_hh_fec_in!F11)</f>
        <v>0.81410263980898612</v>
      </c>
      <c r="G11" s="137">
        <f>IF(SER_hh_tes_in!G11=0,"",SER_hh_tes_in!G11/SER_hh_fec_in!G11)</f>
        <v>0.81808487518217821</v>
      </c>
      <c r="H11" s="137">
        <f>IF(SER_hh_tes_in!H11=0,"",SER_hh_tes_in!H11/SER_hh_fec_in!H11)</f>
        <v>0.82206761055008637</v>
      </c>
      <c r="I11" s="137">
        <f>IF(SER_hh_tes_in!I11=0,"",SER_hh_tes_in!I11/SER_hh_fec_in!I11)</f>
        <v>0.82605096308658876</v>
      </c>
      <c r="J11" s="137">
        <f>IF(SER_hh_tes_in!J11=0,"",SER_hh_tes_in!J11/SER_hh_fec_in!J11)</f>
        <v>0.83003541281170323</v>
      </c>
      <c r="K11" s="137">
        <f>IF(SER_hh_tes_in!K11=0,"",SER_hh_tes_in!K11/SER_hh_fec_in!K11)</f>
        <v>0.83402136786870318</v>
      </c>
      <c r="L11" s="137">
        <f>IF(SER_hh_tes_in!L11=0,"",SER_hh_tes_in!L11/SER_hh_fec_in!L11)</f>
        <v>0.83800893745264815</v>
      </c>
      <c r="M11" s="137">
        <f>IF(SER_hh_tes_in!M11=0,"",SER_hh_tes_in!M11/SER_hh_fec_in!M11)</f>
        <v>0.84203911903651596</v>
      </c>
      <c r="N11" s="137">
        <f>IF(SER_hh_tes_in!N11=0,"",SER_hh_tes_in!N11/SER_hh_fec_in!N11)</f>
        <v>0.84612724537180994</v>
      </c>
      <c r="O11" s="137">
        <f>IF(SER_hh_tes_in!O11=0,"",SER_hh_tes_in!O11/SER_hh_fec_in!O11)</f>
        <v>0.85025470158266969</v>
      </c>
      <c r="P11" s="137">
        <f>IF(SER_hh_tes_in!P11=0,"",SER_hh_tes_in!P11/SER_hh_fec_in!P11)</f>
        <v>0.85433521271775603</v>
      </c>
      <c r="Q11" s="137">
        <f>IF(SER_hh_tes_in!Q11=0,"",SER_hh_tes_in!Q11/SER_hh_fec_in!Q11)</f>
        <v>0.85812876704091234</v>
      </c>
      <c r="R11" s="137">
        <f>IF(SER_hh_tes_in!R11=0,"",SER_hh_tes_in!R11/SER_hh_fec_in!R11)</f>
        <v>0.86143839819499879</v>
      </c>
      <c r="S11" s="137">
        <f>IF(SER_hh_tes_in!S11=0,"",SER_hh_tes_in!S11/SER_hh_fec_in!S11)</f>
        <v>0.86448616327322469</v>
      </c>
      <c r="T11" s="137">
        <f>IF(SER_hh_tes_in!T11=0,"",SER_hh_tes_in!T11/SER_hh_fec_in!T11)</f>
        <v>0.86732550987360391</v>
      </c>
      <c r="U11" s="137">
        <f>IF(SER_hh_tes_in!U11=0,"",SER_hh_tes_in!U11/SER_hh_fec_in!U11)</f>
        <v>0.87000988559416015</v>
      </c>
      <c r="V11" s="137">
        <f>IF(SER_hh_tes_in!V11=0,"",SER_hh_tes_in!V11/SER_hh_fec_in!V11)</f>
        <v>0.87259273803291271</v>
      </c>
      <c r="W11" s="137">
        <f>IF(SER_hh_tes_in!W11=0,"",SER_hh_tes_in!W11/SER_hh_fec_in!W11)</f>
        <v>0.87500764234011941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0.80638010150961859</v>
      </c>
      <c r="D12" s="137">
        <f>IF(SER_hh_tes_in!D12=0,"",SER_hh_tes_in!D12/SER_hh_fec_in!D12)</f>
        <v>0.80852211180175593</v>
      </c>
      <c r="E12" s="137">
        <f>IF(SER_hh_tes_in!E12=0,"",SER_hh_tes_in!E12/SER_hh_fec_in!E12)</f>
        <v>0.81072195078345954</v>
      </c>
      <c r="F12" s="137">
        <f>IF(SER_hh_tes_in!F12=0,"",SER_hh_tes_in!F12/SER_hh_fec_in!F12)</f>
        <v>0.8129296754955585</v>
      </c>
      <c r="G12" s="137">
        <f>IF(SER_hh_tes_in!G12=0,"",SER_hh_tes_in!G12/SER_hh_fec_in!G12)</f>
        <v>0.81519065702932025</v>
      </c>
      <c r="H12" s="137">
        <f>IF(SER_hh_tes_in!H12=0,"",SER_hh_tes_in!H12/SER_hh_fec_in!H12)</f>
        <v>0.81749934254077983</v>
      </c>
      <c r="I12" s="137">
        <f>IF(SER_hh_tes_in!I12=0,"",SER_hh_tes_in!I12/SER_hh_fec_in!I12)</f>
        <v>0.81986691146815127</v>
      </c>
      <c r="J12" s="137">
        <f>IF(SER_hh_tes_in!J12=0,"",SER_hh_tes_in!J12/SER_hh_fec_in!J12)</f>
        <v>0.82233916202381097</v>
      </c>
      <c r="K12" s="137">
        <f>IF(SER_hh_tes_in!K12=0,"",SER_hh_tes_in!K12/SER_hh_fec_in!K12)</f>
        <v>0.82495503473464049</v>
      </c>
      <c r="L12" s="137">
        <f>IF(SER_hh_tes_in!L12=0,"",SER_hh_tes_in!L12/SER_hh_fec_in!L12)</f>
        <v>0.82772494778806138</v>
      </c>
      <c r="M12" s="137">
        <f>IF(SER_hh_tes_in!M12=0,"",SER_hh_tes_in!M12/SER_hh_fec_in!M12)</f>
        <v>0.83156023820919933</v>
      </c>
      <c r="N12" s="137">
        <f>IF(SER_hh_tes_in!N12=0,"",SER_hh_tes_in!N12/SER_hh_fec_in!N12)</f>
        <v>0.83674904790247906</v>
      </c>
      <c r="O12" s="137">
        <f>IF(SER_hh_tes_in!O12=0,"",SER_hh_tes_in!O12/SER_hh_fec_in!O12)</f>
        <v>0.84354396826050615</v>
      </c>
      <c r="P12" s="137">
        <f>IF(SER_hh_tes_in!P12=0,"",SER_hh_tes_in!P12/SER_hh_fec_in!P12)</f>
        <v>0.8514644256395647</v>
      </c>
      <c r="Q12" s="137">
        <f>IF(SER_hh_tes_in!Q12=0,"",SER_hh_tes_in!Q12/SER_hh_fec_in!Q12)</f>
        <v>0.85893719544889235</v>
      </c>
      <c r="R12" s="137">
        <f>IF(SER_hh_tes_in!R12=0,"",SER_hh_tes_in!R12/SER_hh_fec_in!R12)</f>
        <v>0.8646633295436057</v>
      </c>
      <c r="S12" s="137">
        <f>IF(SER_hh_tes_in!S12=0,"",SER_hh_tes_in!S12/SER_hh_fec_in!S12)</f>
        <v>0.87023390078963292</v>
      </c>
      <c r="T12" s="137">
        <f>IF(SER_hh_tes_in!T12=0,"",SER_hh_tes_in!T12/SER_hh_fec_in!T12)</f>
        <v>0.87561168901843278</v>
      </c>
      <c r="U12" s="137">
        <f>IF(SER_hh_tes_in!U12=0,"",SER_hh_tes_in!U12/SER_hh_fec_in!U12)</f>
        <v>0.88075947406148147</v>
      </c>
      <c r="V12" s="137">
        <f>IF(SER_hh_tes_in!V12=0,"",SER_hh_tes_in!V12/SER_hh_fec_in!V12)</f>
        <v>0.88564003575024841</v>
      </c>
      <c r="W12" s="137">
        <f>IF(SER_hh_tes_in!W12=0,"",SER_hh_tes_in!W12/SER_hh_fec_in!W12)</f>
        <v>0.890135973770254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1.3858320811210603</v>
      </c>
      <c r="D13" s="137">
        <f>IF(SER_hh_tes_in!D13=0,"",SER_hh_tes_in!D13/SER_hh_fec_in!D13)</f>
        <v>1.4874665898737549</v>
      </c>
      <c r="E13" s="137">
        <f>IF(SER_hh_tes_in!E13=0,"",SER_hh_tes_in!E13/SER_hh_fec_in!E13)</f>
        <v>1.592011927896664</v>
      </c>
      <c r="F13" s="137">
        <f>IF(SER_hh_tes_in!F13=0,"",SER_hh_tes_in!F13/SER_hh_fec_in!F13)</f>
        <v>1.6990335161959982</v>
      </c>
      <c r="G13" s="137">
        <f>IF(SER_hh_tes_in!G13=0,"",SER_hh_tes_in!G13/SER_hh_fec_in!G13)</f>
        <v>1.8088923981891931</v>
      </c>
      <c r="H13" s="137">
        <f>IF(SER_hh_tes_in!H13=0,"",SER_hh_tes_in!H13/SER_hh_fec_in!H13)</f>
        <v>1.9215204486321247</v>
      </c>
      <c r="I13" s="137">
        <f>IF(SER_hh_tes_in!I13=0,"",SER_hh_tes_in!I13/SER_hh_fec_in!I13)</f>
        <v>2.0369816948913644</v>
      </c>
      <c r="J13" s="137">
        <f>IF(SER_hh_tes_in!J13=0,"",SER_hh_tes_in!J13/SER_hh_fec_in!J13)</f>
        <v>2.1555939672025577</v>
      </c>
      <c r="K13" s="137">
        <f>IF(SER_hh_tes_in!K13=0,"",SER_hh_tes_in!K13/SER_hh_fec_in!K13)</f>
        <v>2.2775924842679696</v>
      </c>
      <c r="L13" s="137">
        <f>IF(SER_hh_tes_in!L13=0,"",SER_hh_tes_in!L13/SER_hh_fec_in!L13)</f>
        <v>2.4029767439390604</v>
      </c>
      <c r="M13" s="137">
        <f>IF(SER_hh_tes_in!M13=0,"",SER_hh_tes_in!M13/SER_hh_fec_in!M13)</f>
        <v>2.5408466161914158</v>
      </c>
      <c r="N13" s="137">
        <f>IF(SER_hh_tes_in!N13=0,"",SER_hh_tes_in!N13/SER_hh_fec_in!N13)</f>
        <v>2.6935137555509652</v>
      </c>
      <c r="O13" s="137">
        <f>IF(SER_hh_tes_in!O13=0,"",SER_hh_tes_in!O13/SER_hh_fec_in!O13)</f>
        <v>2.8594355190096996</v>
      </c>
      <c r="P13" s="137">
        <f>IF(SER_hh_tes_in!P13=0,"",SER_hh_tes_in!P13/SER_hh_fec_in!P13)</f>
        <v>3.0259794912192728</v>
      </c>
      <c r="Q13" s="137">
        <f>IF(SER_hh_tes_in!Q13=0,"",SER_hh_tes_in!Q13/SER_hh_fec_in!Q13)</f>
        <v>3.1625018005078722</v>
      </c>
      <c r="R13" s="137">
        <f>IF(SER_hh_tes_in!R13=0,"",SER_hh_tes_in!R13/SER_hh_fec_in!R13)</f>
        <v>3.2173546594777167</v>
      </c>
      <c r="S13" s="137">
        <f>IF(SER_hh_tes_in!S13=0,"",SER_hh_tes_in!S13/SER_hh_fec_in!S13)</f>
        <v>3.2520743662988987</v>
      </c>
      <c r="T13" s="137">
        <f>IF(SER_hh_tes_in!T13=0,"",SER_hh_tes_in!T13/SER_hh_fec_in!T13)</f>
        <v>3.2743424045661</v>
      </c>
      <c r="U13" s="137">
        <f>IF(SER_hh_tes_in!U13=0,"",SER_hh_tes_in!U13/SER_hh_fec_in!U13)</f>
        <v>3.2920647088321537</v>
      </c>
      <c r="V13" s="137">
        <f>IF(SER_hh_tes_in!V13=0,"",SER_hh_tes_in!V13/SER_hh_fec_in!V13)</f>
        <v>3.3134577611102007</v>
      </c>
      <c r="W13" s="137">
        <f>IF(SER_hh_tes_in!W13=0,"",SER_hh_tes_in!W13/SER_hh_fec_in!W13)</f>
        <v>3.3379143950921062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 t="str">
        <f>IF(SER_hh_tes_in!C14=0,"",SER_hh_tes_in!C14/SER_hh_fec_in!C14)</f>
        <v/>
      </c>
      <c r="D14" s="138" t="str">
        <f>IF(SER_hh_tes_in!D14=0,"",SER_hh_tes_in!D14/SER_hh_fec_in!D14)</f>
        <v/>
      </c>
      <c r="E14" s="138" t="str">
        <f>IF(SER_hh_tes_in!E14=0,"",SER_hh_tes_in!E14/SER_hh_fec_in!E14)</f>
        <v/>
      </c>
      <c r="F14" s="138" t="str">
        <f>IF(SER_hh_tes_in!F14=0,"",SER_hh_tes_in!F14/SER_hh_fec_in!F14)</f>
        <v/>
      </c>
      <c r="G14" s="138">
        <f>IF(SER_hh_tes_in!G14=0,"",SER_hh_tes_in!G14/SER_hh_fec_in!G14)</f>
        <v>0.74401316096613035</v>
      </c>
      <c r="H14" s="138">
        <f>IF(SER_hh_tes_in!H14=0,"",SER_hh_tes_in!H14/SER_hh_fec_in!H14)</f>
        <v>0.74759267303706423</v>
      </c>
      <c r="I14" s="138">
        <f>IF(SER_hh_tes_in!I14=0,"",SER_hh_tes_in!I14/SER_hh_fec_in!I14)</f>
        <v>0.75125910045052557</v>
      </c>
      <c r="J14" s="138">
        <f>IF(SER_hh_tes_in!J14=0,"",SER_hh_tes_in!J14/SER_hh_fec_in!J14)</f>
        <v>0.75508006145928663</v>
      </c>
      <c r="K14" s="138">
        <f>IF(SER_hh_tes_in!K14=0,"",SER_hh_tes_in!K14/SER_hh_fec_in!K14)</f>
        <v>0.75911285169864984</v>
      </c>
      <c r="L14" s="138">
        <f>IF(SER_hh_tes_in!L14=0,"",SER_hh_tes_in!L14/SER_hh_fec_in!L14)</f>
        <v>0.76337239459803607</v>
      </c>
      <c r="M14" s="138">
        <f>IF(SER_hh_tes_in!M14=0,"",SER_hh_tes_in!M14/SER_hh_fec_in!M14)</f>
        <v>0.76903586745390407</v>
      </c>
      <c r="N14" s="138">
        <f>IF(SER_hh_tes_in!N14=0,"",SER_hh_tes_in!N14/SER_hh_fec_in!N14)</f>
        <v>0.77645264157262006</v>
      </c>
      <c r="O14" s="138">
        <f>IF(SER_hh_tes_in!O14=0,"",SER_hh_tes_in!O14/SER_hh_fec_in!O14)</f>
        <v>0.78608128818719969</v>
      </c>
      <c r="P14" s="138">
        <f>IF(SER_hh_tes_in!P14=0,"",SER_hh_tes_in!P14/SER_hh_fec_in!P14)</f>
        <v>0.79760208467448157</v>
      </c>
      <c r="Q14" s="138">
        <f>IF(SER_hh_tes_in!Q14=0,"",SER_hh_tes_in!Q14/SER_hh_fec_in!Q14)</f>
        <v>0.80984741758925316</v>
      </c>
      <c r="R14" s="138">
        <f>IF(SER_hh_tes_in!R14=0,"",SER_hh_tes_in!R14/SER_hh_fec_in!R14)</f>
        <v>0.82300781641029097</v>
      </c>
      <c r="S14" s="138">
        <f>IF(SER_hh_tes_in!S14=0,"",SER_hh_tes_in!S14/SER_hh_fec_in!S14)</f>
        <v>0.83833332580744979</v>
      </c>
      <c r="T14" s="138">
        <f>IF(SER_hh_tes_in!T14=0,"",SER_hh_tes_in!T14/SER_hh_fec_in!T14)</f>
        <v>0.85384014033924771</v>
      </c>
      <c r="U14" s="138">
        <f>IF(SER_hh_tes_in!U14=0,"",SER_hh_tes_in!U14/SER_hh_fec_in!U14)</f>
        <v>0.86755018020833896</v>
      </c>
      <c r="V14" s="138">
        <f>IF(SER_hh_tes_in!V14=0,"",SER_hh_tes_in!V14/SER_hh_fec_in!V14)</f>
        <v>0.87747968706495705</v>
      </c>
      <c r="W14" s="138">
        <f>IF(SER_hh_tes_in!W14=0,"",SER_hh_tes_in!W14/SER_hh_fec_in!W14)</f>
        <v>0.88246783962174646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2.306437029982169</v>
      </c>
      <c r="D16" s="136">
        <f>IF(SER_hh_tes_in!D16=0,"",SER_hh_tes_in!D16/SER_hh_fec_in!D16)</f>
        <v>2.380056732135563</v>
      </c>
      <c r="E16" s="136">
        <f>IF(SER_hh_tes_in!E16=0,"",SER_hh_tes_in!E16/SER_hh_fec_in!E16)</f>
        <v>2.4550483654715469</v>
      </c>
      <c r="F16" s="136">
        <f>IF(SER_hh_tes_in!F16=0,"",SER_hh_tes_in!F16/SER_hh_fec_in!F16)</f>
        <v>2.5285728109239942</v>
      </c>
      <c r="G16" s="136">
        <f>IF(SER_hh_tes_in!G16=0,"",SER_hh_tes_in!G16/SER_hh_fec_in!G16)</f>
        <v>2.6043985464978467</v>
      </c>
      <c r="H16" s="136">
        <f>IF(SER_hh_tes_in!H16=0,"",SER_hh_tes_in!H16/SER_hh_fec_in!H16)</f>
        <v>2.6821997375901772</v>
      </c>
      <c r="I16" s="136">
        <f>IF(SER_hh_tes_in!I16=0,"",SER_hh_tes_in!I16/SER_hh_fec_in!I16)</f>
        <v>2.7573709935223931</v>
      </c>
      <c r="J16" s="136">
        <f>IF(SER_hh_tes_in!J16=0,"",SER_hh_tes_in!J16/SER_hh_fec_in!J16)</f>
        <v>2.8374224267280601</v>
      </c>
      <c r="K16" s="136">
        <f>IF(SER_hh_tes_in!K16=0,"",SER_hh_tes_in!K16/SER_hh_fec_in!K16)</f>
        <v>2.9162745549562636</v>
      </c>
      <c r="L16" s="136">
        <f>IF(SER_hh_tes_in!L16=0,"",SER_hh_tes_in!L16/SER_hh_fec_in!L16)</f>
        <v>3.0009193809396475</v>
      </c>
      <c r="M16" s="136">
        <f>IF(SER_hh_tes_in!M16=0,"",SER_hh_tes_in!M16/SER_hh_fec_in!M16)</f>
        <v>3.091678919927825</v>
      </c>
      <c r="N16" s="136">
        <f>IF(SER_hh_tes_in!N16=0,"",SER_hh_tes_in!N16/SER_hh_fec_in!N16)</f>
        <v>3.209660610087905</v>
      </c>
      <c r="O16" s="136">
        <f>IF(SER_hh_tes_in!O16=0,"",SER_hh_tes_in!O16/SER_hh_fec_in!O16)</f>
        <v>3.3340410317136016</v>
      </c>
      <c r="P16" s="136">
        <f>IF(SER_hh_tes_in!P16=0,"",SER_hh_tes_in!P16/SER_hh_fec_in!P16)</f>
        <v>3.4697217743709285</v>
      </c>
      <c r="Q16" s="136">
        <f>IF(SER_hh_tes_in!Q16=0,"",SER_hh_tes_in!Q16/SER_hh_fec_in!Q16)</f>
        <v>3.6121546261034352</v>
      </c>
      <c r="R16" s="136">
        <f>IF(SER_hh_tes_in!R16=0,"",SER_hh_tes_in!R16/SER_hh_fec_in!R16)</f>
        <v>3.6068818895757215</v>
      </c>
      <c r="S16" s="136">
        <f>IF(SER_hh_tes_in!S16=0,"",SER_hh_tes_in!S16/SER_hh_fec_in!S16)</f>
        <v>3.7235584099035237</v>
      </c>
      <c r="T16" s="136">
        <f>IF(SER_hh_tes_in!T16=0,"",SER_hh_tes_in!T16/SER_hh_fec_in!T16)</f>
        <v>3.8015277973175414</v>
      </c>
      <c r="U16" s="136">
        <f>IF(SER_hh_tes_in!U16=0,"",SER_hh_tes_in!U16/SER_hh_fec_in!U16)</f>
        <v>3.860697837099706</v>
      </c>
      <c r="V16" s="136">
        <f>IF(SER_hh_tes_in!V16=0,"",SER_hh_tes_in!V16/SER_hh_fec_in!V16)</f>
        <v>3.8983910610213135</v>
      </c>
      <c r="W16" s="136">
        <f>IF(SER_hh_tes_in!W16=0,"",SER_hh_tes_in!W16/SER_hh_fec_in!W16)</f>
        <v>3.9818783495926899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1.2764232351749789</v>
      </c>
      <c r="D17" s="137">
        <f>IF(SER_hh_tes_in!D17=0,"",SER_hh_tes_in!D17/SER_hh_fec_in!D17)</f>
        <v>1.2800129791208257</v>
      </c>
      <c r="E17" s="137">
        <f>IF(SER_hh_tes_in!E17=0,"",SER_hh_tes_in!E17/SER_hh_fec_in!E17)</f>
        <v>1.2828740119549724</v>
      </c>
      <c r="F17" s="137">
        <f>IF(SER_hh_tes_in!F17=0,"",SER_hh_tes_in!F17/SER_hh_fec_in!F17)</f>
        <v>1.2851448830765428</v>
      </c>
      <c r="G17" s="137">
        <f>IF(SER_hh_tes_in!G17=0,"",SER_hh_tes_in!G17/SER_hh_fec_in!G17)</f>
        <v>1.2868491334475882</v>
      </c>
      <c r="H17" s="137">
        <f>IF(SER_hh_tes_in!H17=0,"",SER_hh_tes_in!H17/SER_hh_fec_in!H17)</f>
        <v>1.2882245383300939</v>
      </c>
      <c r="I17" s="137">
        <f>IF(SER_hh_tes_in!I17=0,"",SER_hh_tes_in!I17/SER_hh_fec_in!I17)</f>
        <v>1.2893409671753007</v>
      </c>
      <c r="J17" s="137">
        <f>IF(SER_hh_tes_in!J17=0,"",SER_hh_tes_in!J17/SER_hh_fec_in!J17)</f>
        <v>1.290442729911214</v>
      </c>
      <c r="K17" s="137">
        <f>IF(SER_hh_tes_in!K17=0,"",SER_hh_tes_in!K17/SER_hh_fec_in!K17)</f>
        <v>1.2918869617234972</v>
      </c>
      <c r="L17" s="137">
        <f>IF(SER_hh_tes_in!L17=0,"",SER_hh_tes_in!L17/SER_hh_fec_in!L17)</f>
        <v>1.2939013711365908</v>
      </c>
      <c r="M17" s="137">
        <f>IF(SER_hh_tes_in!M17=0,"",SER_hh_tes_in!M17/SER_hh_fec_in!M17)</f>
        <v>1.299519879605431</v>
      </c>
      <c r="N17" s="137">
        <f>IF(SER_hh_tes_in!N17=0,"",SER_hh_tes_in!N17/SER_hh_fec_in!N17)</f>
        <v>1.3129379557332459</v>
      </c>
      <c r="O17" s="137">
        <f>IF(SER_hh_tes_in!O17=0,"",SER_hh_tes_in!O17/SER_hh_fec_in!O17)</f>
        <v>1.3356831027263132</v>
      </c>
      <c r="P17" s="137">
        <f>IF(SER_hh_tes_in!P17=0,"",SER_hh_tes_in!P17/SER_hh_fec_in!P17)</f>
        <v>1.3673310987850777</v>
      </c>
      <c r="Q17" s="137">
        <f>IF(SER_hh_tes_in!Q17=0,"",SER_hh_tes_in!Q17/SER_hh_fec_in!Q17)</f>
        <v>1.4012346961895039</v>
      </c>
      <c r="R17" s="137">
        <f>IF(SER_hh_tes_in!R17=0,"",SER_hh_tes_in!R17/SER_hh_fec_in!R17)</f>
        <v>1.4293770918700246</v>
      </c>
      <c r="S17" s="137">
        <f>IF(SER_hh_tes_in!S17=0,"",SER_hh_tes_in!S17/SER_hh_fec_in!S17)</f>
        <v>1.4572787189813039</v>
      </c>
      <c r="T17" s="137">
        <f>IF(SER_hh_tes_in!T17=0,"",SER_hh_tes_in!T17/SER_hh_fec_in!T17)</f>
        <v>1.4899511211963246</v>
      </c>
      <c r="U17" s="137">
        <f>IF(SER_hh_tes_in!U17=0,"",SER_hh_tes_in!U17/SER_hh_fec_in!U17)</f>
        <v>1.5245806456737383</v>
      </c>
      <c r="V17" s="137">
        <f>IF(SER_hh_tes_in!V17=0,"",SER_hh_tes_in!V17/SER_hh_fec_in!V17)</f>
        <v>1.5580913310035227</v>
      </c>
      <c r="W17" s="137">
        <f>IF(SER_hh_tes_in!W17=0,"",SER_hh_tes_in!W17/SER_hh_fec_in!W17)</f>
        <v>1.5854450813318015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2.3103456948540537</v>
      </c>
      <c r="D18" s="137">
        <f>IF(SER_hh_tes_in!D18=0,"",SER_hh_tes_in!D18/SER_hh_fec_in!D18)</f>
        <v>2.3847391055866813</v>
      </c>
      <c r="E18" s="137">
        <f>IF(SER_hh_tes_in!E18=0,"",SER_hh_tes_in!E18/SER_hh_fec_in!E18)</f>
        <v>2.4599908939036417</v>
      </c>
      <c r="F18" s="137">
        <f>IF(SER_hh_tes_in!F18=0,"",SER_hh_tes_in!F18/SER_hh_fec_in!F18)</f>
        <v>2.5353803534874033</v>
      </c>
      <c r="G18" s="137">
        <f>IF(SER_hh_tes_in!G18=0,"",SER_hh_tes_in!G18/SER_hh_fec_in!G18)</f>
        <v>2.6115409998032098</v>
      </c>
      <c r="H18" s="137">
        <f>IF(SER_hh_tes_in!H18=0,"",SER_hh_tes_in!H18/SER_hh_fec_in!H18)</f>
        <v>2.6883842379487293</v>
      </c>
      <c r="I18" s="137">
        <f>IF(SER_hh_tes_in!I18=0,"",SER_hh_tes_in!I18/SER_hh_fec_in!I18)</f>
        <v>2.7660587053240233</v>
      </c>
      <c r="J18" s="137">
        <f>IF(SER_hh_tes_in!J18=0,"",SER_hh_tes_in!J18/SER_hh_fec_in!J18)</f>
        <v>2.8451995054029204</v>
      </c>
      <c r="K18" s="137">
        <f>IF(SER_hh_tes_in!K18=0,"",SER_hh_tes_in!K18/SER_hh_fec_in!K18)</f>
        <v>2.9263407806791788</v>
      </c>
      <c r="L18" s="137">
        <f>IF(SER_hh_tes_in!L18=0,"",SER_hh_tes_in!L18/SER_hh_fec_in!L18)</f>
        <v>3.0096125300628969</v>
      </c>
      <c r="M18" s="137">
        <f>IF(SER_hh_tes_in!M18=0,"",SER_hh_tes_in!M18/SER_hh_fec_in!M18)</f>
        <v>3.1091818860545466</v>
      </c>
      <c r="N18" s="137">
        <f>IF(SER_hh_tes_in!N18=0,"",SER_hh_tes_in!N18/SER_hh_fec_in!N18)</f>
        <v>3.2296877837835671</v>
      </c>
      <c r="O18" s="137">
        <f>IF(SER_hh_tes_in!O18=0,"",SER_hh_tes_in!O18/SER_hh_fec_in!O18)</f>
        <v>3.3737053454602099</v>
      </c>
      <c r="P18" s="137">
        <f>IF(SER_hh_tes_in!P18=0,"",SER_hh_tes_in!P18/SER_hh_fec_in!P18)</f>
        <v>3.5299722315785651</v>
      </c>
      <c r="Q18" s="137">
        <f>IF(SER_hh_tes_in!Q18=0,"",SER_hh_tes_in!Q18/SER_hh_fec_in!Q18)</f>
        <v>3.6643044236482831</v>
      </c>
      <c r="R18" s="137">
        <f>IF(SER_hh_tes_in!R18=0,"",SER_hh_tes_in!R18/SER_hh_fec_in!R18)</f>
        <v>3.7489267652168041</v>
      </c>
      <c r="S18" s="137">
        <f>IF(SER_hh_tes_in!S18=0,"",SER_hh_tes_in!S18/SER_hh_fec_in!S18)</f>
        <v>3.816281994198901</v>
      </c>
      <c r="T18" s="137">
        <f>IF(SER_hh_tes_in!T18=0,"",SER_hh_tes_in!T18/SER_hh_fec_in!T18)</f>
        <v>3.8725598520349931</v>
      </c>
      <c r="U18" s="137">
        <f>IF(SER_hh_tes_in!U18=0,"",SER_hh_tes_in!U18/SER_hh_fec_in!U18)</f>
        <v>3.9237936216346125</v>
      </c>
      <c r="V18" s="137">
        <f>IF(SER_hh_tes_in!V18=0,"",SER_hh_tes_in!V18/SER_hh_fec_in!V18)</f>
        <v>3.9760320543346475</v>
      </c>
      <c r="W18" s="137">
        <f>IF(SER_hh_tes_in!W18=0,"",SER_hh_tes_in!W18/SER_hh_fec_in!W18)</f>
        <v>4.0271742096438636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0.64044262186464496</v>
      </c>
      <c r="D19" s="136">
        <f>IF(SER_hh_tes_in!D19=0,"",SER_hh_tes_in!D19/SER_hh_fec_in!D19)</f>
        <v>0.64634960700770272</v>
      </c>
      <c r="E19" s="136">
        <f>IF(SER_hh_tes_in!E19=0,"",SER_hh_tes_in!E19/SER_hh_fec_in!E19)</f>
        <v>0.6489668187819394</v>
      </c>
      <c r="F19" s="136">
        <f>IF(SER_hh_tes_in!F19=0,"",SER_hh_tes_in!F19/SER_hh_fec_in!F19)</f>
        <v>0.68399501743909275</v>
      </c>
      <c r="G19" s="136">
        <f>IF(SER_hh_tes_in!G19=0,"",SER_hh_tes_in!G19/SER_hh_fec_in!G19)</f>
        <v>0.69128474457790789</v>
      </c>
      <c r="H19" s="136">
        <f>IF(SER_hh_tes_in!H19=0,"",SER_hh_tes_in!H19/SER_hh_fec_in!H19)</f>
        <v>0.68752971658011031</v>
      </c>
      <c r="I19" s="136">
        <f>IF(SER_hh_tes_in!I19=0,"",SER_hh_tes_in!I19/SER_hh_fec_in!I19)</f>
        <v>0.68541637459883042</v>
      </c>
      <c r="J19" s="136">
        <f>IF(SER_hh_tes_in!J19=0,"",SER_hh_tes_in!J19/SER_hh_fec_in!J19)</f>
        <v>0.69551263835420185</v>
      </c>
      <c r="K19" s="136">
        <f>IF(SER_hh_tes_in!K19=0,"",SER_hh_tes_in!K19/SER_hh_fec_in!K19)</f>
        <v>0.69655075666967459</v>
      </c>
      <c r="L19" s="136">
        <f>IF(SER_hh_tes_in!L19=0,"",SER_hh_tes_in!L19/SER_hh_fec_in!L19)</f>
        <v>0.70930315675998745</v>
      </c>
      <c r="M19" s="136">
        <f>IF(SER_hh_tes_in!M19=0,"",SER_hh_tes_in!M19/SER_hh_fec_in!M19)</f>
        <v>0.70691665387350011</v>
      </c>
      <c r="N19" s="136">
        <f>IF(SER_hh_tes_in!N19=0,"",SER_hh_tes_in!N19/SER_hh_fec_in!N19)</f>
        <v>0.71994762163670745</v>
      </c>
      <c r="O19" s="136">
        <f>IF(SER_hh_tes_in!O19=0,"",SER_hh_tes_in!O19/SER_hh_fec_in!O19)</f>
        <v>0.75362363217930417</v>
      </c>
      <c r="P19" s="136">
        <f>IF(SER_hh_tes_in!P19=0,"",SER_hh_tes_in!P19/SER_hh_fec_in!P19)</f>
        <v>0.77080329419281568</v>
      </c>
      <c r="Q19" s="136">
        <f>IF(SER_hh_tes_in!Q19=0,"",SER_hh_tes_in!Q19/SER_hh_fec_in!Q19)</f>
        <v>0.80801312816864024</v>
      </c>
      <c r="R19" s="136">
        <f>IF(SER_hh_tes_in!R19=0,"",SER_hh_tes_in!R19/SER_hh_fec_in!R19)</f>
        <v>0.81610645320909303</v>
      </c>
      <c r="S19" s="136">
        <f>IF(SER_hh_tes_in!S19=0,"",SER_hh_tes_in!S19/SER_hh_fec_in!S19)</f>
        <v>0.83736745255306899</v>
      </c>
      <c r="T19" s="136">
        <f>IF(SER_hh_tes_in!T19=0,"",SER_hh_tes_in!T19/SER_hh_fec_in!T19)</f>
        <v>0.86348177940348969</v>
      </c>
      <c r="U19" s="136">
        <f>IF(SER_hh_tes_in!U19=0,"",SER_hh_tes_in!U19/SER_hh_fec_in!U19)</f>
        <v>0.8668164523631301</v>
      </c>
      <c r="V19" s="136">
        <f>IF(SER_hh_tes_in!V19=0,"",SER_hh_tes_in!V19/SER_hh_fec_in!V19)</f>
        <v>0.87856353372051854</v>
      </c>
      <c r="W19" s="136">
        <f>IF(SER_hh_tes_in!W19=0,"",SER_hh_tes_in!W19/SER_hh_fec_in!W19)</f>
        <v>0.88051167508764516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>
        <f>IF(SER_hh_tes_in!C20=0,"",SER_hh_tes_in!C20/SER_hh_fec_in!C20)</f>
        <v>0.63598545745868484</v>
      </c>
      <c r="D20" s="137">
        <f>IF(SER_hh_tes_in!D20=0,"",SER_hh_tes_in!D20/SER_hh_fec_in!D20)</f>
        <v>0.64282478529004494</v>
      </c>
      <c r="E20" s="137">
        <f>IF(SER_hh_tes_in!E20=0,"",SER_hh_tes_in!E20/SER_hh_fec_in!E20)</f>
        <v>0.64965010379158383</v>
      </c>
      <c r="F20" s="137">
        <f>IF(SER_hh_tes_in!F20=0,"",SER_hh_tes_in!F20/SER_hh_fec_in!F20)</f>
        <v>0.65647351192996561</v>
      </c>
      <c r="G20" s="137">
        <f>IF(SER_hh_tes_in!G20=0,"",SER_hh_tes_in!G20/SER_hh_fec_in!G20)</f>
        <v>0.66328401829959793</v>
      </c>
      <c r="H20" s="137">
        <f>IF(SER_hh_tes_in!H20=0,"",SER_hh_tes_in!H20/SER_hh_fec_in!H20)</f>
        <v>0.67008296810859758</v>
      </c>
      <c r="I20" s="137">
        <f>IF(SER_hh_tes_in!I20=0,"",SER_hh_tes_in!I20/SER_hh_fec_in!I20)</f>
        <v>0.67686765307430574</v>
      </c>
      <c r="J20" s="137">
        <f>IF(SER_hh_tes_in!J20=0,"",SER_hh_tes_in!J20/SER_hh_fec_in!J20)</f>
        <v>0.68362697831860753</v>
      </c>
      <c r="K20" s="137">
        <f>IF(SER_hh_tes_in!K20=0,"",SER_hh_tes_in!K20/SER_hh_fec_in!K20)</f>
        <v>0.69035151027680164</v>
      </c>
      <c r="L20" s="137">
        <f>IF(SER_hh_tes_in!L20=0,"",SER_hh_tes_in!L20/SER_hh_fec_in!L20)</f>
        <v>0.69703872508357467</v>
      </c>
      <c r="M20" s="137">
        <f>IF(SER_hh_tes_in!M20=0,"",SER_hh_tes_in!M20/SER_hh_fec_in!M20)</f>
        <v>0.70336470940482154</v>
      </c>
      <c r="N20" s="137">
        <f>IF(SER_hh_tes_in!N20=0,"",SER_hh_tes_in!N20/SER_hh_fec_in!N20)</f>
        <v>0.70921927930036022</v>
      </c>
      <c r="O20" s="137">
        <f>IF(SER_hh_tes_in!O20=0,"",SER_hh_tes_in!O20/SER_hh_fec_in!O20)</f>
        <v>0.71461099676873585</v>
      </c>
      <c r="P20" s="137">
        <f>IF(SER_hh_tes_in!P20=0,"",SER_hh_tes_in!P20/SER_hh_fec_in!P20)</f>
        <v>0.71992270928718927</v>
      </c>
      <c r="Q20" s="137">
        <f>IF(SER_hh_tes_in!Q20=0,"",SER_hh_tes_in!Q20/SER_hh_fec_in!Q20)</f>
        <v>0.72626859029549118</v>
      </c>
      <c r="R20" s="137">
        <f>IF(SER_hh_tes_in!R20=0,"",SER_hh_tes_in!R20/SER_hh_fec_in!R20)</f>
        <v>0.73507652301267767</v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>
        <f>IF(SER_hh_tes_in!U20=0,"",SER_hh_tes_in!U20/SER_hh_fec_in!U20)</f>
        <v>0.76617709959816105</v>
      </c>
      <c r="V20" s="137">
        <f>IF(SER_hh_tes_in!V20=0,"",SER_hh_tes_in!V20/SER_hh_fec_in!V20)</f>
        <v>0.77498503231535176</v>
      </c>
      <c r="W20" s="137">
        <f>IF(SER_hh_tes_in!W20=0,"",SER_hh_tes_in!W20/SER_hh_fec_in!W20)</f>
        <v>0.78201243369155848</v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0.56187196100650971</v>
      </c>
      <c r="D21" s="137">
        <f>IF(SER_hh_tes_in!D21=0,"",SER_hh_tes_in!D21/SER_hh_fec_in!D21)</f>
        <v>0.56404878655028101</v>
      </c>
      <c r="E21" s="137">
        <f>IF(SER_hh_tes_in!E21=0,"",SER_hh_tes_in!E21/SER_hh_fec_in!E21)</f>
        <v>0.56658597234887986</v>
      </c>
      <c r="F21" s="137">
        <f>IF(SER_hh_tes_in!F21=0,"",SER_hh_tes_in!F21/SER_hh_fec_in!F21)</f>
        <v>0.56917229818222781</v>
      </c>
      <c r="G21" s="137">
        <f>IF(SER_hh_tes_in!G21=0,"",SER_hh_tes_in!G21/SER_hh_fec_in!G21)</f>
        <v>0.57209049461422579</v>
      </c>
      <c r="H21" s="137">
        <f>IF(SER_hh_tes_in!H21=0,"",SER_hh_tes_in!H21/SER_hh_fec_in!H21)</f>
        <v>0.57530595902321424</v>
      </c>
      <c r="I21" s="137" t="str">
        <f>IF(SER_hh_tes_in!I21=0,"",SER_hh_tes_in!I21/SER_hh_fec_in!I21)</f>
        <v/>
      </c>
      <c r="J21" s="137">
        <f>IF(SER_hh_tes_in!J21=0,"",SER_hh_tes_in!J21/SER_hh_fec_in!J21)</f>
        <v>0.5831230784046032</v>
      </c>
      <c r="K21" s="137">
        <f>IF(SER_hh_tes_in!K21=0,"",SER_hh_tes_in!K21/SER_hh_fec_in!K21)</f>
        <v>0.58825278396749225</v>
      </c>
      <c r="L21" s="137">
        <f>IF(SER_hh_tes_in!L21=0,"",SER_hh_tes_in!L21/SER_hh_fec_in!L21)</f>
        <v>0.59434239399174904</v>
      </c>
      <c r="M21" s="137">
        <f>IF(SER_hh_tes_in!M21=0,"",SER_hh_tes_in!M21/SER_hh_fec_in!M21)</f>
        <v>0.60715027067202798</v>
      </c>
      <c r="N21" s="137">
        <f>IF(SER_hh_tes_in!N21=0,"",SER_hh_tes_in!N21/SER_hh_fec_in!N21)</f>
        <v>0.6285041142107759</v>
      </c>
      <c r="O21" s="137">
        <f>IF(SER_hh_tes_in!O21=0,"",SER_hh_tes_in!O21/SER_hh_fec_in!O21)</f>
        <v>0.65992964002544341</v>
      </c>
      <c r="P21" s="137">
        <f>IF(SER_hh_tes_in!P21=0,"",SER_hh_tes_in!P21/SER_hh_fec_in!P21)</f>
        <v>0.69822022277548412</v>
      </c>
      <c r="Q21" s="137">
        <f>IF(SER_hh_tes_in!Q21=0,"",SER_hh_tes_in!Q21/SER_hh_fec_in!Q21)</f>
        <v>0.73298623237626626</v>
      </c>
      <c r="R21" s="137">
        <f>IF(SER_hh_tes_in!R21=0,"",SER_hh_tes_in!R21/SER_hh_fec_in!R21)</f>
        <v>0.75644903579517409</v>
      </c>
      <c r="S21" s="137">
        <f>IF(SER_hh_tes_in!S21=0,"",SER_hh_tes_in!S21/SER_hh_fec_in!S21)</f>
        <v>0.77905864636251076</v>
      </c>
      <c r="T21" s="137">
        <f>IF(SER_hh_tes_in!T21=0,"",SER_hh_tes_in!T21/SER_hh_fec_in!T21)</f>
        <v>0.79953527480083453</v>
      </c>
      <c r="U21" s="137">
        <f>IF(SER_hh_tes_in!U21=0,"",SER_hh_tes_in!U21/SER_hh_fec_in!U21)</f>
        <v>0.81659913183277522</v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0.52966974106241793</v>
      </c>
      <c r="D22" s="137">
        <f>IF(SER_hh_tes_in!D22=0,"",SER_hh_tes_in!D22/SER_hh_fec_in!D22)</f>
        <v>0.5318890517432282</v>
      </c>
      <c r="E22" s="137">
        <f>IF(SER_hh_tes_in!E22=0,"",SER_hh_tes_in!E22/SER_hh_fec_in!E22)</f>
        <v>0.53447575583540574</v>
      </c>
      <c r="F22" s="137">
        <f>IF(SER_hh_tes_in!F22=0,"",SER_hh_tes_in!F22/SER_hh_fec_in!F22)</f>
        <v>0.53711255902913324</v>
      </c>
      <c r="G22" s="137">
        <f>IF(SER_hh_tes_in!G22=0,"",SER_hh_tes_in!G22/SER_hh_fec_in!G22)</f>
        <v>0.54008770994500077</v>
      </c>
      <c r="H22" s="137">
        <f>IF(SER_hh_tes_in!H22=0,"",SER_hh_tes_in!H22/SER_hh_fec_in!H22)</f>
        <v>0.54336593062145877</v>
      </c>
      <c r="I22" s="137">
        <f>IF(SER_hh_tes_in!I22=0,"",SER_hh_tes_in!I22/SER_hh_fec_in!I22)</f>
        <v>0.5470182455270427</v>
      </c>
      <c r="J22" s="137">
        <f>IF(SER_hh_tes_in!J22=0,"",SER_hh_tes_in!J22/SER_hh_fec_in!J22)</f>
        <v>0.55133561683996335</v>
      </c>
      <c r="K22" s="137">
        <f>IF(SER_hh_tes_in!K22=0,"",SER_hh_tes_in!K22/SER_hh_fec_in!K22)</f>
        <v>0.55656543894385457</v>
      </c>
      <c r="L22" s="137">
        <f>IF(SER_hh_tes_in!L22=0,"",SER_hh_tes_in!L22/SER_hh_fec_in!L22)</f>
        <v>0.56277389997899441</v>
      </c>
      <c r="M22" s="137">
        <f>IF(SER_hh_tes_in!M22=0,"",SER_hh_tes_in!M22/SER_hh_fec_in!M22)</f>
        <v>0.57583174818202276</v>
      </c>
      <c r="N22" s="137">
        <f>IF(SER_hh_tes_in!N22=0,"",SER_hh_tes_in!N22/SER_hh_fec_in!N22)</f>
        <v>0.59760235500786285</v>
      </c>
      <c r="O22" s="137">
        <f>IF(SER_hh_tes_in!O22=0,"",SER_hh_tes_in!O22/SER_hh_fec_in!O22)</f>
        <v>0.6296412132848267</v>
      </c>
      <c r="P22" s="137">
        <f>IF(SER_hh_tes_in!P22=0,"",SER_hh_tes_in!P22/SER_hh_fec_in!P22)</f>
        <v>0.66867911391713097</v>
      </c>
      <c r="Q22" s="137">
        <f>IF(SER_hh_tes_in!Q22=0,"",SER_hh_tes_in!Q22/SER_hh_fec_in!Q22)</f>
        <v>0.70412365225275175</v>
      </c>
      <c r="R22" s="137">
        <f>IF(SER_hh_tes_in!R22=0,"",SER_hh_tes_in!R22/SER_hh_fec_in!R22)</f>
        <v>0.72804437956060741</v>
      </c>
      <c r="S22" s="137">
        <f>IF(SER_hh_tes_in!S22=0,"",SER_hh_tes_in!S22/SER_hh_fec_in!S22)</f>
        <v>0.75109526223911272</v>
      </c>
      <c r="T22" s="137">
        <f>IF(SER_hh_tes_in!T22=0,"",SER_hh_tes_in!T22/SER_hh_fec_in!T22)</f>
        <v>0.77197153334415503</v>
      </c>
      <c r="U22" s="137">
        <f>IF(SER_hh_tes_in!U22=0,"",SER_hh_tes_in!U22/SER_hh_fec_in!U22)</f>
        <v>0.78936842593169443</v>
      </c>
      <c r="V22" s="137">
        <f>IF(SER_hh_tes_in!V22=0,"",SER_hh_tes_in!V22/SER_hh_fec_in!V22)</f>
        <v>0.80198117305766059</v>
      </c>
      <c r="W22" s="137">
        <f>IF(SER_hh_tes_in!W22=0,"",SER_hh_tes_in!W22/SER_hh_fec_in!W22)</f>
        <v>0.80791405952080797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0.57795848357058344</v>
      </c>
      <c r="D23" s="137">
        <f>IF(SER_hh_tes_in!D23=0,"",SER_hh_tes_in!D23/SER_hh_fec_in!D23)</f>
        <v>0.58397875429906232</v>
      </c>
      <c r="E23" s="137">
        <f>IF(SER_hh_tes_in!E23=0,"",SER_hh_tes_in!E23/SER_hh_fec_in!E23)</f>
        <v>0.59025932149700366</v>
      </c>
      <c r="F23" s="137">
        <f>IF(SER_hh_tes_in!F23=0,"",SER_hh_tes_in!F23/SER_hh_fec_in!F23)</f>
        <v>0.59659065418947099</v>
      </c>
      <c r="G23" s="137">
        <f>IF(SER_hh_tes_in!G23=0,"",SER_hh_tes_in!G23/SER_hh_fec_in!G23)</f>
        <v>0.60315957836338807</v>
      </c>
      <c r="H23" s="137">
        <f>IF(SER_hh_tes_in!H23=0,"",SER_hh_tes_in!H23/SER_hh_fec_in!H23)</f>
        <v>0.60994080035483755</v>
      </c>
      <c r="I23" s="137">
        <f>IF(SER_hh_tes_in!I23=0,"",SER_hh_tes_in!I23/SER_hh_fec_in!I23)</f>
        <v>0.61697790296971289</v>
      </c>
      <c r="J23" s="137">
        <f>IF(SER_hh_tes_in!J23=0,"",SER_hh_tes_in!J23/SER_hh_fec_in!J23)</f>
        <v>0.62445505075235297</v>
      </c>
      <c r="K23" s="137">
        <f>IF(SER_hh_tes_in!K23=0,"",SER_hh_tes_in!K23/SER_hh_fec_in!K23)</f>
        <v>0.63252580899788968</v>
      </c>
      <c r="L23" s="137">
        <f>IF(SER_hh_tes_in!L23=0,"",SER_hh_tes_in!L23/SER_hh_fec_in!L23)</f>
        <v>0.64122598374189976</v>
      </c>
      <c r="M23" s="137">
        <f>IF(SER_hh_tes_in!M23=0,"",SER_hh_tes_in!M23/SER_hh_fec_in!M23)</f>
        <v>0.65438288172096493</v>
      </c>
      <c r="N23" s="137">
        <f>IF(SER_hh_tes_in!N23=0,"",SER_hh_tes_in!N23/SER_hh_fec_in!N23)</f>
        <v>0.67317458522582829</v>
      </c>
      <c r="O23" s="137">
        <f>IF(SER_hh_tes_in!O23=0,"",SER_hh_tes_in!O23/SER_hh_fec_in!O23)</f>
        <v>0.69847096453109303</v>
      </c>
      <c r="P23" s="137">
        <f>IF(SER_hh_tes_in!P23=0,"",SER_hh_tes_in!P23/SER_hh_fec_in!P23)</f>
        <v>0.72790734134578805</v>
      </c>
      <c r="Q23" s="137">
        <f>IF(SER_hh_tes_in!Q23=0,"",SER_hh_tes_in!Q23/SER_hh_fec_in!Q23)</f>
        <v>0.7540652557284111</v>
      </c>
      <c r="R23" s="137">
        <f>IF(SER_hh_tes_in!R23=0,"",SER_hh_tes_in!R23/SER_hh_fec_in!R23)</f>
        <v>0.77126474602913608</v>
      </c>
      <c r="S23" s="137" t="str">
        <f>IF(SER_hh_tes_in!S23=0,"",SER_hh_tes_in!S23/SER_hh_fec_in!S23)</f>
        <v/>
      </c>
      <c r="T23" s="137" t="str">
        <f>IF(SER_hh_tes_in!T23=0,"",SER_hh_tes_in!T23/SER_hh_fec_in!T23)</f>
        <v/>
      </c>
      <c r="U23" s="137">
        <f>IF(SER_hh_tes_in!U23=0,"",SER_hh_tes_in!U23/SER_hh_fec_in!U23)</f>
        <v>0.81215072528178101</v>
      </c>
      <c r="V23" s="137">
        <f>IF(SER_hh_tes_in!V23=0,"",SER_hh_tes_in!V23/SER_hh_fec_in!V23)</f>
        <v>0.82069783505261651</v>
      </c>
      <c r="W23" s="137">
        <f>IF(SER_hh_tes_in!W23=0,"",SER_hh_tes_in!W23/SER_hh_fec_in!W23)</f>
        <v>0.82510912492606581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0.58154488396298976</v>
      </c>
      <c r="D24" s="137">
        <f>IF(SER_hh_tes_in!D24=0,"",SER_hh_tes_in!D24/SER_hh_fec_in!D24)</f>
        <v>0.59365045504882152</v>
      </c>
      <c r="E24" s="137">
        <f>IF(SER_hh_tes_in!E24=0,"",SER_hh_tes_in!E24/SER_hh_fec_in!E24)</f>
        <v>0.60587110745854678</v>
      </c>
      <c r="F24" s="137">
        <f>IF(SER_hh_tes_in!F24=0,"",SER_hh_tes_in!F24/SER_hh_fec_in!F24)</f>
        <v>0.61819509349186541</v>
      </c>
      <c r="G24" s="137">
        <f>IF(SER_hh_tes_in!G24=0,"",SER_hh_tes_in!G24/SER_hh_fec_in!G24)</f>
        <v>0.63061073525539002</v>
      </c>
      <c r="H24" s="137">
        <f>IF(SER_hh_tes_in!H24=0,"",SER_hh_tes_in!H24/SER_hh_fec_in!H24)</f>
        <v>0.64310411944704593</v>
      </c>
      <c r="I24" s="137">
        <f>IF(SER_hh_tes_in!I24=0,"",SER_hh_tes_in!I24/SER_hh_fec_in!I24)</f>
        <v>0.65565695106147048</v>
      </c>
      <c r="J24" s="137">
        <f>IF(SER_hh_tes_in!J24=0,"",SER_hh_tes_in!J24/SER_hh_fec_in!J24)</f>
        <v>0.66822978325437943</v>
      </c>
      <c r="K24" s="137">
        <f>IF(SER_hh_tes_in!K24=0,"",SER_hh_tes_in!K24/SER_hh_fec_in!K24)</f>
        <v>0.68077043452525854</v>
      </c>
      <c r="L24" s="137">
        <f>IF(SER_hh_tes_in!L24=0,"",SER_hh_tes_in!L24/SER_hh_fec_in!L24)</f>
        <v>0.69323259071089938</v>
      </c>
      <c r="M24" s="137">
        <f>IF(SER_hh_tes_in!M24=0,"",SER_hh_tes_in!M24/SER_hh_fec_in!M24)</f>
        <v>0.70470974275581355</v>
      </c>
      <c r="N24" s="137">
        <f>IF(SER_hh_tes_in!N24=0,"",SER_hh_tes_in!N24/SER_hh_fec_in!N24)</f>
        <v>0.7147152557986427</v>
      </c>
      <c r="O24" s="137">
        <f>IF(SER_hh_tes_in!O24=0,"",SER_hh_tes_in!O24/SER_hh_fec_in!O24)</f>
        <v>0.72298586919442587</v>
      </c>
      <c r="P24" s="137">
        <f>IF(SER_hh_tes_in!P24=0,"",SER_hh_tes_in!P24/SER_hh_fec_in!P24)</f>
        <v>0.73023016831123566</v>
      </c>
      <c r="Q24" s="137">
        <f>IF(SER_hh_tes_in!Q24=0,"",SER_hh_tes_in!Q24/SER_hh_fec_in!Q24)</f>
        <v>0.73885466551424905</v>
      </c>
      <c r="R24" s="137">
        <f>IF(SER_hh_tes_in!R24=0,"",SER_hh_tes_in!R24/SER_hh_fec_in!R24)</f>
        <v>0.75157121430142715</v>
      </c>
      <c r="S24" s="137">
        <f>IF(SER_hh_tes_in!S24=0,"",SER_hh_tes_in!S24/SER_hh_fec_in!S24)</f>
        <v>0.76582355568031835</v>
      </c>
      <c r="T24" s="137">
        <f>IF(SER_hh_tes_in!T24=0,"",SER_hh_tes_in!T24/SER_hh_fec_in!T24)</f>
        <v>0.78014502888027648</v>
      </c>
      <c r="U24" s="137">
        <f>IF(SER_hh_tes_in!U24=0,"",SER_hh_tes_in!U24/SER_hh_fec_in!U24)</f>
        <v>0.79333703088663365</v>
      </c>
      <c r="V24" s="137">
        <f>IF(SER_hh_tes_in!V24=0,"",SER_hh_tes_in!V24/SER_hh_fec_in!V24)</f>
        <v>0.80439491747746783</v>
      </c>
      <c r="W24" s="137">
        <f>IF(SER_hh_tes_in!W24=0,"",SER_hh_tes_in!W24/SER_hh_fec_in!W24)</f>
        <v>0.8132894561984173</v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0.80837283438326513</v>
      </c>
      <c r="D25" s="137">
        <f>IF(SER_hh_tes_in!D25=0,"",SER_hh_tes_in!D25/SER_hh_fec_in!D25)</f>
        <v>0.81061889982083812</v>
      </c>
      <c r="E25" s="137">
        <f>IF(SER_hh_tes_in!E25=0,"",SER_hh_tes_in!E25/SER_hh_fec_in!E25)</f>
        <v>0.81292560316543327</v>
      </c>
      <c r="F25" s="137">
        <f>IF(SER_hh_tes_in!F25=0,"",SER_hh_tes_in!F25/SER_hh_fec_in!F25)</f>
        <v>0.8152405753155314</v>
      </c>
      <c r="G25" s="137">
        <f>IF(SER_hh_tes_in!G25=0,"",SER_hh_tes_in!G25/SER_hh_fec_in!G25)</f>
        <v>0.81761139141133343</v>
      </c>
      <c r="H25" s="137">
        <f>IF(SER_hh_tes_in!H25=0,"",SER_hh_tes_in!H25/SER_hh_fec_in!H25)</f>
        <v>0.82003222886134441</v>
      </c>
      <c r="I25" s="137">
        <f>IF(SER_hh_tes_in!I25=0,"",SER_hh_tes_in!I25/SER_hh_fec_in!I25)</f>
        <v>0.82251481018149997</v>
      </c>
      <c r="J25" s="137">
        <f>IF(SER_hh_tes_in!J25=0,"",SER_hh_tes_in!J25/SER_hh_fec_in!J25)</f>
        <v>0.82510715838191262</v>
      </c>
      <c r="K25" s="137">
        <f>IF(SER_hh_tes_in!K25=0,"",SER_hh_tes_in!K25/SER_hh_fec_in!K25)</f>
        <v>0.82785010565273187</v>
      </c>
      <c r="L25" s="137">
        <f>IF(SER_hh_tes_in!L25=0,"",SER_hh_tes_in!L25/SER_hh_fec_in!L25)</f>
        <v>0.83075457627885729</v>
      </c>
      <c r="M25" s="137">
        <f>IF(SER_hh_tes_in!M25=0,"",SER_hh_tes_in!M25/SER_hh_fec_in!M25)</f>
        <v>0.83477617845770469</v>
      </c>
      <c r="N25" s="137">
        <f>IF(SER_hh_tes_in!N25=0,"",SER_hh_tes_in!N25/SER_hh_fec_in!N25)</f>
        <v>0.84021705152773563</v>
      </c>
      <c r="O25" s="137">
        <f>IF(SER_hh_tes_in!O25=0,"",SER_hh_tes_in!O25/SER_hh_fec_in!O25)</f>
        <v>0.84734205733337886</v>
      </c>
      <c r="P25" s="137">
        <f>IF(SER_hh_tes_in!P25=0,"",SER_hh_tes_in!P25/SER_hh_fec_in!P25)</f>
        <v>0.85564727679669095</v>
      </c>
      <c r="Q25" s="137">
        <f>IF(SER_hh_tes_in!Q25=0,"",SER_hh_tes_in!Q25/SER_hh_fec_in!Q25)</f>
        <v>0.86348306080448989</v>
      </c>
      <c r="R25" s="137">
        <f>IF(SER_hh_tes_in!R25=0,"",SER_hh_tes_in!R25/SER_hh_fec_in!R25)</f>
        <v>0.86948736056357756</v>
      </c>
      <c r="S25" s="137">
        <f>IF(SER_hh_tes_in!S25=0,"",SER_hh_tes_in!S25/SER_hh_fec_in!S25)</f>
        <v>0.87532854050055875</v>
      </c>
      <c r="T25" s="137">
        <f>IF(SER_hh_tes_in!T25=0,"",SER_hh_tes_in!T25/SER_hh_fec_in!T25)</f>
        <v>0.88096757235564949</v>
      </c>
      <c r="U25" s="137">
        <f>IF(SER_hh_tes_in!U25=0,"",SER_hh_tes_in!U25/SER_hh_fec_in!U25)</f>
        <v>0.88636542786908412</v>
      </c>
      <c r="V25" s="137">
        <f>IF(SER_hh_tes_in!V25=0,"",SER_hh_tes_in!V25/SER_hh_fec_in!V25)</f>
        <v>0.8914830787810899</v>
      </c>
      <c r="W25" s="137">
        <f>IF(SER_hh_tes_in!W25=0,"",SER_hh_tes_in!W25/SER_hh_fec_in!W25)</f>
        <v>0.89619742167349903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0.66888605327092987</v>
      </c>
      <c r="D26" s="138">
        <f>IF(SER_hh_tes_in!D26=0,"",SER_hh_tes_in!D26/SER_hh_fec_in!D26)</f>
        <v>0.67143747427086464</v>
      </c>
      <c r="E26" s="138">
        <f>IF(SER_hh_tes_in!E26=0,"",SER_hh_tes_in!E26/SER_hh_fec_in!E26)</f>
        <v>0.67418513562849702</v>
      </c>
      <c r="F26" s="138">
        <f>IF(SER_hh_tes_in!F26=0,"",SER_hh_tes_in!F26/SER_hh_fec_in!F26)</f>
        <v>0.67695919078324696</v>
      </c>
      <c r="G26" s="138">
        <f>IF(SER_hh_tes_in!G26=0,"",SER_hh_tes_in!G26/SER_hh_fec_in!G26)</f>
        <v>0.67991554477070448</v>
      </c>
      <c r="H26" s="138">
        <f>IF(SER_hh_tes_in!H26=0,"",SER_hh_tes_in!H26/SER_hh_fec_in!H26)</f>
        <v>0.6830367227325197</v>
      </c>
      <c r="I26" s="138">
        <f>IF(SER_hh_tes_in!I26=0,"",SER_hh_tes_in!I26/SER_hh_fec_in!I26)</f>
        <v>0.68636332919279186</v>
      </c>
      <c r="J26" s="138">
        <f>IF(SER_hh_tes_in!J26=0,"",SER_hh_tes_in!J26/SER_hh_fec_in!J26)</f>
        <v>0.6900578975809788</v>
      </c>
      <c r="K26" s="138">
        <f>IF(SER_hh_tes_in!K26=0,"",SER_hh_tes_in!K26/SER_hh_fec_in!K26)</f>
        <v>0.69426446507059092</v>
      </c>
      <c r="L26" s="138">
        <f>IF(SER_hh_tes_in!L26=0,"",SER_hh_tes_in!L26/SER_hh_fec_in!L26)</f>
        <v>0.69903344283617397</v>
      </c>
      <c r="M26" s="138">
        <f>IF(SER_hh_tes_in!M26=0,"",SER_hh_tes_in!M26/SER_hh_fec_in!M26)</f>
        <v>0.7076693118235704</v>
      </c>
      <c r="N26" s="138">
        <f>IF(SER_hh_tes_in!N26=0,"",SER_hh_tes_in!N26/SER_hh_fec_in!N26)</f>
        <v>0.72162401131315401</v>
      </c>
      <c r="O26" s="138">
        <f>IF(SER_hh_tes_in!O26=0,"",SER_hh_tes_in!O26/SER_hh_fec_in!O26)</f>
        <v>0.74275948405010039</v>
      </c>
      <c r="P26" s="138">
        <f>IF(SER_hh_tes_in!P26=0,"",SER_hh_tes_in!P26/SER_hh_fec_in!P26)</f>
        <v>0.77025402091303596</v>
      </c>
      <c r="Q26" s="138">
        <f>IF(SER_hh_tes_in!Q26=0,"",SER_hh_tes_in!Q26/SER_hh_fec_in!Q26)</f>
        <v>0.79723277405879922</v>
      </c>
      <c r="R26" s="138">
        <f>IF(SER_hh_tes_in!R26=0,"",SER_hh_tes_in!R26/SER_hh_fec_in!R26)</f>
        <v>0.81657264639382987</v>
      </c>
      <c r="S26" s="138">
        <f>IF(SER_hh_tes_in!S26=0,"",SER_hh_tes_in!S26/SER_hh_fec_in!S26)</f>
        <v>0.83572185695774359</v>
      </c>
      <c r="T26" s="138">
        <f>IF(SER_hh_tes_in!T26=0,"",SER_hh_tes_in!T26/SER_hh_fec_in!T26)</f>
        <v>0.85427888237604221</v>
      </c>
      <c r="U26" s="138">
        <f>IF(SER_hh_tes_in!U26=0,"",SER_hh_tes_in!U26/SER_hh_fec_in!U26)</f>
        <v>0.87171082667070299</v>
      </c>
      <c r="V26" s="138">
        <f>IF(SER_hh_tes_in!V26=0,"",SER_hh_tes_in!V26/SER_hh_fec_in!V26)</f>
        <v>0.88720012071478649</v>
      </c>
      <c r="W26" s="138">
        <f>IF(SER_hh_tes_in!W26=0,"",SER_hh_tes_in!W26/SER_hh_fec_in!W26)</f>
        <v>0.89939318957000081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>
        <f>IF(SER_hh_tes_in!D27=0,"",SER_hh_tes_in!D27/SER_hh_fec_in!D27)</f>
        <v>1</v>
      </c>
      <c r="E27" s="149" t="str">
        <f>IF(SER_hh_tes_in!E27=0,"",SER_hh_tes_in!E27/SER_hh_fec_in!E27)</f>
        <v/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 t="str">
        <f>IF(SER_hh_tes_in!U27=0,"",SER_hh_tes_in!U27/SER_hh_fec_in!U27)</f>
        <v/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0.70690867778413757</v>
      </c>
      <c r="D29" s="136">
        <f>IF(SER_hh_tes_in!D29=0,"",SER_hh_tes_in!D29/SER_hh_fec_in!D29)</f>
        <v>0.71109713114407125</v>
      </c>
      <c r="E29" s="136">
        <f>IF(SER_hh_tes_in!E29=0,"",SER_hh_tes_in!E29/SER_hh_fec_in!E29)</f>
        <v>0.71100747586859325</v>
      </c>
      <c r="F29" s="136">
        <f>IF(SER_hh_tes_in!F29=0,"",SER_hh_tes_in!F29/SER_hh_fec_in!F29)</f>
        <v>0.72541899871214321</v>
      </c>
      <c r="G29" s="136">
        <f>IF(SER_hh_tes_in!G29=0,"",SER_hh_tes_in!G29/SER_hh_fec_in!G29)</f>
        <v>0.72105622953948256</v>
      </c>
      <c r="H29" s="136">
        <f>IF(SER_hh_tes_in!H29=0,"",SER_hh_tes_in!H29/SER_hh_fec_in!H29)</f>
        <v>0.73367848841368599</v>
      </c>
      <c r="I29" s="136">
        <f>IF(SER_hh_tes_in!I29=0,"",SER_hh_tes_in!I29/SER_hh_fec_in!I29)</f>
        <v>0.74729832060580581</v>
      </c>
      <c r="J29" s="136">
        <f>IF(SER_hh_tes_in!J29=0,"",SER_hh_tes_in!J29/SER_hh_fec_in!J29)</f>
        <v>0.75231174140533685</v>
      </c>
      <c r="K29" s="136">
        <f>IF(SER_hh_tes_in!K29=0,"",SER_hh_tes_in!K29/SER_hh_fec_in!K29)</f>
        <v>0.74565952001186642</v>
      </c>
      <c r="L29" s="136">
        <f>IF(SER_hh_tes_in!L29=0,"",SER_hh_tes_in!L29/SER_hh_fec_in!L29)</f>
        <v>0.72763767833005266</v>
      </c>
      <c r="M29" s="136">
        <f>IF(SER_hh_tes_in!M29=0,"",SER_hh_tes_in!M29/SER_hh_fec_in!M29)</f>
        <v>0.70701737727724823</v>
      </c>
      <c r="N29" s="136">
        <f>IF(SER_hh_tes_in!N29=0,"",SER_hh_tes_in!N29/SER_hh_fec_in!N29)</f>
        <v>0.70554592264236304</v>
      </c>
      <c r="O29" s="136">
        <f>IF(SER_hh_tes_in!O29=0,"",SER_hh_tes_in!O29/SER_hh_fec_in!O29)</f>
        <v>0.71255127205756486</v>
      </c>
      <c r="P29" s="136">
        <f>IF(SER_hh_tes_in!P29=0,"",SER_hh_tes_in!P29/SER_hh_fec_in!P29)</f>
        <v>0.74291467739673167</v>
      </c>
      <c r="Q29" s="136">
        <f>IF(SER_hh_tes_in!Q29=0,"",SER_hh_tes_in!Q29/SER_hh_fec_in!Q29)</f>
        <v>0.7453526302237039</v>
      </c>
      <c r="R29" s="136">
        <f>IF(SER_hh_tes_in!R29=0,"",SER_hh_tes_in!R29/SER_hh_fec_in!R29)</f>
        <v>0.77040053520911367</v>
      </c>
      <c r="S29" s="136">
        <f>IF(SER_hh_tes_in!S29=0,"",SER_hh_tes_in!S29/SER_hh_fec_in!S29)</f>
        <v>0.78486251069963753</v>
      </c>
      <c r="T29" s="136">
        <f>IF(SER_hh_tes_in!T29=0,"",SER_hh_tes_in!T29/SER_hh_fec_in!T29)</f>
        <v>0.8059078099335879</v>
      </c>
      <c r="U29" s="136">
        <f>IF(SER_hh_tes_in!U29=0,"",SER_hh_tes_in!U29/SER_hh_fec_in!U29)</f>
        <v>0.79132158144586118</v>
      </c>
      <c r="V29" s="136">
        <f>IF(SER_hh_tes_in!V29=0,"",SER_hh_tes_in!V29/SER_hh_fec_in!V29)</f>
        <v>0.80748706769776013</v>
      </c>
      <c r="W29" s="136">
        <f>IF(SER_hh_tes_in!W29=0,"",SER_hh_tes_in!W29/SER_hh_fec_in!W29)</f>
        <v>0.7829203576943321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0.59084795248245248</v>
      </c>
      <c r="D30" s="137">
        <f>IF(SER_hh_tes_in!D30=0,"",SER_hh_tes_in!D30/SER_hh_fec_in!D30)</f>
        <v>0.59158076468923204</v>
      </c>
      <c r="E30" s="137">
        <f>IF(SER_hh_tes_in!E30=0,"",SER_hh_tes_in!E30/SER_hh_fec_in!E30)</f>
        <v>0.59230324201061602</v>
      </c>
      <c r="F30" s="137">
        <f>IF(SER_hh_tes_in!F30=0,"",SER_hh_tes_in!F30/SER_hh_fec_in!F30)</f>
        <v>0.593024310029446</v>
      </c>
      <c r="G30" s="137">
        <f>IF(SER_hh_tes_in!G30=0,"",SER_hh_tes_in!G30/SER_hh_fec_in!G30)</f>
        <v>0.59373586022671487</v>
      </c>
      <c r="H30" s="137">
        <f>IF(SER_hh_tes_in!H30=0,"",SER_hh_tes_in!H30/SER_hh_fec_in!H30)</f>
        <v>0.59443888498192221</v>
      </c>
      <c r="I30" s="137">
        <f>IF(SER_hh_tes_in!I30=0,"",SER_hh_tes_in!I30/SER_hh_fec_in!I30)</f>
        <v>0.59513138635574736</v>
      </c>
      <c r="J30" s="137" t="str">
        <f>IF(SER_hh_tes_in!J30=0,"",SER_hh_tes_in!J30/SER_hh_fec_in!J30)</f>
        <v/>
      </c>
      <c r="K30" s="137" t="str">
        <f>IF(SER_hh_tes_in!K30=0,"",SER_hh_tes_in!K30/SER_hh_fec_in!K30)</f>
        <v/>
      </c>
      <c r="L30" s="137" t="str">
        <f>IF(SER_hh_tes_in!L30=0,"",SER_hh_tes_in!L30/SER_hh_fec_in!L30)</f>
        <v/>
      </c>
      <c r="M30" s="137" t="str">
        <f>IF(SER_hh_tes_in!M30=0,"",SER_hh_tes_in!M30/SER_hh_fec_in!M30)</f>
        <v/>
      </c>
      <c r="N30" s="137">
        <f>IF(SER_hh_tes_in!N30=0,"",SER_hh_tes_in!N30/SER_hh_fec_in!N30)</f>
        <v>0.59740786428739689</v>
      </c>
      <c r="O30" s="137">
        <f>IF(SER_hh_tes_in!O30=0,"",SER_hh_tes_in!O30/SER_hh_fec_in!O30)</f>
        <v>0.59740786428739689</v>
      </c>
      <c r="P30" s="137">
        <f>IF(SER_hh_tes_in!P30=0,"",SER_hh_tes_in!P30/SER_hh_fec_in!P30)</f>
        <v>0.59740786428739689</v>
      </c>
      <c r="Q30" s="137">
        <f>IF(SER_hh_tes_in!Q30=0,"",SER_hh_tes_in!Q30/SER_hh_fec_in!Q30)</f>
        <v>0.59740786428739689</v>
      </c>
      <c r="R30" s="137">
        <f>IF(SER_hh_tes_in!R30=0,"",SER_hh_tes_in!R30/SER_hh_fec_in!R30)</f>
        <v>0.5995177414151176</v>
      </c>
      <c r="S30" s="137">
        <f>IF(SER_hh_tes_in!S30=0,"",SER_hh_tes_in!S30/SER_hh_fec_in!S30)</f>
        <v>0.60296786856284412</v>
      </c>
      <c r="T30" s="137">
        <f>IF(SER_hh_tes_in!T30=0,"",SER_hh_tes_in!T30/SER_hh_fec_in!T30)</f>
        <v>0.60699301690185525</v>
      </c>
      <c r="U30" s="137">
        <f>IF(SER_hh_tes_in!U30=0,"",SER_hh_tes_in!U30/SER_hh_fec_in!U30)</f>
        <v>0.61116192053868901</v>
      </c>
      <c r="V30" s="137">
        <f>IF(SER_hh_tes_in!V30=0,"",SER_hh_tes_in!V30/SER_hh_fec_in!V30)</f>
        <v>0.61504331357987907</v>
      </c>
      <c r="W30" s="137">
        <f>IF(SER_hh_tes_in!W30=0,"",SER_hh_tes_in!W30/SER_hh_fec_in!W30)</f>
        <v>0.61863719602542366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0.59412894890749191</v>
      </c>
      <c r="D31" s="137">
        <f>IF(SER_hh_tes_in!D31=0,"",SER_hh_tes_in!D31/SER_hh_fec_in!D31)</f>
        <v>0.59503041069477625</v>
      </c>
      <c r="E31" s="137">
        <f>IF(SER_hh_tes_in!E31=0,"",SER_hh_tes_in!E31/SER_hh_fec_in!E31)</f>
        <v>0.59591915912361226</v>
      </c>
      <c r="F31" s="137">
        <f>IF(SER_hh_tes_in!F31=0,"",SER_hh_tes_in!F31/SER_hh_fec_in!F31)</f>
        <v>0.59680617391265978</v>
      </c>
      <c r="G31" s="137">
        <f>IF(SER_hh_tes_in!G31=0,"",SER_hh_tes_in!G31/SER_hh_fec_in!G31)</f>
        <v>0.59768148044636416</v>
      </c>
      <c r="H31" s="137">
        <f>IF(SER_hh_tes_in!H31=0,"",SER_hh_tes_in!H31/SER_hh_fec_in!H31)</f>
        <v>0.59854629949068572</v>
      </c>
      <c r="I31" s="137">
        <f>IF(SER_hh_tes_in!I31=0,"",SER_hh_tes_in!I31/SER_hh_fec_in!I31)</f>
        <v>0.59939817330005984</v>
      </c>
      <c r="J31" s="137">
        <f>IF(SER_hh_tes_in!J31=0,"",SER_hh_tes_in!J31/SER_hh_fec_in!J31)</f>
        <v>0.60022703335841698</v>
      </c>
      <c r="K31" s="137">
        <f>IF(SER_hh_tes_in!K31=0,"",SER_hh_tes_in!K31/SER_hh_fec_in!K31)</f>
        <v>0.60102431877876217</v>
      </c>
      <c r="L31" s="137">
        <f>IF(SER_hh_tes_in!L31=0,"",SER_hh_tes_in!L31/SER_hh_fec_in!L31)</f>
        <v>0.60178773917284556</v>
      </c>
      <c r="M31" s="137">
        <f>IF(SER_hh_tes_in!M31=0,"",SER_hh_tes_in!M31/SER_hh_fec_in!M31)</f>
        <v>0.60219856041969666</v>
      </c>
      <c r="N31" s="137">
        <f>IF(SER_hh_tes_in!N31=0,"",SER_hh_tes_in!N31/SER_hh_fec_in!N31)</f>
        <v>0.60219856041969666</v>
      </c>
      <c r="O31" s="137">
        <f>IF(SER_hh_tes_in!O31=0,"",SER_hh_tes_in!O31/SER_hh_fec_in!O31)</f>
        <v>0.60219856041969666</v>
      </c>
      <c r="P31" s="137">
        <f>IF(SER_hh_tes_in!P31=0,"",SER_hh_tes_in!P31/SER_hh_fec_in!P31)</f>
        <v>0.60219856041969666</v>
      </c>
      <c r="Q31" s="137">
        <f>IF(SER_hh_tes_in!Q31=0,"",SER_hh_tes_in!Q31/SER_hh_fec_in!Q31)</f>
        <v>0.60219856041969655</v>
      </c>
      <c r="R31" s="137">
        <f>IF(SER_hh_tes_in!R31=0,"",SER_hh_tes_in!R31/SER_hh_fec_in!R31)</f>
        <v>0.6047940051856403</v>
      </c>
      <c r="S31" s="137">
        <f>IF(SER_hh_tes_in!S31=0,"",SER_hh_tes_in!S31/SER_hh_fec_in!S31)</f>
        <v>0.60903814543900137</v>
      </c>
      <c r="T31" s="137">
        <f>IF(SER_hh_tes_in!T31=0,"",SER_hh_tes_in!T31/SER_hh_fec_in!T31)</f>
        <v>0.61398964240125231</v>
      </c>
      <c r="U31" s="137">
        <f>IF(SER_hh_tes_in!U31=0,"",SER_hh_tes_in!U31/SER_hh_fec_in!U31)</f>
        <v>0.61911797854072748</v>
      </c>
      <c r="V31" s="137">
        <f>IF(SER_hh_tes_in!V31=0,"",SER_hh_tes_in!V31/SER_hh_fec_in!V31)</f>
        <v>0.62389263632575609</v>
      </c>
      <c r="W31" s="137">
        <f>IF(SER_hh_tes_in!W31=0,"",SER_hh_tes_in!W31/SER_hh_fec_in!W31)</f>
        <v>0.62831361575633593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0.78070861634959765</v>
      </c>
      <c r="D33" s="150">
        <f>IF(SER_hh_tes_in!D33=0,"",SER_hh_tes_in!D33/SER_hh_fec_in!D33)</f>
        <v>0.78191796567679683</v>
      </c>
      <c r="E33" s="150">
        <f>IF(SER_hh_tes_in!E33=0,"",SER_hh_tes_in!E33/SER_hh_fec_in!E33)</f>
        <v>0.78317203381087441</v>
      </c>
      <c r="F33" s="150">
        <f>IF(SER_hh_tes_in!F33=0,"",SER_hh_tes_in!F33/SER_hh_fec_in!F33)</f>
        <v>0.78443219996407187</v>
      </c>
      <c r="G33" s="150">
        <f>IF(SER_hh_tes_in!G33=0,"",SER_hh_tes_in!G33/SER_hh_fec_in!G33)</f>
        <v>0.78573354950808716</v>
      </c>
      <c r="H33" s="150">
        <f>IF(SER_hh_tes_in!H33=0,"",SER_hh_tes_in!H33/SER_hh_fec_in!H33)</f>
        <v>0.78707178844008596</v>
      </c>
      <c r="I33" s="150">
        <f>IF(SER_hh_tes_in!I33=0,"",SER_hh_tes_in!I33/SER_hh_fec_in!I33)</f>
        <v>0.78845556179668019</v>
      </c>
      <c r="J33" s="150">
        <f>IF(SER_hh_tes_in!J33=0,"",SER_hh_tes_in!J33/SER_hh_fec_in!J33)</f>
        <v>0.78992028524144398</v>
      </c>
      <c r="K33" s="150">
        <f>IF(SER_hh_tes_in!K33=0,"",SER_hh_tes_in!K33/SER_hh_fec_in!K33)</f>
        <v>0.79149607140384259</v>
      </c>
      <c r="L33" s="150">
        <f>IF(SER_hh_tes_in!L33=0,"",SER_hh_tes_in!L33/SER_hh_fec_in!L33)</f>
        <v>0.79319097664681315</v>
      </c>
      <c r="M33" s="150">
        <f>IF(SER_hh_tes_in!M33=0,"",SER_hh_tes_in!M33/SER_hh_fec_in!M33)</f>
        <v>0.79549694992446951</v>
      </c>
      <c r="N33" s="150">
        <f>IF(SER_hh_tes_in!N33=0,"",SER_hh_tes_in!N33/SER_hh_fec_in!N33)</f>
        <v>0.79855348518063685</v>
      </c>
      <c r="O33" s="150">
        <f>IF(SER_hh_tes_in!O33=0,"",SER_hh_tes_in!O33/SER_hh_fec_in!O33)</f>
        <v>0.80269975903462853</v>
      </c>
      <c r="P33" s="150">
        <f>IF(SER_hh_tes_in!P33=0,"",SER_hh_tes_in!P33/SER_hh_fec_in!P33)</f>
        <v>0.80811391010816724</v>
      </c>
      <c r="Q33" s="150">
        <f>IF(SER_hh_tes_in!Q33=0,"",SER_hh_tes_in!Q33/SER_hh_fec_in!Q33)</f>
        <v>0.81509202949884607</v>
      </c>
      <c r="R33" s="150">
        <f>IF(SER_hh_tes_in!R33=0,"",SER_hh_tes_in!R33/SER_hh_fec_in!R33)</f>
        <v>0.82458468494008241</v>
      </c>
      <c r="S33" s="150">
        <f>IF(SER_hh_tes_in!S33=0,"",SER_hh_tes_in!S33/SER_hh_fec_in!S33)</f>
        <v>0.83643240679472886</v>
      </c>
      <c r="T33" s="150">
        <f>IF(SER_hh_tes_in!T33=0,"",SER_hh_tes_in!T33/SER_hh_fec_in!T33)</f>
        <v>0.84917062928574316</v>
      </c>
      <c r="U33" s="150">
        <f>IF(SER_hh_tes_in!U33=0,"",SER_hh_tes_in!U33/SER_hh_fec_in!U33)</f>
        <v>0.86133478663611851</v>
      </c>
      <c r="V33" s="150">
        <f>IF(SER_hh_tes_in!V33=0,"",SER_hh_tes_in!V33/SER_hh_fec_in!V33)</f>
        <v>0.87146031306883243</v>
      </c>
      <c r="W33" s="150">
        <f>IF(SER_hh_tes_in!W33=0,"",SER_hh_tes_in!W33/SER_hh_fec_in!W33)</f>
        <v>0.87903275386118163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29.545160427866335</v>
      </c>
      <c r="D3" s="126">
        <f t="shared" si="0"/>
        <v>61.953879677465977</v>
      </c>
      <c r="E3" s="126">
        <f t="shared" si="0"/>
        <v>181.0683149669423</v>
      </c>
      <c r="F3" s="126">
        <f t="shared" si="0"/>
        <v>178.25955797463499</v>
      </c>
      <c r="G3" s="126">
        <f t="shared" si="0"/>
        <v>129.41584877930259</v>
      </c>
      <c r="H3" s="126">
        <f t="shared" si="0"/>
        <v>267.80233149907394</v>
      </c>
      <c r="I3" s="126">
        <f t="shared" si="0"/>
        <v>315.43765263209582</v>
      </c>
      <c r="J3" s="126">
        <f t="shared" si="0"/>
        <v>296.35917257476927</v>
      </c>
      <c r="K3" s="126">
        <f t="shared" si="0"/>
        <v>284.28140257132554</v>
      </c>
      <c r="L3" s="126">
        <f t="shared" si="0"/>
        <v>45.324788870323623</v>
      </c>
      <c r="M3" s="126">
        <f t="shared" si="0"/>
        <v>231.44125135272299</v>
      </c>
      <c r="N3" s="126">
        <f t="shared" si="0"/>
        <v>165.81807669942754</v>
      </c>
      <c r="O3" s="126">
        <f t="shared" si="0"/>
        <v>58.063356893394172</v>
      </c>
      <c r="P3" s="126">
        <f t="shared" si="0"/>
        <v>118.91941078982609</v>
      </c>
      <c r="Q3" s="126">
        <f t="shared" si="0"/>
        <v>79.767963114764825</v>
      </c>
      <c r="R3" s="126">
        <f t="shared" ref="R3:W3" si="1">SUM(R4,R16,R19,R29)</f>
        <v>84.730049702993739</v>
      </c>
      <c r="S3" s="126">
        <f t="shared" si="1"/>
        <v>83.392696722821256</v>
      </c>
      <c r="T3" s="126">
        <f t="shared" si="1"/>
        <v>65.038907579178627</v>
      </c>
      <c r="U3" s="126">
        <f t="shared" si="1"/>
        <v>58.62676731038151</v>
      </c>
      <c r="V3" s="126">
        <f t="shared" si="1"/>
        <v>56.556797922637578</v>
      </c>
      <c r="W3" s="126">
        <f t="shared" si="1"/>
        <v>70.442721203271574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24.659555987781285</v>
      </c>
      <c r="D4" s="131">
        <f t="shared" si="2"/>
        <v>52.994301459583561</v>
      </c>
      <c r="E4" s="131">
        <f t="shared" si="2"/>
        <v>151.7845580400099</v>
      </c>
      <c r="F4" s="131">
        <f t="shared" si="2"/>
        <v>149.66424809081107</v>
      </c>
      <c r="G4" s="131">
        <f t="shared" si="2"/>
        <v>107.42450080111949</v>
      </c>
      <c r="H4" s="131">
        <f t="shared" si="2"/>
        <v>237.51683747887154</v>
      </c>
      <c r="I4" s="131">
        <f t="shared" si="2"/>
        <v>282.24145403639665</v>
      </c>
      <c r="J4" s="131">
        <f t="shared" si="2"/>
        <v>261.33568458761255</v>
      </c>
      <c r="K4" s="131">
        <f t="shared" si="2"/>
        <v>249.77720601716692</v>
      </c>
      <c r="L4" s="131">
        <f t="shared" si="2"/>
        <v>36.25929346468844</v>
      </c>
      <c r="M4" s="131">
        <f t="shared" si="2"/>
        <v>185.92145004621761</v>
      </c>
      <c r="N4" s="131">
        <f t="shared" si="2"/>
        <v>126.98726838044763</v>
      </c>
      <c r="O4" s="131">
        <f t="shared" si="2"/>
        <v>43.080960481365381</v>
      </c>
      <c r="P4" s="131">
        <f t="shared" si="2"/>
        <v>89.083531250726239</v>
      </c>
      <c r="Q4" s="131">
        <f t="shared" si="2"/>
        <v>61.174532734550731</v>
      </c>
      <c r="R4" s="131">
        <f t="shared" ref="R4:W4" si="3">SUM(R5:R15)</f>
        <v>65.361249730443561</v>
      </c>
      <c r="S4" s="131">
        <f t="shared" si="3"/>
        <v>67.19183224323676</v>
      </c>
      <c r="T4" s="131">
        <f t="shared" si="3"/>
        <v>53.358316992413044</v>
      </c>
      <c r="U4" s="131">
        <f t="shared" si="3"/>
        <v>43.967157686598924</v>
      </c>
      <c r="V4" s="131">
        <f t="shared" si="3"/>
        <v>44.675498014811083</v>
      </c>
      <c r="W4" s="131">
        <f t="shared" si="3"/>
        <v>50.979593153899998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6.7357119339646667</v>
      </c>
      <c r="D5" s="133">
        <v>20.94913804917886</v>
      </c>
      <c r="E5" s="133">
        <v>58.228840143364188</v>
      </c>
      <c r="F5" s="133">
        <v>62.930995491869645</v>
      </c>
      <c r="G5" s="133">
        <v>49.801795643763121</v>
      </c>
      <c r="H5" s="133">
        <v>84.565169562288389</v>
      </c>
      <c r="I5" s="133">
        <v>85.478420419297976</v>
      </c>
      <c r="J5" s="133">
        <v>81.943694142913785</v>
      </c>
      <c r="K5" s="133">
        <v>95.588602398802124</v>
      </c>
      <c r="L5" s="133">
        <v>19.146672422714822</v>
      </c>
      <c r="M5" s="133">
        <v>65.361646468597385</v>
      </c>
      <c r="N5" s="133">
        <v>53.793471178640537</v>
      </c>
      <c r="O5" s="133">
        <v>21.171922627236249</v>
      </c>
      <c r="P5" s="133">
        <v>22.68287732203612</v>
      </c>
      <c r="Q5" s="133">
        <v>17.910750507372224</v>
      </c>
      <c r="R5" s="133">
        <v>21.623612628314035</v>
      </c>
      <c r="S5" s="133">
        <v>35.555264014173645</v>
      </c>
      <c r="T5" s="133">
        <v>19.756106797907428</v>
      </c>
      <c r="U5" s="133">
        <v>11.17806426812183</v>
      </c>
      <c r="V5" s="133">
        <v>16.103980660359444</v>
      </c>
      <c r="W5" s="133">
        <v>18.313724844519559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4.6658125529263588</v>
      </c>
      <c r="D7" s="133">
        <v>5.52954176553507</v>
      </c>
      <c r="E7" s="133">
        <v>2.3125625809771004</v>
      </c>
      <c r="F7" s="133">
        <v>2.7277510298733918</v>
      </c>
      <c r="G7" s="133">
        <v>24.445134070888258</v>
      </c>
      <c r="H7" s="133">
        <v>120.24921159311235</v>
      </c>
      <c r="I7" s="133">
        <v>92.751832261338308</v>
      </c>
      <c r="J7" s="133">
        <v>45.172201689589983</v>
      </c>
      <c r="K7" s="133">
        <v>33.207127867624152</v>
      </c>
      <c r="L7" s="133">
        <v>8.4183972123358028</v>
      </c>
      <c r="M7" s="133">
        <v>18.900356413981584</v>
      </c>
      <c r="N7" s="133">
        <v>0</v>
      </c>
      <c r="O7" s="133">
        <v>0</v>
      </c>
      <c r="P7" s="133">
        <v>0</v>
      </c>
      <c r="Q7" s="133">
        <v>5.424221021960439</v>
      </c>
      <c r="R7" s="133">
        <v>11.35067256937832</v>
      </c>
      <c r="S7" s="133">
        <v>20.213229381094298</v>
      </c>
      <c r="T7" s="133">
        <v>19.094270927303644</v>
      </c>
      <c r="U7" s="133">
        <v>11.067970758642362</v>
      </c>
      <c r="V7" s="133">
        <v>11.200406765521961</v>
      </c>
      <c r="W7" s="133">
        <v>11.762560907780948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6.2384368666580647E-4</v>
      </c>
      <c r="D8" s="133">
        <v>9.6933404230119941E-4</v>
      </c>
      <c r="E8" s="133">
        <v>4.3813173313505902E-3</v>
      </c>
      <c r="F8" s="133">
        <v>4.4801333419137151E-3</v>
      </c>
      <c r="G8" s="133">
        <v>5.1070182173164605E-3</v>
      </c>
      <c r="H8" s="133">
        <v>5.0801960381450829E-3</v>
      </c>
      <c r="I8" s="133">
        <v>8.2908914838959961E-3</v>
      </c>
      <c r="J8" s="133">
        <v>4.0032315610407081E-3</v>
      </c>
      <c r="K8" s="133">
        <v>3.6701519264859457E-3</v>
      </c>
      <c r="L8" s="133">
        <v>1.5406987014056109E-4</v>
      </c>
      <c r="M8" s="133">
        <v>2.1327285591082176E-3</v>
      </c>
      <c r="N8" s="133">
        <v>3.9326330611546166E-3</v>
      </c>
      <c r="O8" s="133">
        <v>2.3674709428873749E-3</v>
      </c>
      <c r="P8" s="133">
        <v>1.0443442436845673E-2</v>
      </c>
      <c r="Q8" s="133">
        <v>3.9736893555632671E-3</v>
      </c>
      <c r="R8" s="133">
        <v>2.087103941258816E-3</v>
      </c>
      <c r="S8" s="133">
        <v>2.1145602009248949E-3</v>
      </c>
      <c r="T8" s="133">
        <v>2.6963161305888321E-3</v>
      </c>
      <c r="U8" s="133">
        <v>3.4231737407988913E-3</v>
      </c>
      <c r="V8" s="133">
        <v>3.5339399386621123E-3</v>
      </c>
      <c r="W8" s="133">
        <v>2.8679100490542489E-3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13.257407657203593</v>
      </c>
      <c r="D9" s="133">
        <v>26.51465231082733</v>
      </c>
      <c r="E9" s="133">
        <v>91.238773998337251</v>
      </c>
      <c r="F9" s="133">
        <v>84.001021435726116</v>
      </c>
      <c r="G9" s="133">
        <v>33.172464068250804</v>
      </c>
      <c r="H9" s="133">
        <v>32.697376127432683</v>
      </c>
      <c r="I9" s="133">
        <v>104.00291046427644</v>
      </c>
      <c r="J9" s="133">
        <v>133.97590909478384</v>
      </c>
      <c r="K9" s="133">
        <v>119.81273036181044</v>
      </c>
      <c r="L9" s="133">
        <v>8.6601860152100212</v>
      </c>
      <c r="M9" s="133">
        <v>101.42873762394957</v>
      </c>
      <c r="N9" s="133">
        <v>73.089354778436658</v>
      </c>
      <c r="O9" s="133">
        <v>21.107936292818852</v>
      </c>
      <c r="P9" s="133">
        <v>66.035822688072585</v>
      </c>
      <c r="Q9" s="133">
        <v>37.505701922413394</v>
      </c>
      <c r="R9" s="133">
        <v>32.005741490229717</v>
      </c>
      <c r="S9" s="133">
        <v>11.040897606676836</v>
      </c>
      <c r="T9" s="133">
        <v>14.27615053958419</v>
      </c>
      <c r="U9" s="133">
        <v>21.515609675138503</v>
      </c>
      <c r="V9" s="133">
        <v>16.696450280445276</v>
      </c>
      <c r="W9" s="133">
        <v>20.259780340398134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0.23987642876390516</v>
      </c>
      <c r="K10" s="133">
        <v>1.1650752370036894</v>
      </c>
      <c r="L10" s="133">
        <v>3.3883744557645722E-2</v>
      </c>
      <c r="M10" s="133">
        <v>0.2285768111299917</v>
      </c>
      <c r="N10" s="133">
        <v>0.10050979030926849</v>
      </c>
      <c r="O10" s="133">
        <v>0.79873409036738707</v>
      </c>
      <c r="P10" s="133">
        <v>0.35438779818069316</v>
      </c>
      <c r="Q10" s="133">
        <v>0.32988559344911389</v>
      </c>
      <c r="R10" s="133">
        <v>0.37913593858023387</v>
      </c>
      <c r="S10" s="133">
        <v>0.38032668109105905</v>
      </c>
      <c r="T10" s="133">
        <v>0.22909241148719509</v>
      </c>
      <c r="U10" s="133">
        <v>0.20208981095543135</v>
      </c>
      <c r="V10" s="133">
        <v>0.67112636854574459</v>
      </c>
      <c r="W10" s="133">
        <v>0.64065915115230698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1.0400581826347873E-2</v>
      </c>
      <c r="D16" s="131">
        <f t="shared" si="4"/>
        <v>1.949911750646453E-2</v>
      </c>
      <c r="E16" s="131">
        <f t="shared" si="4"/>
        <v>2.995122467201471E-2</v>
      </c>
      <c r="F16" s="131">
        <f t="shared" si="4"/>
        <v>4.7067769794315546E-2</v>
      </c>
      <c r="G16" s="131">
        <f t="shared" si="4"/>
        <v>4.9992437981345832E-2</v>
      </c>
      <c r="H16" s="131">
        <f t="shared" si="4"/>
        <v>5.1821405519761651E-2</v>
      </c>
      <c r="I16" s="131">
        <f t="shared" si="4"/>
        <v>8.1436236427042466E-2</v>
      </c>
      <c r="J16" s="131">
        <f t="shared" si="4"/>
        <v>6.4112073360955965E-2</v>
      </c>
      <c r="K16" s="131">
        <f t="shared" si="4"/>
        <v>6.2304646345774019E-2</v>
      </c>
      <c r="L16" s="131">
        <f t="shared" si="4"/>
        <v>1.9601592314500295E-2</v>
      </c>
      <c r="M16" s="131">
        <f t="shared" si="4"/>
        <v>0.10526499538718553</v>
      </c>
      <c r="N16" s="131">
        <f t="shared" si="4"/>
        <v>0.11472532588258494</v>
      </c>
      <c r="O16" s="131">
        <f t="shared" si="4"/>
        <v>0.11873325057286831</v>
      </c>
      <c r="P16" s="131">
        <f t="shared" si="4"/>
        <v>0.29118823827597362</v>
      </c>
      <c r="Q16" s="131">
        <f t="shared" si="4"/>
        <v>0.23568439528753438</v>
      </c>
      <c r="R16" s="131">
        <f t="shared" ref="R16:W16" si="5">SUM(R17:R18)</f>
        <v>0.59397791152857993</v>
      </c>
      <c r="S16" s="131">
        <f t="shared" si="5"/>
        <v>0.39122578832703259</v>
      </c>
      <c r="T16" s="131">
        <f t="shared" si="5"/>
        <v>0.31281878597972035</v>
      </c>
      <c r="U16" s="131">
        <f t="shared" si="5"/>
        <v>0.28604631164954325</v>
      </c>
      <c r="V16" s="131">
        <f t="shared" si="5"/>
        <v>0.23372044940476178</v>
      </c>
      <c r="W16" s="131">
        <f t="shared" si="5"/>
        <v>0.17661720316112886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1.0400581826347873E-2</v>
      </c>
      <c r="D17" s="133">
        <v>1.949911750646453E-2</v>
      </c>
      <c r="E17" s="133">
        <v>2.995122467201471E-2</v>
      </c>
      <c r="F17" s="133">
        <v>4.7067769794315546E-2</v>
      </c>
      <c r="G17" s="133">
        <v>4.9992437981345832E-2</v>
      </c>
      <c r="H17" s="133">
        <v>5.1821405519761651E-2</v>
      </c>
      <c r="I17" s="133">
        <v>8.1436236427042466E-2</v>
      </c>
      <c r="J17" s="133">
        <v>6.4112073360955965E-2</v>
      </c>
      <c r="K17" s="133">
        <v>6.2304646345774019E-2</v>
      </c>
      <c r="L17" s="133">
        <v>1.9601592314500295E-2</v>
      </c>
      <c r="M17" s="133">
        <v>0.10526499538718553</v>
      </c>
      <c r="N17" s="133">
        <v>0.11472532588258494</v>
      </c>
      <c r="O17" s="133">
        <v>0.11873325057286831</v>
      </c>
      <c r="P17" s="133">
        <v>0.29118823827597362</v>
      </c>
      <c r="Q17" s="133">
        <v>0.23568439528753438</v>
      </c>
      <c r="R17" s="133">
        <v>0.59397791152857993</v>
      </c>
      <c r="S17" s="133">
        <v>0.39122578832703259</v>
      </c>
      <c r="T17" s="133">
        <v>0.31281878597972035</v>
      </c>
      <c r="U17" s="133">
        <v>0.28604631164954325</v>
      </c>
      <c r="V17" s="133">
        <v>0.23372044940476178</v>
      </c>
      <c r="W17" s="133">
        <v>0.17661720316112886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3.0241008337619735</v>
      </c>
      <c r="D19" s="131">
        <f t="shared" si="6"/>
        <v>5.6227504306182787</v>
      </c>
      <c r="E19" s="131">
        <f t="shared" si="6"/>
        <v>17.084443164614598</v>
      </c>
      <c r="F19" s="131">
        <f t="shared" si="6"/>
        <v>14.019781495768614</v>
      </c>
      <c r="G19" s="131">
        <f t="shared" si="6"/>
        <v>8.5311005186100068</v>
      </c>
      <c r="H19" s="131">
        <f t="shared" si="6"/>
        <v>12.084119995712509</v>
      </c>
      <c r="I19" s="131">
        <f t="shared" si="6"/>
        <v>17.532282131813076</v>
      </c>
      <c r="J19" s="131">
        <f t="shared" si="6"/>
        <v>21.096260928864357</v>
      </c>
      <c r="K19" s="131">
        <f t="shared" si="6"/>
        <v>20.38245611484162</v>
      </c>
      <c r="L19" s="131">
        <f t="shared" si="6"/>
        <v>5.6201370280416763</v>
      </c>
      <c r="M19" s="131">
        <f t="shared" si="6"/>
        <v>19.858659327912775</v>
      </c>
      <c r="N19" s="131">
        <f t="shared" si="6"/>
        <v>16.855354329744184</v>
      </c>
      <c r="O19" s="131">
        <f t="shared" si="6"/>
        <v>5.9344573832364738</v>
      </c>
      <c r="P19" s="131">
        <f t="shared" si="6"/>
        <v>14.238745237571283</v>
      </c>
      <c r="Q19" s="131">
        <f t="shared" si="6"/>
        <v>8.1983509214619072</v>
      </c>
      <c r="R19" s="131">
        <f t="shared" ref="R19:W19" si="7">SUM(R20:R27)</f>
        <v>9.3853913887565277</v>
      </c>
      <c r="S19" s="131">
        <f t="shared" si="7"/>
        <v>5.5724705769995264</v>
      </c>
      <c r="T19" s="131">
        <f t="shared" si="7"/>
        <v>3.4443617766123915</v>
      </c>
      <c r="U19" s="131">
        <f t="shared" si="7"/>
        <v>2.7754823546926231</v>
      </c>
      <c r="V19" s="131">
        <f t="shared" si="7"/>
        <v>2.898489255852819</v>
      </c>
      <c r="W19" s="131">
        <f t="shared" si="7"/>
        <v>5.950190714501268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1.3154690915692453</v>
      </c>
      <c r="D20" s="133">
        <v>1.5949754001900813</v>
      </c>
      <c r="E20" s="133">
        <v>2.700780703022255</v>
      </c>
      <c r="F20" s="133">
        <v>0.78725744181079804</v>
      </c>
      <c r="G20" s="133">
        <v>0.34753612263300537</v>
      </c>
      <c r="H20" s="133">
        <v>0.32490273633179945</v>
      </c>
      <c r="I20" s="133">
        <v>3.9473680214869522</v>
      </c>
      <c r="J20" s="133">
        <v>4.3589250859135769</v>
      </c>
      <c r="K20" s="133">
        <v>4.7037623750076776</v>
      </c>
      <c r="L20" s="133">
        <v>1.0840380051431444</v>
      </c>
      <c r="M20" s="133">
        <v>4.0785689200718798</v>
      </c>
      <c r="N20" s="133">
        <v>3.3752428857992802</v>
      </c>
      <c r="O20" s="133">
        <v>1.6814430797233377</v>
      </c>
      <c r="P20" s="133">
        <v>4.9853617700427888</v>
      </c>
      <c r="Q20" s="133">
        <v>2.9639751945194632</v>
      </c>
      <c r="R20" s="133">
        <v>2.7166907876772939</v>
      </c>
      <c r="S20" s="133">
        <v>0</v>
      </c>
      <c r="T20" s="133">
        <v>0</v>
      </c>
      <c r="U20" s="133">
        <v>3.1877050587101117E-3</v>
      </c>
      <c r="V20" s="133">
        <v>0.30576966603322031</v>
      </c>
      <c r="W20" s="133">
        <v>1.23944058636381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0.69091659579584597</v>
      </c>
      <c r="D21" s="133">
        <v>1.3432769820058648</v>
      </c>
      <c r="E21" s="133">
        <v>5.3749743821817475</v>
      </c>
      <c r="F21" s="133">
        <v>3.6700791519494862</v>
      </c>
      <c r="G21" s="133">
        <v>4.1597840827060487E-2</v>
      </c>
      <c r="H21" s="133">
        <v>0.6254306149232548</v>
      </c>
      <c r="I21" s="133">
        <v>0</v>
      </c>
      <c r="J21" s="133">
        <v>0.66842872450122803</v>
      </c>
      <c r="K21" s="133">
        <v>1.7063486095364422</v>
      </c>
      <c r="L21" s="133">
        <v>1.2046671368166506</v>
      </c>
      <c r="M21" s="133">
        <v>5.1782547621380051</v>
      </c>
      <c r="N21" s="133">
        <v>5.7690665721610133</v>
      </c>
      <c r="O21" s="133">
        <v>0.62168905735977775</v>
      </c>
      <c r="P21" s="133">
        <v>0.42290369174725539</v>
      </c>
      <c r="Q21" s="133">
        <v>0.35320035621071</v>
      </c>
      <c r="R21" s="133">
        <v>2.9551523070678698</v>
      </c>
      <c r="S21" s="133">
        <v>3.3890062107976959</v>
      </c>
      <c r="T21" s="133">
        <v>1.9831763475692432</v>
      </c>
      <c r="U21" s="133">
        <v>1.219910738113233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0.15338119867233946</v>
      </c>
      <c r="D22" s="133">
        <v>0.43398756215022011</v>
      </c>
      <c r="E22" s="133">
        <v>1.3138497396589404</v>
      </c>
      <c r="F22" s="133">
        <v>2.1677082878598277</v>
      </c>
      <c r="G22" s="133">
        <v>2.0224212359004086</v>
      </c>
      <c r="H22" s="133">
        <v>3.8949390327463194</v>
      </c>
      <c r="I22" s="133">
        <v>4.8413735455914395</v>
      </c>
      <c r="J22" s="133">
        <v>5.282195708379378</v>
      </c>
      <c r="K22" s="133">
        <v>4.4021121394122549</v>
      </c>
      <c r="L22" s="133">
        <v>0.97418655208303262</v>
      </c>
      <c r="M22" s="133">
        <v>3.1878490160696473</v>
      </c>
      <c r="N22" s="133">
        <v>2.4068598558772876</v>
      </c>
      <c r="O22" s="133">
        <v>1.06040248621016</v>
      </c>
      <c r="P22" s="133">
        <v>1.5480173069980074</v>
      </c>
      <c r="Q22" s="133">
        <v>1.4891704663665633</v>
      </c>
      <c r="R22" s="133">
        <v>1.7129220331329384</v>
      </c>
      <c r="S22" s="133">
        <v>2.12829586742453</v>
      </c>
      <c r="T22" s="133">
        <v>1.4200509537863193</v>
      </c>
      <c r="U22" s="133">
        <v>1.4770586707402733</v>
      </c>
      <c r="V22" s="133">
        <v>1.0293778646290261</v>
      </c>
      <c r="W22" s="133">
        <v>1.5604603983095373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0.86314734136607507</v>
      </c>
      <c r="D23" s="133">
        <v>2.2477872625752942</v>
      </c>
      <c r="E23" s="133">
        <v>7.6898432546411879</v>
      </c>
      <c r="F23" s="133">
        <v>7.3944543303223522</v>
      </c>
      <c r="G23" s="133">
        <v>6.1152510614683626</v>
      </c>
      <c r="H23" s="133">
        <v>7.2388476117111349</v>
      </c>
      <c r="I23" s="133">
        <v>8.7435405647346869</v>
      </c>
      <c r="J23" s="133">
        <v>10.762145560793645</v>
      </c>
      <c r="K23" s="133">
        <v>9.5295204118513706</v>
      </c>
      <c r="L23" s="133">
        <v>2.3558531364159543</v>
      </c>
      <c r="M23" s="133">
        <v>7.4048074040357799</v>
      </c>
      <c r="N23" s="133">
        <v>5.2970808103345206</v>
      </c>
      <c r="O23" s="133">
        <v>2.5339211228364724</v>
      </c>
      <c r="P23" s="133">
        <v>7.2146953505212936</v>
      </c>
      <c r="Q23" s="133">
        <v>3.3395646218848389</v>
      </c>
      <c r="R23" s="133">
        <v>1.9044669199344102</v>
      </c>
      <c r="S23" s="133">
        <v>0</v>
      </c>
      <c r="T23" s="133">
        <v>0</v>
      </c>
      <c r="U23" s="133">
        <v>1.414396961559046E-2</v>
      </c>
      <c r="V23" s="133">
        <v>1.3211240409185536</v>
      </c>
      <c r="W23" s="133">
        <v>2.9102389707471006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1.1866063584674337E-3</v>
      </c>
      <c r="D24" s="133">
        <v>2.7232236968179439E-3</v>
      </c>
      <c r="E24" s="133">
        <v>4.9950851104657275E-3</v>
      </c>
      <c r="F24" s="133">
        <v>2.8228382615089285E-4</v>
      </c>
      <c r="G24" s="133">
        <v>4.294257781171075E-3</v>
      </c>
      <c r="H24" s="133">
        <v>0</v>
      </c>
      <c r="I24" s="133">
        <v>0</v>
      </c>
      <c r="J24" s="133">
        <v>2.4565849276529547E-2</v>
      </c>
      <c r="K24" s="133">
        <v>4.0712579033875561E-2</v>
      </c>
      <c r="L24" s="133">
        <v>1.3921975828943519E-3</v>
      </c>
      <c r="M24" s="133">
        <v>9.1792255974636645E-3</v>
      </c>
      <c r="N24" s="133">
        <v>7.1042055720794825E-3</v>
      </c>
      <c r="O24" s="133">
        <v>3.7001637106726395E-2</v>
      </c>
      <c r="P24" s="133">
        <v>6.7767118261936182E-2</v>
      </c>
      <c r="Q24" s="133">
        <v>5.2440282480332147E-2</v>
      </c>
      <c r="R24" s="133">
        <v>9.6159340944014626E-2</v>
      </c>
      <c r="S24" s="133">
        <v>5.5168498777300817E-2</v>
      </c>
      <c r="T24" s="133">
        <v>4.1134475256828902E-2</v>
      </c>
      <c r="U24" s="133">
        <v>6.118127116481651E-2</v>
      </c>
      <c r="V24" s="133">
        <v>0.24221768427201903</v>
      </c>
      <c r="W24" s="133">
        <v>0.2400507590808198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1.8511030244967261</v>
      </c>
      <c r="D29" s="131">
        <f t="shared" si="8"/>
        <v>3.317328669757674</v>
      </c>
      <c r="E29" s="131">
        <f t="shared" si="8"/>
        <v>12.169362537645778</v>
      </c>
      <c r="F29" s="131">
        <f t="shared" si="8"/>
        <v>14.52846061826096</v>
      </c>
      <c r="G29" s="131">
        <f t="shared" si="8"/>
        <v>13.410255021591741</v>
      </c>
      <c r="H29" s="131">
        <f t="shared" si="8"/>
        <v>18.149552618970091</v>
      </c>
      <c r="I29" s="131">
        <f t="shared" si="8"/>
        <v>15.582480227459042</v>
      </c>
      <c r="J29" s="131">
        <f t="shared" si="8"/>
        <v>13.863114984931448</v>
      </c>
      <c r="K29" s="131">
        <f t="shared" si="8"/>
        <v>14.059435792971232</v>
      </c>
      <c r="L29" s="131">
        <f t="shared" si="8"/>
        <v>3.4257567852790074</v>
      </c>
      <c r="M29" s="131">
        <f t="shared" si="8"/>
        <v>25.555876983205383</v>
      </c>
      <c r="N29" s="131">
        <f t="shared" si="8"/>
        <v>21.86072866335315</v>
      </c>
      <c r="O29" s="131">
        <f t="shared" si="8"/>
        <v>8.9292057782194529</v>
      </c>
      <c r="P29" s="131">
        <f t="shared" si="8"/>
        <v>15.305946063252591</v>
      </c>
      <c r="Q29" s="131">
        <f t="shared" si="8"/>
        <v>10.159395063464665</v>
      </c>
      <c r="R29" s="131">
        <f t="shared" ref="R29:W29" si="9">SUM(R30:R33)</f>
        <v>9.3894306722650622</v>
      </c>
      <c r="S29" s="131">
        <f t="shared" si="9"/>
        <v>10.23716811425794</v>
      </c>
      <c r="T29" s="131">
        <f t="shared" si="9"/>
        <v>7.9234100241734708</v>
      </c>
      <c r="U29" s="131">
        <f t="shared" si="9"/>
        <v>11.59808095744042</v>
      </c>
      <c r="V29" s="131">
        <f t="shared" si="9"/>
        <v>8.749090202568917</v>
      </c>
      <c r="W29" s="131">
        <f t="shared" si="9"/>
        <v>13.336320131709181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0.68952723526133786</v>
      </c>
      <c r="D30" s="133">
        <v>1.1300898079122026</v>
      </c>
      <c r="E30" s="133">
        <v>5.0004925824707485</v>
      </c>
      <c r="F30" s="133">
        <v>3.8236037066513862</v>
      </c>
      <c r="G30" s="133">
        <v>2.6807724972643618</v>
      </c>
      <c r="H30" s="133">
        <v>3.137498326212282</v>
      </c>
      <c r="I30" s="133">
        <v>0.70793804719674647</v>
      </c>
      <c r="J30" s="133">
        <v>0</v>
      </c>
      <c r="K30" s="133">
        <v>0</v>
      </c>
      <c r="L30" s="133">
        <v>0</v>
      </c>
      <c r="M30" s="133">
        <v>0</v>
      </c>
      <c r="N30" s="133">
        <v>1.0814159499376697</v>
      </c>
      <c r="O30" s="133">
        <v>1.4922450928003037</v>
      </c>
      <c r="P30" s="133">
        <v>2.8686297351212664</v>
      </c>
      <c r="Q30" s="133">
        <v>2.5523191949183794</v>
      </c>
      <c r="R30" s="133">
        <v>2.5754220583746985</v>
      </c>
      <c r="S30" s="133">
        <v>2.5016592015721661</v>
      </c>
      <c r="T30" s="133">
        <v>0.98729520727233322</v>
      </c>
      <c r="U30" s="133">
        <v>0.59300742725321276</v>
      </c>
      <c r="V30" s="133">
        <v>0.18961429334657781</v>
      </c>
      <c r="W30" s="133">
        <v>0.41299300906773911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1.1615757892353884</v>
      </c>
      <c r="D31" s="133">
        <v>2.1872388618454717</v>
      </c>
      <c r="E31" s="133">
        <v>7.1688699551750297</v>
      </c>
      <c r="F31" s="133">
        <v>10.704856911609573</v>
      </c>
      <c r="G31" s="133">
        <v>10.729482524327379</v>
      </c>
      <c r="H31" s="133">
        <v>15.012054292757808</v>
      </c>
      <c r="I31" s="133">
        <v>14.874542180262296</v>
      </c>
      <c r="J31" s="133">
        <v>13.863114984931448</v>
      </c>
      <c r="K31" s="133">
        <v>14.059435792971232</v>
      </c>
      <c r="L31" s="133">
        <v>3.4257567852790074</v>
      </c>
      <c r="M31" s="133">
        <v>25.555876983205383</v>
      </c>
      <c r="N31" s="133">
        <v>20.779312713415482</v>
      </c>
      <c r="O31" s="133">
        <v>7.4369606854191499</v>
      </c>
      <c r="P31" s="133">
        <v>12.437316328131324</v>
      </c>
      <c r="Q31" s="133">
        <v>7.6070758685462856</v>
      </c>
      <c r="R31" s="133">
        <v>6.8140086138903637</v>
      </c>
      <c r="S31" s="133">
        <v>7.7355089126857752</v>
      </c>
      <c r="T31" s="133">
        <v>6.9361148169011377</v>
      </c>
      <c r="U31" s="133">
        <v>11.005073530187207</v>
      </c>
      <c r="V31" s="133">
        <v>8.5594759092223391</v>
      </c>
      <c r="W31" s="133">
        <v>12.923327122641442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152068.9721216138</v>
      </c>
      <c r="D3" s="126">
        <f>IF(SER_hh_fec_in!D3=0,0,11630*1000*SER_hh_fec_in!D3/SER_hh_num_in!D3)</f>
        <v>176164.64921646862</v>
      </c>
      <c r="E3" s="126">
        <f>IF(SER_hh_fec_in!E3=0,0,11630*1000*SER_hh_fec_in!E3/SER_hh_num_in!E3)</f>
        <v>166644.90033846162</v>
      </c>
      <c r="F3" s="126">
        <f>IF(SER_hh_fec_in!F3=0,0,11630*1000*SER_hh_fec_in!F3/SER_hh_num_in!F3)</f>
        <v>167618.3836637607</v>
      </c>
      <c r="G3" s="126">
        <f>IF(SER_hh_fec_in!G3=0,0,11630*1000*SER_hh_fec_in!G3/SER_hh_num_in!G3)</f>
        <v>157266.29406327757</v>
      </c>
      <c r="H3" s="126">
        <f>IF(SER_hh_fec_in!H3=0,0,11630*1000*SER_hh_fec_in!H3/SER_hh_num_in!H3)</f>
        <v>177270.06810571405</v>
      </c>
      <c r="I3" s="126">
        <f>IF(SER_hh_fec_in!I3=0,0,11630*1000*SER_hh_fec_in!I3/SER_hh_num_in!I3)</f>
        <v>158439.89407379273</v>
      </c>
      <c r="J3" s="126">
        <f>IF(SER_hh_fec_in!J3=0,0,11630*1000*SER_hh_fec_in!J3/SER_hh_num_in!J3)</f>
        <v>168037.2329731918</v>
      </c>
      <c r="K3" s="126">
        <f>IF(SER_hh_fec_in!K3=0,0,11630*1000*SER_hh_fec_in!K3/SER_hh_num_in!K3)</f>
        <v>165097.50026595243</v>
      </c>
      <c r="L3" s="126">
        <f>IF(SER_hh_fec_in!L3=0,0,11630*1000*SER_hh_fec_in!L3/SER_hh_num_in!L3)</f>
        <v>182374.67691278676</v>
      </c>
      <c r="M3" s="126">
        <f>IF(SER_hh_fec_in!M3=0,0,11630*1000*SER_hh_fec_in!M3/SER_hh_num_in!M3)</f>
        <v>161844.54757942102</v>
      </c>
      <c r="N3" s="126">
        <f>IF(SER_hh_fec_in!N3=0,0,11630*1000*SER_hh_fec_in!N3/SER_hh_num_in!N3)</f>
        <v>152325.76913329843</v>
      </c>
      <c r="O3" s="126">
        <f>IF(SER_hh_fec_in!O3=0,0,11630*1000*SER_hh_fec_in!O3/SER_hh_num_in!O3)</f>
        <v>142330.82474228626</v>
      </c>
      <c r="P3" s="126">
        <f>IF(SER_hh_fec_in!P3=0,0,11630*1000*SER_hh_fec_in!P3/SER_hh_num_in!P3)</f>
        <v>121970.74454764169</v>
      </c>
      <c r="Q3" s="126">
        <f>IF(SER_hh_fec_in!Q3=0,0,11630*1000*SER_hh_fec_in!Q3/SER_hh_num_in!Q3)</f>
        <v>119285.10788220383</v>
      </c>
      <c r="R3" s="126">
        <f>IF(SER_hh_fec_in!R3=0,0,11630*1000*SER_hh_fec_in!R3/SER_hh_num_in!R3)</f>
        <v>120995.51458734339</v>
      </c>
      <c r="S3" s="126">
        <f>IF(SER_hh_fec_in!S3=0,0,11630*1000*SER_hh_fec_in!S3/SER_hh_num_in!S3)</f>
        <v>109153.81671726142</v>
      </c>
      <c r="T3" s="126">
        <f>IF(SER_hh_fec_in!T3=0,0,11630*1000*SER_hh_fec_in!T3/SER_hh_num_in!T3)</f>
        <v>101147.71945663627</v>
      </c>
      <c r="U3" s="126">
        <f>IF(SER_hh_fec_in!U3=0,0,11630*1000*SER_hh_fec_in!U3/SER_hh_num_in!U3)</f>
        <v>95890.56988879558</v>
      </c>
      <c r="V3" s="126">
        <f>IF(SER_hh_fec_in!V3=0,0,11630*1000*SER_hh_fec_in!V3/SER_hh_num_in!V3)</f>
        <v>86367.145610662817</v>
      </c>
      <c r="W3" s="126">
        <f>IF(SER_hh_fec_in!W3=0,0,11630*1000*SER_hh_fec_in!W3/SER_hh_num_in!W3)</f>
        <v>89471.965007288891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109270.68495525225</v>
      </c>
      <c r="D4" s="131">
        <f>IF(SER_hh_fec_in!D4=0,0,11630*1000*SER_hh_fec_in!D4/SER_hh_num_in!D4)</f>
        <v>130030.28440250544</v>
      </c>
      <c r="E4" s="131">
        <f>IF(SER_hh_fec_in!E4=0,0,11630*1000*SER_hh_fec_in!E4/SER_hh_num_in!E4)</f>
        <v>121498.03076840281</v>
      </c>
      <c r="F4" s="131">
        <f>IF(SER_hh_fec_in!F4=0,0,11630*1000*SER_hh_fec_in!F4/SER_hh_num_in!F4)</f>
        <v>123959.03757099327</v>
      </c>
      <c r="G4" s="131">
        <f>IF(SER_hh_fec_in!G4=0,0,11630*1000*SER_hh_fec_in!G4/SER_hh_num_in!G4)</f>
        <v>111859.02441463816</v>
      </c>
      <c r="H4" s="131">
        <f>IF(SER_hh_fec_in!H4=0,0,11630*1000*SER_hh_fec_in!H4/SER_hh_num_in!H4)</f>
        <v>132358.07392861915</v>
      </c>
      <c r="I4" s="131">
        <f>IF(SER_hh_fec_in!I4=0,0,11630*1000*SER_hh_fec_in!I4/SER_hh_num_in!I4)</f>
        <v>111438.84661879508</v>
      </c>
      <c r="J4" s="131">
        <f>IF(SER_hh_fec_in!J4=0,0,11630*1000*SER_hh_fec_in!J4/SER_hh_num_in!J4)</f>
        <v>120708.88191467614</v>
      </c>
      <c r="K4" s="131">
        <f>IF(SER_hh_fec_in!K4=0,0,11630*1000*SER_hh_fec_in!K4/SER_hh_num_in!K4)</f>
        <v>118200.743641566</v>
      </c>
      <c r="L4" s="131">
        <f>IF(SER_hh_fec_in!L4=0,0,11630*1000*SER_hh_fec_in!L4/SER_hh_num_in!L4)</f>
        <v>129729.18355877169</v>
      </c>
      <c r="M4" s="131">
        <f>IF(SER_hh_fec_in!M4=0,0,11630*1000*SER_hh_fec_in!M4/SER_hh_num_in!M4)</f>
        <v>112925.47280584846</v>
      </c>
      <c r="N4" s="131">
        <f>IF(SER_hh_fec_in!N4=0,0,11630*1000*SER_hh_fec_in!N4/SER_hh_num_in!N4)</f>
        <v>102682.20808302767</v>
      </c>
      <c r="O4" s="131">
        <f>IF(SER_hh_fec_in!O4=0,0,11630*1000*SER_hh_fec_in!O4/SER_hh_num_in!O4)</f>
        <v>91810.162675605621</v>
      </c>
      <c r="P4" s="131">
        <f>IF(SER_hh_fec_in!P4=0,0,11630*1000*SER_hh_fec_in!P4/SER_hh_num_in!P4)</f>
        <v>75791.767984296006</v>
      </c>
      <c r="Q4" s="131">
        <f>IF(SER_hh_fec_in!Q4=0,0,11630*1000*SER_hh_fec_in!Q4/SER_hh_num_in!Q4)</f>
        <v>71419.167478584088</v>
      </c>
      <c r="R4" s="131">
        <f>IF(SER_hh_fec_in!R4=0,0,11630*1000*SER_hh_fec_in!R4/SER_hh_num_in!R4)</f>
        <v>75915.699956706972</v>
      </c>
      <c r="S4" s="131">
        <f>IF(SER_hh_fec_in!S4=0,0,11630*1000*SER_hh_fec_in!S4/SER_hh_num_in!S4)</f>
        <v>66565.340382565657</v>
      </c>
      <c r="T4" s="131">
        <f>IF(SER_hh_fec_in!T4=0,0,11630*1000*SER_hh_fec_in!T4/SER_hh_num_in!T4)</f>
        <v>59568.313744742321</v>
      </c>
      <c r="U4" s="131">
        <f>IF(SER_hh_fec_in!U4=0,0,11630*1000*SER_hh_fec_in!U4/SER_hh_num_in!U4)</f>
        <v>53773.754691331233</v>
      </c>
      <c r="V4" s="131">
        <f>IF(SER_hh_fec_in!V4=0,0,11630*1000*SER_hh_fec_in!V4/SER_hh_num_in!V4)</f>
        <v>48861.249491922288</v>
      </c>
      <c r="W4" s="131">
        <f>IF(SER_hh_fec_in!W4=0,0,11630*1000*SER_hh_fec_in!W4/SER_hh_num_in!W4)</f>
        <v>48755.98650392882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88122.730208212903</v>
      </c>
      <c r="D5" s="133">
        <f>IF(SER_hh_fec_in!D5=0,0,11630*1000*SER_hh_fec_in!D5/SER_hh_num_in!D5)</f>
        <v>144345.63240433187</v>
      </c>
      <c r="E5" s="133">
        <f>IF(SER_hh_fec_in!E5=0,0,11630*1000*SER_hh_fec_in!E5/SER_hh_num_in!E5)</f>
        <v>138227.99573742851</v>
      </c>
      <c r="F5" s="133">
        <f>IF(SER_hh_fec_in!F5=0,0,11630*1000*SER_hh_fec_in!F5/SER_hh_num_in!F5)</f>
        <v>128693.09639069534</v>
      </c>
      <c r="G5" s="133">
        <f>IF(SER_hh_fec_in!G5=0,0,11630*1000*SER_hh_fec_in!G5/SER_hh_num_in!G5)</f>
        <v>124942.4498002546</v>
      </c>
      <c r="H5" s="133">
        <f>IF(SER_hh_fec_in!H5=0,0,11630*1000*SER_hh_fec_in!H5/SER_hh_num_in!H5)</f>
        <v>140392.03610862844</v>
      </c>
      <c r="I5" s="133">
        <f>IF(SER_hh_fec_in!I5=0,0,11630*1000*SER_hh_fec_in!I5/SER_hh_num_in!I5)</f>
        <v>114543.76090067759</v>
      </c>
      <c r="J5" s="133">
        <f>IF(SER_hh_fec_in!J5=0,0,11630*1000*SER_hh_fec_in!J5/SER_hh_num_in!J5)</f>
        <v>122648.32537212015</v>
      </c>
      <c r="K5" s="133">
        <f>IF(SER_hh_fec_in!K5=0,0,11630*1000*SER_hh_fec_in!K5/SER_hh_num_in!K5)</f>
        <v>125850.63907577588</v>
      </c>
      <c r="L5" s="133">
        <f>IF(SER_hh_fec_in!L5=0,0,11630*1000*SER_hh_fec_in!L5/SER_hh_num_in!L5)</f>
        <v>137355.82037664996</v>
      </c>
      <c r="M5" s="133">
        <f>IF(SER_hh_fec_in!M5=0,0,11630*1000*SER_hh_fec_in!M5/SER_hh_num_in!M5)</f>
        <v>115979.0433502493</v>
      </c>
      <c r="N5" s="133">
        <f>IF(SER_hh_fec_in!N5=0,0,11630*1000*SER_hh_fec_in!N5/SER_hh_num_in!N5)</f>
        <v>113344.81952800005</v>
      </c>
      <c r="O5" s="133">
        <f>IF(SER_hh_fec_in!O5=0,0,11630*1000*SER_hh_fec_in!O5/SER_hh_num_in!O5)</f>
        <v>101520.22175065556</v>
      </c>
      <c r="P5" s="133">
        <f>IF(SER_hh_fec_in!P5=0,0,11630*1000*SER_hh_fec_in!P5/SER_hh_num_in!P5)</f>
        <v>86685.903943749436</v>
      </c>
      <c r="Q5" s="133">
        <f>IF(SER_hh_fec_in!Q5=0,0,11630*1000*SER_hh_fec_in!Q5/SER_hh_num_in!Q5)</f>
        <v>81027.311406934125</v>
      </c>
      <c r="R5" s="133">
        <f>IF(SER_hh_fec_in!R5=0,0,11630*1000*SER_hh_fec_in!R5/SER_hh_num_in!R5)</f>
        <v>82154.48460490485</v>
      </c>
      <c r="S5" s="133">
        <f>IF(SER_hh_fec_in!S5=0,0,11630*1000*SER_hh_fec_in!S5/SER_hh_num_in!S5)</f>
        <v>77765.554627044112</v>
      </c>
      <c r="T5" s="133">
        <f>IF(SER_hh_fec_in!T5=0,0,11630*1000*SER_hh_fec_in!T5/SER_hh_num_in!T5)</f>
        <v>69690.585789465375</v>
      </c>
      <c r="U5" s="133">
        <f>IF(SER_hh_fec_in!U5=0,0,11630*1000*SER_hh_fec_in!U5/SER_hh_num_in!U5)</f>
        <v>54477.860835940999</v>
      </c>
      <c r="V5" s="133">
        <f>IF(SER_hh_fec_in!V5=0,0,11630*1000*SER_hh_fec_in!V5/SER_hh_num_in!V5)</f>
        <v>52626.63670962584</v>
      </c>
      <c r="W5" s="133">
        <f>IF(SER_hh_fec_in!W5=0,0,11630*1000*SER_hh_fec_in!W5/SER_hh_num_in!W5)</f>
        <v>55969.173894609572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146394.81247233262</v>
      </c>
      <c r="D7" s="133">
        <f>IF(SER_hh_fec_in!D7=0,0,11630*1000*SER_hh_fec_in!D7/SER_hh_num_in!D7)</f>
        <v>156009.96480220344</v>
      </c>
      <c r="E7" s="133">
        <f>IF(SER_hh_fec_in!E7=0,0,11630*1000*SER_hh_fec_in!E7/SER_hh_num_in!E7)</f>
        <v>154851.86007497381</v>
      </c>
      <c r="F7" s="133">
        <f>IF(SER_hh_fec_in!F7=0,0,11630*1000*SER_hh_fec_in!F7/SER_hh_num_in!F7)</f>
        <v>142283.48506194889</v>
      </c>
      <c r="G7" s="133">
        <f>IF(SER_hh_fec_in!G7=0,0,11630*1000*SER_hh_fec_in!G7/SER_hh_num_in!G7)</f>
        <v>109649.48553141733</v>
      </c>
      <c r="H7" s="133">
        <f>IF(SER_hh_fec_in!H7=0,0,11630*1000*SER_hh_fec_in!H7/SER_hh_num_in!H7)</f>
        <v>170545.68979304639</v>
      </c>
      <c r="I7" s="133">
        <f>IF(SER_hh_fec_in!I7=0,0,11630*1000*SER_hh_fec_in!I7/SER_hh_num_in!I7)</f>
        <v>147845.33759641577</v>
      </c>
      <c r="J7" s="133">
        <f>IF(SER_hh_fec_in!J7=0,0,11630*1000*SER_hh_fec_in!J7/SER_hh_num_in!J7)</f>
        <v>141469.84982772829</v>
      </c>
      <c r="K7" s="133">
        <f>IF(SER_hh_fec_in!K7=0,0,11630*1000*SER_hh_fec_in!K7/SER_hh_num_in!K7)</f>
        <v>130276.07920847765</v>
      </c>
      <c r="L7" s="133">
        <f>IF(SER_hh_fec_in!L7=0,0,11630*1000*SER_hh_fec_in!L7/SER_hh_num_in!L7)</f>
        <v>161005.44286816116</v>
      </c>
      <c r="M7" s="133">
        <f>IF(SER_hh_fec_in!M7=0,0,11630*1000*SER_hh_fec_in!M7/SER_hh_num_in!M7)</f>
        <v>148882.5510951489</v>
      </c>
      <c r="N7" s="133">
        <f>IF(SER_hh_fec_in!N7=0,0,11630*1000*SER_hh_fec_in!N7/SER_hh_num_in!N7)</f>
        <v>0</v>
      </c>
      <c r="O7" s="133">
        <f>IF(SER_hh_fec_in!O7=0,0,11630*1000*SER_hh_fec_in!O7/SER_hh_num_in!O7)</f>
        <v>0</v>
      </c>
      <c r="P7" s="133">
        <f>IF(SER_hh_fec_in!P7=0,0,11630*1000*SER_hh_fec_in!P7/SER_hh_num_in!P7)</f>
        <v>0</v>
      </c>
      <c r="Q7" s="133">
        <f>IF(SER_hh_fec_in!Q7=0,0,11630*1000*SER_hh_fec_in!Q7/SER_hh_num_in!Q7)</f>
        <v>80300.829581019672</v>
      </c>
      <c r="R7" s="133">
        <f>IF(SER_hh_fec_in!R7=0,0,11630*1000*SER_hh_fec_in!R7/SER_hh_num_in!R7)</f>
        <v>76129.117512294819</v>
      </c>
      <c r="S7" s="133">
        <f>IF(SER_hh_fec_in!S7=0,0,11630*1000*SER_hh_fec_in!S7/SER_hh_num_in!S7)</f>
        <v>72527.227423693636</v>
      </c>
      <c r="T7" s="133">
        <f>IF(SER_hh_fec_in!T7=0,0,11630*1000*SER_hh_fec_in!T7/SER_hh_num_in!T7)</f>
        <v>70038.541999737587</v>
      </c>
      <c r="U7" s="133">
        <f>IF(SER_hh_fec_in!U7=0,0,11630*1000*SER_hh_fec_in!U7/SER_hh_num_in!U7)</f>
        <v>57696.849993068914</v>
      </c>
      <c r="V7" s="133">
        <f>IF(SER_hh_fec_in!V7=0,0,11630*1000*SER_hh_fec_in!V7/SER_hh_num_in!V7)</f>
        <v>55121.194474425363</v>
      </c>
      <c r="W7" s="133">
        <f>IF(SER_hh_fec_in!W7=0,0,11630*1000*SER_hh_fec_in!W7/SER_hh_num_in!W7)</f>
        <v>53406.25519577114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71620.551875827092</v>
      </c>
      <c r="D8" s="133">
        <f>IF(SER_hh_fec_in!D8=0,0,11630*1000*SER_hh_fec_in!D8/SER_hh_num_in!D8)</f>
        <v>71093.69103064161</v>
      </c>
      <c r="E8" s="133">
        <f>IF(SER_hh_fec_in!E8=0,0,11630*1000*SER_hh_fec_in!E8/SER_hh_num_in!E8)</f>
        <v>71188.27826064371</v>
      </c>
      <c r="F8" s="133">
        <f>IF(SER_hh_fec_in!F8=0,0,11630*1000*SER_hh_fec_in!F8/SER_hh_num_in!F8)</f>
        <v>66832.181685232019</v>
      </c>
      <c r="G8" s="133">
        <f>IF(SER_hh_fec_in!G8=0,0,11630*1000*SER_hh_fec_in!G8/SER_hh_num_in!G8)</f>
        <v>62703.39480397413</v>
      </c>
      <c r="H8" s="133">
        <f>IF(SER_hh_fec_in!H8=0,0,11630*1000*SER_hh_fec_in!H8/SER_hh_num_in!H8)</f>
        <v>58481.953255167209</v>
      </c>
      <c r="I8" s="133">
        <f>IF(SER_hh_fec_in!I8=0,0,11630*1000*SER_hh_fec_in!I8/SER_hh_num_in!I8)</f>
        <v>54337.102395570728</v>
      </c>
      <c r="J8" s="133">
        <f>IF(SER_hh_fec_in!J8=0,0,11630*1000*SER_hh_fec_in!J8/SER_hh_num_in!J8)</f>
        <v>53648.529941153975</v>
      </c>
      <c r="K8" s="133">
        <f>IF(SER_hh_fec_in!K8=0,0,11630*1000*SER_hh_fec_in!K8/SER_hh_num_in!K8)</f>
        <v>53499.76716743967</v>
      </c>
      <c r="L8" s="133">
        <f>IF(SER_hh_fec_in!L8=0,0,11630*1000*SER_hh_fec_in!L8/SER_hh_num_in!L8)</f>
        <v>50402.126962431248</v>
      </c>
      <c r="M8" s="133">
        <f>IF(SER_hh_fec_in!M8=0,0,11630*1000*SER_hh_fec_in!M8/SER_hh_num_in!M8)</f>
        <v>40861.778888570079</v>
      </c>
      <c r="N8" s="133">
        <f>IF(SER_hh_fec_in!N8=0,0,11630*1000*SER_hh_fec_in!N8/SER_hh_num_in!N8)</f>
        <v>38006.571611552899</v>
      </c>
      <c r="O8" s="133">
        <f>IF(SER_hh_fec_in!O8=0,0,11630*1000*SER_hh_fec_in!O8/SER_hh_num_in!O8)</f>
        <v>30010.050880321262</v>
      </c>
      <c r="P8" s="133">
        <f>IF(SER_hh_fec_in!P8=0,0,11630*1000*SER_hh_fec_in!P8/SER_hh_num_in!P8)</f>
        <v>31400.234478886527</v>
      </c>
      <c r="Q8" s="133">
        <f>IF(SER_hh_fec_in!Q8=0,0,11630*1000*SER_hh_fec_in!Q8/SER_hh_num_in!Q8)</f>
        <v>27869.02176376705</v>
      </c>
      <c r="R8" s="133">
        <f>IF(SER_hh_fec_in!R8=0,0,11630*1000*SER_hh_fec_in!R8/SER_hh_num_in!R8)</f>
        <v>26659.302402173929</v>
      </c>
      <c r="S8" s="133">
        <f>IF(SER_hh_fec_in!S8=0,0,11630*1000*SER_hh_fec_in!S8/SER_hh_num_in!S8)</f>
        <v>23012.877144191138</v>
      </c>
      <c r="T8" s="133">
        <f>IF(SER_hh_fec_in!T8=0,0,11630*1000*SER_hh_fec_in!T8/SER_hh_num_in!T8)</f>
        <v>20731.76944718766</v>
      </c>
      <c r="U8" s="133">
        <f>IF(SER_hh_fec_in!U8=0,0,11630*1000*SER_hh_fec_in!U8/SER_hh_num_in!U8)</f>
        <v>19046.207938720148</v>
      </c>
      <c r="V8" s="133">
        <f>IF(SER_hh_fec_in!V8=0,0,11630*1000*SER_hh_fec_in!V8/SER_hh_num_in!V8)</f>
        <v>17851.180700247631</v>
      </c>
      <c r="W8" s="133">
        <f>IF(SER_hh_fec_in!W8=0,0,11630*1000*SER_hh_fec_in!W8/SER_hh_num_in!W8)</f>
        <v>17899.053447186277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123256.71488645414</v>
      </c>
      <c r="D9" s="133">
        <f>IF(SER_hh_fec_in!D9=0,0,11630*1000*SER_hh_fec_in!D9/SER_hh_num_in!D9)</f>
        <v>136414.21265488811</v>
      </c>
      <c r="E9" s="133">
        <f>IF(SER_hh_fec_in!E9=0,0,11630*1000*SER_hh_fec_in!E9/SER_hh_num_in!E9)</f>
        <v>136171.4564085232</v>
      </c>
      <c r="F9" s="133">
        <f>IF(SER_hh_fec_in!F9=0,0,11630*1000*SER_hh_fec_in!F9/SER_hh_num_in!F9)</f>
        <v>137846.23038617181</v>
      </c>
      <c r="G9" s="133">
        <f>IF(SER_hh_fec_in!G9=0,0,11630*1000*SER_hh_fec_in!G9/SER_hh_num_in!G9)</f>
        <v>134236.58277605168</v>
      </c>
      <c r="H9" s="133">
        <f>IF(SER_hh_fec_in!H9=0,0,11630*1000*SER_hh_fec_in!H9/SER_hh_num_in!H9)</f>
        <v>122887.71743397425</v>
      </c>
      <c r="I9" s="133">
        <f>IF(SER_hh_fec_in!I9=0,0,11630*1000*SER_hh_fec_in!I9/SER_hh_num_in!I9)</f>
        <v>119201.95710042106</v>
      </c>
      <c r="J9" s="133">
        <f>IF(SER_hh_fec_in!J9=0,0,11630*1000*SER_hh_fec_in!J9/SER_hh_num_in!J9)</f>
        <v>121233.2993340836</v>
      </c>
      <c r="K9" s="133">
        <f>IF(SER_hh_fec_in!K9=0,0,11630*1000*SER_hh_fec_in!K9/SER_hh_num_in!K9)</f>
        <v>119626.20357188336</v>
      </c>
      <c r="L9" s="133">
        <f>IF(SER_hh_fec_in!L9=0,0,11630*1000*SER_hh_fec_in!L9/SER_hh_num_in!L9)</f>
        <v>133869.17148570603</v>
      </c>
      <c r="M9" s="133">
        <f>IF(SER_hh_fec_in!M9=0,0,11630*1000*SER_hh_fec_in!M9/SER_hh_num_in!M9)</f>
        <v>112835.78458721233</v>
      </c>
      <c r="N9" s="133">
        <f>IF(SER_hh_fec_in!N9=0,0,11630*1000*SER_hh_fec_in!N9/SER_hh_num_in!N9)</f>
        <v>108507.05233732073</v>
      </c>
      <c r="O9" s="133">
        <f>IF(SER_hh_fec_in!O9=0,0,11630*1000*SER_hh_fec_in!O9/SER_hh_num_in!O9)</f>
        <v>96905.228164919594</v>
      </c>
      <c r="P9" s="133">
        <f>IF(SER_hh_fec_in!P9=0,0,11630*1000*SER_hh_fec_in!P9/SER_hh_num_in!P9)</f>
        <v>75810.276178709042</v>
      </c>
      <c r="Q9" s="133">
        <f>IF(SER_hh_fec_in!Q9=0,0,11630*1000*SER_hh_fec_in!Q9/SER_hh_num_in!Q9)</f>
        <v>76662.972522314391</v>
      </c>
      <c r="R9" s="133">
        <f>IF(SER_hh_fec_in!R9=0,0,11630*1000*SER_hh_fec_in!R9/SER_hh_num_in!R9)</f>
        <v>87331.831670425992</v>
      </c>
      <c r="S9" s="133">
        <f>IF(SER_hh_fec_in!S9=0,0,11630*1000*SER_hh_fec_in!S9/SER_hh_num_in!S9)</f>
        <v>63992.101241558354</v>
      </c>
      <c r="T9" s="133">
        <f>IF(SER_hh_fec_in!T9=0,0,11630*1000*SER_hh_fec_in!T9/SER_hh_num_in!T9)</f>
        <v>58869.117970530395</v>
      </c>
      <c r="U9" s="133">
        <f>IF(SER_hh_fec_in!U9=0,0,11630*1000*SER_hh_fec_in!U9/SER_hh_num_in!U9)</f>
        <v>57521.152531652799</v>
      </c>
      <c r="V9" s="133">
        <f>IF(SER_hh_fec_in!V9=0,0,11630*1000*SER_hh_fec_in!V9/SER_hh_num_in!V9)</f>
        <v>47168.256949074035</v>
      </c>
      <c r="W9" s="133">
        <f>IF(SER_hh_fec_in!W9=0,0,11630*1000*SER_hh_fec_in!W9/SER_hh_num_in!W9)</f>
        <v>55841.303545242896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117568.0443720726</v>
      </c>
      <c r="I10" s="133">
        <f>IF(SER_hh_fec_in!I10=0,0,11630*1000*SER_hh_fec_in!I10/SER_hh_num_in!I10)</f>
        <v>141424.39904744891</v>
      </c>
      <c r="J10" s="133">
        <f>IF(SER_hh_fec_in!J10=0,0,11630*1000*SER_hh_fec_in!J10/SER_hh_num_in!J10)</f>
        <v>124974.27765398068</v>
      </c>
      <c r="K10" s="133">
        <f>IF(SER_hh_fec_in!K10=0,0,11630*1000*SER_hh_fec_in!K10/SER_hh_num_in!K10)</f>
        <v>158075.56522309512</v>
      </c>
      <c r="L10" s="133">
        <f>IF(SER_hh_fec_in!L10=0,0,11630*1000*SER_hh_fec_in!L10/SER_hh_num_in!L10)</f>
        <v>165865.30886299841</v>
      </c>
      <c r="M10" s="133">
        <f>IF(SER_hh_fec_in!M10=0,0,11630*1000*SER_hh_fec_in!M10/SER_hh_num_in!M10)</f>
        <v>149228.64838101179</v>
      </c>
      <c r="N10" s="133">
        <f>IF(SER_hh_fec_in!N10=0,0,11630*1000*SER_hh_fec_in!N10/SER_hh_num_in!N10)</f>
        <v>125277.88242415388</v>
      </c>
      <c r="O10" s="133">
        <f>IF(SER_hh_fec_in!O10=0,0,11630*1000*SER_hh_fec_in!O10/SER_hh_num_in!O10)</f>
        <v>131509.0476490451</v>
      </c>
      <c r="P10" s="133">
        <f>IF(SER_hh_fec_in!P10=0,0,11630*1000*SER_hh_fec_in!P10/SER_hh_num_in!P10)</f>
        <v>105116.02062765263</v>
      </c>
      <c r="Q10" s="133">
        <f>IF(SER_hh_fec_in!Q10=0,0,11630*1000*SER_hh_fec_in!Q10/SER_hh_num_in!Q10)</f>
        <v>101799.3610507946</v>
      </c>
      <c r="R10" s="133">
        <f>IF(SER_hh_fec_in!R10=0,0,11630*1000*SER_hh_fec_in!R10/SER_hh_num_in!R10)</f>
        <v>106955.58486416802</v>
      </c>
      <c r="S10" s="133">
        <f>IF(SER_hh_fec_in!S10=0,0,11630*1000*SER_hh_fec_in!S10/SER_hh_num_in!S10)</f>
        <v>98207.911255526124</v>
      </c>
      <c r="T10" s="133">
        <f>IF(SER_hh_fec_in!T10=0,0,11630*1000*SER_hh_fec_in!T10/SER_hh_num_in!T10)</f>
        <v>86048.181735345133</v>
      </c>
      <c r="U10" s="133">
        <f>IF(SER_hh_fec_in!U10=0,0,11630*1000*SER_hh_fec_in!U10/SER_hh_num_in!U10)</f>
        <v>76162.036492346611</v>
      </c>
      <c r="V10" s="133">
        <f>IF(SER_hh_fec_in!V10=0,0,11630*1000*SER_hh_fec_in!V10/SER_hh_num_in!V10)</f>
        <v>73097.205529467858</v>
      </c>
      <c r="W10" s="133">
        <f>IF(SER_hh_fec_in!W10=0,0,11630*1000*SER_hh_fec_in!W10/SER_hh_num_in!W10)</f>
        <v>69309.19316741993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63486.580606228723</v>
      </c>
      <c r="D11" s="133">
        <f>IF(SER_hh_fec_in!D11=0,0,11630*1000*SER_hh_fec_in!D11/SER_hh_num_in!D11)</f>
        <v>105273.93386356051</v>
      </c>
      <c r="E11" s="133">
        <f>IF(SER_hh_fec_in!E11=0,0,11630*1000*SER_hh_fec_in!E11/SER_hh_num_in!E11)</f>
        <v>111215.26534897579</v>
      </c>
      <c r="F11" s="133">
        <f>IF(SER_hh_fec_in!F11=0,0,11630*1000*SER_hh_fec_in!F11/SER_hh_num_in!F11)</f>
        <v>95586.432502921249</v>
      </c>
      <c r="G11" s="133">
        <f>IF(SER_hh_fec_in!G11=0,0,11630*1000*SER_hh_fec_in!G11/SER_hh_num_in!G11)</f>
        <v>106543.69491639489</v>
      </c>
      <c r="H11" s="133">
        <f>IF(SER_hh_fec_in!H11=0,0,11630*1000*SER_hh_fec_in!H11/SER_hh_num_in!H11)</f>
        <v>107646.48536975909</v>
      </c>
      <c r="I11" s="133">
        <f>IF(SER_hh_fec_in!I11=0,0,11630*1000*SER_hh_fec_in!I11/SER_hh_num_in!I11)</f>
        <v>78657.242295556498</v>
      </c>
      <c r="J11" s="133">
        <f>IF(SER_hh_fec_in!J11=0,0,11630*1000*SER_hh_fec_in!J11/SER_hh_num_in!J11)</f>
        <v>108779.28466790311</v>
      </c>
      <c r="K11" s="133">
        <f>IF(SER_hh_fec_in!K11=0,0,11630*1000*SER_hh_fec_in!K11/SER_hh_num_in!K11)</f>
        <v>110731.42113730477</v>
      </c>
      <c r="L11" s="133">
        <f>IF(SER_hh_fec_in!L11=0,0,11630*1000*SER_hh_fec_in!L11/SER_hh_num_in!L11)</f>
        <v>97533.612857713335</v>
      </c>
      <c r="M11" s="133">
        <f>IF(SER_hh_fec_in!M11=0,0,11630*1000*SER_hh_fec_in!M11/SER_hh_num_in!M11)</f>
        <v>71900.526148503981</v>
      </c>
      <c r="N11" s="133">
        <f>IF(SER_hh_fec_in!N11=0,0,11630*1000*SER_hh_fec_in!N11/SER_hh_num_in!N11)</f>
        <v>81132.799794551305</v>
      </c>
      <c r="O11" s="133">
        <f>IF(SER_hh_fec_in!O11=0,0,11630*1000*SER_hh_fec_in!O11/SER_hh_num_in!O11)</f>
        <v>85372.99762265422</v>
      </c>
      <c r="P11" s="133">
        <f>IF(SER_hh_fec_in!P11=0,0,11630*1000*SER_hh_fec_in!P11/SER_hh_num_in!P11)</f>
        <v>77979.695735824454</v>
      </c>
      <c r="Q11" s="133">
        <f>IF(SER_hh_fec_in!Q11=0,0,11630*1000*SER_hh_fec_in!Q11/SER_hh_num_in!Q11)</f>
        <v>69744.507761750428</v>
      </c>
      <c r="R11" s="133">
        <f>IF(SER_hh_fec_in!R11=0,0,11630*1000*SER_hh_fec_in!R11/SER_hh_num_in!R11)</f>
        <v>64242.565797277246</v>
      </c>
      <c r="S11" s="133">
        <f>IF(SER_hh_fec_in!S11=0,0,11630*1000*SER_hh_fec_in!S11/SER_hh_num_in!S11)</f>
        <v>60460.619979479823</v>
      </c>
      <c r="T11" s="133">
        <f>IF(SER_hh_fec_in!T11=0,0,11630*1000*SER_hh_fec_in!T11/SER_hh_num_in!T11)</f>
        <v>56598.918754573606</v>
      </c>
      <c r="U11" s="133">
        <f>IF(SER_hh_fec_in!U11=0,0,11630*1000*SER_hh_fec_in!U11/SER_hh_num_in!U11)</f>
        <v>52573.340592053799</v>
      </c>
      <c r="V11" s="133">
        <f>IF(SER_hh_fec_in!V11=0,0,11630*1000*SER_hh_fec_in!V11/SER_hh_num_in!V11)</f>
        <v>47441.016429482916</v>
      </c>
      <c r="W11" s="133">
        <f>IF(SER_hh_fec_in!W11=0,0,11630*1000*SER_hh_fec_in!W11/SER_hh_num_in!W11)</f>
        <v>43777.46918153594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87267.827627617633</v>
      </c>
      <c r="D12" s="133">
        <f>IF(SER_hh_fec_in!D12=0,0,11630*1000*SER_hh_fec_in!D12/SER_hh_num_in!D12)</f>
        <v>102349.67650381351</v>
      </c>
      <c r="E12" s="133">
        <f>IF(SER_hh_fec_in!E12=0,0,11630*1000*SER_hh_fec_in!E12/SER_hh_num_in!E12)</f>
        <v>86900.314080820244</v>
      </c>
      <c r="F12" s="133">
        <f>IF(SER_hh_fec_in!F12=0,0,11630*1000*SER_hh_fec_in!F12/SER_hh_num_in!F12)</f>
        <v>114520.55682628108</v>
      </c>
      <c r="G12" s="133">
        <f>IF(SER_hh_fec_in!G12=0,0,11630*1000*SER_hh_fec_in!G12/SER_hh_num_in!G12)</f>
        <v>97429.985929356277</v>
      </c>
      <c r="H12" s="133">
        <f>IF(SER_hh_fec_in!H12=0,0,11630*1000*SER_hh_fec_in!H12/SER_hh_num_in!H12)</f>
        <v>116644.79030995416</v>
      </c>
      <c r="I12" s="133">
        <f>IF(SER_hh_fec_in!I12=0,0,11630*1000*SER_hh_fec_in!I12/SER_hh_num_in!I12)</f>
        <v>77236.589909864371</v>
      </c>
      <c r="J12" s="133">
        <f>IF(SER_hh_fec_in!J12=0,0,11630*1000*SER_hh_fec_in!J12/SER_hh_num_in!J12)</f>
        <v>108428.18469836669</v>
      </c>
      <c r="K12" s="133">
        <f>IF(SER_hh_fec_in!K12=0,0,11630*1000*SER_hh_fec_in!K12/SER_hh_num_in!K12)</f>
        <v>99625.158507904765</v>
      </c>
      <c r="L12" s="133">
        <f>IF(SER_hh_fec_in!L12=0,0,11630*1000*SER_hh_fec_in!L12/SER_hh_num_in!L12)</f>
        <v>108034.89023042622</v>
      </c>
      <c r="M12" s="133">
        <f>IF(SER_hh_fec_in!M12=0,0,11630*1000*SER_hh_fec_in!M12/SER_hh_num_in!M12)</f>
        <v>89861.799503362039</v>
      </c>
      <c r="N12" s="133">
        <f>IF(SER_hh_fec_in!N12=0,0,11630*1000*SER_hh_fec_in!N12/SER_hh_num_in!N12)</f>
        <v>86431.972735880656</v>
      </c>
      <c r="O12" s="133">
        <f>IF(SER_hh_fec_in!O12=0,0,11630*1000*SER_hh_fec_in!O12/SER_hh_num_in!O12)</f>
        <v>85495.484464353518</v>
      </c>
      <c r="P12" s="133">
        <f>IF(SER_hh_fec_in!P12=0,0,11630*1000*SER_hh_fec_in!P12/SER_hh_num_in!P12)</f>
        <v>70296.842720302782</v>
      </c>
      <c r="Q12" s="133">
        <f>IF(SER_hh_fec_in!Q12=0,0,11630*1000*SER_hh_fec_in!Q12/SER_hh_num_in!Q12)</f>
        <v>61006.639605741271</v>
      </c>
      <c r="R12" s="133">
        <f>IF(SER_hh_fec_in!R12=0,0,11630*1000*SER_hh_fec_in!R12/SER_hh_num_in!R12)</f>
        <v>68397.804988304561</v>
      </c>
      <c r="S12" s="133">
        <f>IF(SER_hh_fec_in!S12=0,0,11630*1000*SER_hh_fec_in!S12/SER_hh_num_in!S12)</f>
        <v>65521.006768908293</v>
      </c>
      <c r="T12" s="133">
        <f>IF(SER_hh_fec_in!T12=0,0,11630*1000*SER_hh_fec_in!T12/SER_hh_num_in!T12)</f>
        <v>52698.649805240515</v>
      </c>
      <c r="U12" s="133">
        <f>IF(SER_hh_fec_in!U12=0,0,11630*1000*SER_hh_fec_in!U12/SER_hh_num_in!U12)</f>
        <v>51713.850960512718</v>
      </c>
      <c r="V12" s="133">
        <f>IF(SER_hh_fec_in!V12=0,0,11630*1000*SER_hh_fec_in!V12/SER_hh_num_in!V12)</f>
        <v>49114.44878055741</v>
      </c>
      <c r="W12" s="133">
        <f>IF(SER_hh_fec_in!W12=0,0,11630*1000*SER_hh_fec_in!W12/SER_hh_num_in!W12)</f>
        <v>37586.856505167023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55129.596345924692</v>
      </c>
      <c r="D13" s="133">
        <f>IF(SER_hh_fec_in!D13=0,0,11630*1000*SER_hh_fec_in!D13/SER_hh_num_in!D13)</f>
        <v>46801.630207479466</v>
      </c>
      <c r="E13" s="133">
        <f>IF(SER_hh_fec_in!E13=0,0,11630*1000*SER_hh_fec_in!E13/SER_hh_num_in!E13)</f>
        <v>49510.518392653707</v>
      </c>
      <c r="F13" s="133">
        <f>IF(SER_hh_fec_in!F13=0,0,11630*1000*SER_hh_fec_in!F13/SER_hh_num_in!F13)</f>
        <v>42641.522496188933</v>
      </c>
      <c r="G13" s="133">
        <f>IF(SER_hh_fec_in!G13=0,0,11630*1000*SER_hh_fec_in!G13/SER_hh_num_in!G13)</f>
        <v>44584.168264366497</v>
      </c>
      <c r="H13" s="133">
        <f>IF(SER_hh_fec_in!H13=0,0,11630*1000*SER_hh_fec_in!H13/SER_hh_num_in!H13)</f>
        <v>43650.998433083609</v>
      </c>
      <c r="I13" s="133">
        <f>IF(SER_hh_fec_in!I13=0,0,11630*1000*SER_hh_fec_in!I13/SER_hh_num_in!I13)</f>
        <v>40334.955795132722</v>
      </c>
      <c r="J13" s="133">
        <f>IF(SER_hh_fec_in!J13=0,0,11630*1000*SER_hh_fec_in!J13/SER_hh_num_in!J13)</f>
        <v>39379.333997189598</v>
      </c>
      <c r="K13" s="133">
        <f>IF(SER_hh_fec_in!K13=0,0,11630*1000*SER_hh_fec_in!K13/SER_hh_num_in!K13)</f>
        <v>38049.631594707964</v>
      </c>
      <c r="L13" s="133">
        <f>IF(SER_hh_fec_in!L13=0,0,11630*1000*SER_hh_fec_in!L13/SER_hh_num_in!L13)</f>
        <v>34979.794694174307</v>
      </c>
      <c r="M13" s="133">
        <f>IF(SER_hh_fec_in!M13=0,0,11630*1000*SER_hh_fec_in!M13/SER_hh_num_in!M13)</f>
        <v>30657.291027733008</v>
      </c>
      <c r="N13" s="133">
        <f>IF(SER_hh_fec_in!N13=0,0,11630*1000*SER_hh_fec_in!N13/SER_hh_num_in!N13)</f>
        <v>26679.485732092635</v>
      </c>
      <c r="O13" s="133">
        <f>IF(SER_hh_fec_in!O13=0,0,11630*1000*SER_hh_fec_in!O13/SER_hh_num_in!O13)</f>
        <v>20682.686124140579</v>
      </c>
      <c r="P13" s="133">
        <f>IF(SER_hh_fec_in!P13=0,0,11630*1000*SER_hh_fec_in!P13/SER_hh_num_in!P13)</f>
        <v>21737.798982993987</v>
      </c>
      <c r="Q13" s="133">
        <f>IF(SER_hh_fec_in!Q13=0,0,11630*1000*SER_hh_fec_in!Q13/SER_hh_num_in!Q13)</f>
        <v>19414.490880719113</v>
      </c>
      <c r="R13" s="133">
        <f>IF(SER_hh_fec_in!R13=0,0,11630*1000*SER_hh_fec_in!R13/SER_hh_num_in!R13)</f>
        <v>18118.919757756994</v>
      </c>
      <c r="S13" s="133">
        <f>IF(SER_hh_fec_in!S13=0,0,11630*1000*SER_hh_fec_in!S13/SER_hh_num_in!S13)</f>
        <v>16487.859422989284</v>
      </c>
      <c r="T13" s="133">
        <f>IF(SER_hh_fec_in!T13=0,0,11630*1000*SER_hh_fec_in!T13/SER_hh_num_in!T13)</f>
        <v>14819.339647561825</v>
      </c>
      <c r="U13" s="133">
        <f>IF(SER_hh_fec_in!U13=0,0,11630*1000*SER_hh_fec_in!U13/SER_hh_num_in!U13)</f>
        <v>13669.108821527101</v>
      </c>
      <c r="V13" s="133">
        <f>IF(SER_hh_fec_in!V13=0,0,11630*1000*SER_hh_fec_in!V13/SER_hh_num_in!V13)</f>
        <v>12508.784689495864</v>
      </c>
      <c r="W13" s="133">
        <f>IF(SER_hh_fec_in!W13=0,0,11630*1000*SER_hh_fec_in!W13/SER_hh_num_in!W13)</f>
        <v>12131.308878576632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0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0</v>
      </c>
      <c r="F14" s="65">
        <f>IF(SER_hh_fec_in!F14=0,0,11630*1000*SER_hh_fec_in!F14/SER_hh_num_in!F14)</f>
        <v>0</v>
      </c>
      <c r="G14" s="65">
        <f>IF(SER_hh_fec_in!G14=0,0,11630*1000*SER_hh_fec_in!G14/SER_hh_num_in!G14)</f>
        <v>110007.87474676952</v>
      </c>
      <c r="H14" s="65">
        <f>IF(SER_hh_fec_in!H14=0,0,11630*1000*SER_hh_fec_in!H14/SER_hh_num_in!H14)</f>
        <v>123589.42504263732</v>
      </c>
      <c r="I14" s="65">
        <f>IF(SER_hh_fec_in!I14=0,0,11630*1000*SER_hh_fec_in!I14/SER_hh_num_in!I14)</f>
        <v>97598.494756528176</v>
      </c>
      <c r="J14" s="65">
        <f>IF(SER_hh_fec_in!J14=0,0,11630*1000*SER_hh_fec_in!J14/SER_hh_num_in!J14)</f>
        <v>118659.8636623709</v>
      </c>
      <c r="K14" s="65">
        <f>IF(SER_hh_fec_in!K14=0,0,11630*1000*SER_hh_fec_in!K14/SER_hh_num_in!K14)</f>
        <v>97113.940584179232</v>
      </c>
      <c r="L14" s="65">
        <f>IF(SER_hh_fec_in!L14=0,0,11630*1000*SER_hh_fec_in!L14/SER_hh_num_in!L14)</f>
        <v>118182.69366195686</v>
      </c>
      <c r="M14" s="65">
        <f>IF(SER_hh_fec_in!M14=0,0,11630*1000*SER_hh_fec_in!M14/SER_hh_num_in!M14)</f>
        <v>109512.45601641499</v>
      </c>
      <c r="N14" s="65">
        <f>IF(SER_hh_fec_in!N14=0,0,11630*1000*SER_hh_fec_in!N14/SER_hh_num_in!N14)</f>
        <v>100870.69755877697</v>
      </c>
      <c r="O14" s="65">
        <f>IF(SER_hh_fec_in!O14=0,0,11630*1000*SER_hh_fec_in!O14/SER_hh_num_in!O14)</f>
        <v>78847.401831910858</v>
      </c>
      <c r="P14" s="65">
        <f>IF(SER_hh_fec_in!P14=0,0,11630*1000*SER_hh_fec_in!P14/SER_hh_num_in!P14)</f>
        <v>79479.14114459783</v>
      </c>
      <c r="Q14" s="65">
        <f>IF(SER_hh_fec_in!Q14=0,0,11630*1000*SER_hh_fec_in!Q14/SER_hh_num_in!Q14)</f>
        <v>68164.315152629206</v>
      </c>
      <c r="R14" s="65">
        <f>IF(SER_hh_fec_in!R14=0,0,11630*1000*SER_hh_fec_in!R14/SER_hh_num_in!R14)</f>
        <v>72670.097395973979</v>
      </c>
      <c r="S14" s="65">
        <f>IF(SER_hh_fec_in!S14=0,0,11630*1000*SER_hh_fec_in!S14/SER_hh_num_in!S14)</f>
        <v>59346.014635618885</v>
      </c>
      <c r="T14" s="65">
        <f>IF(SER_hh_fec_in!T14=0,0,11630*1000*SER_hh_fec_in!T14/SER_hh_num_in!T14)</f>
        <v>59873.411858631065</v>
      </c>
      <c r="U14" s="65">
        <f>IF(SER_hh_fec_in!U14=0,0,11630*1000*SER_hh_fec_in!U14/SER_hh_num_in!U14)</f>
        <v>52018.214148164334</v>
      </c>
      <c r="V14" s="65">
        <f>IF(SER_hh_fec_in!V14=0,0,11630*1000*SER_hh_fec_in!V14/SER_hh_num_in!V14)</f>
        <v>45822.736836368502</v>
      </c>
      <c r="W14" s="65">
        <f>IF(SER_hh_fec_in!W14=0,0,11630*1000*SER_hh_fec_in!W14/SER_hh_num_in!W14)</f>
        <v>45780.269187007463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952.86954643221804</v>
      </c>
      <c r="D15" s="135">
        <f>IF(SER_hh_fec_in!D15=0,0,11630*1000*SER_hh_fec_in!D15/SER_hh_num_in!D15)</f>
        <v>1091.8623888753398</v>
      </c>
      <c r="E15" s="135">
        <f>IF(SER_hh_fec_in!E15=0,0,11630*1000*SER_hh_fec_in!E15/SER_hh_num_in!E15)</f>
        <v>1034.4010469491284</v>
      </c>
      <c r="F15" s="135">
        <f>IF(SER_hh_fec_in!F15=0,0,11630*1000*SER_hh_fec_in!F15/SER_hh_num_in!F15)</f>
        <v>820.82271935017934</v>
      </c>
      <c r="G15" s="135">
        <f>IF(SER_hh_fec_in!G15=0,0,11630*1000*SER_hh_fec_in!G15/SER_hh_num_in!G15)</f>
        <v>794.67455834530335</v>
      </c>
      <c r="H15" s="135">
        <f>IF(SER_hh_fec_in!H15=0,0,11630*1000*SER_hh_fec_in!H15/SER_hh_num_in!H15)</f>
        <v>965.13511460070094</v>
      </c>
      <c r="I15" s="135">
        <f>IF(SER_hh_fec_in!I15=0,0,11630*1000*SER_hh_fec_in!I15/SER_hh_num_in!I15)</f>
        <v>986.78960727351478</v>
      </c>
      <c r="J15" s="135">
        <f>IF(SER_hh_fec_in!J15=0,0,11630*1000*SER_hh_fec_in!J15/SER_hh_num_in!J15)</f>
        <v>1006.4574395298622</v>
      </c>
      <c r="K15" s="135">
        <f>IF(SER_hh_fec_in!K15=0,0,11630*1000*SER_hh_fec_in!K15/SER_hh_num_in!K15)</f>
        <v>1014.4417326809652</v>
      </c>
      <c r="L15" s="135">
        <f>IF(SER_hh_fec_in!L15=0,0,11630*1000*SER_hh_fec_in!L15/SER_hh_num_in!L15)</f>
        <v>971.00764669690864</v>
      </c>
      <c r="M15" s="135">
        <f>IF(SER_hh_fec_in!M15=0,0,11630*1000*SER_hh_fec_in!M15/SER_hh_num_in!M15)</f>
        <v>968.55142008701819</v>
      </c>
      <c r="N15" s="135">
        <f>IF(SER_hh_fec_in!N15=0,0,11630*1000*SER_hh_fec_in!N15/SER_hh_num_in!N15)</f>
        <v>809.6917421668378</v>
      </c>
      <c r="O15" s="135">
        <f>IF(SER_hh_fec_in!O15=0,0,11630*1000*SER_hh_fec_in!O15/SER_hh_num_in!O15)</f>
        <v>634.62119783106016</v>
      </c>
      <c r="P15" s="135">
        <f>IF(SER_hh_fec_in!P15=0,0,11630*1000*SER_hh_fec_in!P15/SER_hh_num_in!P15)</f>
        <v>640.08246499910661</v>
      </c>
      <c r="Q15" s="135">
        <f>IF(SER_hh_fec_in!Q15=0,0,11630*1000*SER_hh_fec_in!Q15/SER_hh_num_in!Q15)</f>
        <v>593.35200540942037</v>
      </c>
      <c r="R15" s="135">
        <f>IF(SER_hh_fec_in!R15=0,0,11630*1000*SER_hh_fec_in!R15/SER_hh_num_in!R15)</f>
        <v>568.46443238838094</v>
      </c>
      <c r="S15" s="135">
        <f>IF(SER_hh_fec_in!S15=0,0,11630*1000*SER_hh_fec_in!S15/SER_hh_num_in!S15)</f>
        <v>412.52352990748068</v>
      </c>
      <c r="T15" s="135">
        <f>IF(SER_hh_fec_in!T15=0,0,11630*1000*SER_hh_fec_in!T15/SER_hh_num_in!T15)</f>
        <v>420.91439843245115</v>
      </c>
      <c r="U15" s="135">
        <f>IF(SER_hh_fec_in!U15=0,0,11630*1000*SER_hh_fec_in!U15/SER_hh_num_in!U15)</f>
        <v>410.45223871408467</v>
      </c>
      <c r="V15" s="135">
        <f>IF(SER_hh_fec_in!V15=0,0,11630*1000*SER_hh_fec_in!V15/SER_hh_num_in!V15)</f>
        <v>386.29050212068455</v>
      </c>
      <c r="W15" s="135">
        <f>IF(SER_hh_fec_in!W15=0,0,11630*1000*SER_hh_fec_in!W15/SER_hh_num_in!W15)</f>
        <v>438.95116754451072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10929.681862623505</v>
      </c>
      <c r="D16" s="131">
        <f>IF(SER_hh_fec_in!D16=0,0,11630*1000*SER_hh_fec_in!D16/SER_hh_num_in!D16)</f>
        <v>10697.734361016383</v>
      </c>
      <c r="E16" s="131">
        <f>IF(SER_hh_fec_in!E16=0,0,11630*1000*SER_hh_fec_in!E16/SER_hh_num_in!E16)</f>
        <v>10128.616057737416</v>
      </c>
      <c r="F16" s="131">
        <f>IF(SER_hh_fec_in!F16=0,0,11630*1000*SER_hh_fec_in!F16/SER_hh_num_in!F16)</f>
        <v>9766.1488654447967</v>
      </c>
      <c r="G16" s="131">
        <f>IF(SER_hh_fec_in!G16=0,0,11630*1000*SER_hh_fec_in!G16/SER_hh_num_in!G16)</f>
        <v>9523.2128163549369</v>
      </c>
      <c r="H16" s="131">
        <f>IF(SER_hh_fec_in!H16=0,0,11630*1000*SER_hh_fec_in!H16/SER_hh_num_in!H16)</f>
        <v>9740.0667314275379</v>
      </c>
      <c r="I16" s="131">
        <f>IF(SER_hh_fec_in!I16=0,0,11630*1000*SER_hh_fec_in!I16/SER_hh_num_in!I16)</f>
        <v>9092.8668141646776</v>
      </c>
      <c r="J16" s="131">
        <f>IF(SER_hh_fec_in!J16=0,0,11630*1000*SER_hh_fec_in!J16/SER_hh_num_in!J16)</f>
        <v>8650.9718973402905</v>
      </c>
      <c r="K16" s="131">
        <f>IF(SER_hh_fec_in!K16=0,0,11630*1000*SER_hh_fec_in!K16/SER_hh_num_in!K16)</f>
        <v>8360.9300167338351</v>
      </c>
      <c r="L16" s="131">
        <f>IF(SER_hh_fec_in!L16=0,0,11630*1000*SER_hh_fec_in!L16/SER_hh_num_in!L16)</f>
        <v>9102.6631075699734</v>
      </c>
      <c r="M16" s="131">
        <f>IF(SER_hh_fec_in!M16=0,0,11630*1000*SER_hh_fec_in!M16/SER_hh_num_in!M16)</f>
        <v>7766.5075094020058</v>
      </c>
      <c r="N16" s="131">
        <f>IF(SER_hh_fec_in!N16=0,0,11630*1000*SER_hh_fec_in!N16/SER_hh_num_in!N16)</f>
        <v>7784.6158697300707</v>
      </c>
      <c r="O16" s="131">
        <f>IF(SER_hh_fec_in!O16=0,0,11630*1000*SER_hh_fec_in!O16/SER_hh_num_in!O16)</f>
        <v>7396.8628108581888</v>
      </c>
      <c r="P16" s="131">
        <f>IF(SER_hh_fec_in!P16=0,0,11630*1000*SER_hh_fec_in!P16/SER_hh_num_in!P16)</f>
        <v>6934.8579923453744</v>
      </c>
      <c r="Q16" s="131">
        <f>IF(SER_hh_fec_in!Q16=0,0,11630*1000*SER_hh_fec_in!Q16/SER_hh_num_in!Q16)</f>
        <v>7561.9501134446991</v>
      </c>
      <c r="R16" s="131">
        <f>IF(SER_hh_fec_in!R16=0,0,11630*1000*SER_hh_fec_in!R16/SER_hh_num_in!R16)</f>
        <v>6498.403060352387</v>
      </c>
      <c r="S16" s="131">
        <f>IF(SER_hh_fec_in!S16=0,0,11630*1000*SER_hh_fec_in!S16/SER_hh_num_in!S16)</f>
        <v>6273.2857309506708</v>
      </c>
      <c r="T16" s="131">
        <f>IF(SER_hh_fec_in!T16=0,0,11630*1000*SER_hh_fec_in!T16/SER_hh_num_in!T16)</f>
        <v>6245.8238021984898</v>
      </c>
      <c r="U16" s="131">
        <f>IF(SER_hh_fec_in!U16=0,0,11630*1000*SER_hh_fec_in!U16/SER_hh_num_in!U16)</f>
        <v>6559.348658341878</v>
      </c>
      <c r="V16" s="131">
        <f>IF(SER_hh_fec_in!V16=0,0,11630*1000*SER_hh_fec_in!V16/SER_hh_num_in!V16)</f>
        <v>5620.5151738942777</v>
      </c>
      <c r="W16" s="131">
        <f>IF(SER_hh_fec_in!W16=0,0,11630*1000*SER_hh_fec_in!W16/SER_hh_num_in!W16)</f>
        <v>5405.1643923859892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19753.102834425878</v>
      </c>
      <c r="D17" s="133">
        <f>IF(SER_hh_fec_in!D17=0,0,11630*1000*SER_hh_fec_in!D17/SER_hh_num_in!D17)</f>
        <v>19906.665357093538</v>
      </c>
      <c r="E17" s="133">
        <f>IF(SER_hh_fec_in!E17=0,0,11630*1000*SER_hh_fec_in!E17/SER_hh_num_in!E17)</f>
        <v>19412.468409589863</v>
      </c>
      <c r="F17" s="133">
        <f>IF(SER_hh_fec_in!F17=0,0,11630*1000*SER_hh_fec_in!F17/SER_hh_num_in!F17)</f>
        <v>19277.796063016416</v>
      </c>
      <c r="G17" s="133">
        <f>IF(SER_hh_fec_in!G17=0,0,11630*1000*SER_hh_fec_in!G17/SER_hh_num_in!G17)</f>
        <v>19346.689053423699</v>
      </c>
      <c r="H17" s="133">
        <f>IF(SER_hh_fec_in!H17=0,0,11630*1000*SER_hh_fec_in!H17/SER_hh_num_in!H17)</f>
        <v>20324.096993813142</v>
      </c>
      <c r="I17" s="133">
        <f>IF(SER_hh_fec_in!I17=0,0,11630*1000*SER_hh_fec_in!I17/SER_hh_num_in!I17)</f>
        <v>19492.756621713495</v>
      </c>
      <c r="J17" s="133">
        <f>IF(SER_hh_fec_in!J17=0,0,11630*1000*SER_hh_fec_in!J17/SER_hh_num_in!J17)</f>
        <v>19028.250796727269</v>
      </c>
      <c r="K17" s="133">
        <f>IF(SER_hh_fec_in!K17=0,0,11630*1000*SER_hh_fec_in!K17/SER_hh_num_in!K17)</f>
        <v>18891.829204122041</v>
      </c>
      <c r="L17" s="133">
        <f>IF(SER_hh_fec_in!L17=0,0,11630*1000*SER_hh_fec_in!L17/SER_hh_num_in!L17)</f>
        <v>21111.59058680795</v>
      </c>
      <c r="M17" s="133">
        <f>IF(SER_hh_fec_in!M17=0,0,11630*1000*SER_hh_fec_in!M17/SER_hh_num_in!M17)</f>
        <v>18575.439328772802</v>
      </c>
      <c r="N17" s="133">
        <f>IF(SER_hh_fec_in!N17=0,0,11630*1000*SER_hh_fec_in!N17/SER_hh_num_in!N17)</f>
        <v>19210.877722508347</v>
      </c>
      <c r="O17" s="133">
        <f>IF(SER_hh_fec_in!O17=0,0,11630*1000*SER_hh_fec_in!O17/SER_hh_num_in!O17)</f>
        <v>18813.192886724057</v>
      </c>
      <c r="P17" s="133">
        <f>IF(SER_hh_fec_in!P17=0,0,11630*1000*SER_hh_fec_in!P17/SER_hh_num_in!P17)</f>
        <v>18167.530304907446</v>
      </c>
      <c r="Q17" s="133">
        <f>IF(SER_hh_fec_in!Q17=0,0,11630*1000*SER_hh_fec_in!Q17/SER_hh_num_in!Q17)</f>
        <v>20142.816697810977</v>
      </c>
      <c r="R17" s="133">
        <f>IF(SER_hh_fec_in!R17=0,0,11630*1000*SER_hh_fec_in!R17/SER_hh_num_in!R17)</f>
        <v>17211.753820213871</v>
      </c>
      <c r="S17" s="133">
        <f>IF(SER_hh_fec_in!S17=0,0,11630*1000*SER_hh_fec_in!S17/SER_hh_num_in!S17)</f>
        <v>16756.858913797645</v>
      </c>
      <c r="T17" s="133">
        <f>IF(SER_hh_fec_in!T17=0,0,11630*1000*SER_hh_fec_in!T17/SER_hh_num_in!T17)</f>
        <v>16479.446138054955</v>
      </c>
      <c r="U17" s="133">
        <f>IF(SER_hh_fec_in!U17=0,0,11630*1000*SER_hh_fec_in!U17/SER_hh_num_in!U17)</f>
        <v>16967.20449341094</v>
      </c>
      <c r="V17" s="133">
        <f>IF(SER_hh_fec_in!V17=0,0,11630*1000*SER_hh_fec_in!V17/SER_hh_num_in!V17)</f>
        <v>13307.739765238824</v>
      </c>
      <c r="W17" s="133">
        <f>IF(SER_hh_fec_in!W17=0,0,11630*1000*SER_hh_fec_in!W17/SER_hh_num_in!W17)</f>
        <v>12612.172012530778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10911.186661619191</v>
      </c>
      <c r="D18" s="133">
        <f>IF(SER_hh_fec_in!D18=0,0,11630*1000*SER_hh_fec_in!D18/SER_hh_num_in!D18)</f>
        <v>10676.710897009742</v>
      </c>
      <c r="E18" s="133">
        <f>IF(SER_hh_fec_in!E18=0,0,11630*1000*SER_hh_fec_in!E18/SER_hh_num_in!E18)</f>
        <v>10108.232515976919</v>
      </c>
      <c r="F18" s="133">
        <f>IF(SER_hh_fec_in!F18=0,0,11630*1000*SER_hh_fec_in!F18/SER_hh_num_in!F18)</f>
        <v>9739.838924449452</v>
      </c>
      <c r="G18" s="133">
        <f>IF(SER_hh_fec_in!G18=0,0,11630*1000*SER_hh_fec_in!G18/SER_hh_num_in!G18)</f>
        <v>9497.0714219575038</v>
      </c>
      <c r="H18" s="133">
        <f>IF(SER_hh_fec_in!H18=0,0,11630*1000*SER_hh_fec_in!H18/SER_hh_num_in!H18)</f>
        <v>9717.6150393854678</v>
      </c>
      <c r="I18" s="133">
        <f>IF(SER_hh_fec_in!I18=0,0,11630*1000*SER_hh_fec_in!I18/SER_hh_num_in!I18)</f>
        <v>9064.2475999956114</v>
      </c>
      <c r="J18" s="133">
        <f>IF(SER_hh_fec_in!J18=0,0,11630*1000*SER_hh_fec_in!J18/SER_hh_num_in!J18)</f>
        <v>8627.318564920457</v>
      </c>
      <c r="K18" s="133">
        <f>IF(SER_hh_fec_in!K18=0,0,11630*1000*SER_hh_fec_in!K18/SER_hh_num_in!K18)</f>
        <v>8332.1477226246352</v>
      </c>
      <c r="L18" s="133">
        <f>IF(SER_hh_fec_in!L18=0,0,11630*1000*SER_hh_fec_in!L18/SER_hh_num_in!L18)</f>
        <v>9076.3704487041869</v>
      </c>
      <c r="M18" s="133">
        <f>IF(SER_hh_fec_in!M18=0,0,11630*1000*SER_hh_fec_in!M18/SER_hh_num_in!M18)</f>
        <v>7722.6197469594272</v>
      </c>
      <c r="N18" s="133">
        <f>IF(SER_hh_fec_in!N18=0,0,11630*1000*SER_hh_fec_in!N18/SER_hh_num_in!N18)</f>
        <v>7736.0321165404839</v>
      </c>
      <c r="O18" s="133">
        <f>IF(SER_hh_fec_in!O18=0,0,11630*1000*SER_hh_fec_in!O18/SER_hh_num_in!O18)</f>
        <v>7308.8312083612191</v>
      </c>
      <c r="P18" s="133">
        <f>IF(SER_hh_fec_in!P18=0,0,11630*1000*SER_hh_fec_in!P18/SER_hh_num_in!P18)</f>
        <v>6814.1200139941775</v>
      </c>
      <c r="Q18" s="133">
        <f>IF(SER_hh_fec_in!Q18=0,0,11630*1000*SER_hh_fec_in!Q18/SER_hh_num_in!Q18)</f>
        <v>7452.1627639907274</v>
      </c>
      <c r="R18" s="133">
        <f>IF(SER_hh_fec_in!R18=0,0,11630*1000*SER_hh_fec_in!R18/SER_hh_num_in!R18)</f>
        <v>6244.8388892748653</v>
      </c>
      <c r="S18" s="133">
        <f>IF(SER_hh_fec_in!S18=0,0,11630*1000*SER_hh_fec_in!S18/SER_hh_num_in!S18)</f>
        <v>6116.7146171958957</v>
      </c>
      <c r="T18" s="133">
        <f>IF(SER_hh_fec_in!T18=0,0,11630*1000*SER_hh_fec_in!T18/SER_hh_num_in!T18)</f>
        <v>6128.8702874351366</v>
      </c>
      <c r="U18" s="133">
        <f>IF(SER_hh_fec_in!U18=0,0,11630*1000*SER_hh_fec_in!U18/SER_hh_num_in!U18)</f>
        <v>6452.4477998326347</v>
      </c>
      <c r="V18" s="133">
        <f>IF(SER_hh_fec_in!V18=0,0,11630*1000*SER_hh_fec_in!V18/SER_hh_num_in!V18)</f>
        <v>5514.8292995206002</v>
      </c>
      <c r="W18" s="133">
        <f>IF(SER_hh_fec_in!W18=0,0,11630*1000*SER_hh_fec_in!W18/SER_hh_num_in!W18)</f>
        <v>5347.407798786975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14042.565225943745</v>
      </c>
      <c r="D19" s="131">
        <f>IF(SER_hh_fec_in!D19=0,0,11630*1000*SER_hh_fec_in!D19/SER_hh_num_in!D19)</f>
        <v>15805.524798717868</v>
      </c>
      <c r="E19" s="131">
        <f>IF(SER_hh_fec_in!E19=0,0,11630*1000*SER_hh_fec_in!E19/SER_hh_num_in!E19)</f>
        <v>17765.737825775064</v>
      </c>
      <c r="F19" s="131">
        <f>IF(SER_hh_fec_in!F19=0,0,11630*1000*SER_hh_fec_in!F19/SER_hh_num_in!F19)</f>
        <v>17722.85951535495</v>
      </c>
      <c r="G19" s="131">
        <f>IF(SER_hh_fec_in!G19=0,0,11630*1000*SER_hh_fec_in!G19/SER_hh_num_in!G19)</f>
        <v>17818.407036742923</v>
      </c>
      <c r="H19" s="131">
        <f>IF(SER_hh_fec_in!H19=0,0,11630*1000*SER_hh_fec_in!H19/SER_hh_num_in!H19)</f>
        <v>18605.815336460288</v>
      </c>
      <c r="I19" s="131">
        <f>IF(SER_hh_fec_in!I19=0,0,11630*1000*SER_hh_fec_in!I19/SER_hh_num_in!I19)</f>
        <v>19977.626870978755</v>
      </c>
      <c r="J19" s="131">
        <f>IF(SER_hh_fec_in!J19=0,0,11630*1000*SER_hh_fec_in!J19/SER_hh_num_in!J19)</f>
        <v>20181.088272237201</v>
      </c>
      <c r="K19" s="131">
        <f>IF(SER_hh_fec_in!K19=0,0,11630*1000*SER_hh_fec_in!K19/SER_hh_num_in!K19)</f>
        <v>20222.662025960646</v>
      </c>
      <c r="L19" s="131">
        <f>IF(SER_hh_fec_in!L19=0,0,11630*1000*SER_hh_fec_in!L19/SER_hh_num_in!L19)</f>
        <v>20007.444059716698</v>
      </c>
      <c r="M19" s="131">
        <f>IF(SER_hh_fec_in!M19=0,0,11630*1000*SER_hh_fec_in!M19/SER_hh_num_in!M19)</f>
        <v>19960.548479863028</v>
      </c>
      <c r="N19" s="131">
        <f>IF(SER_hh_fec_in!N19=0,0,11630*1000*SER_hh_fec_in!N19/SER_hh_num_in!N19)</f>
        <v>19906.966834558654</v>
      </c>
      <c r="O19" s="131">
        <f>IF(SER_hh_fec_in!O19=0,0,11630*1000*SER_hh_fec_in!O19/SER_hh_num_in!O19)</f>
        <v>19504.768760414761</v>
      </c>
      <c r="P19" s="131">
        <f>IF(SER_hh_fec_in!P19=0,0,11630*1000*SER_hh_fec_in!P19/SER_hh_num_in!P19)</f>
        <v>18779.549083995982</v>
      </c>
      <c r="Q19" s="131">
        <f>IF(SER_hh_fec_in!Q19=0,0,11630*1000*SER_hh_fec_in!Q19/SER_hh_num_in!Q19)</f>
        <v>18064.180467014259</v>
      </c>
      <c r="R19" s="131">
        <f>IF(SER_hh_fec_in!R19=0,0,11630*1000*SER_hh_fec_in!R19/SER_hh_num_in!R19)</f>
        <v>17973.57497674683</v>
      </c>
      <c r="S19" s="131">
        <f>IF(SER_hh_fec_in!S19=0,0,11630*1000*SER_hh_fec_in!S19/SER_hh_num_in!S19)</f>
        <v>17342.469615990991</v>
      </c>
      <c r="T19" s="131">
        <f>IF(SER_hh_fec_in!T19=0,0,11630*1000*SER_hh_fec_in!T19/SER_hh_num_in!T19)</f>
        <v>16481.119692889577</v>
      </c>
      <c r="U19" s="131">
        <f>IF(SER_hh_fec_in!U19=0,0,11630*1000*SER_hh_fec_in!U19/SER_hh_num_in!U19)</f>
        <v>16297.579693426946</v>
      </c>
      <c r="V19" s="131">
        <f>IF(SER_hh_fec_in!V19=0,0,11630*1000*SER_hh_fec_in!V19/SER_hh_num_in!V19)</f>
        <v>14690.56884696415</v>
      </c>
      <c r="W19" s="131">
        <f>IF(SER_hh_fec_in!W19=0,0,11630*1000*SER_hh_fec_in!W19/SER_hh_num_in!W19)</f>
        <v>15628.15882530761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15074.790666198136</v>
      </c>
      <c r="D20" s="133">
        <f>IF(SER_hh_fec_in!D20=0,0,11630*1000*SER_hh_fec_in!D20/SER_hh_num_in!D20)</f>
        <v>17955.12590345179</v>
      </c>
      <c r="E20" s="133">
        <f>IF(SER_hh_fec_in!E20=0,0,11630*1000*SER_hh_fec_in!E20/SER_hh_num_in!E20)</f>
        <v>17863.855625465188</v>
      </c>
      <c r="F20" s="133">
        <f>IF(SER_hh_fec_in!F20=0,0,11630*1000*SER_hh_fec_in!F20/SER_hh_num_in!F20)</f>
        <v>18600.610061731666</v>
      </c>
      <c r="G20" s="133">
        <f>IF(SER_hh_fec_in!G20=0,0,11630*1000*SER_hh_fec_in!G20/SER_hh_num_in!G20)</f>
        <v>18719.721048699939</v>
      </c>
      <c r="H20" s="133">
        <f>IF(SER_hh_fec_in!H20=0,0,11630*1000*SER_hh_fec_in!H20/SER_hh_num_in!H20)</f>
        <v>17236.496301257605</v>
      </c>
      <c r="I20" s="133">
        <f>IF(SER_hh_fec_in!I20=0,0,11630*1000*SER_hh_fec_in!I20/SER_hh_num_in!I20)</f>
        <v>20457.713740019717</v>
      </c>
      <c r="J20" s="133">
        <f>IF(SER_hh_fec_in!J20=0,0,11630*1000*SER_hh_fec_in!J20/SER_hh_num_in!J20)</f>
        <v>20363.075501596355</v>
      </c>
      <c r="K20" s="133">
        <f>IF(SER_hh_fec_in!K20=0,0,11630*1000*SER_hh_fec_in!K20/SER_hh_num_in!K20)</f>
        <v>20103.506478651416</v>
      </c>
      <c r="L20" s="133">
        <f>IF(SER_hh_fec_in!L20=0,0,11630*1000*SER_hh_fec_in!L20/SER_hh_num_in!L20)</f>
        <v>20551.002310680131</v>
      </c>
      <c r="M20" s="133">
        <f>IF(SER_hh_fec_in!M20=0,0,11630*1000*SER_hh_fec_in!M20/SER_hh_num_in!M20)</f>
        <v>20167.108590856347</v>
      </c>
      <c r="N20" s="133">
        <f>IF(SER_hh_fec_in!N20=0,0,11630*1000*SER_hh_fec_in!N20/SER_hh_num_in!N20)</f>
        <v>20124.601136191603</v>
      </c>
      <c r="O20" s="133">
        <f>IF(SER_hh_fec_in!O20=0,0,11630*1000*SER_hh_fec_in!O20/SER_hh_num_in!O20)</f>
        <v>20382.112450233137</v>
      </c>
      <c r="P20" s="133">
        <f>IF(SER_hh_fec_in!P20=0,0,11630*1000*SER_hh_fec_in!P20/SER_hh_num_in!P20)</f>
        <v>20061.130633847599</v>
      </c>
      <c r="Q20" s="133">
        <f>IF(SER_hh_fec_in!Q20=0,0,11630*1000*SER_hh_fec_in!Q20/SER_hh_num_in!Q20)</f>
        <v>19973.963160837284</v>
      </c>
      <c r="R20" s="133">
        <f>IF(SER_hh_fec_in!R20=0,0,11630*1000*SER_hh_fec_in!R20/SER_hh_num_in!R20)</f>
        <v>22328.425891180621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13900.170312876406</v>
      </c>
      <c r="V20" s="133">
        <f>IF(SER_hh_fec_in!V20=0,0,11630*1000*SER_hh_fec_in!V20/SER_hh_num_in!V20)</f>
        <v>16118.976600113718</v>
      </c>
      <c r="W20" s="133">
        <f>IF(SER_hh_fec_in!W20=0,0,11630*1000*SER_hh_fec_in!W20/SER_hh_num_in!W20)</f>
        <v>21759.706904819155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16804.690656202205</v>
      </c>
      <c r="D21" s="133">
        <f>IF(SER_hh_fec_in!D21=0,0,11630*1000*SER_hh_fec_in!D21/SER_hh_num_in!D21)</f>
        <v>16085.600445464439</v>
      </c>
      <c r="E21" s="133">
        <f>IF(SER_hh_fec_in!E21=0,0,11630*1000*SER_hh_fec_in!E21/SER_hh_num_in!E21)</f>
        <v>24324.694271991932</v>
      </c>
      <c r="F21" s="133">
        <f>IF(SER_hh_fec_in!F21=0,0,11630*1000*SER_hh_fec_in!F21/SER_hh_num_in!F21)</f>
        <v>21285.384375190482</v>
      </c>
      <c r="G21" s="133">
        <f>IF(SER_hh_fec_in!G21=0,0,11630*1000*SER_hh_fec_in!G21/SER_hh_num_in!G21)</f>
        <v>18596.564550414259</v>
      </c>
      <c r="H21" s="133">
        <f>IF(SER_hh_fec_in!H21=0,0,11630*1000*SER_hh_fec_in!H21/SER_hh_num_in!H21)</f>
        <v>23197.141105878516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21667.43662127975</v>
      </c>
      <c r="K21" s="133">
        <f>IF(SER_hh_fec_in!K21=0,0,11630*1000*SER_hh_fec_in!K21/SER_hh_num_in!K21)</f>
        <v>22689.580929917156</v>
      </c>
      <c r="L21" s="133">
        <f>IF(SER_hh_fec_in!L21=0,0,11630*1000*SER_hh_fec_in!L21/SER_hh_num_in!L21)</f>
        <v>22163.302956646934</v>
      </c>
      <c r="M21" s="133">
        <f>IF(SER_hh_fec_in!M21=0,0,11630*1000*SER_hh_fec_in!M21/SER_hh_num_in!M21)</f>
        <v>22007.945360514375</v>
      </c>
      <c r="N21" s="133">
        <f>IF(SER_hh_fec_in!N21=0,0,11630*1000*SER_hh_fec_in!N21/SER_hh_num_in!N21)</f>
        <v>28184.598256313653</v>
      </c>
      <c r="O21" s="133">
        <f>IF(SER_hh_fec_in!O21=0,0,11630*1000*SER_hh_fec_in!O21/SER_hh_num_in!O21)</f>
        <v>18476.576783631808</v>
      </c>
      <c r="P21" s="133">
        <f>IF(SER_hh_fec_in!P21=0,0,11630*1000*SER_hh_fec_in!P21/SER_hh_num_in!P21)</f>
        <v>20744.437380683172</v>
      </c>
      <c r="Q21" s="133">
        <f>IF(SER_hh_fec_in!Q21=0,0,11630*1000*SER_hh_fec_in!Q21/SER_hh_num_in!Q21)</f>
        <v>19086.480809384251</v>
      </c>
      <c r="R21" s="133">
        <f>IF(SER_hh_fec_in!R21=0,0,11630*1000*SER_hh_fec_in!R21/SER_hh_num_in!R21)</f>
        <v>19434.455121275838</v>
      </c>
      <c r="S21" s="133">
        <f>IF(SER_hh_fec_in!S21=0,0,11630*1000*SER_hh_fec_in!S21/SER_hh_num_in!S21)</f>
        <v>19012.777231850396</v>
      </c>
      <c r="T21" s="133">
        <f>IF(SER_hh_fec_in!T21=0,0,11630*1000*SER_hh_fec_in!T21/SER_hh_num_in!T21)</f>
        <v>17331.155050284626</v>
      </c>
      <c r="U21" s="133">
        <f>IF(SER_hh_fec_in!U21=0,0,11630*1000*SER_hh_fec_in!U21/SER_hh_num_in!U21)</f>
        <v>19498.483546659791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16177.391494269779</v>
      </c>
      <c r="D22" s="133">
        <f>IF(SER_hh_fec_in!D22=0,0,11630*1000*SER_hh_fec_in!D22/SER_hh_num_in!D22)</f>
        <v>19614.293247365909</v>
      </c>
      <c r="E22" s="133">
        <f>IF(SER_hh_fec_in!E22=0,0,11630*1000*SER_hh_fec_in!E22/SER_hh_num_in!E22)</f>
        <v>21151.556211069885</v>
      </c>
      <c r="F22" s="133">
        <f>IF(SER_hh_fec_in!F22=0,0,11630*1000*SER_hh_fec_in!F22/SER_hh_num_in!F22)</f>
        <v>22443.277985264867</v>
      </c>
      <c r="G22" s="133">
        <f>IF(SER_hh_fec_in!G22=0,0,11630*1000*SER_hh_fec_in!G22/SER_hh_num_in!G22)</f>
        <v>21934.311145341122</v>
      </c>
      <c r="H22" s="133">
        <f>IF(SER_hh_fec_in!H22=0,0,11630*1000*SER_hh_fec_in!H22/SER_hh_num_in!H22)</f>
        <v>23395.903886499917</v>
      </c>
      <c r="I22" s="133">
        <f>IF(SER_hh_fec_in!I22=0,0,11630*1000*SER_hh_fec_in!I22/SER_hh_num_in!I22)</f>
        <v>24880.961906544188</v>
      </c>
      <c r="J22" s="133">
        <f>IF(SER_hh_fec_in!J22=0,0,11630*1000*SER_hh_fec_in!J22/SER_hh_num_in!J22)</f>
        <v>25271.892195767836</v>
      </c>
      <c r="K22" s="133">
        <f>IF(SER_hh_fec_in!K22=0,0,11630*1000*SER_hh_fec_in!K22/SER_hh_num_in!K22)</f>
        <v>24900.112474411872</v>
      </c>
      <c r="L22" s="133">
        <f>IF(SER_hh_fec_in!L22=0,0,11630*1000*SER_hh_fec_in!L22/SER_hh_num_in!L22)</f>
        <v>24959.235156749317</v>
      </c>
      <c r="M22" s="133">
        <f>IF(SER_hh_fec_in!M22=0,0,11630*1000*SER_hh_fec_in!M22/SER_hh_num_in!M22)</f>
        <v>24498.180259466419</v>
      </c>
      <c r="N22" s="133">
        <f>IF(SER_hh_fec_in!N22=0,0,11630*1000*SER_hh_fec_in!N22/SER_hh_num_in!N22)</f>
        <v>23635.641541650213</v>
      </c>
      <c r="O22" s="133">
        <f>IF(SER_hh_fec_in!O22=0,0,11630*1000*SER_hh_fec_in!O22/SER_hh_num_in!O22)</f>
        <v>22998.066939783632</v>
      </c>
      <c r="P22" s="133">
        <f>IF(SER_hh_fec_in!P22=0,0,11630*1000*SER_hh_fec_in!P22/SER_hh_num_in!P22)</f>
        <v>21344.48618109609</v>
      </c>
      <c r="Q22" s="133">
        <f>IF(SER_hh_fec_in!Q22=0,0,11630*1000*SER_hh_fec_in!Q22/SER_hh_num_in!Q22)</f>
        <v>20470.008379298084</v>
      </c>
      <c r="R22" s="133">
        <f>IF(SER_hh_fec_in!R22=0,0,11630*1000*SER_hh_fec_in!R22/SER_hh_num_in!R22)</f>
        <v>19627.420088324485</v>
      </c>
      <c r="S22" s="133">
        <f>IF(SER_hh_fec_in!S22=0,0,11630*1000*SER_hh_fec_in!S22/SER_hh_num_in!S22)</f>
        <v>20037.857231672024</v>
      </c>
      <c r="T22" s="133">
        <f>IF(SER_hh_fec_in!T22=0,0,11630*1000*SER_hh_fec_in!T22/SER_hh_num_in!T22)</f>
        <v>18708.413904676534</v>
      </c>
      <c r="U22" s="133">
        <f>IF(SER_hh_fec_in!U22=0,0,11630*1000*SER_hh_fec_in!U22/SER_hh_num_in!U22)</f>
        <v>15845.163658200216</v>
      </c>
      <c r="V22" s="133">
        <f>IF(SER_hh_fec_in!V22=0,0,11630*1000*SER_hh_fec_in!V22/SER_hh_num_in!V22)</f>
        <v>16013.017599938512</v>
      </c>
      <c r="W22" s="133">
        <f>IF(SER_hh_fec_in!W22=0,0,11630*1000*SER_hh_fec_in!W22/SER_hh_num_in!W22)</f>
        <v>18146.930822460617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15451.066832073746</v>
      </c>
      <c r="D23" s="133">
        <f>IF(SER_hh_fec_in!D23=0,0,11630*1000*SER_hh_fec_in!D23/SER_hh_num_in!D23)</f>
        <v>17128.805802744766</v>
      </c>
      <c r="E23" s="133">
        <f>IF(SER_hh_fec_in!E23=0,0,11630*1000*SER_hh_fec_in!E23/SER_hh_num_in!E23)</f>
        <v>20398.081579147034</v>
      </c>
      <c r="F23" s="133">
        <f>IF(SER_hh_fec_in!F23=0,0,11630*1000*SER_hh_fec_in!F23/SER_hh_num_in!F23)</f>
        <v>20223.729535457322</v>
      </c>
      <c r="G23" s="133">
        <f>IF(SER_hh_fec_in!G23=0,0,11630*1000*SER_hh_fec_in!G23/SER_hh_num_in!G23)</f>
        <v>20461.939182910868</v>
      </c>
      <c r="H23" s="133">
        <f>IF(SER_hh_fec_in!H23=0,0,11630*1000*SER_hh_fec_in!H23/SER_hh_num_in!H23)</f>
        <v>20889.046709572005</v>
      </c>
      <c r="I23" s="133">
        <f>IF(SER_hh_fec_in!I23=0,0,11630*1000*SER_hh_fec_in!I23/SER_hh_num_in!I23)</f>
        <v>21702.129450885703</v>
      </c>
      <c r="J23" s="133">
        <f>IF(SER_hh_fec_in!J23=0,0,11630*1000*SER_hh_fec_in!J23/SER_hh_num_in!J23)</f>
        <v>22293.449947803692</v>
      </c>
      <c r="K23" s="133">
        <f>IF(SER_hh_fec_in!K23=0,0,11630*1000*SER_hh_fec_in!K23/SER_hh_num_in!K23)</f>
        <v>21615.976076506526</v>
      </c>
      <c r="L23" s="133">
        <f>IF(SER_hh_fec_in!L23=0,0,11630*1000*SER_hh_fec_in!L23/SER_hh_num_in!L23)</f>
        <v>21952.241596754029</v>
      </c>
      <c r="M23" s="133">
        <f>IF(SER_hh_fec_in!M23=0,0,11630*1000*SER_hh_fec_in!M23/SER_hh_num_in!M23)</f>
        <v>21716.59906053753</v>
      </c>
      <c r="N23" s="133">
        <f>IF(SER_hh_fec_in!N23=0,0,11630*1000*SER_hh_fec_in!N23/SER_hh_num_in!N23)</f>
        <v>20866.674685735456</v>
      </c>
      <c r="O23" s="133">
        <f>IF(SER_hh_fec_in!O23=0,0,11630*1000*SER_hh_fec_in!O23/SER_hh_num_in!O23)</f>
        <v>20613.510027887827</v>
      </c>
      <c r="P23" s="133">
        <f>IF(SER_hh_fec_in!P23=0,0,11630*1000*SER_hh_fec_in!P23/SER_hh_num_in!P23)</f>
        <v>19884.163403833227</v>
      </c>
      <c r="Q23" s="133">
        <f>IF(SER_hh_fec_in!Q23=0,0,11630*1000*SER_hh_fec_in!Q23/SER_hh_num_in!Q23)</f>
        <v>19579.662048290167</v>
      </c>
      <c r="R23" s="133">
        <f>IF(SER_hh_fec_in!R23=0,0,11630*1000*SER_hh_fec_in!R23/SER_hh_num_in!R23)</f>
        <v>20221.042510897969</v>
      </c>
      <c r="S23" s="133">
        <f>IF(SER_hh_fec_in!S23=0,0,11630*1000*SER_hh_fec_in!S23/SER_hh_num_in!S23)</f>
        <v>0</v>
      </c>
      <c r="T23" s="133">
        <f>IF(SER_hh_fec_in!T23=0,0,11630*1000*SER_hh_fec_in!T23/SER_hh_num_in!T23)</f>
        <v>0</v>
      </c>
      <c r="U23" s="133">
        <f>IF(SER_hh_fec_in!U23=0,0,11630*1000*SER_hh_fec_in!U23/SER_hh_num_in!U23)</f>
        <v>16143.04751272161</v>
      </c>
      <c r="V23" s="133">
        <f>IF(SER_hh_fec_in!V23=0,0,11630*1000*SER_hh_fec_in!V23/SER_hh_num_in!V23)</f>
        <v>14292.30721318627</v>
      </c>
      <c r="W23" s="133">
        <f>IF(SER_hh_fec_in!W23=0,0,11630*1000*SER_hh_fec_in!W23/SER_hh_num_in!W23)</f>
        <v>19458.728148773502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14718.916321971559</v>
      </c>
      <c r="D24" s="133">
        <f>IF(SER_hh_fec_in!D24=0,0,11630*1000*SER_hh_fec_in!D24/SER_hh_num_in!D24)</f>
        <v>17948.381195262598</v>
      </c>
      <c r="E24" s="133">
        <f>IF(SER_hh_fec_in!E24=0,0,11630*1000*SER_hh_fec_in!E24/SER_hh_num_in!E24)</f>
        <v>18486.443775506239</v>
      </c>
      <c r="F24" s="133">
        <f>IF(SER_hh_fec_in!F24=0,0,11630*1000*SER_hh_fec_in!F24/SER_hh_num_in!F24)</f>
        <v>18741.567887933837</v>
      </c>
      <c r="G24" s="133">
        <f>IF(SER_hh_fec_in!G24=0,0,11630*1000*SER_hh_fec_in!G24/SER_hh_num_in!G24)</f>
        <v>18172.750156968781</v>
      </c>
      <c r="H24" s="133">
        <f>IF(SER_hh_fec_in!H24=0,0,11630*1000*SER_hh_fec_in!H24/SER_hh_num_in!H24)</f>
        <v>19338.328068779785</v>
      </c>
      <c r="I24" s="133">
        <f>IF(SER_hh_fec_in!I24=0,0,11630*1000*SER_hh_fec_in!I24/SER_hh_num_in!I24)</f>
        <v>21232.997372908634</v>
      </c>
      <c r="J24" s="133">
        <f>IF(SER_hh_fec_in!J24=0,0,11630*1000*SER_hh_fec_in!J24/SER_hh_num_in!J24)</f>
        <v>21377.896680486294</v>
      </c>
      <c r="K24" s="133">
        <f>IF(SER_hh_fec_in!K24=0,0,11630*1000*SER_hh_fec_in!K24/SER_hh_num_in!K24)</f>
        <v>20775.707383083787</v>
      </c>
      <c r="L24" s="133">
        <f>IF(SER_hh_fec_in!L24=0,0,11630*1000*SER_hh_fec_in!L24/SER_hh_num_in!L24)</f>
        <v>19752.956816934773</v>
      </c>
      <c r="M24" s="133">
        <f>IF(SER_hh_fec_in!M24=0,0,11630*1000*SER_hh_fec_in!M24/SER_hh_num_in!M24)</f>
        <v>19908.510871357466</v>
      </c>
      <c r="N24" s="133">
        <f>IF(SER_hh_fec_in!N24=0,0,11630*1000*SER_hh_fec_in!N24/SER_hh_num_in!N24)</f>
        <v>19941.931956367505</v>
      </c>
      <c r="O24" s="133">
        <f>IF(SER_hh_fec_in!O24=0,0,11630*1000*SER_hh_fec_in!O24/SER_hh_num_in!O24)</f>
        <v>19881.416753501995</v>
      </c>
      <c r="P24" s="133">
        <f>IF(SER_hh_fec_in!P24=0,0,11630*1000*SER_hh_fec_in!P24/SER_hh_num_in!P24)</f>
        <v>19090.120005360994</v>
      </c>
      <c r="Q24" s="133">
        <f>IF(SER_hh_fec_in!Q24=0,0,11630*1000*SER_hh_fec_in!Q24/SER_hh_num_in!Q24)</f>
        <v>19125.881494349444</v>
      </c>
      <c r="R24" s="133">
        <f>IF(SER_hh_fec_in!R24=0,0,11630*1000*SER_hh_fec_in!R24/SER_hh_num_in!R24)</f>
        <v>20228.394521563045</v>
      </c>
      <c r="S24" s="133">
        <f>IF(SER_hh_fec_in!S24=0,0,11630*1000*SER_hh_fec_in!S24/SER_hh_num_in!S24)</f>
        <v>19844.226856316051</v>
      </c>
      <c r="T24" s="133">
        <f>IF(SER_hh_fec_in!T24=0,0,11630*1000*SER_hh_fec_in!T24/SER_hh_num_in!T24)</f>
        <v>16867.51050802118</v>
      </c>
      <c r="U24" s="133">
        <f>IF(SER_hh_fec_in!U24=0,0,11630*1000*SER_hh_fec_in!U24/SER_hh_num_in!U24)</f>
        <v>15848.514933478438</v>
      </c>
      <c r="V24" s="133">
        <f>IF(SER_hh_fec_in!V24=0,0,11630*1000*SER_hh_fec_in!V24/SER_hh_num_in!V24)</f>
        <v>16416.018051141782</v>
      </c>
      <c r="W24" s="133">
        <f>IF(SER_hh_fec_in!W24=0,0,11630*1000*SER_hh_fec_in!W24/SER_hh_num_in!W24)</f>
        <v>17511.935574513773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10867.143995692637</v>
      </c>
      <c r="D25" s="133">
        <f>IF(SER_hh_fec_in!D25=0,0,11630*1000*SER_hh_fec_in!D25/SER_hh_num_in!D25)</f>
        <v>12638.203023026103</v>
      </c>
      <c r="E25" s="133">
        <f>IF(SER_hh_fec_in!E25=0,0,11630*1000*SER_hh_fec_in!E25/SER_hh_num_in!E25)</f>
        <v>13187.880174780463</v>
      </c>
      <c r="F25" s="133">
        <f>IF(SER_hh_fec_in!F25=0,0,11630*1000*SER_hh_fec_in!F25/SER_hh_num_in!F25)</f>
        <v>15325.928504799022</v>
      </c>
      <c r="G25" s="133">
        <f>IF(SER_hh_fec_in!G25=0,0,11630*1000*SER_hh_fec_in!G25/SER_hh_num_in!G25)</f>
        <v>15289.139297351279</v>
      </c>
      <c r="H25" s="133">
        <f>IF(SER_hh_fec_in!H25=0,0,11630*1000*SER_hh_fec_in!H25/SER_hh_num_in!H25)</f>
        <v>15755.712719948389</v>
      </c>
      <c r="I25" s="133">
        <f>IF(SER_hh_fec_in!I25=0,0,11630*1000*SER_hh_fec_in!I25/SER_hh_num_in!I25)</f>
        <v>16441.266558794436</v>
      </c>
      <c r="J25" s="133">
        <f>IF(SER_hh_fec_in!J25=0,0,11630*1000*SER_hh_fec_in!J25/SER_hh_num_in!J25)</f>
        <v>16836.373416799783</v>
      </c>
      <c r="K25" s="133">
        <f>IF(SER_hh_fec_in!K25=0,0,11630*1000*SER_hh_fec_in!K25/SER_hh_num_in!K25)</f>
        <v>16995.254961056271</v>
      </c>
      <c r="L25" s="133">
        <f>IF(SER_hh_fec_in!L25=0,0,11630*1000*SER_hh_fec_in!L25/SER_hh_num_in!L25)</f>
        <v>16374.30580209212</v>
      </c>
      <c r="M25" s="133">
        <f>IF(SER_hh_fec_in!M25=0,0,11630*1000*SER_hh_fec_in!M25/SER_hh_num_in!M25)</f>
        <v>16664.229077549819</v>
      </c>
      <c r="N25" s="133">
        <f>IF(SER_hh_fec_in!N25=0,0,11630*1000*SER_hh_fec_in!N25/SER_hh_num_in!N25)</f>
        <v>16769.747724346438</v>
      </c>
      <c r="O25" s="133">
        <f>IF(SER_hh_fec_in!O25=0,0,11630*1000*SER_hh_fec_in!O25/SER_hh_num_in!O25)</f>
        <v>17301.199941194871</v>
      </c>
      <c r="P25" s="133">
        <f>IF(SER_hh_fec_in!P25=0,0,11630*1000*SER_hh_fec_in!P25/SER_hh_num_in!P25)</f>
        <v>16676.392670787318</v>
      </c>
      <c r="Q25" s="133">
        <f>IF(SER_hh_fec_in!Q25=0,0,11630*1000*SER_hh_fec_in!Q25/SER_hh_num_in!Q25)</f>
        <v>16124.787813940884</v>
      </c>
      <c r="R25" s="133">
        <f>IF(SER_hh_fec_in!R25=0,0,11630*1000*SER_hh_fec_in!R25/SER_hh_num_in!R25)</f>
        <v>16405.32247340605</v>
      </c>
      <c r="S25" s="133">
        <f>IF(SER_hh_fec_in!S25=0,0,11630*1000*SER_hh_fec_in!S25/SER_hh_num_in!S25)</f>
        <v>18648.00350089862</v>
      </c>
      <c r="T25" s="133">
        <f>IF(SER_hh_fec_in!T25=0,0,11630*1000*SER_hh_fec_in!T25/SER_hh_num_in!T25)</f>
        <v>15271.071644898557</v>
      </c>
      <c r="U25" s="133">
        <f>IF(SER_hh_fec_in!U25=0,0,11630*1000*SER_hh_fec_in!U25/SER_hh_num_in!U25)</f>
        <v>15357.969700601976</v>
      </c>
      <c r="V25" s="133">
        <f>IF(SER_hh_fec_in!V25=0,0,11630*1000*SER_hh_fec_in!V25/SER_hh_num_in!V25)</f>
        <v>15599.372423254705</v>
      </c>
      <c r="W25" s="133">
        <f>IF(SER_hh_fec_in!W25=0,0,11630*1000*SER_hh_fec_in!W25/SER_hh_num_in!W25)</f>
        <v>13101.373025905343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12582.276855810784</v>
      </c>
      <c r="D26" s="65">
        <f>IF(SER_hh_fec_in!D26=0,0,11630*1000*SER_hh_fec_in!D26/SER_hh_num_in!D26)</f>
        <v>14835.897266542301</v>
      </c>
      <c r="E26" s="65">
        <f>IF(SER_hh_fec_in!E26=0,0,11630*1000*SER_hh_fec_in!E26/SER_hh_num_in!E26)</f>
        <v>15345.182714273915</v>
      </c>
      <c r="F26" s="65">
        <f>IF(SER_hh_fec_in!F26=0,0,11630*1000*SER_hh_fec_in!F26/SER_hh_num_in!F26)</f>
        <v>17208.054308249924</v>
      </c>
      <c r="G26" s="65">
        <f>IF(SER_hh_fec_in!G26=0,0,11630*1000*SER_hh_fec_in!G26/SER_hh_num_in!G26)</f>
        <v>17864.675589820359</v>
      </c>
      <c r="H26" s="65">
        <f>IF(SER_hh_fec_in!H26=0,0,11630*1000*SER_hh_fec_in!H26/SER_hh_num_in!H26)</f>
        <v>18499.097598390246</v>
      </c>
      <c r="I26" s="65">
        <f>IF(SER_hh_fec_in!I26=0,0,11630*1000*SER_hh_fec_in!I26/SER_hh_num_in!I26)</f>
        <v>19955.216432083773</v>
      </c>
      <c r="J26" s="65">
        <f>IF(SER_hh_fec_in!J26=0,0,11630*1000*SER_hh_fec_in!J26/SER_hh_num_in!J26)</f>
        <v>18784.021984245879</v>
      </c>
      <c r="K26" s="65">
        <f>IF(SER_hh_fec_in!K26=0,0,11630*1000*SER_hh_fec_in!K26/SER_hh_num_in!K26)</f>
        <v>19033.555458786512</v>
      </c>
      <c r="L26" s="65">
        <f>IF(SER_hh_fec_in!L26=0,0,11630*1000*SER_hh_fec_in!L26/SER_hh_num_in!L26)</f>
        <v>11473.25520700891</v>
      </c>
      <c r="M26" s="65">
        <f>IF(SER_hh_fec_in!M26=0,0,11630*1000*SER_hh_fec_in!M26/SER_hh_num_in!M26)</f>
        <v>18305.510887465909</v>
      </c>
      <c r="N26" s="65">
        <f>IF(SER_hh_fec_in!N26=0,0,11630*1000*SER_hh_fec_in!N26/SER_hh_num_in!N26)</f>
        <v>17544.985730788088</v>
      </c>
      <c r="O26" s="65">
        <f>IF(SER_hh_fec_in!O26=0,0,11630*1000*SER_hh_fec_in!O26/SER_hh_num_in!O26)</f>
        <v>17826.772885776856</v>
      </c>
      <c r="P26" s="65">
        <f>IF(SER_hh_fec_in!P26=0,0,11630*1000*SER_hh_fec_in!P26/SER_hh_num_in!P26)</f>
        <v>17726.434501409753</v>
      </c>
      <c r="Q26" s="65">
        <f>IF(SER_hh_fec_in!Q26=0,0,11630*1000*SER_hh_fec_in!Q26/SER_hh_num_in!Q26)</f>
        <v>15557.057700176376</v>
      </c>
      <c r="R26" s="65">
        <f>IF(SER_hh_fec_in!R26=0,0,11630*1000*SER_hh_fec_in!R26/SER_hh_num_in!R26)</f>
        <v>16876.669544962399</v>
      </c>
      <c r="S26" s="65">
        <f>IF(SER_hh_fec_in!S26=0,0,11630*1000*SER_hh_fec_in!S26/SER_hh_num_in!S26)</f>
        <v>16222.09011052371</v>
      </c>
      <c r="T26" s="65">
        <f>IF(SER_hh_fec_in!T26=0,0,11630*1000*SER_hh_fec_in!T26/SER_hh_num_in!T26)</f>
        <v>14915.382204290805</v>
      </c>
      <c r="U26" s="65">
        <f>IF(SER_hh_fec_in!U26=0,0,11630*1000*SER_hh_fec_in!U26/SER_hh_num_in!U26)</f>
        <v>16391.028390707666</v>
      </c>
      <c r="V26" s="65">
        <f>IF(SER_hh_fec_in!V26=0,0,11630*1000*SER_hh_fec_in!V26/SER_hh_num_in!V26)</f>
        <v>14122.792485039156</v>
      </c>
      <c r="W26" s="65">
        <f>IF(SER_hh_fec_in!W26=0,0,11630*1000*SER_hh_fec_in!W26/SER_hh_num_in!W26)</f>
        <v>15186.793424286998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105.8914298880789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74.526011772421271</v>
      </c>
      <c r="G27" s="146">
        <f>IF(SER_hh_fec_in!G27=0,0,11630*1000*SER_hh_fec_in!G27/SER_hh_num_in!G19)</f>
        <v>59.017100687347636</v>
      </c>
      <c r="H27" s="146">
        <f>IF(SER_hh_fec_in!H27=0,0,11630*1000*SER_hh_fec_in!H27/SER_hh_num_in!H19)</f>
        <v>86.833598484621803</v>
      </c>
      <c r="I27" s="146">
        <f>IF(SER_hh_fec_in!I27=0,0,11630*1000*SER_hh_fec_in!I27/SER_hh_num_in!I19)</f>
        <v>55.543306793036244</v>
      </c>
      <c r="J27" s="146">
        <f>IF(SER_hh_fec_in!J27=0,0,11630*1000*SER_hh_fec_in!J27/SER_hh_num_in!J19)</f>
        <v>668.51233503886056</v>
      </c>
      <c r="K27" s="146">
        <f>IF(SER_hh_fec_in!K27=0,0,11630*1000*SER_hh_fec_in!K27/SER_hh_num_in!K19)</f>
        <v>576.09998613331209</v>
      </c>
      <c r="L27" s="146">
        <f>IF(SER_hh_fec_in!L27=0,0,11630*1000*SER_hh_fec_in!L27/SER_hh_num_in!L19)</f>
        <v>2058.7292441329273</v>
      </c>
      <c r="M27" s="146">
        <f>IF(SER_hh_fec_in!M27=0,0,11630*1000*SER_hh_fec_in!M27/SER_hh_num_in!M19)</f>
        <v>675.91819475672719</v>
      </c>
      <c r="N27" s="146">
        <f>IF(SER_hh_fec_in!N27=0,0,11630*1000*SER_hh_fec_in!N27/SER_hh_num_in!N19)</f>
        <v>648.23265458787205</v>
      </c>
      <c r="O27" s="146">
        <f>IF(SER_hh_fec_in!O27=0,0,11630*1000*SER_hh_fec_in!O27/SER_hh_num_in!O19)</f>
        <v>936.60734059671427</v>
      </c>
      <c r="P27" s="146">
        <f>IF(SER_hh_fec_in!P27=0,0,11630*1000*SER_hh_fec_in!P27/SER_hh_num_in!P19)</f>
        <v>518.20563914294803</v>
      </c>
      <c r="Q27" s="146">
        <f>IF(SER_hh_fec_in!Q27=0,0,11630*1000*SER_hh_fec_in!Q27/SER_hh_num_in!Q19)</f>
        <v>1246.2550539670374</v>
      </c>
      <c r="R27" s="146">
        <f>IF(SER_hh_fec_in!R27=0,0,11630*1000*SER_hh_fec_in!R27/SER_hh_num_in!R19)</f>
        <v>428.59214998489432</v>
      </c>
      <c r="S27" s="146">
        <f>IF(SER_hh_fec_in!S27=0,0,11630*1000*SER_hh_fec_in!S27/SER_hh_num_in!S19)</f>
        <v>193.27369661113838</v>
      </c>
      <c r="T27" s="146">
        <f>IF(SER_hh_fec_in!T27=0,0,11630*1000*SER_hh_fec_in!T27/SER_hh_num_in!T19)</f>
        <v>1259.8302449791388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182.3057852493059</v>
      </c>
      <c r="W27" s="146">
        <f>IF(SER_hh_fec_in!W27=0,0,11630*1000*SER_hh_fec_in!W27/SER_hh_num_in!W19)</f>
        <v>9.1219925872614658E-3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5320.6142181608348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6104.4337770689581</v>
      </c>
      <c r="G28" s="147">
        <f>IF(SER_hh_fec_in!G27=0,0,11630*1000*SER_hh_fec_in!G27/SER_hh_num_in!G27)</f>
        <v>6170.1458213427413</v>
      </c>
      <c r="H28" s="147">
        <f>IF(SER_hh_fec_in!H27=0,0,11630*1000*SER_hh_fec_in!H27/SER_hh_num_in!H27)</f>
        <v>6507.2753829379335</v>
      </c>
      <c r="I28" s="147">
        <f>IF(SER_hh_fec_in!I27=0,0,11630*1000*SER_hh_fec_in!I27/SER_hh_num_in!I27)</f>
        <v>6923.7113397529656</v>
      </c>
      <c r="J28" s="147">
        <f>IF(SER_hh_fec_in!J27=0,0,11630*1000*SER_hh_fec_in!J27/SER_hh_num_in!J27)</f>
        <v>7150.4128828272433</v>
      </c>
      <c r="K28" s="147">
        <f>IF(SER_hh_fec_in!K27=0,0,11630*1000*SER_hh_fec_in!K27/SER_hh_num_in!K27)</f>
        <v>7257.6652193071059</v>
      </c>
      <c r="L28" s="147">
        <f>IF(SER_hh_fec_in!L27=0,0,11630*1000*SER_hh_fec_in!L27/SER_hh_num_in!L27)</f>
        <v>6971.0260462776569</v>
      </c>
      <c r="M28" s="147">
        <f>IF(SER_hh_fec_in!M27=0,0,11630*1000*SER_hh_fec_in!M27/SER_hh_num_in!M27)</f>
        <v>7248.8628993551392</v>
      </c>
      <c r="N28" s="147">
        <f>IF(SER_hh_fec_in!N27=0,0,11630*1000*SER_hh_fec_in!N27/SER_hh_num_in!N27)</f>
        <v>7633.3629214526827</v>
      </c>
      <c r="O28" s="147">
        <f>IF(SER_hh_fec_in!O27=0,0,11630*1000*SER_hh_fec_in!O27/SER_hh_num_in!O27)</f>
        <v>7590.5279007679455</v>
      </c>
      <c r="P28" s="147">
        <f>IF(SER_hh_fec_in!P27=0,0,11630*1000*SER_hh_fec_in!P27/SER_hh_num_in!P27)</f>
        <v>7639.4570276760296</v>
      </c>
      <c r="Q28" s="147">
        <f>IF(SER_hh_fec_in!Q27=0,0,11630*1000*SER_hh_fec_in!Q27/SER_hh_num_in!Q27)</f>
        <v>7632.5322341810979</v>
      </c>
      <c r="R28" s="147">
        <f>IF(SER_hh_fec_in!R27=0,0,11630*1000*SER_hh_fec_in!R27/SER_hh_num_in!R27)</f>
        <v>7800.7853470917507</v>
      </c>
      <c r="S28" s="147">
        <f>IF(SER_hh_fec_in!S27=0,0,11630*1000*SER_hh_fec_in!S27/SER_hh_num_in!S27)</f>
        <v>7965.4275594819846</v>
      </c>
      <c r="T28" s="147">
        <f>IF(SER_hh_fec_in!T27=0,0,11630*1000*SER_hh_fec_in!T27/SER_hh_num_in!T27)</f>
        <v>6571.8336224989107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6675.2659744568155</v>
      </c>
      <c r="W28" s="147">
        <f>IF(SER_hh_fec_in!W27=0,0,11630*1000*SER_hh_fec_in!W27/SER_hh_num_in!W27)</f>
        <v>7407.0222131200499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17826.040077794267</v>
      </c>
      <c r="D29" s="131">
        <f>IF(SER_hh_fec_in!D29=0,0,11630*1000*SER_hh_fec_in!D29/SER_hh_num_in!D29)</f>
        <v>19631.105654228926</v>
      </c>
      <c r="E29" s="131">
        <f>IF(SER_hh_fec_in!E29=0,0,11630*1000*SER_hh_fec_in!E29/SER_hh_num_in!E29)</f>
        <v>22154.892189932485</v>
      </c>
      <c r="F29" s="131">
        <f>IF(SER_hh_fec_in!F29=0,0,11630*1000*SER_hh_fec_in!F29/SER_hh_num_in!F29)</f>
        <v>21745.743053070939</v>
      </c>
      <c r="G29" s="131">
        <f>IF(SER_hh_fec_in!G29=0,0,11630*1000*SER_hh_fec_in!G29/SER_hh_num_in!G29)</f>
        <v>22190.08316879324</v>
      </c>
      <c r="H29" s="131">
        <f>IF(SER_hh_fec_in!H29=0,0,11630*1000*SER_hh_fec_in!H29/SER_hh_num_in!H29)</f>
        <v>22166.654543752644</v>
      </c>
      <c r="I29" s="131">
        <f>IF(SER_hh_fec_in!I29=0,0,11630*1000*SER_hh_fec_in!I29/SER_hh_num_in!I29)</f>
        <v>22625.829361824515</v>
      </c>
      <c r="J29" s="131">
        <f>IF(SER_hh_fec_in!J29=0,0,11630*1000*SER_hh_fec_in!J29/SER_hh_num_in!J29)</f>
        <v>22942.018539228895</v>
      </c>
      <c r="K29" s="131">
        <f>IF(SER_hh_fec_in!K29=0,0,11630*1000*SER_hh_fec_in!K29/SER_hh_num_in!K29)</f>
        <v>22737.021628707262</v>
      </c>
      <c r="L29" s="131">
        <f>IF(SER_hh_fec_in!L29=0,0,11630*1000*SER_hh_fec_in!L29/SER_hh_num_in!L29)</f>
        <v>23535.386186728396</v>
      </c>
      <c r="M29" s="131">
        <f>IF(SER_hh_fec_in!M29=0,0,11630*1000*SER_hh_fec_in!M29/SER_hh_num_in!M29)</f>
        <v>24234.358524047722</v>
      </c>
      <c r="N29" s="131">
        <f>IF(SER_hh_fec_in!N29=0,0,11630*1000*SER_hh_fec_in!N29/SER_hh_num_in!N29)</f>
        <v>23995.357631164068</v>
      </c>
      <c r="O29" s="131">
        <f>IF(SER_hh_fec_in!O29=0,0,11630*1000*SER_hh_fec_in!O29/SER_hh_num_in!O29)</f>
        <v>23619.030495407711</v>
      </c>
      <c r="P29" s="131">
        <f>IF(SER_hh_fec_in!P29=0,0,11630*1000*SER_hh_fec_in!P29/SER_hh_num_in!P29)</f>
        <v>22438.202650047398</v>
      </c>
      <c r="Q29" s="131">
        <f>IF(SER_hh_fec_in!Q29=0,0,11630*1000*SER_hh_fec_in!Q29/SER_hh_num_in!Q29)</f>
        <v>22239.809823160773</v>
      </c>
      <c r="R29" s="131">
        <f>IF(SER_hh_fec_in!R29=0,0,11630*1000*SER_hh_fec_in!R29/SER_hh_num_in!R29)</f>
        <v>21457.416793685599</v>
      </c>
      <c r="S29" s="131">
        <f>IF(SER_hh_fec_in!S29=0,0,11630*1000*SER_hh_fec_in!S29/SER_hh_num_in!S29)</f>
        <v>20569.597051574634</v>
      </c>
      <c r="T29" s="131">
        <f>IF(SER_hh_fec_in!T29=0,0,11630*1000*SER_hh_fec_in!T29/SER_hh_num_in!T29)</f>
        <v>20119.772320485026</v>
      </c>
      <c r="U29" s="131">
        <f>IF(SER_hh_fec_in!U29=0,0,11630*1000*SER_hh_fec_in!U29/SER_hh_num_in!U29)</f>
        <v>20285.021013277921</v>
      </c>
      <c r="V29" s="131">
        <f>IF(SER_hh_fec_in!V29=0,0,11630*1000*SER_hh_fec_in!V29/SER_hh_num_in!V29)</f>
        <v>18768.967468868024</v>
      </c>
      <c r="W29" s="131">
        <f>IF(SER_hh_fec_in!W29=0,0,11630*1000*SER_hh_fec_in!W29/SER_hh_num_in!W29)</f>
        <v>19682.655285666489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25265.21498970078</v>
      </c>
      <c r="D30" s="133">
        <f>IF(SER_hh_fec_in!D30=0,0,11630*1000*SER_hh_fec_in!D30/SER_hh_num_in!D30)</f>
        <v>20652.474730931586</v>
      </c>
      <c r="E30" s="133">
        <f>IF(SER_hh_fec_in!E30=0,0,11630*1000*SER_hh_fec_in!E30/SER_hh_num_in!E30)</f>
        <v>30173.344560630845</v>
      </c>
      <c r="F30" s="133">
        <f>IF(SER_hh_fec_in!F30=0,0,11630*1000*SER_hh_fec_in!F30/SER_hh_num_in!F30)</f>
        <v>27158.957407377966</v>
      </c>
      <c r="G30" s="133">
        <f>IF(SER_hh_fec_in!G30=0,0,11630*1000*SER_hh_fec_in!G30/SER_hh_num_in!G30)</f>
        <v>26168.150480402528</v>
      </c>
      <c r="H30" s="133">
        <f>IF(SER_hh_fec_in!H30=0,0,11630*1000*SER_hh_fec_in!H30/SER_hh_num_in!H30)</f>
        <v>29227.122865260324</v>
      </c>
      <c r="I30" s="133">
        <f>IF(SER_hh_fec_in!I30=0,0,11630*1000*SER_hh_fec_in!I30/SER_hh_num_in!I30)</f>
        <v>31052.475661644887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0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28202.310230604959</v>
      </c>
      <c r="O30" s="133">
        <f>IF(SER_hh_fec_in!O30=0,0,11630*1000*SER_hh_fec_in!O30/SER_hh_num_in!O30)</f>
        <v>28938.427745104556</v>
      </c>
      <c r="P30" s="133">
        <f>IF(SER_hh_fec_in!P30=0,0,11630*1000*SER_hh_fec_in!P30/SER_hh_num_in!P30)</f>
        <v>25027.012378127089</v>
      </c>
      <c r="Q30" s="133">
        <f>IF(SER_hh_fec_in!Q30=0,0,11630*1000*SER_hh_fec_in!Q30/SER_hh_num_in!Q30)</f>
        <v>27700.422004188345</v>
      </c>
      <c r="R30" s="133">
        <f>IF(SER_hh_fec_in!R30=0,0,11630*1000*SER_hh_fec_in!R30/SER_hh_num_in!R30)</f>
        <v>28477.670982844538</v>
      </c>
      <c r="S30" s="133">
        <f>IF(SER_hh_fec_in!S30=0,0,11630*1000*SER_hh_fec_in!S30/SER_hh_num_in!S30)</f>
        <v>27496.546616661795</v>
      </c>
      <c r="T30" s="133">
        <f>IF(SER_hh_fec_in!T30=0,0,11630*1000*SER_hh_fec_in!T30/SER_hh_num_in!T30)</f>
        <v>26063.982242725346</v>
      </c>
      <c r="U30" s="133">
        <f>IF(SER_hh_fec_in!U30=0,0,11630*1000*SER_hh_fec_in!U30/SER_hh_num_in!U30)</f>
        <v>30236.741638793872</v>
      </c>
      <c r="V30" s="133">
        <f>IF(SER_hh_fec_in!V30=0,0,11630*1000*SER_hh_fec_in!V30/SER_hh_num_in!V30)</f>
        <v>20948.613530492872</v>
      </c>
      <c r="W30" s="133">
        <f>IF(SER_hh_fec_in!W30=0,0,11630*1000*SER_hh_fec_in!W30/SER_hh_num_in!W30)</f>
        <v>20372.995397959443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20994.669228810453</v>
      </c>
      <c r="D31" s="133">
        <f>IF(SER_hh_fec_in!D31=0,0,11630*1000*SER_hh_fec_in!D31/SER_hh_num_in!D31)</f>
        <v>23694.732531129073</v>
      </c>
      <c r="E31" s="133">
        <f>IF(SER_hh_fec_in!E31=0,0,11630*1000*SER_hh_fec_in!E31/SER_hh_num_in!E31)</f>
        <v>25948.414239675603</v>
      </c>
      <c r="F31" s="133">
        <f>IF(SER_hh_fec_in!F31=0,0,11630*1000*SER_hh_fec_in!F31/SER_hh_num_in!F31)</f>
        <v>25865.258963157212</v>
      </c>
      <c r="G31" s="133">
        <f>IF(SER_hh_fec_in!G31=0,0,11630*1000*SER_hh_fec_in!G31/SER_hh_num_in!G31)</f>
        <v>27063.609388134275</v>
      </c>
      <c r="H31" s="133">
        <f>IF(SER_hh_fec_in!H31=0,0,11630*1000*SER_hh_fec_in!H31/SER_hh_num_in!H31)</f>
        <v>27812.445640468632</v>
      </c>
      <c r="I31" s="133">
        <f>IF(SER_hh_fec_in!I31=0,0,11630*1000*SER_hh_fec_in!I31/SER_hh_num_in!I31)</f>
        <v>28223.871843513985</v>
      </c>
      <c r="J31" s="133">
        <f>IF(SER_hh_fec_in!J31=0,0,11630*1000*SER_hh_fec_in!J31/SER_hh_num_in!J31)</f>
        <v>28447.737444008111</v>
      </c>
      <c r="K31" s="133">
        <f>IF(SER_hh_fec_in!K31=0,0,11630*1000*SER_hh_fec_in!K31/SER_hh_num_in!K31)</f>
        <v>28230.756911730419</v>
      </c>
      <c r="L31" s="133">
        <f>IF(SER_hh_fec_in!L31=0,0,11630*1000*SER_hh_fec_in!L31/SER_hh_num_in!L31)</f>
        <v>26916.044702199681</v>
      </c>
      <c r="M31" s="133">
        <f>IF(SER_hh_fec_in!M31=0,0,11630*1000*SER_hh_fec_in!M31/SER_hh_num_in!M31)</f>
        <v>28399.440958646996</v>
      </c>
      <c r="N31" s="133">
        <f>IF(SER_hh_fec_in!N31=0,0,11630*1000*SER_hh_fec_in!N31/SER_hh_num_in!N31)</f>
        <v>29041.815989248465</v>
      </c>
      <c r="O31" s="133">
        <f>IF(SER_hh_fec_in!O31=0,0,11630*1000*SER_hh_fec_in!O31/SER_hh_num_in!O31)</f>
        <v>28241.011844957739</v>
      </c>
      <c r="P31" s="133">
        <f>IF(SER_hh_fec_in!P31=0,0,11630*1000*SER_hh_fec_in!P31/SER_hh_num_in!P31)</f>
        <v>27650.414269109333</v>
      </c>
      <c r="Q31" s="133">
        <f>IF(SER_hh_fec_in!Q31=0,0,11630*1000*SER_hh_fec_in!Q31/SER_hh_num_in!Q31)</f>
        <v>28348.365161304133</v>
      </c>
      <c r="R31" s="133">
        <f>IF(SER_hh_fec_in!R31=0,0,11630*1000*SER_hh_fec_in!R31/SER_hh_num_in!R31)</f>
        <v>27463.444463224216</v>
      </c>
      <c r="S31" s="133">
        <f>IF(SER_hh_fec_in!S31=0,0,11630*1000*SER_hh_fec_in!S31/SER_hh_num_in!S31)</f>
        <v>26277.424465822081</v>
      </c>
      <c r="T31" s="133">
        <f>IF(SER_hh_fec_in!T31=0,0,11630*1000*SER_hh_fec_in!T31/SER_hh_num_in!T31)</f>
        <v>25995.011652483849</v>
      </c>
      <c r="U31" s="133">
        <f>IF(SER_hh_fec_in!U31=0,0,11630*1000*SER_hh_fec_in!U31/SER_hh_num_in!U31)</f>
        <v>26135.828649636896</v>
      </c>
      <c r="V31" s="133">
        <f>IF(SER_hh_fec_in!V31=0,0,11630*1000*SER_hh_fec_in!V31/SER_hh_num_in!V31)</f>
        <v>21537.06381842777</v>
      </c>
      <c r="W31" s="133">
        <f>IF(SER_hh_fec_in!W31=0,0,11630*1000*SER_hh_fec_in!W31/SER_hh_num_in!W31)</f>
        <v>29259.52048899349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15781.476164335132</v>
      </c>
      <c r="D33" s="68">
        <f>IF(SER_hh_fec_in!D33=0,0,11630*1000*SER_hh_fec_in!D33/SER_hh_num_in!D33)</f>
        <v>18166.282458612939</v>
      </c>
      <c r="E33" s="68">
        <f>IF(SER_hh_fec_in!E33=0,0,11630*1000*SER_hh_fec_in!E33/SER_hh_num_in!E33)</f>
        <v>19803.073507959049</v>
      </c>
      <c r="F33" s="68">
        <f>IF(SER_hh_fec_in!F33=0,0,11630*1000*SER_hh_fec_in!F33/SER_hh_num_in!F33)</f>
        <v>20192.762836181875</v>
      </c>
      <c r="G33" s="68">
        <f>IF(SER_hh_fec_in!G33=0,0,11630*1000*SER_hh_fec_in!G33/SER_hh_num_in!G33)</f>
        <v>20334.390533470996</v>
      </c>
      <c r="H33" s="68">
        <f>IF(SER_hh_fec_in!H33=0,0,11630*1000*SER_hh_fec_in!H33/SER_hh_num_in!H33)</f>
        <v>20483.650630835276</v>
      </c>
      <c r="I33" s="68">
        <f>IF(SER_hh_fec_in!I33=0,0,11630*1000*SER_hh_fec_in!I33/SER_hh_num_in!I33)</f>
        <v>21427.22423034161</v>
      </c>
      <c r="J33" s="68">
        <f>IF(SER_hh_fec_in!J33=0,0,11630*1000*SER_hh_fec_in!J33/SER_hh_num_in!J33)</f>
        <v>21894.176338598492</v>
      </c>
      <c r="K33" s="68">
        <f>IF(SER_hh_fec_in!K33=0,0,11630*1000*SER_hh_fec_in!K33/SER_hh_num_in!K33)</f>
        <v>21416.253339761683</v>
      </c>
      <c r="L33" s="68">
        <f>IF(SER_hh_fec_in!L33=0,0,11630*1000*SER_hh_fec_in!L33/SER_hh_num_in!L33)</f>
        <v>22090.176738301067</v>
      </c>
      <c r="M33" s="68">
        <f>IF(SER_hh_fec_in!M33=0,0,11630*1000*SER_hh_fec_in!M33/SER_hh_num_in!M33)</f>
        <v>21564.671119911884</v>
      </c>
      <c r="N33" s="68">
        <f>IF(SER_hh_fec_in!N33=0,0,11630*1000*SER_hh_fec_in!N33/SER_hh_num_in!N33)</f>
        <v>20773.089192252821</v>
      </c>
      <c r="O33" s="68">
        <f>IF(SER_hh_fec_in!O33=0,0,11630*1000*SER_hh_fec_in!O33/SER_hh_num_in!O33)</f>
        <v>20804.874145005764</v>
      </c>
      <c r="P33" s="68">
        <f>IF(SER_hh_fec_in!P33=0,0,11630*1000*SER_hh_fec_in!P33/SER_hh_num_in!P33)</f>
        <v>20769.360645684348</v>
      </c>
      <c r="Q33" s="68">
        <f>IF(SER_hh_fec_in!Q33=0,0,11630*1000*SER_hh_fec_in!Q33/SER_hh_num_in!Q33)</f>
        <v>20177.561363388304</v>
      </c>
      <c r="R33" s="68">
        <f>IF(SER_hh_fec_in!R33=0,0,11630*1000*SER_hh_fec_in!R33/SER_hh_num_in!R33)</f>
        <v>19993.594086029112</v>
      </c>
      <c r="S33" s="68">
        <f>IF(SER_hh_fec_in!S33=0,0,11630*1000*SER_hh_fec_in!S33/SER_hh_num_in!S33)</f>
        <v>19306.494425092587</v>
      </c>
      <c r="T33" s="68">
        <f>IF(SER_hh_fec_in!T33=0,0,11630*1000*SER_hh_fec_in!T33/SER_hh_num_in!T33)</f>
        <v>19147.122620849725</v>
      </c>
      <c r="U33" s="68">
        <f>IF(SER_hh_fec_in!U33=0,0,11630*1000*SER_hh_fec_in!U33/SER_hh_num_in!U33)</f>
        <v>18564.173666464099</v>
      </c>
      <c r="V33" s="68">
        <f>IF(SER_hh_fec_in!V33=0,0,11630*1000*SER_hh_fec_in!V33/SER_hh_num_in!V33)</f>
        <v>17967.781254857186</v>
      </c>
      <c r="W33" s="68">
        <f>IF(SER_hh_fec_in!W33=0,0,11630*1000*SER_hh_fec_in!W33/SER_hh_num_in!W33)</f>
        <v>16425.663598917567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117052.62480515882</v>
      </c>
      <c r="D3" s="126">
        <f>IF(SER_hh_tes_in!D3=0,0,11630*1000*SER_hh_tes_in!D3/SER_hh_num_in!D3)</f>
        <v>134277.86737135085</v>
      </c>
      <c r="E3" s="126">
        <f>IF(SER_hh_tes_in!E3=0,0,11630*1000*SER_hh_tes_in!E3/SER_hh_num_in!E3)</f>
        <v>120669.8085199598</v>
      </c>
      <c r="F3" s="126">
        <f>IF(SER_hh_tes_in!F3=0,0,11630*1000*SER_hh_tes_in!F3/SER_hh_num_in!F3)</f>
        <v>128213.1892257188</v>
      </c>
      <c r="G3" s="126">
        <f>IF(SER_hh_tes_in!G3=0,0,11630*1000*SER_hh_tes_in!G3/SER_hh_num_in!G3)</f>
        <v>121879.68893569312</v>
      </c>
      <c r="H3" s="126">
        <f>IF(SER_hh_tes_in!H3=0,0,11630*1000*SER_hh_tes_in!H3/SER_hh_num_in!H3)</f>
        <v>132515.77294936986</v>
      </c>
      <c r="I3" s="126">
        <f>IF(SER_hh_tes_in!I3=0,0,11630*1000*SER_hh_tes_in!I3/SER_hh_num_in!I3)</f>
        <v>117709.80841247513</v>
      </c>
      <c r="J3" s="126">
        <f>IF(SER_hh_tes_in!J3=0,0,11630*1000*SER_hh_tes_in!J3/SER_hh_num_in!J3)</f>
        <v>127034.27981536138</v>
      </c>
      <c r="K3" s="126">
        <f>IF(SER_hh_tes_in!K3=0,0,11630*1000*SER_hh_tes_in!K3/SER_hh_num_in!K3)</f>
        <v>122777.35525798351</v>
      </c>
      <c r="L3" s="126">
        <f>IF(SER_hh_tes_in!L3=0,0,11630*1000*SER_hh_tes_in!L3/SER_hh_num_in!L3)</f>
        <v>149772.09845615059</v>
      </c>
      <c r="M3" s="126">
        <f>IF(SER_hh_tes_in!M3=0,0,11630*1000*SER_hh_tes_in!M3/SER_hh_num_in!M3)</f>
        <v>125738.4371729066</v>
      </c>
      <c r="N3" s="126">
        <f>IF(SER_hh_tes_in!N3=0,0,11630*1000*SER_hh_tes_in!N3/SER_hh_num_in!N3)</f>
        <v>125512.06482736832</v>
      </c>
      <c r="O3" s="126">
        <f>IF(SER_hh_tes_in!O3=0,0,11630*1000*SER_hh_tes_in!O3/SER_hh_num_in!O3)</f>
        <v>125720.81201190288</v>
      </c>
      <c r="P3" s="126">
        <f>IF(SER_hh_tes_in!P3=0,0,11630*1000*SER_hh_tes_in!P3/SER_hh_num_in!P3)</f>
        <v>107804.70661546823</v>
      </c>
      <c r="Q3" s="126">
        <f>IF(SER_hh_tes_in!Q3=0,0,11630*1000*SER_hh_tes_in!Q3/SER_hh_num_in!Q3)</f>
        <v>114394.18810209485</v>
      </c>
      <c r="R3" s="126">
        <f>IF(SER_hh_tes_in!R3=0,0,11630*1000*SER_hh_tes_in!R3/SER_hh_num_in!R3)</f>
        <v>112328.58742954598</v>
      </c>
      <c r="S3" s="126">
        <f>IF(SER_hh_tes_in!S3=0,0,11630*1000*SER_hh_tes_in!S3/SER_hh_num_in!S3)</f>
        <v>102063.32487303532</v>
      </c>
      <c r="T3" s="126">
        <f>IF(SER_hh_tes_in!T3=0,0,11630*1000*SER_hh_tes_in!T3/SER_hh_num_in!T3)</f>
        <v>98421.917804914992</v>
      </c>
      <c r="U3" s="126">
        <f>IF(SER_hh_tes_in!U3=0,0,11630*1000*SER_hh_tes_in!U3/SER_hh_num_in!U3)</f>
        <v>96386.115777726081</v>
      </c>
      <c r="V3" s="126">
        <f>IF(SER_hh_tes_in!V3=0,0,11630*1000*SER_hh_tes_in!V3/SER_hh_num_in!V3)</f>
        <v>84324.361696934691</v>
      </c>
      <c r="W3" s="126">
        <f>IF(SER_hh_tes_in!W3=0,0,11630*1000*SER_hh_tes_in!W3/SER_hh_num_in!W3)</f>
        <v>90775.758670137293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70249.162118750188</v>
      </c>
      <c r="D4" s="131">
        <f>IF(SER_hh_tes_in!D4=0,0,11630*1000*SER_hh_tes_in!D4/SER_hh_num_in!D4)</f>
        <v>84641.135032705715</v>
      </c>
      <c r="E4" s="131">
        <f>IF(SER_hh_tes_in!E4=0,0,11630*1000*SER_hh_tes_in!E4/SER_hh_num_in!E4)</f>
        <v>80557.469310275046</v>
      </c>
      <c r="F4" s="131">
        <f>IF(SER_hh_tes_in!F4=0,0,11630*1000*SER_hh_tes_in!F4/SER_hh_num_in!F4)</f>
        <v>89719.466337426886</v>
      </c>
      <c r="G4" s="131">
        <f>IF(SER_hh_tes_in!G4=0,0,11630*1000*SER_hh_tes_in!G4/SER_hh_num_in!G4)</f>
        <v>79501.22494117498</v>
      </c>
      <c r="H4" s="131">
        <f>IF(SER_hh_tes_in!H4=0,0,11630*1000*SER_hh_tes_in!H4/SER_hh_num_in!H4)</f>
        <v>92357.493422657746</v>
      </c>
      <c r="I4" s="131">
        <f>IF(SER_hh_tes_in!I4=0,0,11630*1000*SER_hh_tes_in!I4/SER_hh_num_in!I4)</f>
        <v>74982.781067628195</v>
      </c>
      <c r="J4" s="131">
        <f>IF(SER_hh_tes_in!J4=0,0,11630*1000*SER_hh_tes_in!J4/SER_hh_num_in!J4)</f>
        <v>83806.473611230191</v>
      </c>
      <c r="K4" s="131">
        <f>IF(SER_hh_tes_in!K4=0,0,11630*1000*SER_hh_tes_in!K4/SER_hh_num_in!K4)</f>
        <v>80255.582365167997</v>
      </c>
      <c r="L4" s="131">
        <f>IF(SER_hh_tes_in!L4=0,0,11630*1000*SER_hh_tes_in!L4/SER_hh_num_in!L4)</f>
        <v>91139.163324711422</v>
      </c>
      <c r="M4" s="131">
        <f>IF(SER_hh_tes_in!M4=0,0,11630*1000*SER_hh_tes_in!M4/SER_hh_num_in!M4)</f>
        <v>79888.270520707374</v>
      </c>
      <c r="N4" s="131">
        <f>IF(SER_hh_tes_in!N4=0,0,11630*1000*SER_hh_tes_in!N4/SER_hh_num_in!N4)</f>
        <v>75822.843743194389</v>
      </c>
      <c r="O4" s="131">
        <f>IF(SER_hh_tes_in!O4=0,0,11630*1000*SER_hh_tes_in!O4/SER_hh_num_in!O4)</f>
        <v>69530.342992234902</v>
      </c>
      <c r="P4" s="131">
        <f>IF(SER_hh_tes_in!P4=0,0,11630*1000*SER_hh_tes_in!P4/SER_hh_num_in!P4)</f>
        <v>59445.628417166125</v>
      </c>
      <c r="Q4" s="131">
        <f>IF(SER_hh_tes_in!Q4=0,0,11630*1000*SER_hh_tes_in!Q4/SER_hh_num_in!Q4)</f>
        <v>55906.65930312928</v>
      </c>
      <c r="R4" s="131">
        <f>IF(SER_hh_tes_in!R4=0,0,11630*1000*SER_hh_tes_in!R4/SER_hh_num_in!R4)</f>
        <v>60754.794649833901</v>
      </c>
      <c r="S4" s="131">
        <f>IF(SER_hh_tes_in!S4=0,0,11630*1000*SER_hh_tes_in!S4/SER_hh_num_in!S4)</f>
        <v>53984.115139538655</v>
      </c>
      <c r="T4" s="131">
        <f>IF(SER_hh_tes_in!T4=0,0,11630*1000*SER_hh_tes_in!T4/SER_hh_num_in!T4)</f>
        <v>49050.131384524786</v>
      </c>
      <c r="U4" s="131">
        <f>IF(SER_hh_tes_in!U4=0,0,11630*1000*SER_hh_tes_in!U4/SER_hh_num_in!U4)</f>
        <v>44841.200743353678</v>
      </c>
      <c r="V4" s="131">
        <f>IF(SER_hh_tes_in!V4=0,0,11630*1000*SER_hh_tes_in!V4/SER_hh_num_in!V4)</f>
        <v>40487.772227896494</v>
      </c>
      <c r="W4" s="131">
        <f>IF(SER_hh_tes_in!W4=0,0,11630*1000*SER_hh_tes_in!W4/SER_hh_num_in!W4)</f>
        <v>40082.323777670579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53204.602208343502</v>
      </c>
      <c r="D5" s="133">
        <f>IF(SER_hh_tes_in!D5=0,0,11630*1000*SER_hh_tes_in!D5/SER_hh_num_in!D5)</f>
        <v>88068.828823373929</v>
      </c>
      <c r="E5" s="133">
        <f>IF(SER_hh_tes_in!E5=0,0,11630*1000*SER_hh_tes_in!E5/SER_hh_num_in!E5)</f>
        <v>85214.869709259467</v>
      </c>
      <c r="F5" s="133">
        <f>IF(SER_hh_tes_in!F5=0,0,11630*1000*SER_hh_tes_in!F5/SER_hh_num_in!F5)</f>
        <v>80154.519919792845</v>
      </c>
      <c r="G5" s="133">
        <f>IF(SER_hh_tes_in!G5=0,0,11630*1000*SER_hh_tes_in!G5/SER_hh_num_in!G5)</f>
        <v>78610.884249045615</v>
      </c>
      <c r="H5" s="133">
        <f>IF(SER_hh_tes_in!H5=0,0,11630*1000*SER_hh_tes_in!H5/SER_hh_num_in!H5)</f>
        <v>89220.27361017045</v>
      </c>
      <c r="I5" s="133">
        <f>IF(SER_hh_tes_in!I5=0,0,11630*1000*SER_hh_tes_in!I5/SER_hh_num_in!I5)</f>
        <v>73517.179060401919</v>
      </c>
      <c r="J5" s="133">
        <f>IF(SER_hh_tes_in!J5=0,0,11630*1000*SER_hh_tes_in!J5/SER_hh_num_in!J5)</f>
        <v>79490.902224342179</v>
      </c>
      <c r="K5" s="133">
        <f>IF(SER_hh_tes_in!K5=0,0,11630*1000*SER_hh_tes_in!K5/SER_hh_num_in!K5)</f>
        <v>82354.468650702518</v>
      </c>
      <c r="L5" s="133">
        <f>IF(SER_hh_tes_in!L5=0,0,11630*1000*SER_hh_tes_in!L5/SER_hh_num_in!L5)</f>
        <v>90738.612828235055</v>
      </c>
      <c r="M5" s="133">
        <f>IF(SER_hh_tes_in!M5=0,0,11630*1000*SER_hh_tes_in!M5/SER_hh_num_in!M5)</f>
        <v>77300.123320783139</v>
      </c>
      <c r="N5" s="133">
        <f>IF(SER_hh_tes_in!N5=0,0,11630*1000*SER_hh_tes_in!N5/SER_hh_num_in!N5)</f>
        <v>76162.356428874089</v>
      </c>
      <c r="O5" s="133">
        <f>IF(SER_hh_tes_in!O5=0,0,11630*1000*SER_hh_tes_in!O5/SER_hh_num_in!O5)</f>
        <v>68726.507792199554</v>
      </c>
      <c r="P5" s="133">
        <f>IF(SER_hh_tes_in!P5=0,0,11630*1000*SER_hh_tes_in!P5/SER_hh_num_in!P5)</f>
        <v>59112.848482807327</v>
      </c>
      <c r="Q5" s="133">
        <f>IF(SER_hh_tes_in!Q5=0,0,11630*1000*SER_hh_tes_in!Q5/SER_hh_num_in!Q5)</f>
        <v>55732.966192298103</v>
      </c>
      <c r="R5" s="133">
        <f>IF(SER_hh_tes_in!R5=0,0,11630*1000*SER_hh_tes_in!R5/SER_hh_num_in!R5)</f>
        <v>57182.111954592881</v>
      </c>
      <c r="S5" s="133">
        <f>IF(SER_hh_tes_in!S5=0,0,11630*1000*SER_hh_tes_in!S5/SER_hh_num_in!S5)</f>
        <v>54866.726074980994</v>
      </c>
      <c r="T5" s="133">
        <f>IF(SER_hh_tes_in!T5=0,0,11630*1000*SER_hh_tes_in!T5/SER_hh_num_in!T5)</f>
        <v>49862.527412275034</v>
      </c>
      <c r="U5" s="133">
        <f>IF(SER_hh_tes_in!U5=0,0,11630*1000*SER_hh_tes_in!U5/SER_hh_num_in!U5)</f>
        <v>39496.072481865507</v>
      </c>
      <c r="V5" s="133">
        <f>IF(SER_hh_tes_in!V5=0,0,11630*1000*SER_hh_tes_in!V5/SER_hh_num_in!V5)</f>
        <v>38585.599038364504</v>
      </c>
      <c r="W5" s="133">
        <f>IF(SER_hh_tes_in!W5=0,0,11630*1000*SER_hh_tes_in!W5/SER_hh_num_in!W5)</f>
        <v>41402.597739336612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76263.88659969432</v>
      </c>
      <c r="D7" s="133">
        <f>IF(SER_hh_tes_in!D7=0,0,11630*1000*SER_hh_tes_in!D7/SER_hh_num_in!D7)</f>
        <v>82221.830487697996</v>
      </c>
      <c r="E7" s="133">
        <f>IF(SER_hh_tes_in!E7=0,0,11630*1000*SER_hh_tes_in!E7/SER_hh_num_in!E7)</f>
        <v>82586.829514948971</v>
      </c>
      <c r="F7" s="133">
        <f>IF(SER_hh_tes_in!F7=0,0,11630*1000*SER_hh_tes_in!F7/SER_hh_num_in!F7)</f>
        <v>76775.682978054159</v>
      </c>
      <c r="G7" s="133">
        <f>IF(SER_hh_tes_in!G7=0,0,11630*1000*SER_hh_tes_in!G7/SER_hh_num_in!G7)</f>
        <v>59874.019536451262</v>
      </c>
      <c r="H7" s="133">
        <f>IF(SER_hh_tes_in!H7=0,0,11630*1000*SER_hh_tes_in!H7/SER_hh_num_in!H7)</f>
        <v>94252.642347545319</v>
      </c>
      <c r="I7" s="133">
        <f>IF(SER_hh_tes_in!I7=0,0,11630*1000*SER_hh_tes_in!I7/SER_hh_num_in!I7)</f>
        <v>82712.819408793759</v>
      </c>
      <c r="J7" s="133">
        <f>IF(SER_hh_tes_in!J7=0,0,11630*1000*SER_hh_tes_in!J7/SER_hh_num_in!J7)</f>
        <v>80165.127704193088</v>
      </c>
      <c r="K7" s="133">
        <f>IF(SER_hh_tes_in!K7=0,0,11630*1000*SER_hh_tes_in!K7/SER_hh_num_in!K7)</f>
        <v>74834.506335393016</v>
      </c>
      <c r="L7" s="133">
        <f>IF(SER_hh_tes_in!L7=0,0,11630*1000*SER_hh_tes_in!L7/SER_hh_num_in!L7)</f>
        <v>93833.890963285332</v>
      </c>
      <c r="M7" s="133">
        <f>IF(SER_hh_tes_in!M7=0,0,11630*1000*SER_hh_tes_in!M7/SER_hh_num_in!M7)</f>
        <v>88766.108376800912</v>
      </c>
      <c r="N7" s="133">
        <f>IF(SER_hh_tes_in!N7=0,0,11630*1000*SER_hh_tes_in!N7/SER_hh_num_in!N7)</f>
        <v>0</v>
      </c>
      <c r="O7" s="133">
        <f>IF(SER_hh_tes_in!O7=0,0,11630*1000*SER_hh_tes_in!O7/SER_hh_num_in!O7)</f>
        <v>0</v>
      </c>
      <c r="P7" s="133">
        <f>IF(SER_hh_tes_in!P7=0,0,11630*1000*SER_hh_tes_in!P7/SER_hh_num_in!P7)</f>
        <v>0</v>
      </c>
      <c r="Q7" s="133">
        <f>IF(SER_hh_tes_in!Q7=0,0,11630*1000*SER_hh_tes_in!Q7/SER_hh_num_in!Q7)</f>
        <v>56133.722889520555</v>
      </c>
      <c r="R7" s="133">
        <f>IF(SER_hh_tes_in!R7=0,0,11630*1000*SER_hh_tes_in!R7/SER_hh_num_in!R7)</f>
        <v>54165.658368153665</v>
      </c>
      <c r="S7" s="133">
        <f>IF(SER_hh_tes_in!S7=0,0,11630*1000*SER_hh_tes_in!S7/SER_hh_num_in!S7)</f>
        <v>52249.210424106401</v>
      </c>
      <c r="T7" s="133">
        <f>IF(SER_hh_tes_in!T7=0,0,11630*1000*SER_hh_tes_in!T7/SER_hh_num_in!T7)</f>
        <v>50913.557935138415</v>
      </c>
      <c r="U7" s="133">
        <f>IF(SER_hh_tes_in!U7=0,0,11630*1000*SER_hh_tes_in!U7/SER_hh_num_in!U7)</f>
        <v>42235.327596252297</v>
      </c>
      <c r="V7" s="133">
        <f>IF(SER_hh_tes_in!V7=0,0,11630*1000*SER_hh_tes_in!V7/SER_hh_num_in!V7)</f>
        <v>40593.078492162138</v>
      </c>
      <c r="W7" s="133">
        <f>IF(SER_hh_tes_in!W7=0,0,11630*1000*SER_hh_tes_in!W7/SER_hh_num_in!W7)</f>
        <v>39482.412396043139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73401.836957524676</v>
      </c>
      <c r="D8" s="133">
        <f>IF(SER_hh_tes_in!D8=0,0,11630*1000*SER_hh_tes_in!D8/SER_hh_num_in!D8)</f>
        <v>77771.75715900732</v>
      </c>
      <c r="E8" s="133">
        <f>IF(SER_hh_tes_in!E8=0,0,11630*1000*SER_hh_tes_in!E8/SER_hh_num_in!E8)</f>
        <v>82907.458215057981</v>
      </c>
      <c r="F8" s="133">
        <f>IF(SER_hh_tes_in!F8=0,0,11630*1000*SER_hh_tes_in!F8/SER_hh_num_in!F8)</f>
        <v>82646.753816317039</v>
      </c>
      <c r="G8" s="133">
        <f>IF(SER_hh_tes_in!G8=0,0,11630*1000*SER_hh_tes_in!G8/SER_hh_num_in!G8)</f>
        <v>82154.9514135832</v>
      </c>
      <c r="H8" s="133">
        <f>IF(SER_hh_tes_in!H8=0,0,11630*1000*SER_hh_tes_in!H8/SER_hh_num_in!H8)</f>
        <v>81016.638047326269</v>
      </c>
      <c r="I8" s="133">
        <f>IF(SER_hh_tes_in!I8=0,0,11630*1000*SER_hh_tes_in!I8/SER_hh_num_in!I8)</f>
        <v>79441.504303620342</v>
      </c>
      <c r="J8" s="133">
        <f>IF(SER_hh_tes_in!J8=0,0,11630*1000*SER_hh_tes_in!J8/SER_hh_num_in!J8)</f>
        <v>82645.387347337019</v>
      </c>
      <c r="K8" s="133">
        <f>IF(SER_hh_tes_in!K8=0,0,11630*1000*SER_hh_tes_in!K8/SER_hh_num_in!K8)</f>
        <v>86720.503438097105</v>
      </c>
      <c r="L8" s="133">
        <f>IF(SER_hh_tes_in!L8=0,0,11630*1000*SER_hh_tes_in!L8/SER_hh_num_in!L8)</f>
        <v>85853.972745103674</v>
      </c>
      <c r="M8" s="133">
        <f>IF(SER_hh_tes_in!M8=0,0,11630*1000*SER_hh_tes_in!M8/SER_hh_num_in!M8)</f>
        <v>73311.947048135291</v>
      </c>
      <c r="N8" s="133">
        <f>IF(SER_hh_tes_in!N8=0,0,11630*1000*SER_hh_tes_in!N8/SER_hh_num_in!N8)</f>
        <v>72018.60152849961</v>
      </c>
      <c r="O8" s="133">
        <f>IF(SER_hh_tes_in!O8=0,0,11630*1000*SER_hh_tes_in!O8/SER_hh_num_in!O8)</f>
        <v>60163.576343936838</v>
      </c>
      <c r="P8" s="133">
        <f>IF(SER_hh_tes_in!P8=0,0,11630*1000*SER_hh_tes_in!P8/SER_hh_num_in!P8)</f>
        <v>66424.12934414488</v>
      </c>
      <c r="Q8" s="133">
        <f>IF(SER_hh_tes_in!Q8=0,0,11630*1000*SER_hh_tes_in!Q8/SER_hh_num_in!Q8)</f>
        <v>61482.275838957663</v>
      </c>
      <c r="R8" s="133">
        <f>IF(SER_hh_tes_in!R8=0,0,11630*1000*SER_hh_tes_in!R8/SER_hh_num_in!R8)</f>
        <v>59806.014586109333</v>
      </c>
      <c r="S8" s="133">
        <f>IF(SER_hh_tes_in!S8=0,0,11630*1000*SER_hh_tes_in!S8/SER_hh_num_in!S8)</f>
        <v>52177.026474792307</v>
      </c>
      <c r="T8" s="133">
        <f>IF(SER_hh_tes_in!T8=0,0,11630*1000*SER_hh_tes_in!T8/SER_hh_num_in!T8)</f>
        <v>47330.538811232836</v>
      </c>
      <c r="U8" s="133">
        <f>IF(SER_hh_tes_in!U8=0,0,11630*1000*SER_hh_tes_in!U8/SER_hh_num_in!U8)</f>
        <v>43721.57864212789</v>
      </c>
      <c r="V8" s="133">
        <f>IF(SER_hh_tes_in!V8=0,0,11630*1000*SER_hh_tes_in!V8/SER_hh_num_in!V8)</f>
        <v>41240.234937409463</v>
      </c>
      <c r="W8" s="133">
        <f>IF(SER_hh_tes_in!W8=0,0,11630*1000*SER_hh_tes_in!W8/SER_hh_num_in!W8)</f>
        <v>41640.964655825948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73441.163669993533</v>
      </c>
      <c r="D9" s="133">
        <f>IF(SER_hh_tes_in!D9=0,0,11630*1000*SER_hh_tes_in!D9/SER_hh_num_in!D9)</f>
        <v>82404.028791544668</v>
      </c>
      <c r="E9" s="133">
        <f>IF(SER_hh_tes_in!E9=0,0,11630*1000*SER_hh_tes_in!E9/SER_hh_num_in!E9)</f>
        <v>83378.866411969808</v>
      </c>
      <c r="F9" s="133">
        <f>IF(SER_hh_tes_in!F9=0,0,11630*1000*SER_hh_tes_in!F9/SER_hh_num_in!F9)</f>
        <v>85525.607396468331</v>
      </c>
      <c r="G9" s="133">
        <f>IF(SER_hh_tes_in!G9=0,0,11630*1000*SER_hh_tes_in!G9/SER_hh_num_in!G9)</f>
        <v>84377.203391728166</v>
      </c>
      <c r="H9" s="133">
        <f>IF(SER_hh_tes_in!H9=0,0,11630*1000*SER_hh_tes_in!H9/SER_hh_num_in!H9)</f>
        <v>78240.567539504569</v>
      </c>
      <c r="I9" s="133">
        <f>IF(SER_hh_tes_in!I9=0,0,11630*1000*SER_hh_tes_in!I9/SER_hh_num_in!I9)</f>
        <v>76861.948701834743</v>
      </c>
      <c r="J9" s="133">
        <f>IF(SER_hh_tes_in!J9=0,0,11630*1000*SER_hh_tes_in!J9/SER_hh_num_in!J9)</f>
        <v>79169.332800281642</v>
      </c>
      <c r="K9" s="133">
        <f>IF(SER_hh_tes_in!K9=0,0,11630*1000*SER_hh_tes_in!K9/SER_hh_num_in!K9)</f>
        <v>79127.25432444425</v>
      </c>
      <c r="L9" s="133">
        <f>IF(SER_hh_tes_in!L9=0,0,11630*1000*SER_hh_tes_in!L9/SER_hh_num_in!L9)</f>
        <v>89704.842867952524</v>
      </c>
      <c r="M9" s="133">
        <f>IF(SER_hh_tes_in!M9=0,0,11630*1000*SER_hh_tes_in!M9/SER_hh_num_in!M9)</f>
        <v>76856.550128032148</v>
      </c>
      <c r="N9" s="133">
        <f>IF(SER_hh_tes_in!N9=0,0,11630*1000*SER_hh_tes_in!N9/SER_hh_num_in!N9)</f>
        <v>75445.693701219716</v>
      </c>
      <c r="O9" s="133">
        <f>IF(SER_hh_tes_in!O9=0,0,11630*1000*SER_hh_tes_in!O9/SER_hh_num_in!O9)</f>
        <v>69095.683297936659</v>
      </c>
      <c r="P9" s="133">
        <f>IF(SER_hh_tes_in!P9=0,0,11630*1000*SER_hh_tes_in!P9/SER_hh_num_in!P9)</f>
        <v>55546.144290647193</v>
      </c>
      <c r="Q9" s="133">
        <f>IF(SER_hh_tes_in!Q9=0,0,11630*1000*SER_hh_tes_in!Q9/SER_hh_num_in!Q9)</f>
        <v>57449.972372065502</v>
      </c>
      <c r="R9" s="133">
        <f>IF(SER_hh_tes_in!R9=0,0,11630*1000*SER_hh_tes_in!R9/SER_hh_num_in!R9)</f>
        <v>66273.190538116964</v>
      </c>
      <c r="S9" s="133">
        <f>IF(SER_hh_tes_in!S9=0,0,11630*1000*SER_hh_tes_in!S9/SER_hh_num_in!S9)</f>
        <v>49029.88798311523</v>
      </c>
      <c r="T9" s="133">
        <f>IF(SER_hh_tes_in!T9=0,0,11630*1000*SER_hh_tes_in!T9/SER_hh_num_in!T9)</f>
        <v>45448.132547133791</v>
      </c>
      <c r="U9" s="133">
        <f>IF(SER_hh_tes_in!U9=0,0,11630*1000*SER_hh_tes_in!U9/SER_hh_num_in!U9)</f>
        <v>44686.862011543912</v>
      </c>
      <c r="V9" s="133">
        <f>IF(SER_hh_tes_in!V9=0,0,11630*1000*SER_hh_tes_in!V9/SER_hh_num_in!V9)</f>
        <v>36842.824745705082</v>
      </c>
      <c r="W9" s="133">
        <f>IF(SER_hh_tes_in!W9=0,0,11630*1000*SER_hh_tes_in!W9/SER_hh_num_in!W9)</f>
        <v>43780.185362279728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64832.42059921004</v>
      </c>
      <c r="I10" s="133">
        <f>IF(SER_hh_tes_in!I10=0,0,11630*1000*SER_hh_tes_in!I10/SER_hh_num_in!I10)</f>
        <v>78028.358314022073</v>
      </c>
      <c r="J10" s="133">
        <f>IF(SER_hh_tes_in!J10=0,0,11630*1000*SER_hh_tes_in!J10/SER_hh_num_in!J10)</f>
        <v>68988.100872896088</v>
      </c>
      <c r="K10" s="133">
        <f>IF(SER_hh_tes_in!K10=0,0,11630*1000*SER_hh_tes_in!K10/SER_hh_num_in!K10)</f>
        <v>87305.7869276493</v>
      </c>
      <c r="L10" s="133">
        <f>IF(SER_hh_tes_in!L10=0,0,11630*1000*SER_hh_tes_in!L10/SER_hh_num_in!L10)</f>
        <v>91655.189804371708</v>
      </c>
      <c r="M10" s="133">
        <f>IF(SER_hh_tes_in!M10=0,0,11630*1000*SER_hh_tes_in!M10/SER_hh_num_in!M10)</f>
        <v>82500.992332167822</v>
      </c>
      <c r="N10" s="133">
        <f>IF(SER_hh_tes_in!N10=0,0,11630*1000*SER_hh_tes_in!N10/SER_hh_num_in!N10)</f>
        <v>69288.380939962866</v>
      </c>
      <c r="O10" s="133">
        <f>IF(SER_hh_tes_in!O10=0,0,11630*1000*SER_hh_tes_in!O10/SER_hh_num_in!O10)</f>
        <v>72759.479572395983</v>
      </c>
      <c r="P10" s="133">
        <f>IF(SER_hh_tes_in!P10=0,0,11630*1000*SER_hh_tes_in!P10/SER_hh_num_in!P10)</f>
        <v>58174.465918157039</v>
      </c>
      <c r="Q10" s="133">
        <f>IF(SER_hh_tes_in!Q10=0,0,11630*1000*SER_hh_tes_in!Q10/SER_hh_num_in!Q10)</f>
        <v>56358.927230392103</v>
      </c>
      <c r="R10" s="133">
        <f>IF(SER_hh_tes_in!R10=0,0,11630*1000*SER_hh_tes_in!R10/SER_hh_num_in!R10)</f>
        <v>59244.54318934559</v>
      </c>
      <c r="S10" s="133">
        <f>IF(SER_hh_tes_in!S10=0,0,11630*1000*SER_hh_tes_in!S10/SER_hh_num_in!S10)</f>
        <v>54430.946428766962</v>
      </c>
      <c r="T10" s="133">
        <f>IF(SER_hh_tes_in!T10=0,0,11630*1000*SER_hh_tes_in!T10/SER_hh_num_in!T10)</f>
        <v>47719.591455511931</v>
      </c>
      <c r="U10" s="133">
        <f>IF(SER_hh_tes_in!U10=0,0,11630*1000*SER_hh_tes_in!U10/SER_hh_num_in!U10)</f>
        <v>42259.940683369379</v>
      </c>
      <c r="V10" s="133">
        <f>IF(SER_hh_tes_in!V10=0,0,11630*1000*SER_hh_tes_in!V10/SER_hh_num_in!V10)</f>
        <v>40577.777769259905</v>
      </c>
      <c r="W10" s="133">
        <f>IF(SER_hh_tes_in!W10=0,0,11630*1000*SER_hh_tes_in!W10/SER_hh_num_in!W10)</f>
        <v>38489.019088113673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50926.292631306722</v>
      </c>
      <c r="D11" s="133">
        <f>IF(SER_hh_tes_in!D11=0,0,11630*1000*SER_hh_tes_in!D11/SER_hh_num_in!D11)</f>
        <v>84865.462522677495</v>
      </c>
      <c r="E11" s="133">
        <f>IF(SER_hh_tes_in!E11=0,0,11630*1000*SER_hh_tes_in!E11/SER_hh_num_in!E11)</f>
        <v>90097.817823769219</v>
      </c>
      <c r="F11" s="133">
        <f>IF(SER_hh_tes_in!F11=0,0,11630*1000*SER_hh_tes_in!F11/SER_hh_num_in!F11)</f>
        <v>77817.167030551675</v>
      </c>
      <c r="G11" s="133">
        <f>IF(SER_hh_tes_in!G11=0,0,11630*1000*SER_hh_tes_in!G11/SER_hh_num_in!G11)</f>
        <v>87161.785357126981</v>
      </c>
      <c r="H11" s="133">
        <f>IF(SER_hh_tes_in!H11=0,0,11630*1000*SER_hh_tes_in!H11/SER_hh_num_in!H11)</f>
        <v>88492.689012032686</v>
      </c>
      <c r="I11" s="133">
        <f>IF(SER_hh_tes_in!I11=0,0,11630*1000*SER_hh_tes_in!I11/SER_hh_num_in!I11)</f>
        <v>64974.890751979605</v>
      </c>
      <c r="J11" s="133">
        <f>IF(SER_hh_tes_in!J11=0,0,11630*1000*SER_hh_tes_in!J11/SER_hh_num_in!J11)</f>
        <v>90290.658454684744</v>
      </c>
      <c r="K11" s="133">
        <f>IF(SER_hh_tes_in!K11=0,0,11630*1000*SER_hh_tes_in!K11/SER_hh_num_in!K11)</f>
        <v>92352.37132298034</v>
      </c>
      <c r="L11" s="133">
        <f>IF(SER_hh_tes_in!L11=0,0,11630*1000*SER_hh_tes_in!L11/SER_hh_num_in!L11)</f>
        <v>81734.039276810276</v>
      </c>
      <c r="M11" s="133">
        <f>IF(SER_hh_tes_in!M11=0,0,11630*1000*SER_hh_tes_in!M11/SER_hh_num_in!M11)</f>
        <v>60543.055696348274</v>
      </c>
      <c r="N11" s="133">
        <f>IF(SER_hh_tes_in!N11=0,0,11630*1000*SER_hh_tes_in!N11/SER_hh_num_in!N11)</f>
        <v>68648.672399466232</v>
      </c>
      <c r="O11" s="133">
        <f>IF(SER_hh_tes_in!O11=0,0,11630*1000*SER_hh_tes_in!O11/SER_hh_num_in!O11)</f>
        <v>72588.792616867839</v>
      </c>
      <c r="P11" s="133">
        <f>IF(SER_hh_tes_in!P11=0,0,11630*1000*SER_hh_tes_in!P11/SER_hh_num_in!P11)</f>
        <v>66620.799944131475</v>
      </c>
      <c r="Q11" s="133">
        <f>IF(SER_hh_tes_in!Q11=0,0,11630*1000*SER_hh_tes_in!Q11/SER_hh_num_in!Q11)</f>
        <v>59849.76845346624</v>
      </c>
      <c r="R11" s="133">
        <f>IF(SER_hh_tes_in!R11=0,0,11630*1000*SER_hh_tes_in!R11/SER_hh_num_in!R11)</f>
        <v>55341.012976343329</v>
      </c>
      <c r="S11" s="133">
        <f>IF(SER_hh_tes_in!S11=0,0,11630*1000*SER_hh_tes_in!S11/SER_hh_num_in!S11)</f>
        <v>52267.369395180976</v>
      </c>
      <c r="T11" s="133">
        <f>IF(SER_hh_tes_in!T11=0,0,11630*1000*SER_hh_tes_in!T11/SER_hh_num_in!T11)</f>
        <v>49089.686067105242</v>
      </c>
      <c r="U11" s="133">
        <f>IF(SER_hh_tes_in!U11=0,0,11630*1000*SER_hh_tes_in!U11/SER_hh_num_in!U11)</f>
        <v>45739.326033795543</v>
      </c>
      <c r="V11" s="133">
        <f>IF(SER_hh_tes_in!V11=0,0,11630*1000*SER_hh_tes_in!V11/SER_hh_num_in!V11)</f>
        <v>41396.686421266895</v>
      </c>
      <c r="W11" s="133">
        <f>IF(SER_hh_tes_in!W11=0,0,11630*1000*SER_hh_tes_in!W11/SER_hh_num_in!W11)</f>
        <v>38305.62009615299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70371.039700882204</v>
      </c>
      <c r="D12" s="133">
        <f>IF(SER_hh_tes_in!D12=0,0,11630*1000*SER_hh_tes_in!D12/SER_hh_num_in!D12)</f>
        <v>82751.976589089856</v>
      </c>
      <c r="E12" s="133">
        <f>IF(SER_hh_tes_in!E12=0,0,11630*1000*SER_hh_tes_in!E12/SER_hh_num_in!E12)</f>
        <v>70451.992155297936</v>
      </c>
      <c r="F12" s="133">
        <f>IF(SER_hh_tes_in!F12=0,0,11630*1000*SER_hh_tes_in!F12/SER_hh_num_in!F12)</f>
        <v>93097.159098359334</v>
      </c>
      <c r="G12" s="133">
        <f>IF(SER_hh_tes_in!G12=0,0,11630*1000*SER_hh_tes_in!G12/SER_hh_num_in!G12)</f>
        <v>79424.014244109363</v>
      </c>
      <c r="H12" s="133">
        <f>IF(SER_hh_tes_in!H12=0,0,11630*1000*SER_hh_tes_in!H12/SER_hh_num_in!H12)</f>
        <v>95357.039389194659</v>
      </c>
      <c r="I12" s="133">
        <f>IF(SER_hh_tes_in!I12=0,0,11630*1000*SER_hh_tes_in!I12/SER_hh_num_in!I12)</f>
        <v>63323.724421732681</v>
      </c>
      <c r="J12" s="133">
        <f>IF(SER_hh_tes_in!J12=0,0,11630*1000*SER_hh_tes_in!J12/SER_hh_num_in!J12)</f>
        <v>89164.742544617868</v>
      </c>
      <c r="K12" s="133">
        <f>IF(SER_hh_tes_in!K12=0,0,11630*1000*SER_hh_tes_in!K12/SER_hh_num_in!K12)</f>
        <v>82186.276097332622</v>
      </c>
      <c r="L12" s="133">
        <f>IF(SER_hh_tes_in!L12=0,0,11630*1000*SER_hh_tes_in!L12/SER_hh_num_in!L12)</f>
        <v>89423.173875268476</v>
      </c>
      <c r="M12" s="133">
        <f>IF(SER_hh_tes_in!M12=0,0,11630*1000*SER_hh_tes_in!M12/SER_hh_num_in!M12)</f>
        <v>74725.499400923058</v>
      </c>
      <c r="N12" s="133">
        <f>IF(SER_hh_tes_in!N12=0,0,11630*1000*SER_hh_tes_in!N12/SER_hh_num_in!N12)</f>
        <v>72321.870895081171</v>
      </c>
      <c r="O12" s="133">
        <f>IF(SER_hh_tes_in!O12=0,0,11630*1000*SER_hh_tes_in!O12/SER_hh_num_in!O12)</f>
        <v>72119.20023341522</v>
      </c>
      <c r="P12" s="133">
        <f>IF(SER_hh_tes_in!P12=0,0,11630*1000*SER_hh_tes_in!P12/SER_hh_num_in!P12)</f>
        <v>59855.26081111742</v>
      </c>
      <c r="Q12" s="133">
        <f>IF(SER_hh_tes_in!Q12=0,0,11630*1000*SER_hh_tes_in!Q12/SER_hh_num_in!Q12)</f>
        <v>52400.871926716725</v>
      </c>
      <c r="R12" s="133">
        <f>IF(SER_hh_tes_in!R12=0,0,11630*1000*SER_hh_tes_in!R12/SER_hh_num_in!R12)</f>
        <v>59141.073794661672</v>
      </c>
      <c r="S12" s="133">
        <f>IF(SER_hh_tes_in!S12=0,0,11630*1000*SER_hh_tes_in!S12/SER_hh_num_in!S12)</f>
        <v>57018.60130417101</v>
      </c>
      <c r="T12" s="133">
        <f>IF(SER_hh_tes_in!T12=0,0,11630*1000*SER_hh_tes_in!T12/SER_hh_num_in!T12)</f>
        <v>46143.553764957549</v>
      </c>
      <c r="U12" s="133">
        <f>IF(SER_hh_tes_in!U12=0,0,11630*1000*SER_hh_tes_in!U12/SER_hh_num_in!U12)</f>
        <v>45547.46417367502</v>
      </c>
      <c r="V12" s="133">
        <f>IF(SER_hh_tes_in!V12=0,0,11630*1000*SER_hh_tes_in!V12/SER_hh_num_in!V12)</f>
        <v>43497.722173866605</v>
      </c>
      <c r="W12" s="133">
        <f>IF(SER_hh_tes_in!W12=0,0,11630*1000*SER_hh_tes_in!W12/SER_hh_num_in!W12)</f>
        <v>33457.413116189651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76400.363235436802</v>
      </c>
      <c r="D13" s="133">
        <f>IF(SER_hh_tes_in!D13=0,0,11630*1000*SER_hh_tes_in!D13/SER_hh_num_in!D13)</f>
        <v>69615.861285252002</v>
      </c>
      <c r="E13" s="133">
        <f>IF(SER_hh_tes_in!E13=0,0,11630*1000*SER_hh_tes_in!E13/SER_hh_num_in!E13)</f>
        <v>78821.335837451872</v>
      </c>
      <c r="F13" s="133">
        <f>IF(SER_hh_tes_in!F13=0,0,11630*1000*SER_hh_tes_in!F13/SER_hh_num_in!F13)</f>
        <v>72449.375902650645</v>
      </c>
      <c r="G13" s="133">
        <f>IF(SER_hh_tes_in!G13=0,0,11630*1000*SER_hh_tes_in!G13/SER_hh_num_in!G13)</f>
        <v>80647.963053000421</v>
      </c>
      <c r="H13" s="133">
        <f>IF(SER_hh_tes_in!H13=0,0,11630*1000*SER_hh_tes_in!H13/SER_hh_num_in!H13)</f>
        <v>83876.286092378985</v>
      </c>
      <c r="I13" s="133">
        <f>IF(SER_hh_tes_in!I13=0,0,11630*1000*SER_hh_tes_in!I13/SER_hh_num_in!I13)</f>
        <v>82161.566618937708</v>
      </c>
      <c r="J13" s="133">
        <f>IF(SER_hh_tes_in!J13=0,0,11630*1000*SER_hh_tes_in!J13/SER_hh_num_in!J13)</f>
        <v>84885.85479679647</v>
      </c>
      <c r="K13" s="133">
        <f>IF(SER_hh_tes_in!K13=0,0,11630*1000*SER_hh_tes_in!K13/SER_hh_num_in!K13)</f>
        <v>86661.554949271944</v>
      </c>
      <c r="L13" s="133">
        <f>IF(SER_hh_tes_in!L13=0,0,11630*1000*SER_hh_tes_in!L13/SER_hh_num_in!L13)</f>
        <v>84055.633157863791</v>
      </c>
      <c r="M13" s="133">
        <f>IF(SER_hh_tes_in!M13=0,0,11630*1000*SER_hh_tes_in!M13/SER_hh_num_in!M13)</f>
        <v>77895.474169410867</v>
      </c>
      <c r="N13" s="133">
        <f>IF(SER_hh_tes_in!N13=0,0,11630*1000*SER_hh_tes_in!N13/SER_hh_num_in!N13)</f>
        <v>71861.561810417232</v>
      </c>
      <c r="O13" s="133">
        <f>IF(SER_hh_tes_in!O13=0,0,11630*1000*SER_hh_tes_in!O13/SER_hh_num_in!O13)</f>
        <v>59140.807331896627</v>
      </c>
      <c r="P13" s="133">
        <f>IF(SER_hh_tes_in!P13=0,0,11630*1000*SER_hh_tes_in!P13/SER_hh_num_in!P13)</f>
        <v>65778.13390678697</v>
      </c>
      <c r="Q13" s="133">
        <f>IF(SER_hh_tes_in!Q13=0,0,11630*1000*SER_hh_tes_in!Q13/SER_hh_num_in!Q13)</f>
        <v>61398.362366217865</v>
      </c>
      <c r="R13" s="133">
        <f>IF(SER_hh_tes_in!R13=0,0,11630*1000*SER_hh_tes_in!R13/SER_hh_num_in!R13)</f>
        <v>58294.990907322332</v>
      </c>
      <c r="S13" s="133">
        <f>IF(SER_hh_tes_in!S13=0,0,11630*1000*SER_hh_tes_in!S13/SER_hh_num_in!S13)</f>
        <v>53619.744984643199</v>
      </c>
      <c r="T13" s="133">
        <f>IF(SER_hh_tes_in!T13=0,0,11630*1000*SER_hh_tes_in!T13/SER_hh_num_in!T13)</f>
        <v>48523.592215679331</v>
      </c>
      <c r="U13" s="133">
        <f>IF(SER_hh_tes_in!U13=0,0,11630*1000*SER_hh_tes_in!U13/SER_hh_num_in!U13)</f>
        <v>44999.590752535645</v>
      </c>
      <c r="V13" s="133">
        <f>IF(SER_hh_tes_in!V13=0,0,11630*1000*SER_hh_tes_in!V13/SER_hh_num_in!V13)</f>
        <v>41447.329711466526</v>
      </c>
      <c r="W13" s="133">
        <f>IF(SER_hh_tes_in!W13=0,0,11630*1000*SER_hh_tes_in!W13/SER_hh_num_in!W13)</f>
        <v>40493.270537109616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0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0</v>
      </c>
      <c r="F14" s="65">
        <f>IF(SER_hh_tes_in!F14=0,0,11630*1000*SER_hh_tes_in!F14/SER_hh_num_in!F14)</f>
        <v>0</v>
      </c>
      <c r="G14" s="65">
        <f>IF(SER_hh_tes_in!G14=0,0,11630*1000*SER_hh_tes_in!G14/SER_hh_num_in!G14)</f>
        <v>81847.306621510128</v>
      </c>
      <c r="H14" s="65">
        <f>IF(SER_hh_tes_in!H14=0,0,11630*1000*SER_hh_tes_in!H14/SER_hh_num_in!H14)</f>
        <v>92394.54862673911</v>
      </c>
      <c r="I14" s="65">
        <f>IF(SER_hh_tes_in!I14=0,0,11630*1000*SER_hh_tes_in!I14/SER_hh_num_in!I14)</f>
        <v>73321.757376114692</v>
      </c>
      <c r="J14" s="65">
        <f>IF(SER_hh_tes_in!J14=0,0,11630*1000*SER_hh_tes_in!J14/SER_hh_num_in!J14)</f>
        <v>89597.697146933599</v>
      </c>
      <c r="K14" s="65">
        <f>IF(SER_hh_tes_in!K14=0,0,11630*1000*SER_hh_tes_in!K14/SER_hh_num_in!K14)</f>
        <v>73720.440376549537</v>
      </c>
      <c r="L14" s="65">
        <f>IF(SER_hh_tes_in!L14=0,0,11630*1000*SER_hh_tes_in!L14/SER_hh_num_in!L14)</f>
        <v>90217.405860774132</v>
      </c>
      <c r="M14" s="65">
        <f>IF(SER_hh_tes_in!M14=0,0,11630*1000*SER_hh_tes_in!M14/SER_hh_num_in!M14)</f>
        <v>84219.006609591233</v>
      </c>
      <c r="N14" s="65">
        <f>IF(SER_hh_tes_in!N14=0,0,11630*1000*SER_hh_tes_in!N14/SER_hh_num_in!N14)</f>
        <v>78321.319576785216</v>
      </c>
      <c r="O14" s="65">
        <f>IF(SER_hh_tes_in!O14=0,0,11630*1000*SER_hh_tes_in!O14/SER_hh_num_in!O14)</f>
        <v>61980.46720224226</v>
      </c>
      <c r="P14" s="65">
        <f>IF(SER_hh_tes_in!P14=0,0,11630*1000*SER_hh_tes_in!P14/SER_hh_num_in!P14)</f>
        <v>63392.728665068586</v>
      </c>
      <c r="Q14" s="65">
        <f>IF(SER_hh_tes_in!Q14=0,0,11630*1000*SER_hh_tes_in!Q14/SER_hh_num_in!Q14)</f>
        <v>55202.69459809675</v>
      </c>
      <c r="R14" s="65">
        <f>IF(SER_hh_tes_in!R14=0,0,11630*1000*SER_hh_tes_in!R14/SER_hh_num_in!R14)</f>
        <v>59808.058176183724</v>
      </c>
      <c r="S14" s="65">
        <f>IF(SER_hh_tes_in!S14=0,0,11630*1000*SER_hh_tes_in!S14/SER_hh_num_in!S14)</f>
        <v>49751.741822895965</v>
      </c>
      <c r="T14" s="65">
        <f>IF(SER_hh_tes_in!T14=0,0,11630*1000*SER_hh_tes_in!T14/SER_hh_num_in!T14)</f>
        <v>51122.322383963125</v>
      </c>
      <c r="U14" s="65">
        <f>IF(SER_hh_tes_in!U14=0,0,11630*1000*SER_hh_tes_in!U14/SER_hh_num_in!U14)</f>
        <v>45128.41105835593</v>
      </c>
      <c r="V14" s="65">
        <f>IF(SER_hh_tes_in!V14=0,0,11630*1000*SER_hh_tes_in!V14/SER_hh_num_in!V14)</f>
        <v>40208.520779636514</v>
      </c>
      <c r="W14" s="65">
        <f>IF(SER_hh_tes_in!W14=0,0,11630*1000*SER_hh_tes_in!W14/SER_hh_num_in!W14)</f>
        <v>40399.615246760477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952.86954643221804</v>
      </c>
      <c r="D15" s="135">
        <f>IF(SER_hh_tes_in!D15=0,0,11630*1000*SER_hh_tes_in!D15/SER_hh_num_in!D15)</f>
        <v>1091.8623888753398</v>
      </c>
      <c r="E15" s="135">
        <f>IF(SER_hh_tes_in!E15=0,0,11630*1000*SER_hh_tes_in!E15/SER_hh_num_in!E15)</f>
        <v>1034.4010469491284</v>
      </c>
      <c r="F15" s="135">
        <f>IF(SER_hh_tes_in!F15=0,0,11630*1000*SER_hh_tes_in!F15/SER_hh_num_in!F15)</f>
        <v>820.82271935017934</v>
      </c>
      <c r="G15" s="135">
        <f>IF(SER_hh_tes_in!G15=0,0,11630*1000*SER_hh_tes_in!G15/SER_hh_num_in!G15)</f>
        <v>794.67455834530335</v>
      </c>
      <c r="H15" s="135">
        <f>IF(SER_hh_tes_in!H15=0,0,11630*1000*SER_hh_tes_in!H15/SER_hh_num_in!H15)</f>
        <v>965.13511460070094</v>
      </c>
      <c r="I15" s="135">
        <f>IF(SER_hh_tes_in!I15=0,0,11630*1000*SER_hh_tes_in!I15/SER_hh_num_in!I15)</f>
        <v>986.78960727351478</v>
      </c>
      <c r="J15" s="135">
        <f>IF(SER_hh_tes_in!J15=0,0,11630*1000*SER_hh_tes_in!J15/SER_hh_num_in!J15)</f>
        <v>1006.4574395298622</v>
      </c>
      <c r="K15" s="135">
        <f>IF(SER_hh_tes_in!K15=0,0,11630*1000*SER_hh_tes_in!K15/SER_hh_num_in!K15)</f>
        <v>1014.4417326809652</v>
      </c>
      <c r="L15" s="135">
        <f>IF(SER_hh_tes_in!L15=0,0,11630*1000*SER_hh_tes_in!L15/SER_hh_num_in!L15)</f>
        <v>971.00764669690864</v>
      </c>
      <c r="M15" s="135">
        <f>IF(SER_hh_tes_in!M15=0,0,11630*1000*SER_hh_tes_in!M15/SER_hh_num_in!M15)</f>
        <v>968.55142008701819</v>
      </c>
      <c r="N15" s="135">
        <f>IF(SER_hh_tes_in!N15=0,0,11630*1000*SER_hh_tes_in!N15/SER_hh_num_in!N15)</f>
        <v>809.6917421668378</v>
      </c>
      <c r="O15" s="135">
        <f>IF(SER_hh_tes_in!O15=0,0,11630*1000*SER_hh_tes_in!O15/SER_hh_num_in!O15)</f>
        <v>634.62119783106016</v>
      </c>
      <c r="P15" s="135">
        <f>IF(SER_hh_tes_in!P15=0,0,11630*1000*SER_hh_tes_in!P15/SER_hh_num_in!P15)</f>
        <v>640.08246499910661</v>
      </c>
      <c r="Q15" s="135">
        <f>IF(SER_hh_tes_in!Q15=0,0,11630*1000*SER_hh_tes_in!Q15/SER_hh_num_in!Q15)</f>
        <v>593.35200540942037</v>
      </c>
      <c r="R15" s="135">
        <f>IF(SER_hh_tes_in!R15=0,0,11630*1000*SER_hh_tes_in!R15/SER_hh_num_in!R15)</f>
        <v>568.46443238838094</v>
      </c>
      <c r="S15" s="135">
        <f>IF(SER_hh_tes_in!S15=0,0,11630*1000*SER_hh_tes_in!S15/SER_hh_num_in!S15)</f>
        <v>412.52352990748068</v>
      </c>
      <c r="T15" s="135">
        <f>IF(SER_hh_tes_in!T15=0,0,11630*1000*SER_hh_tes_in!T15/SER_hh_num_in!T15)</f>
        <v>420.91439843245115</v>
      </c>
      <c r="U15" s="135">
        <f>IF(SER_hh_tes_in!U15=0,0,11630*1000*SER_hh_tes_in!U15/SER_hh_num_in!U15)</f>
        <v>410.45223871408467</v>
      </c>
      <c r="V15" s="135">
        <f>IF(SER_hh_tes_in!V15=0,0,11630*1000*SER_hh_tes_in!V15/SER_hh_num_in!V15)</f>
        <v>386.29050212068455</v>
      </c>
      <c r="W15" s="135">
        <f>IF(SER_hh_tes_in!W15=0,0,11630*1000*SER_hh_tes_in!W15/SER_hh_num_in!W15)</f>
        <v>438.95116754451072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25208.622973879334</v>
      </c>
      <c r="D16" s="131">
        <f>IF(SER_hh_tes_in!D16=0,0,11630*1000*SER_hh_tes_in!D16/SER_hh_num_in!D16)</f>
        <v>25461.214684534978</v>
      </c>
      <c r="E16" s="131">
        <f>IF(SER_hh_tes_in!E16=0,0,11630*1000*SER_hh_tes_in!E16/SER_hh_num_in!E16)</f>
        <v>24866.242297037104</v>
      </c>
      <c r="F16" s="131">
        <f>IF(SER_hh_tes_in!F16=0,0,11630*1000*SER_hh_tes_in!F16/SER_hh_num_in!F16)</f>
        <v>24694.418488599924</v>
      </c>
      <c r="G16" s="131">
        <f>IF(SER_hh_tes_in!G16=0,0,11630*1000*SER_hh_tes_in!G16/SER_hh_num_in!G16)</f>
        <v>24802.241616904463</v>
      </c>
      <c r="H16" s="131">
        <f>IF(SER_hh_tes_in!H16=0,0,11630*1000*SER_hh_tes_in!H16/SER_hh_num_in!H16)</f>
        <v>26124.804431145763</v>
      </c>
      <c r="I16" s="131">
        <f>IF(SER_hh_tes_in!I16=0,0,11630*1000*SER_hh_tes_in!I16/SER_hh_num_in!I16)</f>
        <v>25072.407201340051</v>
      </c>
      <c r="J16" s="131">
        <f>IF(SER_hh_tes_in!J16=0,0,11630*1000*SER_hh_tes_in!J16/SER_hh_num_in!J16)</f>
        <v>24546.46167450754</v>
      </c>
      <c r="K16" s="131">
        <f>IF(SER_hh_tes_in!K16=0,0,11630*1000*SER_hh_tes_in!K16/SER_hh_num_in!K16)</f>
        <v>24382.767463570926</v>
      </c>
      <c r="L16" s="131">
        <f>IF(SER_hh_tes_in!L16=0,0,11630*1000*SER_hh_tes_in!L16/SER_hh_num_in!L16)</f>
        <v>27316.35813767105</v>
      </c>
      <c r="M16" s="131">
        <f>IF(SER_hh_tes_in!M16=0,0,11630*1000*SER_hh_tes_in!M16/SER_hh_num_in!M16)</f>
        <v>24011.547548279334</v>
      </c>
      <c r="N16" s="131">
        <f>IF(SER_hh_tes_in!N16=0,0,11630*1000*SER_hh_tes_in!N16/SER_hh_num_in!N16)</f>
        <v>24985.974921737808</v>
      </c>
      <c r="O16" s="131">
        <f>IF(SER_hh_tes_in!O16=0,0,11630*1000*SER_hh_tes_in!O16/SER_hh_num_in!O16)</f>
        <v>24661.444117357605</v>
      </c>
      <c r="P16" s="131">
        <f>IF(SER_hh_tes_in!P16=0,0,11630*1000*SER_hh_tes_in!P16/SER_hh_num_in!P16)</f>
        <v>24062.02777821101</v>
      </c>
      <c r="Q16" s="131">
        <f>IF(SER_hh_tes_in!Q16=0,0,11630*1000*SER_hh_tes_in!Q16/SER_hh_num_in!Q16)</f>
        <v>27314.933084642664</v>
      </c>
      <c r="R16" s="131">
        <f>IF(SER_hh_tes_in!R16=0,0,11630*1000*SER_hh_tes_in!R16/SER_hh_num_in!R16)</f>
        <v>23438.972309548473</v>
      </c>
      <c r="S16" s="131">
        <f>IF(SER_hh_tes_in!S16=0,0,11630*1000*SER_hh_tes_in!S16/SER_hh_num_in!S16)</f>
        <v>23358.945841209144</v>
      </c>
      <c r="T16" s="131">
        <f>IF(SER_hh_tes_in!T16=0,0,11630*1000*SER_hh_tes_in!T16/SER_hh_num_in!T16)</f>
        <v>23743.672801205095</v>
      </c>
      <c r="U16" s="131">
        <f>IF(SER_hh_tes_in!U16=0,0,11630*1000*SER_hh_tes_in!U16/SER_hh_num_in!U16)</f>
        <v>25323.663178043345</v>
      </c>
      <c r="V16" s="131">
        <f>IF(SER_hh_tes_in!V16=0,0,11630*1000*SER_hh_tes_in!V16/SER_hh_num_in!V16)</f>
        <v>21910.966112244103</v>
      </c>
      <c r="W16" s="131">
        <f>IF(SER_hh_tes_in!W16=0,0,11630*1000*SER_hh_tes_in!W16/SER_hh_num_in!W16)</f>
        <v>21522.707070031098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25213.319424661924</v>
      </c>
      <c r="D17" s="133">
        <f>IF(SER_hh_tes_in!D17=0,0,11630*1000*SER_hh_tes_in!D17/SER_hh_num_in!D17)</f>
        <v>25480.790028094634</v>
      </c>
      <c r="E17" s="133">
        <f>IF(SER_hh_tes_in!E17=0,0,11630*1000*SER_hh_tes_in!E17/SER_hh_num_in!E17)</f>
        <v>24903.751230559712</v>
      </c>
      <c r="F17" s="133">
        <f>IF(SER_hh_tes_in!F17=0,0,11630*1000*SER_hh_tes_in!F17/SER_hh_num_in!F17)</f>
        <v>24774.760967378668</v>
      </c>
      <c r="G17" s="133">
        <f>IF(SER_hh_tes_in!G17=0,0,11630*1000*SER_hh_tes_in!G17/SER_hh_num_in!G17)</f>
        <v>24896.270043478227</v>
      </c>
      <c r="H17" s="133">
        <f>IF(SER_hh_tes_in!H17=0,0,11630*1000*SER_hh_tes_in!H17/SER_hh_num_in!H17)</f>
        <v>26182.000466830981</v>
      </c>
      <c r="I17" s="133">
        <f>IF(SER_hh_tes_in!I17=0,0,11630*1000*SER_hh_tes_in!I17/SER_hh_num_in!I17)</f>
        <v>25132.809675552824</v>
      </c>
      <c r="J17" s="133">
        <f>IF(SER_hh_tes_in!J17=0,0,11630*1000*SER_hh_tes_in!J17/SER_hh_num_in!J17)</f>
        <v>24554.867903563969</v>
      </c>
      <c r="K17" s="133">
        <f>IF(SER_hh_tes_in!K17=0,0,11630*1000*SER_hh_tes_in!K17/SER_hh_num_in!K17)</f>
        <v>24406.107831912457</v>
      </c>
      <c r="L17" s="133">
        <f>IF(SER_hh_tes_in!L17=0,0,11630*1000*SER_hh_tes_in!L17/SER_hh_num_in!L17)</f>
        <v>27316.316007145149</v>
      </c>
      <c r="M17" s="133">
        <f>IF(SER_hh_tes_in!M17=0,0,11630*1000*SER_hh_tes_in!M17/SER_hh_num_in!M17)</f>
        <v>24139.15268014482</v>
      </c>
      <c r="N17" s="133">
        <f>IF(SER_hh_tes_in!N17=0,0,11630*1000*SER_hh_tes_in!N17/SER_hh_num_in!N17)</f>
        <v>25222.690524831469</v>
      </c>
      <c r="O17" s="133">
        <f>IF(SER_hh_tes_in!O17=0,0,11630*1000*SER_hh_tes_in!O17/SER_hh_num_in!O17)</f>
        <v>25128.463847128194</v>
      </c>
      <c r="P17" s="133">
        <f>IF(SER_hh_tes_in!P17=0,0,11630*1000*SER_hh_tes_in!P17/SER_hh_num_in!P17)</f>
        <v>24841.029174020296</v>
      </c>
      <c r="Q17" s="133">
        <f>IF(SER_hh_tes_in!Q17=0,0,11630*1000*SER_hh_tes_in!Q17/SER_hh_num_in!Q17)</f>
        <v>28224.813635958031</v>
      </c>
      <c r="R17" s="133">
        <f>IF(SER_hh_tes_in!R17=0,0,11630*1000*SER_hh_tes_in!R17/SER_hh_num_in!R17)</f>
        <v>24602.086621520088</v>
      </c>
      <c r="S17" s="133">
        <f>IF(SER_hh_tes_in!S17=0,0,11630*1000*SER_hh_tes_in!S17/SER_hh_num_in!S17)</f>
        <v>24419.413892049477</v>
      </c>
      <c r="T17" s="133">
        <f>IF(SER_hh_tes_in!T17=0,0,11630*1000*SER_hh_tes_in!T17/SER_hh_num_in!T17)</f>
        <v>24553.569250089426</v>
      </c>
      <c r="U17" s="133">
        <f>IF(SER_hh_tes_in!U17=0,0,11630*1000*SER_hh_tes_in!U17/SER_hh_num_in!U17)</f>
        <v>25867.871581842803</v>
      </c>
      <c r="V17" s="133">
        <f>IF(SER_hh_tes_in!V17=0,0,11630*1000*SER_hh_tes_in!V17/SER_hh_num_in!V17)</f>
        <v>20734.673963469464</v>
      </c>
      <c r="W17" s="133">
        <f>IF(SER_hh_tes_in!W17=0,0,11630*1000*SER_hh_tes_in!W17/SER_hh_num_in!W17)</f>
        <v>19995.906082177531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25208.613129420872</v>
      </c>
      <c r="D18" s="133">
        <f>IF(SER_hh_tes_in!D18=0,0,11630*1000*SER_hh_tes_in!D18/SER_hh_num_in!D18)</f>
        <v>25461.169995142591</v>
      </c>
      <c r="E18" s="133">
        <f>IF(SER_hh_tes_in!E18=0,0,11630*1000*SER_hh_tes_in!E18/SER_hh_num_in!E18)</f>
        <v>24866.159942763919</v>
      </c>
      <c r="F18" s="133">
        <f>IF(SER_hh_tes_in!F18=0,0,11630*1000*SER_hh_tes_in!F18/SER_hh_num_in!F18)</f>
        <v>24694.196255181025</v>
      </c>
      <c r="G18" s="133">
        <f>IF(SER_hh_tes_in!G18=0,0,11630*1000*SER_hh_tes_in!G18/SER_hh_num_in!G18)</f>
        <v>24801.991396501387</v>
      </c>
      <c r="H18" s="133">
        <f>IF(SER_hh_tes_in!H18=0,0,11630*1000*SER_hh_tes_in!H18/SER_hh_num_in!H18)</f>
        <v>26124.683102337414</v>
      </c>
      <c r="I18" s="133">
        <f>IF(SER_hh_tes_in!I18=0,0,11630*1000*SER_hh_tes_in!I18/SER_hh_num_in!I18)</f>
        <v>25072.240981180243</v>
      </c>
      <c r="J18" s="133">
        <f>IF(SER_hh_tes_in!J18=0,0,11630*1000*SER_hh_tes_in!J18/SER_hh_num_in!J18)</f>
        <v>24546.442513865117</v>
      </c>
      <c r="K18" s="133">
        <f>IF(SER_hh_tes_in!K18=0,0,11630*1000*SER_hh_tes_in!K18/SER_hh_num_in!K18)</f>
        <v>24382.703671359621</v>
      </c>
      <c r="L18" s="133">
        <f>IF(SER_hh_tes_in!L18=0,0,11630*1000*SER_hh_tes_in!L18/SER_hh_num_in!L18)</f>
        <v>27316.358229912719</v>
      </c>
      <c r="M18" s="133">
        <f>IF(SER_hh_tes_in!M18=0,0,11630*1000*SER_hh_tes_in!M18/SER_hh_num_in!M18)</f>
        <v>24011.029430133403</v>
      </c>
      <c r="N18" s="133">
        <f>IF(SER_hh_tes_in!N18=0,0,11630*1000*SER_hh_tes_in!N18/SER_hh_num_in!N18)</f>
        <v>24984.968421748137</v>
      </c>
      <c r="O18" s="133">
        <f>IF(SER_hh_tes_in!O18=0,0,11630*1000*SER_hh_tes_in!O18/SER_hh_num_in!O18)</f>
        <v>24657.842916714653</v>
      </c>
      <c r="P18" s="133">
        <f>IF(SER_hh_tes_in!P18=0,0,11630*1000*SER_hh_tes_in!P18/SER_hh_num_in!P18)</f>
        <v>24053.654432043193</v>
      </c>
      <c r="Q18" s="133">
        <f>IF(SER_hh_tes_in!Q18=0,0,11630*1000*SER_hh_tes_in!Q18/SER_hh_num_in!Q18)</f>
        <v>27306.992981838237</v>
      </c>
      <c r="R18" s="133">
        <f>IF(SER_hh_tes_in!R18=0,0,11630*1000*SER_hh_tes_in!R18/SER_hh_num_in!R18)</f>
        <v>23411.443656469317</v>
      </c>
      <c r="S18" s="133">
        <f>IF(SER_hh_tes_in!S18=0,0,11630*1000*SER_hh_tes_in!S18/SER_hh_num_in!S18)</f>
        <v>23343.107857257917</v>
      </c>
      <c r="T18" s="133">
        <f>IF(SER_hh_tes_in!T18=0,0,11630*1000*SER_hh_tes_in!T18/SER_hh_num_in!T18)</f>
        <v>23734.417013451479</v>
      </c>
      <c r="U18" s="133">
        <f>IF(SER_hh_tes_in!U18=0,0,11630*1000*SER_hh_tes_in!U18/SER_hh_num_in!U18)</f>
        <v>25318.073520913582</v>
      </c>
      <c r="V18" s="133">
        <f>IF(SER_hh_tes_in!V18=0,0,11630*1000*SER_hh_tes_in!V18/SER_hh_num_in!V18)</f>
        <v>21927.138069077799</v>
      </c>
      <c r="W18" s="133">
        <f>IF(SER_hh_tes_in!W18=0,0,11630*1000*SER_hh_tes_in!W18/SER_hh_num_in!W18)</f>
        <v>21534.942775723368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8993.4572910087008</v>
      </c>
      <c r="D19" s="131">
        <f>IF(SER_hh_tes_in!D19=0,0,11630*1000*SER_hh_tes_in!D19/SER_hh_num_in!D19)</f>
        <v>10215.894742201792</v>
      </c>
      <c r="E19" s="131">
        <f>IF(SER_hh_tes_in!E19=0,0,11630*1000*SER_hh_tes_in!E19/SER_hh_num_in!E19)</f>
        <v>11529.374360107211</v>
      </c>
      <c r="F19" s="131">
        <f>IF(SER_hh_tes_in!F19=0,0,11630*1000*SER_hh_tes_in!F19/SER_hh_num_in!F19)</f>
        <v>12122.347603275801</v>
      </c>
      <c r="G19" s="131">
        <f>IF(SER_hh_tes_in!G19=0,0,11630*1000*SER_hh_tes_in!G19/SER_hh_num_in!G19)</f>
        <v>12317.592957180026</v>
      </c>
      <c r="H19" s="131">
        <f>IF(SER_hh_tes_in!H19=0,0,11630*1000*SER_hh_tes_in!H19/SER_hh_num_in!H19)</f>
        <v>12792.050945018411</v>
      </c>
      <c r="I19" s="131">
        <f>IF(SER_hh_tes_in!I19=0,0,11630*1000*SER_hh_tes_in!I19/SER_hh_num_in!I19)</f>
        <v>13692.992582994433</v>
      </c>
      <c r="J19" s="131">
        <f>IF(SER_hh_tes_in!J19=0,0,11630*1000*SER_hh_tes_in!J19/SER_hh_num_in!J19)</f>
        <v>14036.201949082735</v>
      </c>
      <c r="K19" s="131">
        <f>IF(SER_hh_tes_in!K19=0,0,11630*1000*SER_hh_tes_in!K19/SER_hh_num_in!K19)</f>
        <v>14086.11053605798</v>
      </c>
      <c r="L19" s="131">
        <f>IF(SER_hh_tes_in!L19=0,0,11630*1000*SER_hh_tes_in!L19/SER_hh_num_in!L19)</f>
        <v>14191.343230255912</v>
      </c>
      <c r="M19" s="131">
        <f>IF(SER_hh_tes_in!M19=0,0,11630*1000*SER_hh_tes_in!M19/SER_hh_num_in!M19)</f>
        <v>14110.444140864551</v>
      </c>
      <c r="N19" s="131">
        <f>IF(SER_hh_tes_in!N19=0,0,11630*1000*SER_hh_tes_in!N19/SER_hh_num_in!N19)</f>
        <v>14331.973426541317</v>
      </c>
      <c r="O19" s="131">
        <f>IF(SER_hh_tes_in!O19=0,0,11630*1000*SER_hh_tes_in!O19/SER_hh_num_in!O19)</f>
        <v>14699.254678041198</v>
      </c>
      <c r="P19" s="131">
        <f>IF(SER_hh_tes_in!P19=0,0,11630*1000*SER_hh_tes_in!P19/SER_hh_num_in!P19)</f>
        <v>14475.338297399778</v>
      </c>
      <c r="Q19" s="131">
        <f>IF(SER_hh_tes_in!Q19=0,0,11630*1000*SER_hh_tes_in!Q19/SER_hh_num_in!Q19)</f>
        <v>14596.094966955039</v>
      </c>
      <c r="R19" s="131">
        <f>IF(SER_hh_tes_in!R19=0,0,11630*1000*SER_hh_tes_in!R19/SER_hh_num_in!R19)</f>
        <v>14668.350525760559</v>
      </c>
      <c r="S19" s="131">
        <f>IF(SER_hh_tes_in!S19=0,0,11630*1000*SER_hh_tes_in!S19/SER_hh_num_in!S19)</f>
        <v>14522.019603321378</v>
      </c>
      <c r="T19" s="131">
        <f>IF(SER_hh_tes_in!T19=0,0,11630*1000*SER_hh_tes_in!T19/SER_hh_num_in!T19)</f>
        <v>14231.146558978186</v>
      </c>
      <c r="U19" s="131">
        <f>IF(SER_hh_tes_in!U19=0,0,11630*1000*SER_hh_tes_in!U19/SER_hh_num_in!U19)</f>
        <v>14127.010211961735</v>
      </c>
      <c r="V19" s="131">
        <f>IF(SER_hh_tes_in!V19=0,0,11630*1000*SER_hh_tes_in!V19/SER_hh_num_in!V19)</f>
        <v>12906.598078553387</v>
      </c>
      <c r="W19" s="131">
        <f>IF(SER_hh_tes_in!W19=0,0,11630*1000*SER_hh_tes_in!W19/SER_hh_num_in!W19)</f>
        <v>13760.776305807369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9587.3476379359345</v>
      </c>
      <c r="D20" s="133">
        <f>IF(SER_hh_tes_in!D20=0,0,11630*1000*SER_hh_tes_in!D20/SER_hh_num_in!D20)</f>
        <v>11541.999953742123</v>
      </c>
      <c r="E20" s="133">
        <f>IF(SER_hh_tes_in!E20=0,0,11630*1000*SER_hh_tes_in!E20/SER_hh_num_in!E20)</f>
        <v>11605.255661201327</v>
      </c>
      <c r="F20" s="133">
        <f>IF(SER_hh_tes_in!F20=0,0,11630*1000*SER_hh_tes_in!F20/SER_hh_num_in!F20)</f>
        <v>12210.80781126484</v>
      </c>
      <c r="G20" s="133">
        <f>IF(SER_hh_tes_in!G20=0,0,11630*1000*SER_hh_tes_in!G20/SER_hh_num_in!G20)</f>
        <v>12416.491798629258</v>
      </c>
      <c r="H20" s="133">
        <f>IF(SER_hh_tes_in!H20=0,0,11630*1000*SER_hh_tes_in!H20/SER_hh_num_in!H20)</f>
        <v>11549.882601339559</v>
      </c>
      <c r="I20" s="133">
        <f>IF(SER_hh_tes_in!I20=0,0,11630*1000*SER_hh_tes_in!I20/SER_hh_num_in!I20)</f>
        <v>13847.164686473123</v>
      </c>
      <c r="J20" s="133">
        <f>IF(SER_hh_tes_in!J20=0,0,11630*1000*SER_hh_tes_in!J20/SER_hh_num_in!J20)</f>
        <v>13920.747774429981</v>
      </c>
      <c r="K20" s="133">
        <f>IF(SER_hh_tes_in!K20=0,0,11630*1000*SER_hh_tes_in!K20/SER_hh_num_in!K20)</f>
        <v>13878.486059396473</v>
      </c>
      <c r="L20" s="133">
        <f>IF(SER_hh_tes_in!L20=0,0,11630*1000*SER_hh_tes_in!L20/SER_hh_num_in!L20)</f>
        <v>14324.844449826074</v>
      </c>
      <c r="M20" s="133">
        <f>IF(SER_hh_tes_in!M20=0,0,11630*1000*SER_hh_tes_in!M20/SER_hh_num_in!M20)</f>
        <v>14184.832473543154</v>
      </c>
      <c r="N20" s="133">
        <f>IF(SER_hh_tes_in!N20=0,0,11630*1000*SER_hh_tes_in!N20/SER_hh_num_in!N20)</f>
        <v>14272.755114017018</v>
      </c>
      <c r="O20" s="133">
        <f>IF(SER_hh_tes_in!O20=0,0,11630*1000*SER_hh_tes_in!O20/SER_hh_num_in!O20)</f>
        <v>14565.281694313562</v>
      </c>
      <c r="P20" s="133">
        <f>IF(SER_hh_tes_in!P20=0,0,11630*1000*SER_hh_tes_in!P20/SER_hh_num_in!P20)</f>
        <v>14442.463517283792</v>
      </c>
      <c r="Q20" s="133">
        <f>IF(SER_hh_tes_in!Q20=0,0,11630*1000*SER_hh_tes_in!Q20/SER_hh_num_in!Q20)</f>
        <v>14506.462067435365</v>
      </c>
      <c r="R20" s="133">
        <f>IF(SER_hh_tes_in!R20=0,0,11630*1000*SER_hh_tes_in!R20/SER_hh_num_in!R20)</f>
        <v>16413.101668435302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10649.992174240107</v>
      </c>
      <c r="V20" s="133">
        <f>IF(SER_hh_tes_in!V20=0,0,11630*1000*SER_hh_tes_in!V20/SER_hh_num_in!V20)</f>
        <v>12491.96560132953</v>
      </c>
      <c r="W20" s="133">
        <f>IF(SER_hh_tes_in!W20=0,0,11630*1000*SER_hh_tes_in!W20/SER_hh_num_in!W20)</f>
        <v>17016.361353052635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9442.0844931081047</v>
      </c>
      <c r="D21" s="133">
        <f>IF(SER_hh_tes_in!D21=0,0,11630*1000*SER_hh_tes_in!D21/SER_hh_num_in!D21)</f>
        <v>9073.063412196876</v>
      </c>
      <c r="E21" s="133">
        <f>IF(SER_hh_tes_in!E21=0,0,11630*1000*SER_hh_tes_in!E21/SER_hh_num_in!E21)</f>
        <v>13782.030556185777</v>
      </c>
      <c r="F21" s="133">
        <f>IF(SER_hh_tes_in!F21=0,0,11630*1000*SER_hh_tes_in!F21/SER_hh_num_in!F21)</f>
        <v>12115.051142519249</v>
      </c>
      <c r="G21" s="133">
        <f>IF(SER_hh_tes_in!G21=0,0,11630*1000*SER_hh_tes_in!G21/SER_hh_num_in!G21)</f>
        <v>10638.917811771871</v>
      </c>
      <c r="H21" s="133">
        <f>IF(SER_hh_tes_in!H21=0,0,11630*1000*SER_hh_tes_in!H21/SER_hh_num_in!H21)</f>
        <v>13345.453510514266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12634.782343737283</v>
      </c>
      <c r="K21" s="133">
        <f>IF(SER_hh_tes_in!K21=0,0,11630*1000*SER_hh_tes_in!K21/SER_hh_num_in!K21)</f>
        <v>13347.209149079488</v>
      </c>
      <c r="L21" s="133">
        <f>IF(SER_hh_tes_in!L21=0,0,11630*1000*SER_hh_tes_in!L21/SER_hh_num_in!L21)</f>
        <v>13172.590538017948</v>
      </c>
      <c r="M21" s="133">
        <f>IF(SER_hh_tes_in!M21=0,0,11630*1000*SER_hh_tes_in!M21/SER_hh_num_in!M21)</f>
        <v>13362.129982571505</v>
      </c>
      <c r="N21" s="133">
        <f>IF(SER_hh_tes_in!N21=0,0,11630*1000*SER_hh_tes_in!N21/SER_hh_num_in!N21)</f>
        <v>17714.135961470991</v>
      </c>
      <c r="O21" s="133">
        <f>IF(SER_hh_tes_in!O21=0,0,11630*1000*SER_hh_tes_in!O21/SER_hh_num_in!O21)</f>
        <v>12193.240665724603</v>
      </c>
      <c r="P21" s="133">
        <f>IF(SER_hh_tes_in!P21=0,0,11630*1000*SER_hh_tes_in!P21/SER_hh_num_in!P21)</f>
        <v>14484.185689292683</v>
      </c>
      <c r="Q21" s="133">
        <f>IF(SER_hh_tes_in!Q21=0,0,11630*1000*SER_hh_tes_in!Q21/SER_hh_num_in!Q21)</f>
        <v>13990.127657792469</v>
      </c>
      <c r="R21" s="133">
        <f>IF(SER_hh_tes_in!R21=0,0,11630*1000*SER_hh_tes_in!R21/SER_hh_num_in!R21)</f>
        <v>14701.17483769369</v>
      </c>
      <c r="S21" s="133">
        <f>IF(SER_hh_tes_in!S21=0,0,11630*1000*SER_hh_tes_in!S21/SER_hh_num_in!S21)</f>
        <v>14812.068493837336</v>
      </c>
      <c r="T21" s="133">
        <f>IF(SER_hh_tes_in!T21=0,0,11630*1000*SER_hh_tes_in!T21/SER_hh_num_in!T21)</f>
        <v>13856.869815745191</v>
      </c>
      <c r="U21" s="133">
        <f>IF(SER_hh_tes_in!U21=0,0,11630*1000*SER_hh_tes_in!U21/SER_hh_num_in!U21)</f>
        <v>15922.444736258039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8568.6747638352372</v>
      </c>
      <c r="D22" s="133">
        <f>IF(SER_hh_tes_in!D22=0,0,11630*1000*SER_hh_tes_in!D22/SER_hh_num_in!D22)</f>
        <v>10432.627835955058</v>
      </c>
      <c r="E22" s="133">
        <f>IF(SER_hh_tes_in!E22=0,0,11630*1000*SER_hh_tes_in!E22/SER_hh_num_in!E22)</f>
        <v>11304.993993006647</v>
      </c>
      <c r="F22" s="133">
        <f>IF(SER_hh_tes_in!F22=0,0,11630*1000*SER_hh_tes_in!F22/SER_hh_num_in!F22)</f>
        <v>12054.566471667822</v>
      </c>
      <c r="G22" s="133">
        <f>IF(SER_hh_tes_in!G22=0,0,11630*1000*SER_hh_tes_in!G22/SER_hh_num_in!G22)</f>
        <v>11846.451875708393</v>
      </c>
      <c r="H22" s="133">
        <f>IF(SER_hh_tes_in!H22=0,0,11630*1000*SER_hh_tes_in!H22/SER_hh_num_in!H22)</f>
        <v>12712.537088018231</v>
      </c>
      <c r="I22" s="133">
        <f>IF(SER_hh_tes_in!I22=0,0,11630*1000*SER_hh_tes_in!I22/SER_hh_num_in!I22)</f>
        <v>13610.340129142984</v>
      </c>
      <c r="J22" s="133">
        <f>IF(SER_hh_tes_in!J22=0,0,11630*1000*SER_hh_tes_in!J22/SER_hh_num_in!J22)</f>
        <v>13933.294272466715</v>
      </c>
      <c r="K22" s="133">
        <f>IF(SER_hh_tes_in!K22=0,0,11630*1000*SER_hh_tes_in!K22/SER_hh_num_in!K22)</f>
        <v>13858.542029072394</v>
      </c>
      <c r="L22" s="133">
        <f>IF(SER_hh_tes_in!L22=0,0,11630*1000*SER_hh_tes_in!L22/SER_hh_num_in!L22)</f>
        <v>14046.40610965664</v>
      </c>
      <c r="M22" s="133">
        <f>IF(SER_hh_tes_in!M22=0,0,11630*1000*SER_hh_tes_in!M22/SER_hh_num_in!M22)</f>
        <v>14106.829966086869</v>
      </c>
      <c r="N22" s="133">
        <f>IF(SER_hh_tes_in!N22=0,0,11630*1000*SER_hh_tes_in!N22/SER_hh_num_in!N22)</f>
        <v>14124.715047411843</v>
      </c>
      <c r="O22" s="133">
        <f>IF(SER_hh_tes_in!O22=0,0,11630*1000*SER_hh_tes_in!O22/SER_hh_num_in!O22)</f>
        <v>14480.530771171027</v>
      </c>
      <c r="P22" s="133">
        <f>IF(SER_hh_tes_in!P22=0,0,11630*1000*SER_hh_tes_in!P22/SER_hh_num_in!P22)</f>
        <v>14272.61210659178</v>
      </c>
      <c r="Q22" s="133">
        <f>IF(SER_hh_tes_in!Q22=0,0,11630*1000*SER_hh_tes_in!Q22/SER_hh_num_in!Q22)</f>
        <v>14413.4170616758</v>
      </c>
      <c r="R22" s="133">
        <f>IF(SER_hh_tes_in!R22=0,0,11630*1000*SER_hh_tes_in!R22/SER_hh_num_in!R22)</f>
        <v>14289.632880579602</v>
      </c>
      <c r="S22" s="133">
        <f>IF(SER_hh_tes_in!S22=0,0,11630*1000*SER_hh_tes_in!S22/SER_hh_num_in!S22)</f>
        <v>15050.3396321326</v>
      </c>
      <c r="T22" s="133">
        <f>IF(SER_hh_tes_in!T22=0,0,11630*1000*SER_hh_tes_in!T22/SER_hh_num_in!T22)</f>
        <v>14442.362968430256</v>
      </c>
      <c r="U22" s="133">
        <f>IF(SER_hh_tes_in!U22=0,0,11630*1000*SER_hh_tes_in!U22/SER_hh_num_in!U22)</f>
        <v>12507.671895503592</v>
      </c>
      <c r="V22" s="133">
        <f>IF(SER_hh_tes_in!V22=0,0,11630*1000*SER_hh_tes_in!V22/SER_hh_num_in!V22)</f>
        <v>12842.138638991653</v>
      </c>
      <c r="W22" s="133">
        <f>IF(SER_hh_tes_in!W22=0,0,11630*1000*SER_hh_tes_in!W22/SER_hh_num_in!W22)</f>
        <v>14661.16054861743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8930.0751558130814</v>
      </c>
      <c r="D23" s="133">
        <f>IF(SER_hh_tes_in!D23=0,0,11630*1000*SER_hh_tes_in!D23/SER_hh_num_in!D23)</f>
        <v>10002.858675317439</v>
      </c>
      <c r="E23" s="133">
        <f>IF(SER_hh_tes_in!E23=0,0,11630*1000*SER_hh_tes_in!E23/SER_hh_num_in!E23)</f>
        <v>12040.157792747859</v>
      </c>
      <c r="F23" s="133">
        <f>IF(SER_hh_tes_in!F23=0,0,11630*1000*SER_hh_tes_in!F23/SER_hh_num_in!F23)</f>
        <v>12065.28803370941</v>
      </c>
      <c r="G23" s="133">
        <f>IF(SER_hh_tes_in!G23=0,0,11630*1000*SER_hh_tes_in!G23/SER_hh_num_in!G23)</f>
        <v>12341.814610061811</v>
      </c>
      <c r="H23" s="133">
        <f>IF(SER_hh_tes_in!H23=0,0,11630*1000*SER_hh_tes_in!H23/SER_hh_num_in!H23)</f>
        <v>12741.081868685935</v>
      </c>
      <c r="I23" s="133">
        <f>IF(SER_hh_tes_in!I23=0,0,11630*1000*SER_hh_tes_in!I23/SER_hh_num_in!I23)</f>
        <v>13389.734318584708</v>
      </c>
      <c r="J23" s="133">
        <f>IF(SER_hh_tes_in!J23=0,0,11630*1000*SER_hh_tes_in!J23/SER_hh_num_in!J23)</f>
        <v>13921.257418600793</v>
      </c>
      <c r="K23" s="133">
        <f>IF(SER_hh_tes_in!K23=0,0,11630*1000*SER_hh_tes_in!K23/SER_hh_num_in!K23)</f>
        <v>13672.66275507132</v>
      </c>
      <c r="L23" s="133">
        <f>IF(SER_hh_tes_in!L23=0,0,11630*1000*SER_hh_tes_in!L23/SER_hh_num_in!L23)</f>
        <v>14076.347713218454</v>
      </c>
      <c r="M23" s="133">
        <f>IF(SER_hh_tes_in!M23=0,0,11630*1000*SER_hh_tes_in!M23/SER_hh_num_in!M23)</f>
        <v>14210.970674413351</v>
      </c>
      <c r="N23" s="133">
        <f>IF(SER_hh_tes_in!N23=0,0,11630*1000*SER_hh_tes_in!N23/SER_hh_num_in!N23)</f>
        <v>14046.915076612257</v>
      </c>
      <c r="O23" s="133">
        <f>IF(SER_hh_tes_in!O23=0,0,11630*1000*SER_hh_tes_in!O23/SER_hh_num_in!O23)</f>
        <v>14397.938231550166</v>
      </c>
      <c r="P23" s="133">
        <f>IF(SER_hh_tes_in!P23=0,0,11630*1000*SER_hh_tes_in!P23/SER_hh_num_in!P23)</f>
        <v>14473.828518169461</v>
      </c>
      <c r="Q23" s="133">
        <f>IF(SER_hh_tes_in!Q23=0,0,11630*1000*SER_hh_tes_in!Q23/SER_hh_num_in!Q23)</f>
        <v>14764.342869519787</v>
      </c>
      <c r="R23" s="133">
        <f>IF(SER_hh_tes_in!R23=0,0,11630*1000*SER_hh_tes_in!R23/SER_hh_num_in!R23)</f>
        <v>15595.777216612087</v>
      </c>
      <c r="S23" s="133">
        <f>IF(SER_hh_tes_in!S23=0,0,11630*1000*SER_hh_tes_in!S23/SER_hh_num_in!S23)</f>
        <v>0</v>
      </c>
      <c r="T23" s="133">
        <f>IF(SER_hh_tes_in!T23=0,0,11630*1000*SER_hh_tes_in!T23/SER_hh_num_in!T23)</f>
        <v>0</v>
      </c>
      <c r="U23" s="133">
        <f>IF(SER_hh_tes_in!U23=0,0,11630*1000*SER_hh_tes_in!U23/SER_hh_num_in!U23)</f>
        <v>13110.587745715105</v>
      </c>
      <c r="V23" s="133">
        <f>IF(SER_hh_tes_in!V23=0,0,11630*1000*SER_hh_tes_in!V23/SER_hh_num_in!V23)</f>
        <v>11729.665587768866</v>
      </c>
      <c r="W23" s="133">
        <f>IF(SER_hh_tes_in!W23=0,0,11630*1000*SER_hh_tes_in!W23/SER_hh_num_in!W23)</f>
        <v>16055.57415500871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8559.7104845219055</v>
      </c>
      <c r="D24" s="133">
        <f>IF(SER_hh_tes_in!D24=0,0,11630*1000*SER_hh_tes_in!D24/SER_hh_num_in!D24)</f>
        <v>10655.064663957353</v>
      </c>
      <c r="E24" s="133">
        <f>IF(SER_hh_tes_in!E24=0,0,11630*1000*SER_hh_tes_in!E24/SER_hh_num_in!E24)</f>
        <v>11200.402163236125</v>
      </c>
      <c r="F24" s="133">
        <f>IF(SER_hh_tes_in!F24=0,0,11630*1000*SER_hh_tes_in!F24/SER_hh_num_in!F24)</f>
        <v>11585.945312665401</v>
      </c>
      <c r="G24" s="133">
        <f>IF(SER_hh_tes_in!G24=0,0,11630*1000*SER_hh_tes_in!G24/SER_hh_num_in!G24)</f>
        <v>11459.931338098586</v>
      </c>
      <c r="H24" s="133">
        <f>IF(SER_hh_tes_in!H24=0,0,11630*1000*SER_hh_tes_in!H24/SER_hh_num_in!H24)</f>
        <v>12436.558444250715</v>
      </c>
      <c r="I24" s="133">
        <f>IF(SER_hh_tes_in!I24=0,0,11630*1000*SER_hh_tes_in!I24/SER_hh_num_in!I24)</f>
        <v>13921.562319417484</v>
      </c>
      <c r="J24" s="133">
        <f>IF(SER_hh_tes_in!J24=0,0,11630*1000*SER_hh_tes_in!J24/SER_hh_num_in!J24)</f>
        <v>14285.347265235872</v>
      </c>
      <c r="K24" s="133">
        <f>IF(SER_hh_tes_in!K24=0,0,11630*1000*SER_hh_tes_in!K24/SER_hh_num_in!K24)</f>
        <v>14143.487342751569</v>
      </c>
      <c r="L24" s="133">
        <f>IF(SER_hh_tes_in!L24=0,0,11630*1000*SER_hh_tes_in!L24/SER_hh_num_in!L24)</f>
        <v>13693.393428404215</v>
      </c>
      <c r="M24" s="133">
        <f>IF(SER_hh_tes_in!M24=0,0,11630*1000*SER_hh_tes_in!M24/SER_hh_num_in!M24)</f>
        <v>14029.721574805637</v>
      </c>
      <c r="N24" s="133">
        <f>IF(SER_hh_tes_in!N24=0,0,11630*1000*SER_hh_tes_in!N24/SER_hh_num_in!N24)</f>
        <v>14252.80299931433</v>
      </c>
      <c r="O24" s="133">
        <f>IF(SER_hh_tes_in!O24=0,0,11630*1000*SER_hh_tes_in!O24/SER_hh_num_in!O24)</f>
        <v>14373.983372347258</v>
      </c>
      <c r="P24" s="133">
        <f>IF(SER_hh_tes_in!P24=0,0,11630*1000*SER_hh_tes_in!P24/SER_hh_num_in!P24)</f>
        <v>13940.181544596446</v>
      </c>
      <c r="Q24" s="133">
        <f>IF(SER_hh_tes_in!Q24=0,0,11630*1000*SER_hh_tes_in!Q24/SER_hh_num_in!Q24)</f>
        <v>14131.246774172725</v>
      </c>
      <c r="R24" s="133">
        <f>IF(SER_hh_tes_in!R24=0,0,11630*1000*SER_hh_tes_in!R24/SER_hh_num_in!R24)</f>
        <v>15203.079033939473</v>
      </c>
      <c r="S24" s="133">
        <f>IF(SER_hh_tes_in!S24=0,0,11630*1000*SER_hh_tes_in!S24/SER_hh_num_in!S24)</f>
        <v>15197.176370830824</v>
      </c>
      <c r="T24" s="133">
        <f>IF(SER_hh_tes_in!T24=0,0,11630*1000*SER_hh_tes_in!T24/SER_hh_num_in!T24)</f>
        <v>13159.104472418549</v>
      </c>
      <c r="U24" s="133">
        <f>IF(SER_hh_tes_in!U24=0,0,11630*1000*SER_hh_tes_in!U24/SER_hh_num_in!U24)</f>
        <v>12573.213781288257</v>
      </c>
      <c r="V24" s="133">
        <f>IF(SER_hh_tes_in!V24=0,0,11630*1000*SER_hh_tes_in!V24/SER_hh_num_in!V24)</f>
        <v>13204.961485556818</v>
      </c>
      <c r="W24" s="133">
        <f>IF(SER_hh_tes_in!W24=0,0,11630*1000*SER_hh_tes_in!W24/SER_hh_num_in!W24)</f>
        <v>14242.272560378025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8784.7039934491368</v>
      </c>
      <c r="D25" s="133">
        <f>IF(SER_hh_tes_in!D25=0,0,11630*1000*SER_hh_tes_in!D25/SER_hh_num_in!D25)</f>
        <v>10244.766230237808</v>
      </c>
      <c r="E25" s="133">
        <f>IF(SER_hh_tes_in!E25=0,0,11630*1000*SER_hh_tes_in!E25/SER_hh_num_in!E25)</f>
        <v>10720.765445556868</v>
      </c>
      <c r="F25" s="133">
        <f>IF(SER_hh_tes_in!F25=0,0,11630*1000*SER_hh_tes_in!F25/SER_hh_num_in!F25)</f>
        <v>12494.318771497055</v>
      </c>
      <c r="G25" s="133">
        <f>IF(SER_hh_tes_in!G25=0,0,11630*1000*SER_hh_tes_in!G25/SER_hh_num_in!G25)</f>
        <v>12500.574454389074</v>
      </c>
      <c r="H25" s="133">
        <f>IF(SER_hh_tes_in!H25=0,0,11630*1000*SER_hh_tes_in!H25/SER_hh_num_in!H25)</f>
        <v>12920.192219038312</v>
      </c>
      <c r="I25" s="133">
        <f>IF(SER_hh_tes_in!I25=0,0,11630*1000*SER_hh_tes_in!I25/SER_hh_num_in!I25)</f>
        <v>13523.185242750249</v>
      </c>
      <c r="J25" s="133">
        <f>IF(SER_hh_tes_in!J25=0,0,11630*1000*SER_hh_tes_in!J25/SER_hh_num_in!J25)</f>
        <v>13891.812227392442</v>
      </c>
      <c r="K25" s="133">
        <f>IF(SER_hh_tes_in!K25=0,0,11630*1000*SER_hh_tes_in!K25/SER_hh_num_in!K25)</f>
        <v>14069.523615105551</v>
      </c>
      <c r="L25" s="133">
        <f>IF(SER_hh_tes_in!L25=0,0,11630*1000*SER_hh_tes_in!L25/SER_hh_num_in!L25)</f>
        <v>13603.029478477474</v>
      </c>
      <c r="M25" s="133">
        <f>IF(SER_hh_tes_in!M25=0,0,11630*1000*SER_hh_tes_in!M25/SER_hh_num_in!M25)</f>
        <v>13910.901466300798</v>
      </c>
      <c r="N25" s="133">
        <f>IF(SER_hh_tes_in!N25=0,0,11630*1000*SER_hh_tes_in!N25/SER_hh_num_in!N25)</f>
        <v>14090.227987814316</v>
      </c>
      <c r="O25" s="133">
        <f>IF(SER_hh_tes_in!O25=0,0,11630*1000*SER_hh_tes_in!O25/SER_hh_num_in!O25)</f>
        <v>14660.034352508195</v>
      </c>
      <c r="P25" s="133">
        <f>IF(SER_hh_tes_in!P25=0,0,11630*1000*SER_hh_tes_in!P25/SER_hh_num_in!P25)</f>
        <v>14269.109975551466</v>
      </c>
      <c r="Q25" s="133">
        <f>IF(SER_hh_tes_in!Q25=0,0,11630*1000*SER_hh_tes_in!Q25/SER_hh_num_in!Q25)</f>
        <v>13923.481136404616</v>
      </c>
      <c r="R25" s="133">
        <f>IF(SER_hh_tes_in!R25=0,0,11630*1000*SER_hh_tes_in!R25/SER_hh_num_in!R25)</f>
        <v>14264.220536596167</v>
      </c>
      <c r="S25" s="133">
        <f>IF(SER_hh_tes_in!S25=0,0,11630*1000*SER_hh_tes_in!S25/SER_hh_num_in!S25)</f>
        <v>16323.129687690898</v>
      </c>
      <c r="T25" s="133">
        <f>IF(SER_hh_tes_in!T25=0,0,11630*1000*SER_hh_tes_in!T25/SER_hh_num_in!T25)</f>
        <v>13453.318914275476</v>
      </c>
      <c r="U25" s="133">
        <f>IF(SER_hh_tes_in!U25=0,0,11630*1000*SER_hh_tes_in!U25/SER_hh_num_in!U25)</f>
        <v>13612.773384874501</v>
      </c>
      <c r="V25" s="133">
        <f>IF(SER_hh_tes_in!V25=0,0,11630*1000*SER_hh_tes_in!V25/SER_hh_num_in!V25)</f>
        <v>13906.576554935935</v>
      </c>
      <c r="W25" s="133">
        <f>IF(SER_hh_tes_in!W25=0,0,11630*1000*SER_hh_tes_in!W25/SER_hh_num_in!W25)</f>
        <v>11741.416726199097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8416.1095072454409</v>
      </c>
      <c r="D26" s="65">
        <f>IF(SER_hh_tes_in!D26=0,0,11630*1000*SER_hh_tes_in!D26/SER_hh_num_in!D26)</f>
        <v>9961.3773891891869</v>
      </c>
      <c r="E26" s="65">
        <f>IF(SER_hh_tes_in!E26=0,0,11630*1000*SER_hh_tes_in!E26/SER_hh_num_in!E26)</f>
        <v>10345.494089466827</v>
      </c>
      <c r="F26" s="65">
        <f>IF(SER_hh_tes_in!F26=0,0,11630*1000*SER_hh_tes_in!F26/SER_hh_num_in!F26)</f>
        <v>11649.150519467035</v>
      </c>
      <c r="G26" s="65">
        <f>IF(SER_hh_tes_in!G26=0,0,11630*1000*SER_hh_tes_in!G26/SER_hh_num_in!G26)</f>
        <v>12146.470635804617</v>
      </c>
      <c r="H26" s="65">
        <f>IF(SER_hh_tes_in!H26=0,0,11630*1000*SER_hh_tes_in!H26/SER_hh_num_in!H26)</f>
        <v>12635.562997113502</v>
      </c>
      <c r="I26" s="65">
        <f>IF(SER_hh_tes_in!I26=0,0,11630*1000*SER_hh_tes_in!I26/SER_hh_num_in!I26)</f>
        <v>13696.528785087725</v>
      </c>
      <c r="J26" s="65">
        <f>IF(SER_hh_tes_in!J26=0,0,11630*1000*SER_hh_tes_in!J26/SER_hh_num_in!J26)</f>
        <v>12962.062718563599</v>
      </c>
      <c r="K26" s="65">
        <f>IF(SER_hh_tes_in!K26=0,0,11630*1000*SER_hh_tes_in!K26/SER_hh_num_in!K26)</f>
        <v>13214.321198985845</v>
      </c>
      <c r="L26" s="65">
        <f>IF(SER_hh_tes_in!L26=0,0,11630*1000*SER_hh_tes_in!L26/SER_hh_num_in!L26)</f>
        <v>8020.1890878934992</v>
      </c>
      <c r="M26" s="65">
        <f>IF(SER_hh_tes_in!M26=0,0,11630*1000*SER_hh_tes_in!M26/SER_hh_num_in!M26)</f>
        <v>12954.248292311873</v>
      </c>
      <c r="N26" s="65">
        <f>IF(SER_hh_tes_in!N26=0,0,11630*1000*SER_hh_tes_in!N26/SER_hh_num_in!N26)</f>
        <v>12660.88298148335</v>
      </c>
      <c r="O26" s="65">
        <f>IF(SER_hh_tes_in!O26=0,0,11630*1000*SER_hh_tes_in!O26/SER_hh_num_in!O26)</f>
        <v>13241.004630917938</v>
      </c>
      <c r="P26" s="65">
        <f>IF(SER_hh_tes_in!P26=0,0,11630*1000*SER_hh_tes_in!P26/SER_hh_num_in!P26)</f>
        <v>13653.857451162432</v>
      </c>
      <c r="Q26" s="65">
        <f>IF(SER_hh_tes_in!Q26=0,0,11630*1000*SER_hh_tes_in!Q26/SER_hh_num_in!Q26)</f>
        <v>12402.596266504415</v>
      </c>
      <c r="R26" s="65">
        <f>IF(SER_hh_tes_in!R26=0,0,11630*1000*SER_hh_tes_in!R26/SER_hh_num_in!R26)</f>
        <v>13781.026712644096</v>
      </c>
      <c r="S26" s="65">
        <f>IF(SER_hh_tes_in!S26=0,0,11630*1000*SER_hh_tes_in!S26/SER_hh_num_in!S26)</f>
        <v>13557.155270902726</v>
      </c>
      <c r="T26" s="65">
        <f>IF(SER_hh_tes_in!T26=0,0,11630*1000*SER_hh_tes_in!T26/SER_hh_num_in!T26)</f>
        <v>12741.896039693058</v>
      </c>
      <c r="U26" s="65">
        <f>IF(SER_hh_tes_in!U26=0,0,11630*1000*SER_hh_tes_in!U26/SER_hh_num_in!U26)</f>
        <v>14288.236908446743</v>
      </c>
      <c r="V26" s="65">
        <f>IF(SER_hh_tes_in!V26=0,0,11630*1000*SER_hh_tes_in!V26/SER_hh_num_in!V26)</f>
        <v>12529.74319755662</v>
      </c>
      <c r="W26" s="65">
        <f>IF(SER_hh_tes_in!W26=0,0,11630*1000*SER_hh_tes_in!W26/SER_hh_num_in!W26)</f>
        <v>13658.898577210197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105.8914298880789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74.526011772421271</v>
      </c>
      <c r="G27" s="146">
        <f>IF(SER_hh_tes_in!G27=0,0,11630*1000*SER_hh_tes_in!G27/SER_hh_num_in!G19)</f>
        <v>59.017100687347636</v>
      </c>
      <c r="H27" s="146">
        <f>IF(SER_hh_tes_in!H27=0,0,11630*1000*SER_hh_tes_in!H27/SER_hh_num_in!H19)</f>
        <v>86.833598484621803</v>
      </c>
      <c r="I27" s="146">
        <f>IF(SER_hh_tes_in!I27=0,0,11630*1000*SER_hh_tes_in!I27/SER_hh_num_in!I19)</f>
        <v>55.543306793036244</v>
      </c>
      <c r="J27" s="146">
        <f>IF(SER_hh_tes_in!J27=0,0,11630*1000*SER_hh_tes_in!J27/SER_hh_num_in!J19)</f>
        <v>668.51233503886056</v>
      </c>
      <c r="K27" s="146">
        <f>IF(SER_hh_tes_in!K27=0,0,11630*1000*SER_hh_tes_in!K27/SER_hh_num_in!K19)</f>
        <v>576.09998613331209</v>
      </c>
      <c r="L27" s="146">
        <f>IF(SER_hh_tes_in!L27=0,0,11630*1000*SER_hh_tes_in!L27/SER_hh_num_in!L19)</f>
        <v>2058.7292441329273</v>
      </c>
      <c r="M27" s="146">
        <f>IF(SER_hh_tes_in!M27=0,0,11630*1000*SER_hh_tes_in!M27/SER_hh_num_in!M19)</f>
        <v>675.91819475672719</v>
      </c>
      <c r="N27" s="146">
        <f>IF(SER_hh_tes_in!N27=0,0,11630*1000*SER_hh_tes_in!N27/SER_hh_num_in!N19)</f>
        <v>648.23265458787205</v>
      </c>
      <c r="O27" s="146">
        <f>IF(SER_hh_tes_in!O27=0,0,11630*1000*SER_hh_tes_in!O27/SER_hh_num_in!O19)</f>
        <v>936.60734059671427</v>
      </c>
      <c r="P27" s="146">
        <f>IF(SER_hh_tes_in!P27=0,0,11630*1000*SER_hh_tes_in!P27/SER_hh_num_in!P19)</f>
        <v>518.20563914294803</v>
      </c>
      <c r="Q27" s="146">
        <f>IF(SER_hh_tes_in!Q27=0,0,11630*1000*SER_hh_tes_in!Q27/SER_hh_num_in!Q19)</f>
        <v>1246.2550539670374</v>
      </c>
      <c r="R27" s="146">
        <f>IF(SER_hh_tes_in!R27=0,0,11630*1000*SER_hh_tes_in!R27/SER_hh_num_in!R19)</f>
        <v>428.59214998489432</v>
      </c>
      <c r="S27" s="146">
        <f>IF(SER_hh_tes_in!S27=0,0,11630*1000*SER_hh_tes_in!S27/SER_hh_num_in!S19)</f>
        <v>193.27369661113838</v>
      </c>
      <c r="T27" s="146">
        <f>IF(SER_hh_tes_in!T27=0,0,11630*1000*SER_hh_tes_in!T27/SER_hh_num_in!T19)</f>
        <v>1259.8302449791388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182.3057852493059</v>
      </c>
      <c r="W27" s="146">
        <f>IF(SER_hh_tes_in!W27=0,0,11630*1000*SER_hh_tes_in!W27/SER_hh_num_in!W19)</f>
        <v>9.1219925872614658E-3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5320.6142181608348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6104.4337770689581</v>
      </c>
      <c r="G28" s="147">
        <f>IF(SER_hh_tes_in!G27=0,0,11630*1000*SER_hh_tes_in!G27/SER_hh_num_in!G27)</f>
        <v>6170.1458213427413</v>
      </c>
      <c r="H28" s="147">
        <f>IF(SER_hh_tes_in!H27=0,0,11630*1000*SER_hh_tes_in!H27/SER_hh_num_in!H27)</f>
        <v>6507.2753829379335</v>
      </c>
      <c r="I28" s="147">
        <f>IF(SER_hh_tes_in!I27=0,0,11630*1000*SER_hh_tes_in!I27/SER_hh_num_in!I27)</f>
        <v>6923.7113397529656</v>
      </c>
      <c r="J28" s="147">
        <f>IF(SER_hh_tes_in!J27=0,0,11630*1000*SER_hh_tes_in!J27/SER_hh_num_in!J27)</f>
        <v>7150.4128828272433</v>
      </c>
      <c r="K28" s="147">
        <f>IF(SER_hh_tes_in!K27=0,0,11630*1000*SER_hh_tes_in!K27/SER_hh_num_in!K27)</f>
        <v>7257.6652193071059</v>
      </c>
      <c r="L28" s="147">
        <f>IF(SER_hh_tes_in!L27=0,0,11630*1000*SER_hh_tes_in!L27/SER_hh_num_in!L27)</f>
        <v>6971.0260462776569</v>
      </c>
      <c r="M28" s="147">
        <f>IF(SER_hh_tes_in!M27=0,0,11630*1000*SER_hh_tes_in!M27/SER_hh_num_in!M27)</f>
        <v>7248.8628993551392</v>
      </c>
      <c r="N28" s="147">
        <f>IF(SER_hh_tes_in!N27=0,0,11630*1000*SER_hh_tes_in!N27/SER_hh_num_in!N27)</f>
        <v>7633.3629214526827</v>
      </c>
      <c r="O28" s="147">
        <f>IF(SER_hh_tes_in!O27=0,0,11630*1000*SER_hh_tes_in!O27/SER_hh_num_in!O27)</f>
        <v>7590.5279007679455</v>
      </c>
      <c r="P28" s="147">
        <f>IF(SER_hh_tes_in!P27=0,0,11630*1000*SER_hh_tes_in!P27/SER_hh_num_in!P27)</f>
        <v>7639.4570276760296</v>
      </c>
      <c r="Q28" s="147">
        <f>IF(SER_hh_tes_in!Q27=0,0,11630*1000*SER_hh_tes_in!Q27/SER_hh_num_in!Q27)</f>
        <v>7632.5322341810979</v>
      </c>
      <c r="R28" s="147">
        <f>IF(SER_hh_tes_in!R27=0,0,11630*1000*SER_hh_tes_in!R27/SER_hh_num_in!R27)</f>
        <v>7800.7853470917507</v>
      </c>
      <c r="S28" s="147">
        <f>IF(SER_hh_tes_in!S27=0,0,11630*1000*SER_hh_tes_in!S27/SER_hh_num_in!S27)</f>
        <v>7965.4275594819846</v>
      </c>
      <c r="T28" s="147">
        <f>IF(SER_hh_tes_in!T27=0,0,11630*1000*SER_hh_tes_in!T27/SER_hh_num_in!T27)</f>
        <v>6571.8336224989107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6675.2659744568155</v>
      </c>
      <c r="W28" s="147">
        <f>IF(SER_hh_tes_in!W27=0,0,11630*1000*SER_hh_tes_in!W27/SER_hh_num_in!W27)</f>
        <v>7407.0222131200499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12601.382421520591</v>
      </c>
      <c r="D29" s="131">
        <f>IF(SER_hh_tes_in!D29=0,0,11630*1000*SER_hh_tes_in!D29/SER_hh_num_in!D29)</f>
        <v>13959.622911908347</v>
      </c>
      <c r="E29" s="131">
        <f>IF(SER_hh_tes_in!E29=0,0,11630*1000*SER_hh_tes_in!E29/SER_hh_num_in!E29)</f>
        <v>15752.293974104707</v>
      </c>
      <c r="F29" s="131">
        <f>IF(SER_hh_tes_in!F29=0,0,11630*1000*SER_hh_tes_in!F29/SER_hh_num_in!F29)</f>
        <v>15774.775151810267</v>
      </c>
      <c r="G29" s="131">
        <f>IF(SER_hh_tes_in!G29=0,0,11630*1000*SER_hh_tes_in!G29/SER_hh_num_in!G29)</f>
        <v>16000.297702857588</v>
      </c>
      <c r="H29" s="131">
        <f>IF(SER_hh_tes_in!H29=0,0,11630*1000*SER_hh_tes_in!H29/SER_hh_num_in!H29)</f>
        <v>16263.197598848805</v>
      </c>
      <c r="I29" s="131">
        <f>IF(SER_hh_tes_in!I29=0,0,11630*1000*SER_hh_tes_in!I29/SER_hh_num_in!I29)</f>
        <v>16908.244284404991</v>
      </c>
      <c r="J29" s="131">
        <f>IF(SER_hh_tes_in!J29=0,0,11630*1000*SER_hh_tes_in!J29/SER_hh_num_in!J29)</f>
        <v>17259.549918600813</v>
      </c>
      <c r="K29" s="131">
        <f>IF(SER_hh_tes_in!K29=0,0,11630*1000*SER_hh_tes_in!K29/SER_hh_num_in!K29)</f>
        <v>16954.076634161283</v>
      </c>
      <c r="L29" s="131">
        <f>IF(SER_hh_tes_in!L29=0,0,11630*1000*SER_hh_tes_in!L29/SER_hh_num_in!L29)</f>
        <v>17125.233763512242</v>
      </c>
      <c r="M29" s="131">
        <f>IF(SER_hh_tes_in!M29=0,0,11630*1000*SER_hh_tes_in!M29/SER_hh_num_in!M29)</f>
        <v>17134.112603668746</v>
      </c>
      <c r="N29" s="131">
        <f>IF(SER_hh_tes_in!N29=0,0,11630*1000*SER_hh_tes_in!N29/SER_hh_num_in!N29)</f>
        <v>16929.826739013119</v>
      </c>
      <c r="O29" s="131">
        <f>IF(SER_hh_tes_in!O29=0,0,11630*1000*SER_hh_tes_in!O29/SER_hh_num_in!O29)</f>
        <v>16829.770224269178</v>
      </c>
      <c r="P29" s="131">
        <f>IF(SER_hh_tes_in!P29=0,0,11630*1000*SER_hh_tes_in!P29/SER_hh_num_in!P29)</f>
        <v>16669.670083122452</v>
      </c>
      <c r="Q29" s="131">
        <f>IF(SER_hh_tes_in!Q29=0,0,11630*1000*SER_hh_tes_in!Q29/SER_hh_num_in!Q29)</f>
        <v>16576.500747367849</v>
      </c>
      <c r="R29" s="131">
        <f>IF(SER_hh_tes_in!R29=0,0,11630*1000*SER_hh_tes_in!R29/SER_hh_num_in!R29)</f>
        <v>16530.805382060411</v>
      </c>
      <c r="S29" s="131">
        <f>IF(SER_hh_tes_in!S29=0,0,11630*1000*SER_hh_tes_in!S29/SER_hh_num_in!S29)</f>
        <v>16144.305585978729</v>
      </c>
      <c r="T29" s="131">
        <f>IF(SER_hh_tes_in!T29=0,0,11630*1000*SER_hh_tes_in!T29/SER_hh_num_in!T29)</f>
        <v>16214.681647164512</v>
      </c>
      <c r="U29" s="131">
        <f>IF(SER_hh_tes_in!U29=0,0,11630*1000*SER_hh_tes_in!U29/SER_hh_num_in!U29)</f>
        <v>16051.974907889609</v>
      </c>
      <c r="V29" s="131">
        <f>IF(SER_hh_tes_in!V29=0,0,11630*1000*SER_hh_tes_in!V29/SER_hh_num_in!V29)</f>
        <v>15155.698505150893</v>
      </c>
      <c r="W29" s="131">
        <f>IF(SER_hh_tes_in!W29=0,0,11630*1000*SER_hh_tes_in!W29/SER_hh_num_in!W29)</f>
        <v>15409.951516628244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14927.900545693674</v>
      </c>
      <c r="D30" s="133">
        <f>IF(SER_hh_tes_in!D30=0,0,11630*1000*SER_hh_tes_in!D30/SER_hh_num_in!D30)</f>
        <v>12217.606794049547</v>
      </c>
      <c r="E30" s="133">
        <f>IF(SER_hh_tes_in!E30=0,0,11630*1000*SER_hh_tes_in!E30/SER_hh_num_in!E30)</f>
        <v>17871.769805565036</v>
      </c>
      <c r="F30" s="133">
        <f>IF(SER_hh_tes_in!F30=0,0,11630*1000*SER_hh_tes_in!F30/SER_hh_num_in!F30)</f>
        <v>16105.921977629427</v>
      </c>
      <c r="G30" s="133">
        <f>IF(SER_hh_tes_in!G30=0,0,11630*1000*SER_hh_tes_in!G30/SER_hh_num_in!G30)</f>
        <v>15536.969336023916</v>
      </c>
      <c r="H30" s="133">
        <f>IF(SER_hh_tes_in!H30=0,0,11630*1000*SER_hh_tes_in!H30/SER_hh_num_in!H30)</f>
        <v>17373.738327254989</v>
      </c>
      <c r="I30" s="133">
        <f>IF(SER_hh_tes_in!I30=0,0,11630*1000*SER_hh_tes_in!I30/SER_hh_num_in!I30)</f>
        <v>18480.302890292824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0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16848.281922836311</v>
      </c>
      <c r="O30" s="133">
        <f>IF(SER_hh_tes_in!O30=0,0,11630*1000*SER_hh_tes_in!O30/SER_hh_num_in!O30)</f>
        <v>17288.044315038063</v>
      </c>
      <c r="P30" s="133">
        <f>IF(SER_hh_tes_in!P30=0,0,11630*1000*SER_hh_tes_in!P30/SER_hh_num_in!P30)</f>
        <v>14951.334014311151</v>
      </c>
      <c r="Q30" s="133">
        <f>IF(SER_hh_tes_in!Q30=0,0,11630*1000*SER_hh_tes_in!Q30/SER_hh_num_in!Q30)</f>
        <v>16548.449949381771</v>
      </c>
      <c r="R30" s="133">
        <f>IF(SER_hh_tes_in!R30=0,0,11630*1000*SER_hh_tes_in!R30/SER_hh_num_in!R30)</f>
        <v>17072.868988397793</v>
      </c>
      <c r="S30" s="133">
        <f>IF(SER_hh_tes_in!S30=0,0,11630*1000*SER_hh_tes_in!S30/SER_hh_num_in!S30)</f>
        <v>16579.534106287447</v>
      </c>
      <c r="T30" s="133">
        <f>IF(SER_hh_tes_in!T30=0,0,11630*1000*SER_hh_tes_in!T30/SER_hh_num_in!T30)</f>
        <v>15820.655213988239</v>
      </c>
      <c r="U30" s="133">
        <f>IF(SER_hh_tes_in!U30=0,0,11630*1000*SER_hh_tes_in!U30/SER_hh_num_in!U30)</f>
        <v>18479.545090797405</v>
      </c>
      <c r="V30" s="133">
        <f>IF(SER_hh_tes_in!V30=0,0,11630*1000*SER_hh_tes_in!V30/SER_hh_num_in!V30)</f>
        <v>12884.304680698626</v>
      </c>
      <c r="W30" s="133">
        <f>IF(SER_hh_tes_in!W30=0,0,11630*1000*SER_hh_tes_in!W30/SER_hh_num_in!W30)</f>
        <v>12603.492747632492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12473.540761573619</v>
      </c>
      <c r="D31" s="133">
        <f>IF(SER_hh_tes_in!D31=0,0,11630*1000*SER_hh_tes_in!D31/SER_hh_num_in!D31)</f>
        <v>14099.086429300607</v>
      </c>
      <c r="E31" s="133">
        <f>IF(SER_hh_tes_in!E31=0,0,11630*1000*SER_hh_tes_in!E31/SER_hh_num_in!E31)</f>
        <v>15463.15719429865</v>
      </c>
      <c r="F31" s="133">
        <f>IF(SER_hh_tes_in!F31=0,0,11630*1000*SER_hh_tes_in!F31/SER_hh_num_in!F31)</f>
        <v>15436.546239061987</v>
      </c>
      <c r="G31" s="133">
        <f>IF(SER_hh_tes_in!G31=0,0,11630*1000*SER_hh_tes_in!G31/SER_hh_num_in!G31)</f>
        <v>16175.418125322214</v>
      </c>
      <c r="H31" s="133">
        <f>IF(SER_hh_tes_in!H31=0,0,11630*1000*SER_hh_tes_in!H31/SER_hh_num_in!H31)</f>
        <v>16647.036417888354</v>
      </c>
      <c r="I31" s="133">
        <f>IF(SER_hh_tes_in!I31=0,0,11630*1000*SER_hh_tes_in!I31/SER_hh_num_in!I31)</f>
        <v>16917.337226457275</v>
      </c>
      <c r="J31" s="133">
        <f>IF(SER_hh_tes_in!J31=0,0,11630*1000*SER_hh_tes_in!J31/SER_hh_num_in!J31)</f>
        <v>17075.101051776142</v>
      </c>
      <c r="K31" s="133">
        <f>IF(SER_hh_tes_in!K31=0,0,11630*1000*SER_hh_tes_in!K31/SER_hh_num_in!K31)</f>
        <v>16967.371441481606</v>
      </c>
      <c r="L31" s="133">
        <f>IF(SER_hh_tes_in!L31=0,0,11630*1000*SER_hh_tes_in!L31/SER_hh_num_in!L31)</f>
        <v>16197.745688811994</v>
      </c>
      <c r="M31" s="133">
        <f>IF(SER_hh_tes_in!M31=0,0,11630*1000*SER_hh_tes_in!M31/SER_hh_num_in!M31)</f>
        <v>17102.10246202139</v>
      </c>
      <c r="N31" s="133">
        <f>IF(SER_hh_tes_in!N31=0,0,11630*1000*SER_hh_tes_in!N31/SER_hh_num_in!N31)</f>
        <v>17488.939780699155</v>
      </c>
      <c r="O31" s="133">
        <f>IF(SER_hh_tes_in!O31=0,0,11630*1000*SER_hh_tes_in!O31/SER_hh_num_in!O31)</f>
        <v>17006.69667782915</v>
      </c>
      <c r="P31" s="133">
        <f>IF(SER_hh_tes_in!P31=0,0,11630*1000*SER_hh_tes_in!P31/SER_hh_num_in!P31)</f>
        <v>16651.03966786588</v>
      </c>
      <c r="Q31" s="133">
        <f>IF(SER_hh_tes_in!Q31=0,0,11630*1000*SER_hh_tes_in!Q31/SER_hh_num_in!Q31)</f>
        <v>17071.344690389225</v>
      </c>
      <c r="R31" s="133">
        <f>IF(SER_hh_tes_in!R31=0,0,11630*1000*SER_hh_tes_in!R31/SER_hh_num_in!R31)</f>
        <v>16609.726573106771</v>
      </c>
      <c r="S31" s="133">
        <f>IF(SER_hh_tes_in!S31=0,0,11630*1000*SER_hh_tes_in!S31/SER_hh_num_in!S31)</f>
        <v>16003.953863577719</v>
      </c>
      <c r="T31" s="133">
        <f>IF(SER_hh_tes_in!T31=0,0,11630*1000*SER_hh_tes_in!T31/SER_hh_num_in!T31)</f>
        <v>15960.667908724947</v>
      </c>
      <c r="U31" s="133">
        <f>IF(SER_hh_tes_in!U31=0,0,11630*1000*SER_hh_tes_in!U31/SER_hh_num_in!U31)</f>
        <v>16181.161401050029</v>
      </c>
      <c r="V31" s="133">
        <f>IF(SER_hh_tes_in!V31=0,0,11630*1000*SER_hh_tes_in!V31/SER_hh_num_in!V31)</f>
        <v>13436.815524394957</v>
      </c>
      <c r="W31" s="133">
        <f>IF(SER_hh_tes_in!W31=0,0,11630*1000*SER_hh_tes_in!W31/SER_hh_num_in!W31)</f>
        <v>18384.155113736091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12320.734420212237</v>
      </c>
      <c r="D33" s="68">
        <f>IF(SER_hh_tes_in!D33=0,0,11630*1000*SER_hh_tes_in!D33/SER_hh_num_in!D33)</f>
        <v>14204.54262394871</v>
      </c>
      <c r="E33" s="68">
        <f>IF(SER_hh_tes_in!E33=0,0,11630*1000*SER_hh_tes_in!E33/SER_hh_num_in!E33)</f>
        <v>15509.213354934538</v>
      </c>
      <c r="F33" s="68">
        <f>IF(SER_hh_tes_in!F33=0,0,11630*1000*SER_hh_tes_in!F33/SER_hh_num_in!F33)</f>
        <v>15839.853374938901</v>
      </c>
      <c r="G33" s="68">
        <f>IF(SER_hh_tes_in!G33=0,0,11630*1000*SER_hh_tes_in!G33/SER_hh_num_in!G33)</f>
        <v>15977.412850947812</v>
      </c>
      <c r="H33" s="68">
        <f>IF(SER_hh_tes_in!H33=0,0,11630*1000*SER_hh_tes_in!H33/SER_hh_num_in!H33)</f>
        <v>16122.103535793416</v>
      </c>
      <c r="I33" s="68">
        <f>IF(SER_hh_tes_in!I33=0,0,11630*1000*SER_hh_tes_in!I33/SER_hh_num_in!I33)</f>
        <v>16894.414118277433</v>
      </c>
      <c r="J33" s="68">
        <f>IF(SER_hh_tes_in!J33=0,0,11630*1000*SER_hh_tes_in!J33/SER_hh_num_in!J33)</f>
        <v>17294.654018512196</v>
      </c>
      <c r="K33" s="68">
        <f>IF(SER_hh_tes_in!K33=0,0,11630*1000*SER_hh_tes_in!K33/SER_hh_num_in!K33)</f>
        <v>16950.880382610798</v>
      </c>
      <c r="L33" s="68">
        <f>IF(SER_hh_tes_in!L33=0,0,11630*1000*SER_hh_tes_in!L33/SER_hh_num_in!L33)</f>
        <v>17521.728861353735</v>
      </c>
      <c r="M33" s="68">
        <f>IF(SER_hh_tes_in!M33=0,0,11630*1000*SER_hh_tes_in!M33/SER_hh_num_in!M33)</f>
        <v>17154.630102014195</v>
      </c>
      <c r="N33" s="68">
        <f>IF(SER_hh_tes_in!N33=0,0,11630*1000*SER_hh_tes_in!N33/SER_hh_num_in!N33)</f>
        <v>16588.422772441707</v>
      </c>
      <c r="O33" s="68">
        <f>IF(SER_hh_tes_in!O33=0,0,11630*1000*SER_hh_tes_in!O33/SER_hh_num_in!O33)</f>
        <v>16700.067462941901</v>
      </c>
      <c r="P33" s="68">
        <f>IF(SER_hh_tes_in!P33=0,0,11630*1000*SER_hh_tes_in!P33/SER_hh_num_in!P33)</f>
        <v>16784.00924183067</v>
      </c>
      <c r="Q33" s="68">
        <f>IF(SER_hh_tes_in!Q33=0,0,11630*1000*SER_hh_tes_in!Q33/SER_hh_num_in!Q33)</f>
        <v>16446.569442021675</v>
      </c>
      <c r="R33" s="68">
        <f>IF(SER_hh_tes_in!R33=0,0,11630*1000*SER_hh_tes_in!R33/SER_hh_num_in!R33)</f>
        <v>16486.411480248211</v>
      </c>
      <c r="S33" s="68">
        <f>IF(SER_hh_tes_in!S33=0,0,11630*1000*SER_hh_tes_in!S33/SER_hh_num_in!S33)</f>
        <v>16148.577598749209</v>
      </c>
      <c r="T33" s="68">
        <f>IF(SER_hh_tes_in!T33=0,0,11630*1000*SER_hh_tes_in!T33/SER_hh_num_in!T33)</f>
        <v>16259.174164958251</v>
      </c>
      <c r="U33" s="68">
        <f>IF(SER_hh_tes_in!U33=0,0,11630*1000*SER_hh_tes_in!U33/SER_hh_num_in!U33)</f>
        <v>15989.968564079707</v>
      </c>
      <c r="V33" s="68">
        <f>IF(SER_hh_tes_in!V33=0,0,11630*1000*SER_hh_tes_in!V33/SER_hh_num_in!V33)</f>
        <v>15658.208277510141</v>
      </c>
      <c r="W33" s="68">
        <f>IF(SER_hh_tes_in!W33=0,0,11630*1000*SER_hh_tes_in!W33/SER_hh_num_in!W33)</f>
        <v>14438.696307353875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23303.728408040104</v>
      </c>
      <c r="D3" s="126">
        <f>IF(SER_hh_emi_in!D3=0,0,1000000*SER_hh_emi_in!D3/SER_hh_num_in!D3)</f>
        <v>28772.843948836482</v>
      </c>
      <c r="E3" s="126">
        <f>IF(SER_hh_emi_in!E3=0,0,1000000*SER_hh_emi_in!E3/SER_hh_num_in!E3)</f>
        <v>26515.357740048672</v>
      </c>
      <c r="F3" s="126">
        <f>IF(SER_hh_emi_in!F3=0,0,1000000*SER_hh_emi_in!F3/SER_hh_num_in!F3)</f>
        <v>17127.211067904274</v>
      </c>
      <c r="G3" s="126">
        <f>IF(SER_hh_emi_in!G3=0,0,1000000*SER_hh_emi_in!G3/SER_hh_num_in!G3)</f>
        <v>14870.327912641042</v>
      </c>
      <c r="H3" s="126">
        <f>IF(SER_hh_emi_in!H3=0,0,1000000*SER_hh_emi_in!H3/SER_hh_num_in!H3)</f>
        <v>18619.116904324266</v>
      </c>
      <c r="I3" s="126">
        <f>IF(SER_hh_emi_in!I3=0,0,1000000*SER_hh_emi_in!I3/SER_hh_num_in!I3)</f>
        <v>19803.094038440064</v>
      </c>
      <c r="J3" s="126">
        <f>IF(SER_hh_emi_in!J3=0,0,1000000*SER_hh_emi_in!J3/SER_hh_num_in!J3)</f>
        <v>19154.128896948063</v>
      </c>
      <c r="K3" s="126">
        <f>IF(SER_hh_emi_in!K3=0,0,1000000*SER_hh_emi_in!K3/SER_hh_num_in!K3)</f>
        <v>21859.564094980156</v>
      </c>
      <c r="L3" s="126">
        <f>IF(SER_hh_emi_in!L3=0,0,1000000*SER_hh_emi_in!L3/SER_hh_num_in!L3)</f>
        <v>21075.161894176912</v>
      </c>
      <c r="M3" s="126">
        <f>IF(SER_hh_emi_in!M3=0,0,1000000*SER_hh_emi_in!M3/SER_hh_num_in!M3)</f>
        <v>19791.822619955863</v>
      </c>
      <c r="N3" s="126">
        <f>IF(SER_hh_emi_in!N3=0,0,1000000*SER_hh_emi_in!N3/SER_hh_num_in!N3)</f>
        <v>17029.8375444056</v>
      </c>
      <c r="O3" s="126">
        <f>IF(SER_hh_emi_in!O3=0,0,1000000*SER_hh_emi_in!O3/SER_hh_num_in!O3)</f>
        <v>13833.609051442478</v>
      </c>
      <c r="P3" s="126">
        <f>IF(SER_hh_emi_in!P3=0,0,1000000*SER_hh_emi_in!P3/SER_hh_num_in!P3)</f>
        <v>11052.850281734869</v>
      </c>
      <c r="Q3" s="126">
        <f>IF(SER_hh_emi_in!Q3=0,0,1000000*SER_hh_emi_in!Q3/SER_hh_num_in!Q3)</f>
        <v>11532.003860493131</v>
      </c>
      <c r="R3" s="126">
        <f>IF(SER_hh_emi_in!R3=0,0,1000000*SER_hh_emi_in!R3/SER_hh_num_in!R3)</f>
        <v>9644.2200596131952</v>
      </c>
      <c r="S3" s="126">
        <f>IF(SER_hh_emi_in!S3=0,0,1000000*SER_hh_emi_in!S3/SER_hh_num_in!S3)</f>
        <v>7600.268875840663</v>
      </c>
      <c r="T3" s="126">
        <f>IF(SER_hh_emi_in!T3=0,0,1000000*SER_hh_emi_in!T3/SER_hh_num_in!T3)</f>
        <v>5960.5255393303078</v>
      </c>
      <c r="U3" s="126">
        <f>IF(SER_hh_emi_in!U3=0,0,1000000*SER_hh_emi_in!U3/SER_hh_num_in!U3)</f>
        <v>5740.0522852706044</v>
      </c>
      <c r="V3" s="126">
        <f>IF(SER_hh_emi_in!V3=0,0,1000000*SER_hh_emi_in!V3/SER_hh_num_in!V3)</f>
        <v>5994.8775626527749</v>
      </c>
      <c r="W3" s="126">
        <f>IF(SER_hh_emi_in!W3=0,0,1000000*SER_hh_emi_in!W3/SER_hh_num_in!W3)</f>
        <v>7774.8313979469604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19450.21069711668</v>
      </c>
      <c r="D4" s="131">
        <f>IF(SER_hh_emi_in!D4=0,0,1000000*SER_hh_emi_in!D4/SER_hh_num_in!D4)</f>
        <v>24611.804361766193</v>
      </c>
      <c r="E4" s="131">
        <f>IF(SER_hh_emi_in!E4=0,0,1000000*SER_hh_emi_in!E4/SER_hh_num_in!E4)</f>
        <v>22227.090678901051</v>
      </c>
      <c r="F4" s="131">
        <f>IF(SER_hh_emi_in!F4=0,0,1000000*SER_hh_emi_in!F4/SER_hh_num_in!F4)</f>
        <v>14379.768442684313</v>
      </c>
      <c r="G4" s="131">
        <f>IF(SER_hh_emi_in!G4=0,0,1000000*SER_hh_emi_in!G4/SER_hh_num_in!G4)</f>
        <v>12343.446091278849</v>
      </c>
      <c r="H4" s="131">
        <f>IF(SER_hh_emi_in!H4=0,0,1000000*SER_hh_emi_in!H4/SER_hh_num_in!H4)</f>
        <v>16513.499860174998</v>
      </c>
      <c r="I4" s="131">
        <f>IF(SER_hh_emi_in!I4=0,0,1000000*SER_hh_emi_in!I4/SER_hh_num_in!I4)</f>
        <v>17719.045298462617</v>
      </c>
      <c r="J4" s="131">
        <f>IF(SER_hh_emi_in!J4=0,0,1000000*SER_hh_emi_in!J4/SER_hh_num_in!J4)</f>
        <v>16890.50939262021</v>
      </c>
      <c r="K4" s="131">
        <f>IF(SER_hh_emi_in!K4=0,0,1000000*SER_hh_emi_in!K4/SER_hh_num_in!K4)</f>
        <v>19206.394772965908</v>
      </c>
      <c r="L4" s="131">
        <f>IF(SER_hh_emi_in!L4=0,0,1000000*SER_hh_emi_in!L4/SER_hh_num_in!L4)</f>
        <v>16859.879526920864</v>
      </c>
      <c r="M4" s="131">
        <f>IF(SER_hh_emi_in!M4=0,0,1000000*SER_hh_emi_in!M4/SER_hh_num_in!M4)</f>
        <v>15899.172420873756</v>
      </c>
      <c r="N4" s="131">
        <f>IF(SER_hh_emi_in!N4=0,0,1000000*SER_hh_emi_in!N4/SER_hh_num_in!N4)</f>
        <v>13041.838343396508</v>
      </c>
      <c r="O4" s="131">
        <f>IF(SER_hh_emi_in!O4=0,0,1000000*SER_hh_emi_in!O4/SER_hh_num_in!O4)</f>
        <v>10264.049423702101</v>
      </c>
      <c r="P4" s="131">
        <f>IF(SER_hh_emi_in!P4=0,0,1000000*SER_hh_emi_in!P4/SER_hh_num_in!P4)</f>
        <v>8279.7831484611106</v>
      </c>
      <c r="Q4" s="131">
        <f>IF(SER_hh_emi_in!Q4=0,0,1000000*SER_hh_emi_in!Q4/SER_hh_num_in!Q4)</f>
        <v>8843.9634172898022</v>
      </c>
      <c r="R4" s="131">
        <f>IF(SER_hh_emi_in!R4=0,0,1000000*SER_hh_emi_in!R4/SER_hh_num_in!R4)</f>
        <v>7439.6070577244</v>
      </c>
      <c r="S4" s="131">
        <f>IF(SER_hh_emi_in!S4=0,0,1000000*SER_hh_emi_in!S4/SER_hh_num_in!S4)</f>
        <v>6123.7495773323262</v>
      </c>
      <c r="T4" s="131">
        <f>IF(SER_hh_emi_in!T4=0,0,1000000*SER_hh_emi_in!T4/SER_hh_num_in!T4)</f>
        <v>4890.0515553981704</v>
      </c>
      <c r="U4" s="131">
        <f>IF(SER_hh_emi_in!U4=0,0,1000000*SER_hh_emi_in!U4/SER_hh_num_in!U4)</f>
        <v>4304.7535372315397</v>
      </c>
      <c r="V4" s="131">
        <f>IF(SER_hh_emi_in!V4=0,0,1000000*SER_hh_emi_in!V4/SER_hh_num_in!V4)</f>
        <v>4735.4898170804945</v>
      </c>
      <c r="W4" s="131">
        <f>IF(SER_hh_emi_in!W4=0,0,1000000*SER_hh_emi_in!W4/SER_hh_num_in!W4)</f>
        <v>5626.6670954371875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31041.082195916435</v>
      </c>
      <c r="D5" s="133">
        <f>IF(SER_hh_emi_in!D5=0,0,1000000*SER_hh_emi_in!D5/SER_hh_num_in!D5)</f>
        <v>51187.072449502695</v>
      </c>
      <c r="E5" s="133">
        <f>IF(SER_hh_emi_in!E5=0,0,1000000*SER_hh_emi_in!E5/SER_hh_num_in!E5)</f>
        <v>49027.540078848659</v>
      </c>
      <c r="F5" s="133">
        <f>IF(SER_hh_emi_in!F5=0,0,1000000*SER_hh_emi_in!F5/SER_hh_num_in!F5)</f>
        <v>45191.038950954266</v>
      </c>
      <c r="G5" s="133">
        <f>IF(SER_hh_emi_in!G5=0,0,1000000*SER_hh_emi_in!G5/SER_hh_num_in!G5)</f>
        <v>43167.824145745639</v>
      </c>
      <c r="H5" s="133">
        <f>IF(SER_hh_emi_in!H5=0,0,1000000*SER_hh_emi_in!H5/SER_hh_num_in!H5)</f>
        <v>48439.505851768321</v>
      </c>
      <c r="I5" s="133">
        <f>IF(SER_hh_emi_in!I5=0,0,1000000*SER_hh_emi_in!I5/SER_hh_num_in!I5)</f>
        <v>39575.177062349459</v>
      </c>
      <c r="J5" s="133">
        <f>IF(SER_hh_emi_in!J5=0,0,1000000*SER_hh_emi_in!J5/SER_hh_num_in!J5)</f>
        <v>42211.921947546114</v>
      </c>
      <c r="K5" s="133">
        <f>IF(SER_hh_emi_in!K5=0,0,1000000*SER_hh_emi_in!K5/SER_hh_num_in!K5)</f>
        <v>43269.241289557758</v>
      </c>
      <c r="L5" s="133">
        <f>IF(SER_hh_emi_in!L5=0,0,1000000*SER_hh_emi_in!L5/SER_hh_num_in!L5)</f>
        <v>47436.8294493473</v>
      </c>
      <c r="M5" s="133">
        <f>IF(SER_hh_emi_in!M5=0,0,1000000*SER_hh_emi_in!M5/SER_hh_num_in!M5)</f>
        <v>39983.254937216509</v>
      </c>
      <c r="N5" s="133">
        <f>IF(SER_hh_emi_in!N5=0,0,1000000*SER_hh_emi_in!N5/SER_hh_num_in!N5)</f>
        <v>38847.939389161569</v>
      </c>
      <c r="O5" s="133">
        <f>IF(SER_hh_emi_in!O5=0,0,1000000*SER_hh_emi_in!O5/SER_hh_num_in!O5)</f>
        <v>34870.744195390507</v>
      </c>
      <c r="P5" s="133">
        <f>IF(SER_hh_emi_in!P5=0,0,1000000*SER_hh_emi_in!P5/SER_hh_num_in!P5)</f>
        <v>29709.471006747404</v>
      </c>
      <c r="Q5" s="133">
        <f>IF(SER_hh_emi_in!Q5=0,0,1000000*SER_hh_emi_in!Q5/SER_hh_num_in!Q5)</f>
        <v>27789.308727319967</v>
      </c>
      <c r="R5" s="133">
        <f>IF(SER_hh_emi_in!R5=0,0,1000000*SER_hh_emi_in!R5/SER_hh_num_in!R5)</f>
        <v>28180.363444807539</v>
      </c>
      <c r="S5" s="133">
        <f>IF(SER_hh_emi_in!S5=0,0,1000000*SER_hh_emi_in!S5/SER_hh_num_in!S5)</f>
        <v>26658.908165909514</v>
      </c>
      <c r="T5" s="133">
        <f>IF(SER_hh_emi_in!T5=0,0,1000000*SER_hh_emi_in!T5/SER_hh_num_in!T5)</f>
        <v>23895.312181954785</v>
      </c>
      <c r="U5" s="133">
        <f>IF(SER_hh_emi_in!U5=0,0,1000000*SER_hh_emi_in!U5/SER_hh_num_in!U5)</f>
        <v>18674.440870181388</v>
      </c>
      <c r="V5" s="133">
        <f>IF(SER_hh_emi_in!V5=0,0,1000000*SER_hh_emi_in!V5/SER_hh_num_in!V5)</f>
        <v>18002.457273384902</v>
      </c>
      <c r="W5" s="133">
        <f>IF(SER_hh_emi_in!W5=0,0,1000000*SER_hh_emi_in!W5/SER_hh_num_in!W5)</f>
        <v>19232.628806547757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38981.913425987259</v>
      </c>
      <c r="D7" s="133">
        <f>IF(SER_hh_emi_in!D7=0,0,1000000*SER_hh_emi_in!D7/SER_hh_num_in!D7)</f>
        <v>41608.880438258042</v>
      </c>
      <c r="E7" s="133">
        <f>IF(SER_hh_emi_in!E7=0,0,1000000*SER_hh_emi_in!E7/SER_hh_num_in!E7)</f>
        <v>41266.704875733652</v>
      </c>
      <c r="F7" s="133">
        <f>IF(SER_hh_emi_in!F7=0,0,1000000*SER_hh_emi_in!F7/SER_hh_num_in!F7)</f>
        <v>37905.101529132218</v>
      </c>
      <c r="G7" s="133">
        <f>IF(SER_hh_emi_in!G7=0,0,1000000*SER_hh_emi_in!G7/SER_hh_num_in!G7)</f>
        <v>29250.096760360884</v>
      </c>
      <c r="H7" s="133">
        <f>IF(SER_hh_emi_in!H7=0,0,1000000*SER_hh_emi_in!H7/SER_hh_num_in!H7)</f>
        <v>45494.768209193055</v>
      </c>
      <c r="I7" s="133">
        <f>IF(SER_hh_emi_in!I7=0,0,1000000*SER_hh_emi_in!I7/SER_hh_num_in!I7)</f>
        <v>39439.222257219873</v>
      </c>
      <c r="J7" s="133">
        <f>IF(SER_hh_emi_in!J7=0,0,1000000*SER_hh_emi_in!J7/SER_hh_num_in!J7)</f>
        <v>37738.497140044805</v>
      </c>
      <c r="K7" s="133">
        <f>IF(SER_hh_emi_in!K7=0,0,1000000*SER_hh_emi_in!K7/SER_hh_num_in!K7)</f>
        <v>34752.446889653504</v>
      </c>
      <c r="L7" s="133">
        <f>IF(SER_hh_emi_in!L7=0,0,1000000*SER_hh_emi_in!L7/SER_hh_num_in!L7)</f>
        <v>42954.356431282722</v>
      </c>
      <c r="M7" s="133">
        <f>IF(SER_hh_emi_in!M7=0,0,1000000*SER_hh_emi_in!M7/SER_hh_num_in!M7)</f>
        <v>39718.66501248884</v>
      </c>
      <c r="N7" s="133">
        <f>IF(SER_hh_emi_in!N7=0,0,1000000*SER_hh_emi_in!N7/SER_hh_num_in!N7)</f>
        <v>0</v>
      </c>
      <c r="O7" s="133">
        <f>IF(SER_hh_emi_in!O7=0,0,1000000*SER_hh_emi_in!O7/SER_hh_num_in!O7)</f>
        <v>0</v>
      </c>
      <c r="P7" s="133">
        <f>IF(SER_hh_emi_in!P7=0,0,1000000*SER_hh_emi_in!P7/SER_hh_num_in!P7)</f>
        <v>0</v>
      </c>
      <c r="Q7" s="133">
        <f>IF(SER_hh_emi_in!Q7=0,0,1000000*SER_hh_emi_in!Q7/SER_hh_num_in!Q7)</f>
        <v>21421.049299032809</v>
      </c>
      <c r="R7" s="133">
        <f>IF(SER_hh_emi_in!R7=0,0,1000000*SER_hh_emi_in!R7/SER_hh_num_in!R7)</f>
        <v>20286.380522597454</v>
      </c>
      <c r="S7" s="133">
        <f>IF(SER_hh_emi_in!S7=0,0,1000000*SER_hh_emi_in!S7/SER_hh_num_in!S7)</f>
        <v>19322.799146866899</v>
      </c>
      <c r="T7" s="133">
        <f>IF(SER_hh_emi_in!T7=0,0,1000000*SER_hh_emi_in!T7/SER_hh_num_in!T7)</f>
        <v>18654.75372726065</v>
      </c>
      <c r="U7" s="133">
        <f>IF(SER_hh_emi_in!U7=0,0,1000000*SER_hh_emi_in!U7/SER_hh_num_in!U7)</f>
        <v>15341.342326339227</v>
      </c>
      <c r="V7" s="133">
        <f>IF(SER_hh_emi_in!V7=0,0,1000000*SER_hh_emi_in!V7/SER_hh_num_in!V7)</f>
        <v>14659.726058894705</v>
      </c>
      <c r="W7" s="133">
        <f>IF(SER_hh_emi_in!W7=0,0,1000000*SER_hh_emi_in!W7/SER_hh_num_in!W7)</f>
        <v>14202.817049063313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14219.566904229474</v>
      </c>
      <c r="D8" s="133">
        <f>IF(SER_hh_emi_in!D8=0,0,1000000*SER_hh_emi_in!D8/SER_hh_num_in!D8)</f>
        <v>14198.977403345745</v>
      </c>
      <c r="E8" s="133">
        <f>IF(SER_hh_emi_in!E8=0,0,1000000*SER_hh_emi_in!E8/SER_hh_num_in!E8)</f>
        <v>14228.502830055166</v>
      </c>
      <c r="F8" s="133">
        <f>IF(SER_hh_emi_in!F8=0,0,1000000*SER_hh_emi_in!F8/SER_hh_num_in!F8)</f>
        <v>13245.045418471322</v>
      </c>
      <c r="G8" s="133">
        <f>IF(SER_hh_emi_in!G8=0,0,1000000*SER_hh_emi_in!G8/SER_hh_num_in!G8)</f>
        <v>12373.721181531275</v>
      </c>
      <c r="H8" s="133">
        <f>IF(SER_hh_emi_in!H8=0,0,1000000*SER_hh_emi_in!H8/SER_hh_num_in!H8)</f>
        <v>11523.868678079385</v>
      </c>
      <c r="I8" s="133">
        <f>IF(SER_hh_emi_in!I8=0,0,1000000*SER_hh_emi_in!I8/SER_hh_num_in!I8)</f>
        <v>10737.691354093891</v>
      </c>
      <c r="J8" s="133">
        <f>IF(SER_hh_emi_in!J8=0,0,1000000*SER_hh_emi_in!J8/SER_hh_num_in!J8)</f>
        <v>10568.087989377578</v>
      </c>
      <c r="K8" s="133">
        <f>IF(SER_hh_emi_in!K8=0,0,1000000*SER_hh_emi_in!K8/SER_hh_num_in!K8)</f>
        <v>10570.55768371687</v>
      </c>
      <c r="L8" s="133">
        <f>IF(SER_hh_emi_in!L8=0,0,1000000*SER_hh_emi_in!L8/SER_hh_num_in!L8)</f>
        <v>9960.3344744886417</v>
      </c>
      <c r="M8" s="133">
        <f>IF(SER_hh_emi_in!M8=0,0,1000000*SER_hh_emi_in!M8/SER_hh_num_in!M8)</f>
        <v>8050.2018567285104</v>
      </c>
      <c r="N8" s="133">
        <f>IF(SER_hh_emi_in!N8=0,0,1000000*SER_hh_emi_in!N8/SER_hh_num_in!N8)</f>
        <v>7465.1227310366094</v>
      </c>
      <c r="O8" s="133">
        <f>IF(SER_hh_emi_in!O8=0,0,1000000*SER_hh_emi_in!O8/SER_hh_num_in!O8)</f>
        <v>5897.0370673565612</v>
      </c>
      <c r="P8" s="133">
        <f>IF(SER_hh_emi_in!P8=0,0,1000000*SER_hh_emi_in!P8/SER_hh_num_in!P8)</f>
        <v>6148.4190858848287</v>
      </c>
      <c r="Q8" s="133">
        <f>IF(SER_hh_emi_in!Q8=0,0,1000000*SER_hh_emi_in!Q8/SER_hh_num_in!Q8)</f>
        <v>5449.2951425844803</v>
      </c>
      <c r="R8" s="133">
        <f>IF(SER_hh_emi_in!R8=0,0,1000000*SER_hh_emi_in!R8/SER_hh_num_in!R8)</f>
        <v>5210.3737448909505</v>
      </c>
      <c r="S8" s="133">
        <f>IF(SER_hh_emi_in!S8=0,0,1000000*SER_hh_emi_in!S8/SER_hh_num_in!S8)</f>
        <v>4464.0095478771136</v>
      </c>
      <c r="T8" s="133">
        <f>IF(SER_hh_emi_in!T8=0,0,1000000*SER_hh_emi_in!T8/SER_hh_num_in!T8)</f>
        <v>4004.4157123279006</v>
      </c>
      <c r="U8" s="133">
        <f>IF(SER_hh_emi_in!U8=0,0,1000000*SER_hh_emi_in!U8/SER_hh_num_in!U8)</f>
        <v>3665.0275531154871</v>
      </c>
      <c r="V8" s="133">
        <f>IF(SER_hh_emi_in!V8=0,0,1000000*SER_hh_emi_in!V8/SER_hh_num_in!V8)</f>
        <v>3403.6839962080389</v>
      </c>
      <c r="W8" s="133">
        <f>IF(SER_hh_emi_in!W8=0,0,1000000*SER_hh_emi_in!W8/SER_hh_num_in!W8)</f>
        <v>3479.7495733534906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24471.426955242681</v>
      </c>
      <c r="D9" s="133">
        <f>IF(SER_hh_emi_in!D9=0,0,1000000*SER_hh_emi_in!D9/SER_hh_num_in!D9)</f>
        <v>27244.925603133044</v>
      </c>
      <c r="E9" s="133">
        <f>IF(SER_hh_emi_in!E9=0,0,1000000*SER_hh_emi_in!E9/SER_hh_num_in!E9)</f>
        <v>27216.783439929852</v>
      </c>
      <c r="F9" s="133">
        <f>IF(SER_hh_emi_in!F9=0,0,1000000*SER_hh_emi_in!F9/SER_hh_num_in!F9)</f>
        <v>27318.868488073789</v>
      </c>
      <c r="G9" s="133">
        <f>IF(SER_hh_emi_in!G9=0,0,1000000*SER_hh_emi_in!G9/SER_hh_num_in!G9)</f>
        <v>26489.890265512913</v>
      </c>
      <c r="H9" s="133">
        <f>IF(SER_hh_emi_in!H9=0,0,1000000*SER_hh_emi_in!H9/SER_hh_num_in!H9)</f>
        <v>24215.024277304245</v>
      </c>
      <c r="I9" s="133">
        <f>IF(SER_hh_emi_in!I9=0,0,1000000*SER_hh_emi_in!I9/SER_hh_num_in!I9)</f>
        <v>23555.798298375903</v>
      </c>
      <c r="J9" s="133">
        <f>IF(SER_hh_emi_in!J9=0,0,1000000*SER_hh_emi_in!J9/SER_hh_num_in!J9)</f>
        <v>23881.44047955225</v>
      </c>
      <c r="K9" s="133">
        <f>IF(SER_hh_emi_in!K9=0,0,1000000*SER_hh_emi_in!K9/SER_hh_num_in!K9)</f>
        <v>23635.910066357133</v>
      </c>
      <c r="L9" s="133">
        <f>IF(SER_hh_emi_in!L9=0,0,1000000*SER_hh_emi_in!L9/SER_hh_num_in!L9)</f>
        <v>26454.870144948167</v>
      </c>
      <c r="M9" s="133">
        <f>IF(SER_hh_emi_in!M9=0,0,1000000*SER_hh_emi_in!M9/SER_hh_num_in!M9)</f>
        <v>22229.840875661928</v>
      </c>
      <c r="N9" s="133">
        <f>IF(SER_hh_emi_in!N9=0,0,1000000*SER_hh_emi_in!N9/SER_hh_num_in!N9)</f>
        <v>21312.589600554496</v>
      </c>
      <c r="O9" s="133">
        <f>IF(SER_hh_emi_in!O9=0,0,1000000*SER_hh_emi_in!O9/SER_hh_num_in!O9)</f>
        <v>19042.077762150679</v>
      </c>
      <c r="P9" s="133">
        <f>IF(SER_hh_emi_in!P9=0,0,1000000*SER_hh_emi_in!P9/SER_hh_num_in!P9)</f>
        <v>14844.263321561777</v>
      </c>
      <c r="Q9" s="133">
        <f>IF(SER_hh_emi_in!Q9=0,0,1000000*SER_hh_emi_in!Q9/SER_hh_num_in!Q9)</f>
        <v>14990.090693641441</v>
      </c>
      <c r="R9" s="133">
        <f>IF(SER_hh_emi_in!R9=0,0,1000000*SER_hh_emi_in!R9/SER_hh_num_in!R9)</f>
        <v>17068.394212435138</v>
      </c>
      <c r="S9" s="133">
        <f>IF(SER_hh_emi_in!S9=0,0,1000000*SER_hh_emi_in!S9/SER_hh_num_in!S9)</f>
        <v>12413.108936408737</v>
      </c>
      <c r="T9" s="133">
        <f>IF(SER_hh_emi_in!T9=0,0,1000000*SER_hh_emi_in!T9/SER_hh_num_in!T9)</f>
        <v>11370.781523139849</v>
      </c>
      <c r="U9" s="133">
        <f>IF(SER_hh_emi_in!U9=0,0,1000000*SER_hh_emi_in!U9/SER_hh_num_in!U9)</f>
        <v>11068.691972373399</v>
      </c>
      <c r="V9" s="133">
        <f>IF(SER_hh_emi_in!V9=0,0,1000000*SER_hh_emi_in!V9/SER_hh_num_in!V9)</f>
        <v>8993.5698933552794</v>
      </c>
      <c r="W9" s="133">
        <f>IF(SER_hh_emi_in!W9=0,0,1000000*SER_hh_emi_in!W9/SER_hh_num_in!W9)</f>
        <v>10856.090952541834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456.61592835835512</v>
      </c>
      <c r="K10" s="133">
        <f>IF(SER_hh_emi_in!K10=0,0,1000000*SER_hh_emi_in!K10/SER_hh_num_in!K10)</f>
        <v>1344.5646006772649</v>
      </c>
      <c r="L10" s="133">
        <f>IF(SER_hh_emi_in!L10=0,0,1000000*SER_hh_emi_in!L10/SER_hh_num_in!L10)</f>
        <v>270.02593965299809</v>
      </c>
      <c r="M10" s="133">
        <f>IF(SER_hh_emi_in!M10=0,0,1000000*SER_hh_emi_in!M10/SER_hh_num_in!M10)</f>
        <v>413.10806021336566</v>
      </c>
      <c r="N10" s="133">
        <f>IF(SER_hh_emi_in!N10=0,0,1000000*SER_hh_emi_in!N10/SER_hh_num_in!N10)</f>
        <v>324.19660736652526</v>
      </c>
      <c r="O10" s="133">
        <f>IF(SER_hh_emi_in!O10=0,0,1000000*SER_hh_emi_in!O10/SER_hh_num_in!O10)</f>
        <v>3606.7266088573469</v>
      </c>
      <c r="P10" s="133">
        <f>IF(SER_hh_emi_in!P10=0,0,1000000*SER_hh_emi_in!P10/SER_hh_num_in!P10)</f>
        <v>1749.8739821970512</v>
      </c>
      <c r="Q10" s="133">
        <f>IF(SER_hh_emi_in!Q10=0,0,1000000*SER_hh_emi_in!Q10/SER_hh_num_in!Q10)</f>
        <v>1382.7399737164533</v>
      </c>
      <c r="R10" s="133">
        <f>IF(SER_hh_emi_in!R10=0,0,1000000*SER_hh_emi_in!R10/SER_hh_num_in!R10)</f>
        <v>2156.2788384714959</v>
      </c>
      <c r="S10" s="133">
        <f>IF(SER_hh_emi_in!S10=0,0,1000000*SER_hh_emi_in!S10/SER_hh_num_in!S10)</f>
        <v>1413.0392766558471</v>
      </c>
      <c r="T10" s="133">
        <f>IF(SER_hh_emi_in!T10=0,0,1000000*SER_hh_emi_in!T10/SER_hh_num_in!T10)</f>
        <v>1174.204862579154</v>
      </c>
      <c r="U10" s="133">
        <f>IF(SER_hh_emi_in!U10=0,0,1000000*SER_hh_emi_in!U10/SER_hh_num_in!U10)</f>
        <v>980.11389069567679</v>
      </c>
      <c r="V10" s="133">
        <f>IF(SER_hh_emi_in!V10=0,0,1000000*SER_hh_emi_in!V10/SER_hh_num_in!V10)</f>
        <v>2484.2863725520783</v>
      </c>
      <c r="W10" s="133">
        <f>IF(SER_hh_emi_in!W10=0,0,1000000*SER_hh_emi_in!W10/SER_hh_num_in!W10)</f>
        <v>2570.2662629387119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8.203452973577642</v>
      </c>
      <c r="D16" s="131">
        <f>IF(SER_hh_emi_in!D16=0,0,1000000*SER_hh_emi_in!D16/SER_hh_num_in!D16)</f>
        <v>9.0558503853890873</v>
      </c>
      <c r="E16" s="131">
        <f>IF(SER_hh_emi_in!E16=0,0,1000000*SER_hh_emi_in!E16/SER_hh_num_in!E16)</f>
        <v>8.5002248126130251</v>
      </c>
      <c r="F16" s="131">
        <f>IF(SER_hh_emi_in!F16=0,0,1000000*SER_hh_emi_in!F16/SER_hh_num_in!F16)</f>
        <v>10.538764565734272</v>
      </c>
      <c r="G16" s="131">
        <f>IF(SER_hh_emi_in!G16=0,0,1000000*SER_hh_emi_in!G16/SER_hh_num_in!G16)</f>
        <v>10.132702716431831</v>
      </c>
      <c r="H16" s="131">
        <f>IF(SER_hh_emi_in!H16=0,0,1000000*SER_hh_emi_in!H16/SER_hh_num_in!H16)</f>
        <v>8.4774533636059228</v>
      </c>
      <c r="I16" s="131">
        <f>IF(SER_hh_emi_in!I16=0,0,1000000*SER_hh_emi_in!I16/SER_hh_num_in!I16)</f>
        <v>10.571173114735187</v>
      </c>
      <c r="J16" s="131">
        <f>IF(SER_hh_emi_in!J16=0,0,1000000*SER_hh_emi_in!J16/SER_hh_num_in!J16)</f>
        <v>8.5242765313493525</v>
      </c>
      <c r="K16" s="131">
        <f>IF(SER_hh_emi_in!K16=0,0,1000000*SER_hh_emi_in!K16/SER_hh_num_in!K16)</f>
        <v>10.174067328408345</v>
      </c>
      <c r="L16" s="131">
        <f>IF(SER_hh_emi_in!L16=0,0,1000000*SER_hh_emi_in!L16/SER_hh_num_in!L16)</f>
        <v>9.1143663701041344</v>
      </c>
      <c r="M16" s="131">
        <f>IF(SER_hh_emi_in!M16=0,0,1000000*SER_hh_emi_in!M16/SER_hh_num_in!M16)</f>
        <v>14.798900532275887</v>
      </c>
      <c r="N16" s="131">
        <f>IF(SER_hh_emi_in!N16=0,0,1000000*SER_hh_emi_in!N16/SER_hh_num_in!N16)</f>
        <v>15.976059715288795</v>
      </c>
      <c r="O16" s="131">
        <f>IF(SER_hh_emi_in!O16=0,0,1000000*SER_hh_emi_in!O16/SER_hh_num_in!O16)</f>
        <v>28.288226132838115</v>
      </c>
      <c r="P16" s="131">
        <f>IF(SER_hh_emi_in!P16=0,0,1000000*SER_hh_emi_in!P16/SER_hh_num_in!P16)</f>
        <v>37.83066984654927</v>
      </c>
      <c r="Q16" s="131">
        <f>IF(SER_hh_emi_in!Q16=0,0,1000000*SER_hh_emi_in!Q16/SER_hh_num_in!Q16)</f>
        <v>34.072743620186003</v>
      </c>
      <c r="R16" s="131">
        <f>IF(SER_hh_emi_in!R16=0,0,1000000*SER_hh_emi_in!R16/SER_hh_num_in!R16)</f>
        <v>77.776542683507515</v>
      </c>
      <c r="S16" s="131">
        <f>IF(SER_hh_emi_in!S16=0,0,1000000*SER_hh_emi_in!S16/SER_hh_num_in!S16)</f>
        <v>47.831162054839062</v>
      </c>
      <c r="T16" s="131">
        <f>IF(SER_hh_emi_in!T16=0,0,1000000*SER_hh_emi_in!T16/SER_hh_num_in!T16)</f>
        <v>35.966167564435899</v>
      </c>
      <c r="U16" s="131">
        <f>IF(SER_hh_emi_in!U16=0,0,1000000*SER_hh_emi_in!U16/SER_hh_num_in!U16)</f>
        <v>33.194106405295202</v>
      </c>
      <c r="V16" s="131">
        <f>IF(SER_hh_emi_in!V16=0,0,1000000*SER_hh_emi_in!V16/SER_hh_num_in!V16)</f>
        <v>34.411519041505876</v>
      </c>
      <c r="W16" s="131">
        <f>IF(SER_hh_emi_in!W16=0,0,1000000*SER_hh_emi_in!W16/SER_hh_num_in!W16)</f>
        <v>19.493411854324386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3921.7872518941685</v>
      </c>
      <c r="D17" s="133">
        <f>IF(SER_hh_emi_in!D17=0,0,1000000*SER_hh_emi_in!D17/SER_hh_num_in!D17)</f>
        <v>3975.799926599841</v>
      </c>
      <c r="E17" s="133">
        <f>IF(SER_hh_emi_in!E17=0,0,1000000*SER_hh_emi_in!E17/SER_hh_num_in!E17)</f>
        <v>3879.9977812766983</v>
      </c>
      <c r="F17" s="133">
        <f>IF(SER_hh_emi_in!F17=0,0,1000000*SER_hh_emi_in!F17/SER_hh_num_in!F17)</f>
        <v>3820.5439054086987</v>
      </c>
      <c r="G17" s="133">
        <f>IF(SER_hh_emi_in!G17=0,0,1000000*SER_hh_emi_in!G17/SER_hh_num_in!G17)</f>
        <v>3817.8241685516446</v>
      </c>
      <c r="H17" s="133">
        <f>IF(SER_hh_emi_in!H17=0,0,1000000*SER_hh_emi_in!H17/SER_hh_num_in!H17)</f>
        <v>4004.8632393542143</v>
      </c>
      <c r="I17" s="133">
        <f>IF(SER_hh_emi_in!I17=0,0,1000000*SER_hh_emi_in!I17/SER_hh_num_in!I17)</f>
        <v>3852.012621517541</v>
      </c>
      <c r="J17" s="133">
        <f>IF(SER_hh_emi_in!J17=0,0,1000000*SER_hh_emi_in!J17/SER_hh_num_in!J17)</f>
        <v>3748.3269145367435</v>
      </c>
      <c r="K17" s="133">
        <f>IF(SER_hh_emi_in!K17=0,0,1000000*SER_hh_emi_in!K17/SER_hh_num_in!K17)</f>
        <v>3732.6736344123024</v>
      </c>
      <c r="L17" s="133">
        <f>IF(SER_hh_emi_in!L17=0,0,1000000*SER_hh_emi_in!L17/SER_hh_num_in!L17)</f>
        <v>4172.016464499814</v>
      </c>
      <c r="M17" s="133">
        <f>IF(SER_hh_emi_in!M17=0,0,1000000*SER_hh_emi_in!M17/SER_hh_num_in!M17)</f>
        <v>3659.5576659013987</v>
      </c>
      <c r="N17" s="133">
        <f>IF(SER_hh_emi_in!N17=0,0,1000000*SER_hh_emi_in!N17/SER_hh_num_in!N17)</f>
        <v>3773.3358703121989</v>
      </c>
      <c r="O17" s="133">
        <f>IF(SER_hh_emi_in!O17=0,0,1000000*SER_hh_emi_in!O17/SER_hh_num_in!O17)</f>
        <v>3696.8313133080869</v>
      </c>
      <c r="P17" s="133">
        <f>IF(SER_hh_emi_in!P17=0,0,1000000*SER_hh_emi_in!P17/SER_hh_num_in!P17)</f>
        <v>3557.3489155054544</v>
      </c>
      <c r="Q17" s="133">
        <f>IF(SER_hh_emi_in!Q17=0,0,1000000*SER_hh_emi_in!Q17/SER_hh_num_in!Q17)</f>
        <v>3938.5721579957644</v>
      </c>
      <c r="R17" s="133">
        <f>IF(SER_hh_emi_in!R17=0,0,1000000*SER_hh_emi_in!R17/SER_hh_num_in!R17)</f>
        <v>3363.9166117510995</v>
      </c>
      <c r="S17" s="133">
        <f>IF(SER_hh_emi_in!S17=0,0,1000000*SER_hh_emi_in!S17/SER_hh_num_in!S17)</f>
        <v>3250.474841321784</v>
      </c>
      <c r="T17" s="133">
        <f>IF(SER_hh_emi_in!T17=0,0,1000000*SER_hh_emi_in!T17/SER_hh_num_in!T17)</f>
        <v>3183.0641959333802</v>
      </c>
      <c r="U17" s="133">
        <f>IF(SER_hh_emi_in!U17=0,0,1000000*SER_hh_emi_in!U17/SER_hh_num_in!U17)</f>
        <v>3264.9686576862332</v>
      </c>
      <c r="V17" s="133">
        <f>IF(SER_hh_emi_in!V17=0,0,1000000*SER_hh_emi_in!V17/SER_hh_num_in!V17)</f>
        <v>2537.3862729436364</v>
      </c>
      <c r="W17" s="133">
        <f>IF(SER_hh_emi_in!W17=0,0,1000000*SER_hh_emi_in!W17/SER_hh_num_in!W17)</f>
        <v>2451.9285508119342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2385.257804931337</v>
      </c>
      <c r="D19" s="131">
        <f>IF(SER_hh_emi_in!D19=0,0,1000000*SER_hh_emi_in!D19/SER_hh_num_in!D19)</f>
        <v>2611.3380073318767</v>
      </c>
      <c r="E19" s="131">
        <f>IF(SER_hh_emi_in!E19=0,0,1000000*SER_hh_emi_in!E19/SER_hh_num_in!E19)</f>
        <v>2501.8188432470351</v>
      </c>
      <c r="F19" s="131">
        <f>IF(SER_hh_emi_in!F19=0,0,1000000*SER_hh_emi_in!F19/SER_hh_num_in!F19)</f>
        <v>1347.0231808725512</v>
      </c>
      <c r="G19" s="131">
        <f>IF(SER_hh_emi_in!G19=0,0,1000000*SER_hh_emi_in!G19/SER_hh_num_in!G19)</f>
        <v>980.25290846542384</v>
      </c>
      <c r="H19" s="131">
        <f>IF(SER_hh_emi_in!H19=0,0,1000000*SER_hh_emi_in!H19/SER_hh_num_in!H19)</f>
        <v>840.1556537114451</v>
      </c>
      <c r="I19" s="131">
        <f>IF(SER_hh_emi_in!I19=0,0,1000000*SER_hh_emi_in!I19/SER_hh_num_in!I19)</f>
        <v>1100.6721260689148</v>
      </c>
      <c r="J19" s="131">
        <f>IF(SER_hh_emi_in!J19=0,0,1000000*SER_hh_emi_in!J19/SER_hh_num_in!J19)</f>
        <v>1363.4823500297452</v>
      </c>
      <c r="K19" s="131">
        <f>IF(SER_hh_emi_in!K19=0,0,1000000*SER_hh_emi_in!K19/SER_hh_num_in!K19)</f>
        <v>1567.2907261097139</v>
      </c>
      <c r="L19" s="131">
        <f>IF(SER_hh_emi_in!L19=0,0,1000000*SER_hh_emi_in!L19/SER_hh_num_in!L19)</f>
        <v>2613.2564692648489</v>
      </c>
      <c r="M19" s="131">
        <f>IF(SER_hh_emi_in!M19=0,0,1000000*SER_hh_emi_in!M19/SER_hh_num_in!M19)</f>
        <v>1698.223893065541</v>
      </c>
      <c r="N19" s="131">
        <f>IF(SER_hh_emi_in!N19=0,0,1000000*SER_hh_emi_in!N19/SER_hh_num_in!N19)</f>
        <v>1731.0775260603893</v>
      </c>
      <c r="O19" s="131">
        <f>IF(SER_hh_emi_in!O19=0,0,1000000*SER_hh_emi_in!O19/SER_hh_num_in!O19)</f>
        <v>1413.8859302066915</v>
      </c>
      <c r="P19" s="131">
        <f>IF(SER_hh_emi_in!P19=0,0,1000000*SER_hh_emi_in!P19/SER_hh_num_in!P19)</f>
        <v>1323.4064839825544</v>
      </c>
      <c r="Q19" s="131">
        <f>IF(SER_hh_emi_in!Q19=0,0,1000000*SER_hh_emi_in!Q19/SER_hh_num_in!Q19)</f>
        <v>1185.2303955656155</v>
      </c>
      <c r="R19" s="131">
        <f>IF(SER_hh_emi_in!R19=0,0,1000000*SER_hh_emi_in!R19/SER_hh_num_in!R19)</f>
        <v>1068.2724749489735</v>
      </c>
      <c r="S19" s="131">
        <f>IF(SER_hh_emi_in!S19=0,0,1000000*SER_hh_emi_in!S19/SER_hh_num_in!S19)</f>
        <v>507.86551283593678</v>
      </c>
      <c r="T19" s="131">
        <f>IF(SER_hh_emi_in!T19=0,0,1000000*SER_hh_emi_in!T19/SER_hh_num_in!T19)</f>
        <v>315.66038084507682</v>
      </c>
      <c r="U19" s="131">
        <f>IF(SER_hh_emi_in!U19=0,0,1000000*SER_hh_emi_in!U19/SER_hh_num_in!U19)</f>
        <v>271.74300347207657</v>
      </c>
      <c r="V19" s="131">
        <f>IF(SER_hh_emi_in!V19=0,0,1000000*SER_hh_emi_in!V19/SER_hh_num_in!V19)</f>
        <v>307.2325316095592</v>
      </c>
      <c r="W19" s="131">
        <f>IF(SER_hh_emi_in!W19=0,0,1000000*SER_hh_emi_in!W19/SER_hh_num_in!W19)</f>
        <v>656.72831487277062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5310.0694344134063</v>
      </c>
      <c r="D20" s="133">
        <f>IF(SER_hh_emi_in!D20=0,0,1000000*SER_hh_emi_in!D20/SER_hh_num_in!D20)</f>
        <v>6367.1502569990307</v>
      </c>
      <c r="E20" s="133">
        <f>IF(SER_hh_emi_in!E20=0,0,1000000*SER_hh_emi_in!E20/SER_hh_num_in!E20)</f>
        <v>6336.0601661614855</v>
      </c>
      <c r="F20" s="133">
        <f>IF(SER_hh_emi_in!F20=0,0,1000000*SER_hh_emi_in!F20/SER_hh_num_in!F20)</f>
        <v>6531.6704422072053</v>
      </c>
      <c r="G20" s="133">
        <f>IF(SER_hh_emi_in!G20=0,0,1000000*SER_hh_emi_in!G20/SER_hh_num_in!G20)</f>
        <v>6467.6947472983311</v>
      </c>
      <c r="H20" s="133">
        <f>IF(SER_hh_emi_in!H20=0,0,1000000*SER_hh_emi_in!H20/SER_hh_num_in!H20)</f>
        <v>5947.1134302997461</v>
      </c>
      <c r="I20" s="133">
        <f>IF(SER_hh_emi_in!I20=0,0,1000000*SER_hh_emi_in!I20/SER_hh_num_in!I20)</f>
        <v>7068.1950477788996</v>
      </c>
      <c r="J20" s="133">
        <f>IF(SER_hh_emi_in!J20=0,0,1000000*SER_hh_emi_in!J20/SER_hh_num_in!J20)</f>
        <v>7008.3676322315769</v>
      </c>
      <c r="K20" s="133">
        <f>IF(SER_hh_emi_in!K20=0,0,1000000*SER_hh_emi_in!K20/SER_hh_num_in!K20)</f>
        <v>6911.8717153847965</v>
      </c>
      <c r="L20" s="133">
        <f>IF(SER_hh_emi_in!L20=0,0,1000000*SER_hh_emi_in!L20/SER_hh_num_in!L20)</f>
        <v>7097.4378002448366</v>
      </c>
      <c r="M20" s="133">
        <f>IF(SER_hh_emi_in!M20=0,0,1000000*SER_hh_emi_in!M20/SER_hh_num_in!M20)</f>
        <v>6952.5202212577615</v>
      </c>
      <c r="N20" s="133">
        <f>IF(SER_hh_emi_in!N20=0,0,1000000*SER_hh_emi_in!N20/SER_hh_num_in!N20)</f>
        <v>6897.5299305734225</v>
      </c>
      <c r="O20" s="133">
        <f>IF(SER_hh_emi_in!O20=0,0,1000000*SER_hh_emi_in!O20/SER_hh_num_in!O20)</f>
        <v>7000.9641149072277</v>
      </c>
      <c r="P20" s="133">
        <f>IF(SER_hh_emi_in!P20=0,0,1000000*SER_hh_emi_in!P20/SER_hh_num_in!P20)</f>
        <v>6875.4613127829416</v>
      </c>
      <c r="Q20" s="133">
        <f>IF(SER_hh_emi_in!Q20=0,0,1000000*SER_hh_emi_in!Q20/SER_hh_num_in!Q20)</f>
        <v>6850.3152720568023</v>
      </c>
      <c r="R20" s="133">
        <f>IF(SER_hh_emi_in!R20=0,0,1000000*SER_hh_emi_in!R20/SER_hh_num_in!R20)</f>
        <v>7659.0238474498847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4764.8329910562179</v>
      </c>
      <c r="V20" s="133">
        <f>IF(SER_hh_emi_in!V20=0,0,1000000*SER_hh_emi_in!V20/SER_hh_num_in!V20)</f>
        <v>5513.9603379054952</v>
      </c>
      <c r="W20" s="133">
        <f>IF(SER_hh_emi_in!W20=0,0,1000000*SER_hh_emi_in!W20/SER_hh_num_in!W20)</f>
        <v>7477.2653716078285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3817.3535294628932</v>
      </c>
      <c r="D21" s="133">
        <f>IF(SER_hh_emi_in!D21=0,0,1000000*SER_hh_emi_in!D21/SER_hh_num_in!D21)</f>
        <v>3654.0049971917024</v>
      </c>
      <c r="E21" s="133">
        <f>IF(SER_hh_emi_in!E21=0,0,1000000*SER_hh_emi_in!E21/SER_hh_num_in!E21)</f>
        <v>5525.5975508256888</v>
      </c>
      <c r="F21" s="133">
        <f>IF(SER_hh_emi_in!F21=0,0,1000000*SER_hh_emi_in!F21/SER_hh_num_in!F21)</f>
        <v>4835.1879146682704</v>
      </c>
      <c r="G21" s="133">
        <f>IF(SER_hh_emi_in!G21=0,0,1000000*SER_hh_emi_in!G21/SER_hh_num_in!G21)</f>
        <v>4224.3956032721035</v>
      </c>
      <c r="H21" s="133">
        <f>IF(SER_hh_emi_in!H21=0,0,1000000*SER_hh_emi_in!H21/SER_hh_num_in!H21)</f>
        <v>5269.4625736113658</v>
      </c>
      <c r="I21" s="133">
        <f>IF(SER_hh_emi_in!I21=0,0,1000000*SER_hh_emi_in!I21/SER_hh_num_in!I21)</f>
        <v>0</v>
      </c>
      <c r="J21" s="133">
        <f>IF(SER_hh_emi_in!J21=0,0,1000000*SER_hh_emi_in!J21/SER_hh_num_in!J21)</f>
        <v>4921.9749028899096</v>
      </c>
      <c r="K21" s="133">
        <f>IF(SER_hh_emi_in!K21=0,0,1000000*SER_hh_emi_in!K21/SER_hh_num_in!K21)</f>
        <v>5154.1652040399822</v>
      </c>
      <c r="L21" s="133">
        <f>IF(SER_hh_emi_in!L21=0,0,1000000*SER_hh_emi_in!L21/SER_hh_num_in!L21)</f>
        <v>5034.6158996319191</v>
      </c>
      <c r="M21" s="133">
        <f>IF(SER_hh_emi_in!M21=0,0,1000000*SER_hh_emi_in!M21/SER_hh_num_in!M21)</f>
        <v>4999.3248680944462</v>
      </c>
      <c r="N21" s="133">
        <f>IF(SER_hh_emi_in!N21=0,0,1000000*SER_hh_emi_in!N21/SER_hh_num_in!N21)</f>
        <v>6402.4133399042103</v>
      </c>
      <c r="O21" s="133">
        <f>IF(SER_hh_emi_in!O21=0,0,1000000*SER_hh_emi_in!O21/SER_hh_num_in!O21)</f>
        <v>4197.1391821698016</v>
      </c>
      <c r="P21" s="133">
        <f>IF(SER_hh_emi_in!P21=0,0,1000000*SER_hh_emi_in!P21/SER_hh_num_in!P21)</f>
        <v>4712.30639539599</v>
      </c>
      <c r="Q21" s="133">
        <f>IF(SER_hh_emi_in!Q21=0,0,1000000*SER_hh_emi_in!Q21/SER_hh_num_in!Q21)</f>
        <v>4335.6849806597265</v>
      </c>
      <c r="R21" s="133">
        <f>IF(SER_hh_emi_in!R21=0,0,1000000*SER_hh_emi_in!R21/SER_hh_num_in!R21)</f>
        <v>4414.7308253490191</v>
      </c>
      <c r="S21" s="133">
        <f>IF(SER_hh_emi_in!S21=0,0,1000000*SER_hh_emi_in!S21/SER_hh_num_in!S21)</f>
        <v>4318.9424759871372</v>
      </c>
      <c r="T21" s="133">
        <f>IF(SER_hh_emi_in!T21=0,0,1000000*SER_hh_emi_in!T21/SER_hh_num_in!T21)</f>
        <v>3936.9451812226562</v>
      </c>
      <c r="U21" s="133">
        <f>IF(SER_hh_emi_in!U21=0,0,1000000*SER_hh_emi_in!U21/SER_hh_num_in!U21)</f>
        <v>4429.2755224592393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4307.7050616606393</v>
      </c>
      <c r="D22" s="133">
        <f>IF(SER_hh_emi_in!D22=0,0,1000000*SER_hh_emi_in!D22/SER_hh_num_in!D22)</f>
        <v>5231.2606034191831</v>
      </c>
      <c r="E22" s="133">
        <f>IF(SER_hh_emi_in!E22=0,0,1000000*SER_hh_emi_in!E22/SER_hh_num_in!E22)</f>
        <v>5636.7099975557694</v>
      </c>
      <c r="F22" s="133">
        <f>IF(SER_hh_emi_in!F22=0,0,1000000*SER_hh_emi_in!F22/SER_hh_num_in!F22)</f>
        <v>5979.01246450078</v>
      </c>
      <c r="G22" s="133">
        <f>IF(SER_hh_emi_in!G22=0,0,1000000*SER_hh_emi_in!G22/SER_hh_num_in!G22)</f>
        <v>5851.1968411311982</v>
      </c>
      <c r="H22" s="133">
        <f>IF(SER_hh_emi_in!H22=0,0,1000000*SER_hh_emi_in!H22/SER_hh_num_in!H22)</f>
        <v>6241.0913207627182</v>
      </c>
      <c r="I22" s="133">
        <f>IF(SER_hh_emi_in!I22=0,0,1000000*SER_hh_emi_in!I22/SER_hh_num_in!I22)</f>
        <v>6637.245398189727</v>
      </c>
      <c r="J22" s="133">
        <f>IF(SER_hh_emi_in!J22=0,0,1000000*SER_hh_emi_in!J22/SER_hh_num_in!J22)</f>
        <v>6741.5299621430286</v>
      </c>
      <c r="K22" s="133">
        <f>IF(SER_hh_emi_in!K22=0,0,1000000*SER_hh_emi_in!K22/SER_hh_num_in!K22)</f>
        <v>6642.3540036741106</v>
      </c>
      <c r="L22" s="133">
        <f>IF(SER_hh_emi_in!L22=0,0,1000000*SER_hh_emi_in!L22/SER_hh_num_in!L22)</f>
        <v>6658.8300623669302</v>
      </c>
      <c r="M22" s="133">
        <f>IF(SER_hh_emi_in!M22=0,0,1000000*SER_hh_emi_in!M22/SER_hh_num_in!M22)</f>
        <v>6535.5880053362307</v>
      </c>
      <c r="N22" s="133">
        <f>IF(SER_hh_emi_in!N22=0,0,1000000*SER_hh_emi_in!N22/SER_hh_num_in!N22)</f>
        <v>6305.0437376506106</v>
      </c>
      <c r="O22" s="133">
        <f>IF(SER_hh_emi_in!O22=0,0,1000000*SER_hh_emi_in!O22/SER_hh_num_in!O22)</f>
        <v>6134.9643368566831</v>
      </c>
      <c r="P22" s="133">
        <f>IF(SER_hh_emi_in!P22=0,0,1000000*SER_hh_emi_in!P22/SER_hh_num_in!P22)</f>
        <v>5693.8551336691926</v>
      </c>
      <c r="Q22" s="133">
        <f>IF(SER_hh_emi_in!Q22=0,0,1000000*SER_hh_emi_in!Q22/SER_hh_num_in!Q22)</f>
        <v>5460.5794352615576</v>
      </c>
      <c r="R22" s="133">
        <f>IF(SER_hh_emi_in!R22=0,0,1000000*SER_hh_emi_in!R22/SER_hh_num_in!R22)</f>
        <v>5230.1842658864343</v>
      </c>
      <c r="S22" s="133">
        <f>IF(SER_hh_emi_in!S22=0,0,1000000*SER_hh_emi_in!S22/SER_hh_num_in!S22)</f>
        <v>5338.5122301628762</v>
      </c>
      <c r="T22" s="133">
        <f>IF(SER_hh_emi_in!T22=0,0,1000000*SER_hh_emi_in!T22/SER_hh_num_in!T22)</f>
        <v>4982.9828556497823</v>
      </c>
      <c r="U22" s="133">
        <f>IF(SER_hh_emi_in!U22=0,0,1000000*SER_hh_emi_in!U22/SER_hh_num_in!U22)</f>
        <v>4213.1603359025812</v>
      </c>
      <c r="V22" s="133">
        <f>IF(SER_hh_emi_in!V22=0,0,1000000*SER_hh_emi_in!V22/SER_hh_num_in!V22)</f>
        <v>4258.7330269171443</v>
      </c>
      <c r="W22" s="133">
        <f>IF(SER_hh_emi_in!W22=0,0,1000000*SER_hh_emi_in!W22/SER_hh_num_in!W22)</f>
        <v>4825.9803562078723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3067.6596703878222</v>
      </c>
      <c r="D23" s="133">
        <f>IF(SER_hh_emi_in!D23=0,0,1000000*SER_hh_emi_in!D23/SER_hh_num_in!D23)</f>
        <v>3421.0001339590813</v>
      </c>
      <c r="E23" s="133">
        <f>IF(SER_hh_emi_in!E23=0,0,1000000*SER_hh_emi_in!E23/SER_hh_num_in!E23)</f>
        <v>4076.9936928934699</v>
      </c>
      <c r="F23" s="133">
        <f>IF(SER_hh_emi_in!F23=0,0,1000000*SER_hh_emi_in!F23/SER_hh_num_in!F23)</f>
        <v>4008.0124495951081</v>
      </c>
      <c r="G23" s="133">
        <f>IF(SER_hh_emi_in!G23=0,0,1000000*SER_hh_emi_in!G23/SER_hh_num_in!G23)</f>
        <v>4037.904663285341</v>
      </c>
      <c r="H23" s="133">
        <f>IF(SER_hh_emi_in!H23=0,0,1000000*SER_hh_emi_in!H23/SER_hh_num_in!H23)</f>
        <v>4116.1865788076238</v>
      </c>
      <c r="I23" s="133">
        <f>IF(SER_hh_emi_in!I23=0,0,1000000*SER_hh_emi_in!I23/SER_hh_num_in!I23)</f>
        <v>4288.6123384672283</v>
      </c>
      <c r="J23" s="133">
        <f>IF(SER_hh_emi_in!J23=0,0,1000000*SER_hh_emi_in!J23/SER_hh_num_in!J23)</f>
        <v>4391.5302226099848</v>
      </c>
      <c r="K23" s="133">
        <f>IF(SER_hh_emi_in!K23=0,0,1000000*SER_hh_emi_in!K23/SER_hh_num_in!K23)</f>
        <v>4270.9143255041763</v>
      </c>
      <c r="L23" s="133">
        <f>IF(SER_hh_emi_in!L23=0,0,1000000*SER_hh_emi_in!L23/SER_hh_num_in!L23)</f>
        <v>4338.143684520127</v>
      </c>
      <c r="M23" s="133">
        <f>IF(SER_hh_emi_in!M23=0,0,1000000*SER_hh_emi_in!M23/SER_hh_num_in!M23)</f>
        <v>4278.399297194318</v>
      </c>
      <c r="N23" s="133">
        <f>IF(SER_hh_emi_in!N23=0,0,1000000*SER_hh_emi_in!N23/SER_hh_num_in!N23)</f>
        <v>4098.5619305446553</v>
      </c>
      <c r="O23" s="133">
        <f>IF(SER_hh_emi_in!O23=0,0,1000000*SER_hh_emi_in!O23/SER_hh_num_in!O23)</f>
        <v>4050.5973551178263</v>
      </c>
      <c r="P23" s="133">
        <f>IF(SER_hh_emi_in!P23=0,0,1000000*SER_hh_emi_in!P23/SER_hh_num_in!P23)</f>
        <v>3893.4795172050631</v>
      </c>
      <c r="Q23" s="133">
        <f>IF(SER_hh_emi_in!Q23=0,0,1000000*SER_hh_emi_in!Q23/SER_hh_num_in!Q23)</f>
        <v>3828.4572094995306</v>
      </c>
      <c r="R23" s="133">
        <f>IF(SER_hh_emi_in!R23=0,0,1000000*SER_hh_emi_in!R23/SER_hh_num_in!R23)</f>
        <v>3952.0609880817829</v>
      </c>
      <c r="S23" s="133">
        <f>IF(SER_hh_emi_in!S23=0,0,1000000*SER_hh_emi_in!S23/SER_hh_num_in!S23)</f>
        <v>0</v>
      </c>
      <c r="T23" s="133">
        <f>IF(SER_hh_emi_in!T23=0,0,1000000*SER_hh_emi_in!T23/SER_hh_num_in!T23)</f>
        <v>0</v>
      </c>
      <c r="U23" s="133">
        <f>IF(SER_hh_emi_in!U23=0,0,1000000*SER_hh_emi_in!U23/SER_hh_num_in!U23)</f>
        <v>3106.3776115295764</v>
      </c>
      <c r="V23" s="133">
        <f>IF(SER_hh_emi_in!V23=0,0,1000000*SER_hh_emi_in!V23/SER_hh_num_in!V23)</f>
        <v>2725.1137136120083</v>
      </c>
      <c r="W23" s="133">
        <f>IF(SER_hh_emi_in!W23=0,0,1000000*SER_hh_emi_in!W23/SER_hh_num_in!W23)</f>
        <v>3782.9654609104682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118.33537640720537</v>
      </c>
      <c r="D24" s="133">
        <f>IF(SER_hh_emi_in!D24=0,0,1000000*SER_hh_emi_in!D24/SER_hh_num_in!D24)</f>
        <v>159.30070407071022</v>
      </c>
      <c r="E24" s="133">
        <f>IF(SER_hh_emi_in!E24=0,0,1000000*SER_hh_emi_in!E24/SER_hh_num_in!E24)</f>
        <v>115.74862276178362</v>
      </c>
      <c r="F24" s="133">
        <f>IF(SER_hh_emi_in!F24=0,0,1000000*SER_hh_emi_in!F24/SER_hh_num_in!F24)</f>
        <v>3.1957234205434362</v>
      </c>
      <c r="G24" s="133">
        <f>IF(SER_hh_emi_in!G24=0,0,1000000*SER_hh_emi_in!G24/SER_hh_num_in!G24)</f>
        <v>33.073046806085813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78.107978076385564</v>
      </c>
      <c r="K24" s="133">
        <f>IF(SER_hh_emi_in!K24=0,0,1000000*SER_hh_emi_in!K24/SER_hh_num_in!K24)</f>
        <v>176.7147291986561</v>
      </c>
      <c r="L24" s="133">
        <f>IF(SER_hh_emi_in!L24=0,0,1000000*SER_hh_emi_in!L24/SER_hh_num_in!L24)</f>
        <v>32.157482248584799</v>
      </c>
      <c r="M24" s="133">
        <f>IF(SER_hh_emi_in!M24=0,0,1000000*SER_hh_emi_in!M24/SER_hh_num_in!M24)</f>
        <v>55.112516242891019</v>
      </c>
      <c r="N24" s="133">
        <f>IF(SER_hh_emi_in!N24=0,0,1000000*SER_hh_emi_in!N24/SER_hh_num_in!N24)</f>
        <v>51.606129984696729</v>
      </c>
      <c r="O24" s="133">
        <f>IF(SER_hh_emi_in!O24=0,0,1000000*SER_hh_emi_in!O24/SER_hh_num_in!O24)</f>
        <v>545.26160829633659</v>
      </c>
      <c r="P24" s="133">
        <f>IF(SER_hh_emi_in!P24=0,0,1000000*SER_hh_emi_in!P24/SER_hh_num_in!P24)</f>
        <v>317.79460556950323</v>
      </c>
      <c r="Q24" s="133">
        <f>IF(SER_hh_emi_in!Q24=0,0,1000000*SER_hh_emi_in!Q24/SER_hh_num_in!Q24)</f>
        <v>259.78670791072045</v>
      </c>
      <c r="R24" s="133">
        <f>IF(SER_hh_emi_in!R24=0,0,1000000*SER_hh_emi_in!R24/SER_hh_num_in!R24)</f>
        <v>407.81469334671397</v>
      </c>
      <c r="S24" s="133">
        <f>IF(SER_hh_emi_in!S24=0,0,1000000*SER_hh_emi_in!S24/SER_hh_num_in!S24)</f>
        <v>285.52355512260749</v>
      </c>
      <c r="T24" s="133">
        <f>IF(SER_hh_emi_in!T24=0,0,1000000*SER_hh_emi_in!T24/SER_hh_num_in!T24)</f>
        <v>230.17235761052663</v>
      </c>
      <c r="U24" s="133">
        <f>IF(SER_hh_emi_in!U24=0,0,1000000*SER_hh_emi_in!U24/SER_hh_num_in!U24)</f>
        <v>203.95134306526862</v>
      </c>
      <c r="V24" s="133">
        <f>IF(SER_hh_emi_in!V24=0,0,1000000*SER_hh_emi_in!V24/SER_hh_num_in!V24)</f>
        <v>557.91585520433989</v>
      </c>
      <c r="W24" s="133">
        <f>IF(SER_hh_emi_in!W24=0,0,1000000*SER_hh_emi_in!W24/SER_hh_num_in!W24)</f>
        <v>649.41366576298481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1460.0564530185084</v>
      </c>
      <c r="D29" s="131">
        <f>IF(SER_hh_emi_in!D29=0,0,1000000*SER_hh_emi_in!D29/SER_hh_num_in!D29)</f>
        <v>1540.6457293530209</v>
      </c>
      <c r="E29" s="131">
        <f>IF(SER_hh_emi_in!E29=0,0,1000000*SER_hh_emi_in!E29/SER_hh_num_in!E29)</f>
        <v>1782.062207918239</v>
      </c>
      <c r="F29" s="131">
        <f>IF(SER_hh_emi_in!F29=0,0,1000000*SER_hh_emi_in!F29/SER_hh_num_in!F29)</f>
        <v>1395.8971643814884</v>
      </c>
      <c r="G29" s="131">
        <f>IF(SER_hh_emi_in!G29=0,0,1000000*SER_hh_emi_in!G29/SER_hh_num_in!G29)</f>
        <v>1540.8846091430394</v>
      </c>
      <c r="H29" s="131">
        <f>IF(SER_hh_emi_in!H29=0,0,1000000*SER_hh_emi_in!H29/SER_hh_num_in!H29)</f>
        <v>1261.8584762954436</v>
      </c>
      <c r="I29" s="131">
        <f>IF(SER_hh_emi_in!I29=0,0,1000000*SER_hh_emi_in!I29/SER_hh_num_in!I29)</f>
        <v>978.26406810226865</v>
      </c>
      <c r="J29" s="131">
        <f>IF(SER_hh_emi_in!J29=0,0,1000000*SER_hh_emi_in!J29/SER_hh_num_in!J29)</f>
        <v>895.99349676817053</v>
      </c>
      <c r="K29" s="131">
        <f>IF(SER_hh_emi_in!K29=0,0,1000000*SER_hh_emi_in!K29/SER_hh_num_in!K29)</f>
        <v>1081.0877358697558</v>
      </c>
      <c r="L29" s="131">
        <f>IF(SER_hh_emi_in!L29=0,0,1000000*SER_hh_emi_in!L29/SER_hh_num_in!L29)</f>
        <v>1592.9115316210989</v>
      </c>
      <c r="M29" s="131">
        <f>IF(SER_hh_emi_in!M29=0,0,1000000*SER_hh_emi_in!M29/SER_hh_num_in!M29)</f>
        <v>2185.424513533088</v>
      </c>
      <c r="N29" s="131">
        <f>IF(SER_hh_emi_in!N29=0,0,1000000*SER_hh_emi_in!N29/SER_hh_num_in!N29)</f>
        <v>2245.1391618421803</v>
      </c>
      <c r="O29" s="131">
        <f>IF(SER_hh_emi_in!O29=0,0,1000000*SER_hh_emi_in!O29/SER_hh_num_in!O29)</f>
        <v>2127.3854714008489</v>
      </c>
      <c r="P29" s="131">
        <f>IF(SER_hh_emi_in!P29=0,0,1000000*SER_hh_emi_in!P29/SER_hh_num_in!P29)</f>
        <v>1422.5964384942399</v>
      </c>
      <c r="Q29" s="131">
        <f>IF(SER_hh_emi_in!Q29=0,0,1000000*SER_hh_emi_in!Q29/SER_hh_num_in!Q29)</f>
        <v>1468.7373040175287</v>
      </c>
      <c r="R29" s="131">
        <f>IF(SER_hh_emi_in!R29=0,0,1000000*SER_hh_emi_in!R29/SER_hh_num_in!R29)</f>
        <v>1068.7322379159023</v>
      </c>
      <c r="S29" s="131">
        <f>IF(SER_hh_emi_in!S29=0,0,1000000*SER_hh_emi_in!S29/SER_hh_num_in!S29)</f>
        <v>932.99813116909172</v>
      </c>
      <c r="T29" s="131">
        <f>IF(SER_hh_emi_in!T29=0,0,1000000*SER_hh_emi_in!T29/SER_hh_num_in!T29)</f>
        <v>726.14515780691079</v>
      </c>
      <c r="U29" s="131">
        <f>IF(SER_hh_emi_in!U29=0,0,1000000*SER_hh_emi_in!U29/SER_hh_num_in!U29)</f>
        <v>1135.549411279251</v>
      </c>
      <c r="V29" s="131">
        <f>IF(SER_hh_emi_in!V29=0,0,1000000*SER_hh_emi_in!V29/SER_hh_num_in!V29)</f>
        <v>927.3814373428653</v>
      </c>
      <c r="W29" s="131">
        <f>IF(SER_hh_emi_in!W29=0,0,1000000*SER_hh_emi_in!W29/SER_hh_num_in!W29)</f>
        <v>1471.9425757826791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5739.2462370604298</v>
      </c>
      <c r="D30" s="133">
        <f>IF(SER_hh_emi_in!D30=0,0,1000000*SER_hh_emi_in!D30/SER_hh_num_in!D30)</f>
        <v>4691.4161598784194</v>
      </c>
      <c r="E30" s="133">
        <f>IF(SER_hh_emi_in!E30=0,0,1000000*SER_hh_emi_in!E30/SER_hh_num_in!E30)</f>
        <v>6854.1769503929045</v>
      </c>
      <c r="F30" s="133">
        <f>IF(SER_hh_emi_in!F30=0,0,1000000*SER_hh_emi_in!F30/SER_hh_num_in!F30)</f>
        <v>6169.4287646599796</v>
      </c>
      <c r="G30" s="133">
        <f>IF(SER_hh_emi_in!G30=0,0,1000000*SER_hh_emi_in!G30/SER_hh_num_in!G30)</f>
        <v>5944.3570631282391</v>
      </c>
      <c r="H30" s="133">
        <f>IF(SER_hh_emi_in!H30=0,0,1000000*SER_hh_emi_in!H30/SER_hh_num_in!H30)</f>
        <v>6639.2332300725357</v>
      </c>
      <c r="I30" s="133">
        <f>IF(SER_hh_emi_in!I30=0,0,1000000*SER_hh_emi_in!I30/SER_hh_num_in!I30)</f>
        <v>7053.8803712992521</v>
      </c>
      <c r="J30" s="133">
        <f>IF(SER_hh_emi_in!J30=0,0,1000000*SER_hh_emi_in!J30/SER_hh_num_in!J30)</f>
        <v>0</v>
      </c>
      <c r="K30" s="133">
        <f>IF(SER_hh_emi_in!K30=0,0,1000000*SER_hh_emi_in!K30/SER_hh_num_in!K30)</f>
        <v>0</v>
      </c>
      <c r="L30" s="133">
        <f>IF(SER_hh_emi_in!L30=0,0,1000000*SER_hh_emi_in!L30/SER_hh_num_in!L30)</f>
        <v>0</v>
      </c>
      <c r="M30" s="133">
        <f>IF(SER_hh_emi_in!M30=0,0,1000000*SER_hh_emi_in!M30/SER_hh_num_in!M30)</f>
        <v>0</v>
      </c>
      <c r="N30" s="133">
        <f>IF(SER_hh_emi_in!N30=0,0,1000000*SER_hh_emi_in!N30/SER_hh_num_in!N30)</f>
        <v>6406.4367919842225</v>
      </c>
      <c r="O30" s="133">
        <f>IF(SER_hh_emi_in!O30=0,0,1000000*SER_hh_emi_in!O30/SER_hh_num_in!O30)</f>
        <v>6573.653246577951</v>
      </c>
      <c r="P30" s="133">
        <f>IF(SER_hh_emi_in!P30=0,0,1000000*SER_hh_emi_in!P30/SER_hh_num_in!P30)</f>
        <v>5685.1361318153504</v>
      </c>
      <c r="Q30" s="133">
        <f>IF(SER_hh_emi_in!Q30=0,0,1000000*SER_hh_emi_in!Q30/SER_hh_num_in!Q30)</f>
        <v>6292.427862471427</v>
      </c>
      <c r="R30" s="133">
        <f>IF(SER_hh_emi_in!R30=0,0,1000000*SER_hh_emi_in!R30/SER_hh_num_in!R30)</f>
        <v>6468.987740462966</v>
      </c>
      <c r="S30" s="133">
        <f>IF(SER_hh_emi_in!S30=0,0,1000000*SER_hh_emi_in!S30/SER_hh_num_in!S30)</f>
        <v>6246.1155294408945</v>
      </c>
      <c r="T30" s="133">
        <f>IF(SER_hh_emi_in!T30=0,0,1000000*SER_hh_emi_in!T30/SER_hh_num_in!T30)</f>
        <v>5920.6942062574899</v>
      </c>
      <c r="U30" s="133">
        <f>IF(SER_hh_emi_in!U30=0,0,1000000*SER_hh_emi_in!U30/SER_hh_num_in!U30)</f>
        <v>6868.5782306684168</v>
      </c>
      <c r="V30" s="133">
        <f>IF(SER_hh_emi_in!V30=0,0,1000000*SER_hh_emi_in!V30/SER_hh_num_in!V30)</f>
        <v>4758.6870495867615</v>
      </c>
      <c r="W30" s="133">
        <f>IF(SER_hh_emi_in!W30=0,0,1000000*SER_hh_emi_in!W30/SER_hh_num_in!W30)</f>
        <v>4627.9296346004676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4168.2882344836798</v>
      </c>
      <c r="D31" s="133">
        <f>IF(SER_hh_emi_in!D31=0,0,1000000*SER_hh_emi_in!D31/SER_hh_num_in!D31)</f>
        <v>4732.3604515457773</v>
      </c>
      <c r="E31" s="133">
        <f>IF(SER_hh_emi_in!E31=0,0,1000000*SER_hh_emi_in!E31/SER_hh_num_in!E31)</f>
        <v>5186.3466074130829</v>
      </c>
      <c r="F31" s="133">
        <f>IF(SER_hh_emi_in!F31=0,0,1000000*SER_hh_emi_in!F31/SER_hh_num_in!F31)</f>
        <v>5126.071319069948</v>
      </c>
      <c r="G31" s="133">
        <f>IF(SER_hh_emi_in!G31=0,0,1000000*SER_hh_emi_in!G31/SER_hh_num_in!G31)</f>
        <v>5340.6607055575441</v>
      </c>
      <c r="H31" s="133">
        <f>IF(SER_hh_emi_in!H31=0,0,1000000*SER_hh_emi_in!H31/SER_hh_num_in!H31)</f>
        <v>5480.4423131791245</v>
      </c>
      <c r="I31" s="133">
        <f>IF(SER_hh_emi_in!I31=0,0,1000000*SER_hh_emi_in!I31/SER_hh_num_in!I31)</f>
        <v>5577.3902418811704</v>
      </c>
      <c r="J31" s="133">
        <f>IF(SER_hh_emi_in!J31=0,0,1000000*SER_hh_emi_in!J31/SER_hh_num_in!J31)</f>
        <v>5603.8477240057291</v>
      </c>
      <c r="K31" s="133">
        <f>IF(SER_hh_emi_in!K31=0,0,1000000*SER_hh_emi_in!K31/SER_hh_num_in!K31)</f>
        <v>5577.8718336563625</v>
      </c>
      <c r="L31" s="133">
        <f>IF(SER_hh_emi_in!L31=0,0,1000000*SER_hh_emi_in!L31/SER_hh_num_in!L31)</f>
        <v>5319.0772715609401</v>
      </c>
      <c r="M31" s="133">
        <f>IF(SER_hh_emi_in!M31=0,0,1000000*SER_hh_emi_in!M31/SER_hh_num_in!M31)</f>
        <v>5594.9897080790579</v>
      </c>
      <c r="N31" s="133">
        <f>IF(SER_hh_emi_in!N31=0,0,1000000*SER_hh_emi_in!N31/SER_hh_num_in!N31)</f>
        <v>5704.2956388631492</v>
      </c>
      <c r="O31" s="133">
        <f>IF(SER_hh_emi_in!O31=0,0,1000000*SER_hh_emi_in!O31/SER_hh_num_in!O31)</f>
        <v>5549.4172380286436</v>
      </c>
      <c r="P31" s="133">
        <f>IF(SER_hh_emi_in!P31=0,0,1000000*SER_hh_emi_in!P31/SER_hh_num_in!P31)</f>
        <v>5414.1740546277151</v>
      </c>
      <c r="Q31" s="133">
        <f>IF(SER_hh_emi_in!Q31=0,0,1000000*SER_hh_emi_in!Q31/SER_hh_num_in!Q31)</f>
        <v>5543.0222805504336</v>
      </c>
      <c r="R31" s="133">
        <f>IF(SER_hh_emi_in!R31=0,0,1000000*SER_hh_emi_in!R31/SER_hh_num_in!R31)</f>
        <v>5367.5376728456904</v>
      </c>
      <c r="S31" s="133">
        <f>IF(SER_hh_emi_in!S31=0,0,1000000*SER_hh_emi_in!S31/SER_hh_num_in!S31)</f>
        <v>5097.2624141722636</v>
      </c>
      <c r="T31" s="133">
        <f>IF(SER_hh_emi_in!T31=0,0,1000000*SER_hh_emi_in!T31/SER_hh_num_in!T31)</f>
        <v>5021.0298435223067</v>
      </c>
      <c r="U31" s="133">
        <f>IF(SER_hh_emi_in!U31=0,0,1000000*SER_hh_emi_in!U31/SER_hh_num_in!U31)</f>
        <v>5029.2705210726117</v>
      </c>
      <c r="V31" s="133">
        <f>IF(SER_hh_emi_in!V31=0,0,1000000*SER_hh_emi_in!V31/SER_hh_num_in!V31)</f>
        <v>4106.4712007019734</v>
      </c>
      <c r="W31" s="133">
        <f>IF(SER_hh_emi_in!W31=0,0,1000000*SER_hh_emi_in!W31/SER_hh_num_in!W31)</f>
        <v>5688.3345389478227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168.96552457957088</v>
      </c>
      <c r="D3" s="126">
        <f>IF(SER_hh_fech_in!D3=0,0,SER_hh_fech_in!D3/SER_summary!D$27)</f>
        <v>195.73849912940955</v>
      </c>
      <c r="E3" s="126">
        <f>IF(SER_hh_fech_in!E3=0,0,SER_hh_fech_in!E3/SER_summary!E$27)</f>
        <v>185.16100037606847</v>
      </c>
      <c r="F3" s="126">
        <f>IF(SER_hh_fech_in!F3=0,0,SER_hh_fech_in!F3/SER_summary!F$27)</f>
        <v>186.24264851528966</v>
      </c>
      <c r="G3" s="126">
        <f>IF(SER_hh_fech_in!G3=0,0,SER_hh_fech_in!G3/SER_summary!G$27)</f>
        <v>174.74032673697505</v>
      </c>
      <c r="H3" s="126">
        <f>IF(SER_hh_fech_in!H3=0,0,SER_hh_fech_in!H3/SER_summary!H$27)</f>
        <v>196.96674233968227</v>
      </c>
      <c r="I3" s="126">
        <f>IF(SER_hh_fech_in!I3=0,0,SER_hh_fech_in!I3/SER_summary!I$27)</f>
        <v>176.04432674865862</v>
      </c>
      <c r="J3" s="126">
        <f>IF(SER_hh_fech_in!J3=0,0,SER_hh_fech_in!J3/SER_summary!J$27)</f>
        <v>186.70803663687977</v>
      </c>
      <c r="K3" s="126">
        <f>IF(SER_hh_fech_in!K3=0,0,SER_hh_fech_in!K3/SER_summary!K$27)</f>
        <v>183.44166696216936</v>
      </c>
      <c r="L3" s="126">
        <f>IF(SER_hh_fech_in!L3=0,0,SER_hh_fech_in!L3/SER_summary!L$27)</f>
        <v>202.63852990309638</v>
      </c>
      <c r="M3" s="126">
        <f>IF(SER_hh_fech_in!M3=0,0,SER_hh_fech_in!M3/SER_summary!M$27)</f>
        <v>179.82727508824559</v>
      </c>
      <c r="N3" s="126">
        <f>IF(SER_hh_fech_in!N3=0,0,SER_hh_fech_in!N3/SER_summary!N$27)</f>
        <v>169.25085459255379</v>
      </c>
      <c r="O3" s="126">
        <f>IF(SER_hh_fech_in!O3=0,0,SER_hh_fech_in!O3/SER_summary!O$27)</f>
        <v>158.14536082476252</v>
      </c>
      <c r="P3" s="126">
        <f>IF(SER_hh_fech_in!P3=0,0,SER_hh_fech_in!P3/SER_summary!P$27)</f>
        <v>135.52304949737965</v>
      </c>
      <c r="Q3" s="126">
        <f>IF(SER_hh_fech_in!Q3=0,0,SER_hh_fech_in!Q3/SER_summary!Q$27)</f>
        <v>132.53900875800426</v>
      </c>
      <c r="R3" s="126">
        <f>IF(SER_hh_fech_in!R3=0,0,SER_hh_fech_in!R3/SER_summary!R$27)</f>
        <v>134.4394606526038</v>
      </c>
      <c r="S3" s="126">
        <f>IF(SER_hh_fech_in!S3=0,0,SER_hh_fech_in!S3/SER_summary!S$27)</f>
        <v>121.28201857473492</v>
      </c>
      <c r="T3" s="126">
        <f>IF(SER_hh_fech_in!T3=0,0,SER_hh_fech_in!T3/SER_summary!T$27)</f>
        <v>112.38635495181809</v>
      </c>
      <c r="U3" s="126">
        <f>IF(SER_hh_fech_in!U3=0,0,SER_hh_fech_in!U3/SER_summary!U$27)</f>
        <v>106.54507765421732</v>
      </c>
      <c r="V3" s="126">
        <f>IF(SER_hh_fech_in!V3=0,0,SER_hh_fech_in!V3/SER_summary!V$27)</f>
        <v>95.963495122958705</v>
      </c>
      <c r="W3" s="126">
        <f>IF(SER_hh_fech_in!W3=0,0,SER_hh_fech_in!W3/SER_summary!W$27)</f>
        <v>99.413294452543198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121.4118721725025</v>
      </c>
      <c r="D4" s="131">
        <f>IF(SER_hh_fech_in!D4=0,0,SER_hh_fech_in!D4/SER_summary!D$27)</f>
        <v>144.47809378056158</v>
      </c>
      <c r="E4" s="131">
        <f>IF(SER_hh_fech_in!E4=0,0,SER_hh_fech_in!E4/SER_summary!E$27)</f>
        <v>134.99781196489201</v>
      </c>
      <c r="F4" s="131">
        <f>IF(SER_hh_fech_in!F4=0,0,SER_hh_fech_in!F4/SER_summary!F$27)</f>
        <v>137.73226396777028</v>
      </c>
      <c r="G4" s="131">
        <f>IF(SER_hh_fech_in!G4=0,0,SER_hh_fech_in!G4/SER_summary!G$27)</f>
        <v>124.28780490515349</v>
      </c>
      <c r="H4" s="131">
        <f>IF(SER_hh_fech_in!H4=0,0,SER_hh_fech_in!H4/SER_summary!H$27)</f>
        <v>147.06452658735461</v>
      </c>
      <c r="I4" s="131">
        <f>IF(SER_hh_fech_in!I4=0,0,SER_hh_fech_in!I4/SER_summary!I$27)</f>
        <v>123.82094068755011</v>
      </c>
      <c r="J4" s="131">
        <f>IF(SER_hh_fech_in!J4=0,0,SER_hh_fech_in!J4/SER_summary!J$27)</f>
        <v>134.1209799051957</v>
      </c>
      <c r="K4" s="131">
        <f>IF(SER_hh_fech_in!K4=0,0,SER_hh_fech_in!K4/SER_summary!K$27)</f>
        <v>131.33415960174</v>
      </c>
      <c r="L4" s="131">
        <f>IF(SER_hh_fech_in!L4=0,0,SER_hh_fech_in!L4/SER_summary!L$27)</f>
        <v>144.14353728752408</v>
      </c>
      <c r="M4" s="131">
        <f>IF(SER_hh_fech_in!M4=0,0,SER_hh_fech_in!M4/SER_summary!M$27)</f>
        <v>125.47274756205384</v>
      </c>
      <c r="N4" s="131">
        <f>IF(SER_hh_fech_in!N4=0,0,SER_hh_fech_in!N4/SER_summary!N$27)</f>
        <v>114.09134231447517</v>
      </c>
      <c r="O4" s="131">
        <f>IF(SER_hh_fech_in!O4=0,0,SER_hh_fech_in!O4/SER_summary!O$27)</f>
        <v>102.01129186178402</v>
      </c>
      <c r="P4" s="131">
        <f>IF(SER_hh_fech_in!P4=0,0,SER_hh_fech_in!P4/SER_summary!P$27)</f>
        <v>84.213075538106679</v>
      </c>
      <c r="Q4" s="131">
        <f>IF(SER_hh_fech_in!Q4=0,0,SER_hh_fech_in!Q4/SER_summary!Q$27)</f>
        <v>79.354630531760094</v>
      </c>
      <c r="R4" s="131">
        <f>IF(SER_hh_fech_in!R4=0,0,SER_hh_fech_in!R4/SER_summary!R$27)</f>
        <v>84.350777729674419</v>
      </c>
      <c r="S4" s="131">
        <f>IF(SER_hh_fech_in!S4=0,0,SER_hh_fech_in!S4/SER_summary!S$27)</f>
        <v>73.961489313961849</v>
      </c>
      <c r="T4" s="131">
        <f>IF(SER_hh_fech_in!T4=0,0,SER_hh_fech_in!T4/SER_summary!T$27)</f>
        <v>66.18701527193592</v>
      </c>
      <c r="U4" s="131">
        <f>IF(SER_hh_fech_in!U4=0,0,SER_hh_fech_in!U4/SER_summary!U$27)</f>
        <v>59.748616323701377</v>
      </c>
      <c r="V4" s="131">
        <f>IF(SER_hh_fech_in!V4=0,0,SER_hh_fech_in!V4/SER_summary!V$27)</f>
        <v>54.290277213246995</v>
      </c>
      <c r="W4" s="131">
        <f>IF(SER_hh_fech_in!W4=0,0,SER_hh_fech_in!W4/SER_summary!W$27)</f>
        <v>54.173318337698682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97.914144675792116</v>
      </c>
      <c r="D5" s="133">
        <f>IF(SER_hh_fech_in!D5=0,0,SER_hh_fech_in!D5/SER_summary!D$27)</f>
        <v>160.38403600481317</v>
      </c>
      <c r="E5" s="133">
        <f>IF(SER_hh_fech_in!E5=0,0,SER_hh_fech_in!E5/SER_summary!E$27)</f>
        <v>153.58666193047614</v>
      </c>
      <c r="F5" s="133">
        <f>IF(SER_hh_fech_in!F5=0,0,SER_hh_fech_in!F5/SER_summary!F$27)</f>
        <v>142.99232932299481</v>
      </c>
      <c r="G5" s="133">
        <f>IF(SER_hh_fech_in!G5=0,0,SER_hh_fech_in!G5/SER_summary!G$27)</f>
        <v>138.82494422250511</v>
      </c>
      <c r="H5" s="133">
        <f>IF(SER_hh_fech_in!H5=0,0,SER_hh_fech_in!H5/SER_summary!H$27)</f>
        <v>155.99115123180937</v>
      </c>
      <c r="I5" s="133">
        <f>IF(SER_hh_fech_in!I5=0,0,SER_hh_fech_in!I5/SER_summary!I$27)</f>
        <v>127.27084544519734</v>
      </c>
      <c r="J5" s="133">
        <f>IF(SER_hh_fech_in!J5=0,0,SER_hh_fech_in!J5/SER_summary!J$27)</f>
        <v>136.2759170801335</v>
      </c>
      <c r="K5" s="133">
        <f>IF(SER_hh_fech_in!K5=0,0,SER_hh_fech_in!K5/SER_summary!K$27)</f>
        <v>139.83404341752876</v>
      </c>
      <c r="L5" s="133">
        <f>IF(SER_hh_fech_in!L5=0,0,SER_hh_fech_in!L5/SER_summary!L$27)</f>
        <v>152.61757819627772</v>
      </c>
      <c r="M5" s="133">
        <f>IF(SER_hh_fech_in!M5=0,0,SER_hh_fech_in!M5/SER_summary!M$27)</f>
        <v>128.86560372249923</v>
      </c>
      <c r="N5" s="133">
        <f>IF(SER_hh_fech_in!N5=0,0,SER_hh_fech_in!N5/SER_summary!N$27)</f>
        <v>125.93868836444449</v>
      </c>
      <c r="O5" s="133">
        <f>IF(SER_hh_fech_in!O5=0,0,SER_hh_fech_in!O5/SER_summary!O$27)</f>
        <v>112.80024638961729</v>
      </c>
      <c r="P5" s="133">
        <f>IF(SER_hh_fech_in!P5=0,0,SER_hh_fech_in!P5/SER_summary!P$27)</f>
        <v>96.317671048610478</v>
      </c>
      <c r="Q5" s="133">
        <f>IF(SER_hh_fech_in!Q5=0,0,SER_hh_fech_in!Q5/SER_summary!Q$27)</f>
        <v>90.03034600770458</v>
      </c>
      <c r="R5" s="133">
        <f>IF(SER_hh_fech_in!R5=0,0,SER_hh_fech_in!R5/SER_summary!R$27)</f>
        <v>91.28276067211651</v>
      </c>
      <c r="S5" s="133">
        <f>IF(SER_hh_fech_in!S5=0,0,SER_hh_fech_in!S5/SER_summary!S$27)</f>
        <v>86.406171807826809</v>
      </c>
      <c r="T5" s="133">
        <f>IF(SER_hh_fech_in!T5=0,0,SER_hh_fech_in!T5/SER_summary!T$27)</f>
        <v>77.433984210517096</v>
      </c>
      <c r="U5" s="133">
        <f>IF(SER_hh_fech_in!U5=0,0,SER_hh_fech_in!U5/SER_summary!U$27)</f>
        <v>60.530956484378898</v>
      </c>
      <c r="V5" s="133">
        <f>IF(SER_hh_fech_in!V5=0,0,SER_hh_fech_in!V5/SER_summary!V$27)</f>
        <v>58.474040788473161</v>
      </c>
      <c r="W5" s="133">
        <f>IF(SER_hh_fech_in!W5=0,0,SER_hh_fech_in!W5/SER_summary!W$27)</f>
        <v>62.187970994010627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162.66090274703623</v>
      </c>
      <c r="D7" s="133">
        <f>IF(SER_hh_fech_in!D7=0,0,SER_hh_fech_in!D7/SER_summary!D$27)</f>
        <v>173.34440533578157</v>
      </c>
      <c r="E7" s="133">
        <f>IF(SER_hh_fech_in!E7=0,0,SER_hh_fech_in!E7/SER_summary!E$27)</f>
        <v>172.05762230552645</v>
      </c>
      <c r="F7" s="133">
        <f>IF(SER_hh_fech_in!F7=0,0,SER_hh_fech_in!F7/SER_summary!F$27)</f>
        <v>158.09276117994318</v>
      </c>
      <c r="G7" s="133">
        <f>IF(SER_hh_fech_in!G7=0,0,SER_hh_fech_in!G7/SER_summary!G$27)</f>
        <v>121.8327617015748</v>
      </c>
      <c r="H7" s="133">
        <f>IF(SER_hh_fech_in!H7=0,0,SER_hh_fech_in!H7/SER_summary!H$27)</f>
        <v>189.49521088116265</v>
      </c>
      <c r="I7" s="133">
        <f>IF(SER_hh_fech_in!I7=0,0,SER_hh_fech_in!I7/SER_summary!I$27)</f>
        <v>164.27259732935087</v>
      </c>
      <c r="J7" s="133">
        <f>IF(SER_hh_fech_in!J7=0,0,SER_hh_fech_in!J7/SER_summary!J$27)</f>
        <v>157.1887220308092</v>
      </c>
      <c r="K7" s="133">
        <f>IF(SER_hh_fech_in!K7=0,0,SER_hh_fech_in!K7/SER_summary!K$27)</f>
        <v>144.75119912053071</v>
      </c>
      <c r="L7" s="133">
        <f>IF(SER_hh_fech_in!L7=0,0,SER_hh_fech_in!L7/SER_summary!L$27)</f>
        <v>178.89493652017904</v>
      </c>
      <c r="M7" s="133">
        <f>IF(SER_hh_fech_in!M7=0,0,SER_hh_fech_in!M7/SER_summary!M$27)</f>
        <v>165.42505677238768</v>
      </c>
      <c r="N7" s="133">
        <f>IF(SER_hh_fech_in!N7=0,0,SER_hh_fech_in!N7/SER_summary!N$27)</f>
        <v>0</v>
      </c>
      <c r="O7" s="133">
        <f>IF(SER_hh_fech_in!O7=0,0,SER_hh_fech_in!O7/SER_summary!O$27)</f>
        <v>0</v>
      </c>
      <c r="P7" s="133">
        <f>IF(SER_hh_fech_in!P7=0,0,SER_hh_fech_in!P7/SER_summary!P$27)</f>
        <v>0</v>
      </c>
      <c r="Q7" s="133">
        <f>IF(SER_hh_fech_in!Q7=0,0,SER_hh_fech_in!Q7/SER_summary!Q$27)</f>
        <v>89.223143978910741</v>
      </c>
      <c r="R7" s="133">
        <f>IF(SER_hh_fech_in!R7=0,0,SER_hh_fech_in!R7/SER_summary!R$27)</f>
        <v>84.587908346994254</v>
      </c>
      <c r="S7" s="133">
        <f>IF(SER_hh_fech_in!S7=0,0,SER_hh_fech_in!S7/SER_summary!S$27)</f>
        <v>80.585808248548489</v>
      </c>
      <c r="T7" s="133">
        <f>IF(SER_hh_fech_in!T7=0,0,SER_hh_fech_in!T7/SER_summary!T$27)</f>
        <v>77.820602221930656</v>
      </c>
      <c r="U7" s="133">
        <f>IF(SER_hh_fech_in!U7=0,0,SER_hh_fech_in!U7/SER_summary!U$27)</f>
        <v>64.107611103409909</v>
      </c>
      <c r="V7" s="133">
        <f>IF(SER_hh_fech_in!V7=0,0,SER_hh_fech_in!V7/SER_summary!V$27)</f>
        <v>61.24577163825041</v>
      </c>
      <c r="W7" s="133">
        <f>IF(SER_hh_fech_in!W7=0,0,SER_hh_fech_in!W7/SER_summary!W$27)</f>
        <v>59.340283550856817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79.578390973141211</v>
      </c>
      <c r="D8" s="133">
        <f>IF(SER_hh_fech_in!D8=0,0,SER_hh_fech_in!D8/SER_summary!D$27)</f>
        <v>78.99299003404623</v>
      </c>
      <c r="E8" s="133">
        <f>IF(SER_hh_fech_in!E8=0,0,SER_hh_fech_in!E8/SER_summary!E$27)</f>
        <v>79.098086956270791</v>
      </c>
      <c r="F8" s="133">
        <f>IF(SER_hh_fech_in!F8=0,0,SER_hh_fech_in!F8/SER_summary!F$27)</f>
        <v>74.257979650257795</v>
      </c>
      <c r="G8" s="133">
        <f>IF(SER_hh_fech_in!G8=0,0,SER_hh_fech_in!G8/SER_summary!G$27)</f>
        <v>69.670438671082351</v>
      </c>
      <c r="H8" s="133">
        <f>IF(SER_hh_fech_in!H8=0,0,SER_hh_fech_in!H8/SER_summary!H$27)</f>
        <v>64.979948061296895</v>
      </c>
      <c r="I8" s="133">
        <f>IF(SER_hh_fech_in!I8=0,0,SER_hh_fech_in!I8/SER_summary!I$27)</f>
        <v>60.374558217300816</v>
      </c>
      <c r="J8" s="133">
        <f>IF(SER_hh_fech_in!J8=0,0,SER_hh_fech_in!J8/SER_summary!J$27)</f>
        <v>59.609477712393307</v>
      </c>
      <c r="K8" s="133">
        <f>IF(SER_hh_fech_in!K8=0,0,SER_hh_fech_in!K8/SER_summary!K$27)</f>
        <v>59.444185741599632</v>
      </c>
      <c r="L8" s="133">
        <f>IF(SER_hh_fech_in!L8=0,0,SER_hh_fech_in!L8/SER_summary!L$27)</f>
        <v>56.002363291590271</v>
      </c>
      <c r="M8" s="133">
        <f>IF(SER_hh_fech_in!M8=0,0,SER_hh_fech_in!M8/SER_summary!M$27)</f>
        <v>45.401976542855643</v>
      </c>
      <c r="N8" s="133">
        <f>IF(SER_hh_fech_in!N8=0,0,SER_hh_fech_in!N8/SER_summary!N$27)</f>
        <v>42.229524012836549</v>
      </c>
      <c r="O8" s="133">
        <f>IF(SER_hh_fech_in!O8=0,0,SER_hh_fech_in!O8/SER_summary!O$27)</f>
        <v>33.344500978134732</v>
      </c>
      <c r="P8" s="133">
        <f>IF(SER_hh_fech_in!P8=0,0,SER_hh_fech_in!P8/SER_summary!P$27)</f>
        <v>34.889149420985028</v>
      </c>
      <c r="Q8" s="133">
        <f>IF(SER_hh_fech_in!Q8=0,0,SER_hh_fech_in!Q8/SER_summary!Q$27)</f>
        <v>30.965579737518944</v>
      </c>
      <c r="R8" s="133">
        <f>IF(SER_hh_fech_in!R8=0,0,SER_hh_fech_in!R8/SER_summary!R$27)</f>
        <v>29.621447113526592</v>
      </c>
      <c r="S8" s="133">
        <f>IF(SER_hh_fech_in!S8=0,0,SER_hh_fech_in!S8/SER_summary!S$27)</f>
        <v>25.569863493545711</v>
      </c>
      <c r="T8" s="133">
        <f>IF(SER_hh_fech_in!T8=0,0,SER_hh_fech_in!T8/SER_summary!T$27)</f>
        <v>23.03529938576407</v>
      </c>
      <c r="U8" s="133">
        <f>IF(SER_hh_fech_in!U8=0,0,SER_hh_fech_in!U8/SER_summary!U$27)</f>
        <v>21.162453265244611</v>
      </c>
      <c r="V8" s="133">
        <f>IF(SER_hh_fech_in!V8=0,0,SER_hh_fech_in!V8/SER_summary!V$27)</f>
        <v>19.834645222497372</v>
      </c>
      <c r="W8" s="133">
        <f>IF(SER_hh_fech_in!W8=0,0,SER_hh_fech_in!W8/SER_summary!W$27)</f>
        <v>19.887837163540304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136.95190542939349</v>
      </c>
      <c r="D9" s="133">
        <f>IF(SER_hh_fech_in!D9=0,0,SER_hh_fech_in!D9/SER_summary!D$27)</f>
        <v>151.5713473943201</v>
      </c>
      <c r="E9" s="133">
        <f>IF(SER_hh_fech_in!E9=0,0,SER_hh_fech_in!E9/SER_summary!E$27)</f>
        <v>151.30161823169243</v>
      </c>
      <c r="F9" s="133">
        <f>IF(SER_hh_fech_in!F9=0,0,SER_hh_fech_in!F9/SER_summary!F$27)</f>
        <v>153.16247820685754</v>
      </c>
      <c r="G9" s="133">
        <f>IF(SER_hh_fech_in!G9=0,0,SER_hh_fech_in!G9/SER_summary!G$27)</f>
        <v>149.15175864005741</v>
      </c>
      <c r="H9" s="133">
        <f>IF(SER_hh_fech_in!H9=0,0,SER_hh_fech_in!H9/SER_summary!H$27)</f>
        <v>136.54190825997139</v>
      </c>
      <c r="I9" s="133">
        <f>IF(SER_hh_fech_in!I9=0,0,SER_hh_fech_in!I9/SER_summary!I$27)</f>
        <v>132.44661900046785</v>
      </c>
      <c r="J9" s="133">
        <f>IF(SER_hh_fech_in!J9=0,0,SER_hh_fech_in!J9/SER_summary!J$27)</f>
        <v>134.70366592675956</v>
      </c>
      <c r="K9" s="133">
        <f>IF(SER_hh_fech_in!K9=0,0,SER_hh_fech_in!K9/SER_summary!K$27)</f>
        <v>132.91800396875931</v>
      </c>
      <c r="L9" s="133">
        <f>IF(SER_hh_fech_in!L9=0,0,SER_hh_fech_in!L9/SER_summary!L$27)</f>
        <v>148.74352387300667</v>
      </c>
      <c r="M9" s="133">
        <f>IF(SER_hh_fech_in!M9=0,0,SER_hh_fech_in!M9/SER_summary!M$27)</f>
        <v>125.37309398579147</v>
      </c>
      <c r="N9" s="133">
        <f>IF(SER_hh_fech_in!N9=0,0,SER_hh_fech_in!N9/SER_summary!N$27)</f>
        <v>120.56339148591191</v>
      </c>
      <c r="O9" s="133">
        <f>IF(SER_hh_fech_in!O9=0,0,SER_hh_fech_in!O9/SER_summary!O$27)</f>
        <v>107.67247573879955</v>
      </c>
      <c r="P9" s="133">
        <f>IF(SER_hh_fech_in!P9=0,0,SER_hh_fech_in!P9/SER_summary!P$27)</f>
        <v>84.233640198565595</v>
      </c>
      <c r="Q9" s="133">
        <f>IF(SER_hh_fech_in!Q9=0,0,SER_hh_fech_in!Q9/SER_summary!Q$27)</f>
        <v>85.181080580349317</v>
      </c>
      <c r="R9" s="133">
        <f>IF(SER_hh_fech_in!R9=0,0,SER_hh_fech_in!R9/SER_summary!R$27)</f>
        <v>97.035368522695563</v>
      </c>
      <c r="S9" s="133">
        <f>IF(SER_hh_fech_in!S9=0,0,SER_hh_fech_in!S9/SER_summary!S$27)</f>
        <v>71.10233471284262</v>
      </c>
      <c r="T9" s="133">
        <f>IF(SER_hh_fech_in!T9=0,0,SER_hh_fech_in!T9/SER_summary!T$27)</f>
        <v>65.410131078367115</v>
      </c>
      <c r="U9" s="133">
        <f>IF(SER_hh_fech_in!U9=0,0,SER_hh_fech_in!U9/SER_summary!U$27)</f>
        <v>63.912391701836448</v>
      </c>
      <c r="V9" s="133">
        <f>IF(SER_hh_fech_in!V9=0,0,SER_hh_fech_in!V9/SER_summary!V$27)</f>
        <v>52.409174387860048</v>
      </c>
      <c r="W9" s="133">
        <f>IF(SER_hh_fech_in!W9=0,0,SER_hh_fech_in!W9/SER_summary!W$27)</f>
        <v>62.045892828047656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130.63116041341399</v>
      </c>
      <c r="I10" s="133">
        <f>IF(SER_hh_fech_in!I10=0,0,SER_hh_fech_in!I10/SER_summary!I$27)</f>
        <v>157.13822116383216</v>
      </c>
      <c r="J10" s="133">
        <f>IF(SER_hh_fech_in!J10=0,0,SER_hh_fech_in!J10/SER_summary!J$27)</f>
        <v>138.86030850442299</v>
      </c>
      <c r="K10" s="133">
        <f>IF(SER_hh_fech_in!K10=0,0,SER_hh_fech_in!K10/SER_summary!K$27)</f>
        <v>175.63951691455014</v>
      </c>
      <c r="L10" s="133">
        <f>IF(SER_hh_fech_in!L10=0,0,SER_hh_fech_in!L10/SER_summary!L$27)</f>
        <v>184.29478762555377</v>
      </c>
      <c r="M10" s="133">
        <f>IF(SER_hh_fech_in!M10=0,0,SER_hh_fech_in!M10/SER_summary!M$27)</f>
        <v>165.80960931223532</v>
      </c>
      <c r="N10" s="133">
        <f>IF(SER_hh_fech_in!N10=0,0,SER_hh_fech_in!N10/SER_summary!N$27)</f>
        <v>139.19764713794874</v>
      </c>
      <c r="O10" s="133">
        <f>IF(SER_hh_fech_in!O10=0,0,SER_hh_fech_in!O10/SER_summary!O$27)</f>
        <v>146.12116405449456</v>
      </c>
      <c r="P10" s="133">
        <f>IF(SER_hh_fech_in!P10=0,0,SER_hh_fech_in!P10/SER_summary!P$27)</f>
        <v>116.79557847516959</v>
      </c>
      <c r="Q10" s="133">
        <f>IF(SER_hh_fech_in!Q10=0,0,SER_hh_fech_in!Q10/SER_summary!Q$27)</f>
        <v>113.11040116754955</v>
      </c>
      <c r="R10" s="133">
        <f>IF(SER_hh_fech_in!R10=0,0,SER_hh_fech_in!R10/SER_summary!R$27)</f>
        <v>118.83953873796449</v>
      </c>
      <c r="S10" s="133">
        <f>IF(SER_hh_fech_in!S10=0,0,SER_hh_fech_in!S10/SER_summary!S$27)</f>
        <v>109.11990139502905</v>
      </c>
      <c r="T10" s="133">
        <f>IF(SER_hh_fech_in!T10=0,0,SER_hh_fech_in!T10/SER_summary!T$27)</f>
        <v>95.609090817050159</v>
      </c>
      <c r="U10" s="133">
        <f>IF(SER_hh_fech_in!U10=0,0,SER_hh_fech_in!U10/SER_summary!U$27)</f>
        <v>84.624484991496246</v>
      </c>
      <c r="V10" s="133">
        <f>IF(SER_hh_fech_in!V10=0,0,SER_hh_fech_in!V10/SER_summary!V$27)</f>
        <v>81.219117254964303</v>
      </c>
      <c r="W10" s="133">
        <f>IF(SER_hh_fech_in!W10=0,0,SER_hh_fech_in!W10/SER_summary!W$27)</f>
        <v>77.010214630466578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70.540645118031918</v>
      </c>
      <c r="D11" s="133">
        <f>IF(SER_hh_fech_in!D11=0,0,SER_hh_fech_in!D11/SER_summary!D$27)</f>
        <v>116.97103762617833</v>
      </c>
      <c r="E11" s="133">
        <f>IF(SER_hh_fech_in!E11=0,0,SER_hh_fech_in!E11/SER_summary!E$27)</f>
        <v>123.57251705441755</v>
      </c>
      <c r="F11" s="133">
        <f>IF(SER_hh_fech_in!F11=0,0,SER_hh_fech_in!F11/SER_summary!F$27)</f>
        <v>106.20714722546803</v>
      </c>
      <c r="G11" s="133">
        <f>IF(SER_hh_fech_in!G11=0,0,SER_hh_fech_in!G11/SER_summary!G$27)</f>
        <v>118.38188324043875</v>
      </c>
      <c r="H11" s="133">
        <f>IF(SER_hh_fech_in!H11=0,0,SER_hh_fech_in!H11/SER_summary!H$27)</f>
        <v>119.60720596639899</v>
      </c>
      <c r="I11" s="133">
        <f>IF(SER_hh_fech_in!I11=0,0,SER_hh_fech_in!I11/SER_summary!I$27)</f>
        <v>87.39693588395167</v>
      </c>
      <c r="J11" s="133">
        <f>IF(SER_hh_fech_in!J11=0,0,SER_hh_fech_in!J11/SER_summary!J$27)</f>
        <v>120.86587185322567</v>
      </c>
      <c r="K11" s="133">
        <f>IF(SER_hh_fech_in!K11=0,0,SER_hh_fech_in!K11/SER_summary!K$27)</f>
        <v>123.03491237478308</v>
      </c>
      <c r="L11" s="133">
        <f>IF(SER_hh_fech_in!L11=0,0,SER_hh_fech_in!L11/SER_summary!L$27)</f>
        <v>108.3706809530148</v>
      </c>
      <c r="M11" s="133">
        <f>IF(SER_hh_fech_in!M11=0,0,SER_hh_fech_in!M11/SER_summary!M$27)</f>
        <v>79.88947349833775</v>
      </c>
      <c r="N11" s="133">
        <f>IF(SER_hh_fech_in!N11=0,0,SER_hh_fech_in!N11/SER_summary!N$27)</f>
        <v>90.147555327279221</v>
      </c>
      <c r="O11" s="133">
        <f>IF(SER_hh_fech_in!O11=0,0,SER_hh_fech_in!O11/SER_summary!O$27)</f>
        <v>94.858886247393585</v>
      </c>
      <c r="P11" s="133">
        <f>IF(SER_hh_fech_in!P11=0,0,SER_hh_fech_in!P11/SER_summary!P$27)</f>
        <v>86.644106373138285</v>
      </c>
      <c r="Q11" s="133">
        <f>IF(SER_hh_fech_in!Q11=0,0,SER_hh_fech_in!Q11/SER_summary!Q$27)</f>
        <v>77.493897513056027</v>
      </c>
      <c r="R11" s="133">
        <f>IF(SER_hh_fech_in!R11=0,0,SER_hh_fech_in!R11/SER_summary!R$27)</f>
        <v>71.380628663641389</v>
      </c>
      <c r="S11" s="133">
        <f>IF(SER_hh_fech_in!S11=0,0,SER_hh_fech_in!S11/SER_summary!S$27)</f>
        <v>67.178466643866471</v>
      </c>
      <c r="T11" s="133">
        <f>IF(SER_hh_fech_in!T11=0,0,SER_hh_fech_in!T11/SER_summary!T$27)</f>
        <v>62.887687505081793</v>
      </c>
      <c r="U11" s="133">
        <f>IF(SER_hh_fech_in!U11=0,0,SER_hh_fech_in!U11/SER_summary!U$27)</f>
        <v>58.414822880059781</v>
      </c>
      <c r="V11" s="133">
        <f>IF(SER_hh_fech_in!V11=0,0,SER_hh_fech_in!V11/SER_summary!V$27)</f>
        <v>52.712240477203245</v>
      </c>
      <c r="W11" s="133">
        <f>IF(SER_hh_fech_in!W11=0,0,SER_hh_fech_in!W11/SER_summary!W$27)</f>
        <v>48.641632423928819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96.964252919575145</v>
      </c>
      <c r="D12" s="133">
        <f>IF(SER_hh_fech_in!D12=0,0,SER_hh_fech_in!D12/SER_summary!D$27)</f>
        <v>113.72186278201499</v>
      </c>
      <c r="E12" s="133">
        <f>IF(SER_hh_fech_in!E12=0,0,SER_hh_fech_in!E12/SER_summary!E$27)</f>
        <v>96.555904534244718</v>
      </c>
      <c r="F12" s="133">
        <f>IF(SER_hh_fech_in!F12=0,0,SER_hh_fech_in!F12/SER_summary!F$27)</f>
        <v>127.2450631403123</v>
      </c>
      <c r="G12" s="133">
        <f>IF(SER_hh_fech_in!G12=0,0,SER_hh_fech_in!G12/SER_summary!G$27)</f>
        <v>108.25553992150697</v>
      </c>
      <c r="H12" s="133">
        <f>IF(SER_hh_fech_in!H12=0,0,SER_hh_fech_in!H12/SER_summary!H$27)</f>
        <v>129.60532256661574</v>
      </c>
      <c r="I12" s="133">
        <f>IF(SER_hh_fech_in!I12=0,0,SER_hh_fech_in!I12/SER_summary!I$27)</f>
        <v>85.818433233182645</v>
      </c>
      <c r="J12" s="133">
        <f>IF(SER_hh_fech_in!J12=0,0,SER_hh_fech_in!J12/SER_summary!J$27)</f>
        <v>120.475760775963</v>
      </c>
      <c r="K12" s="133">
        <f>IF(SER_hh_fech_in!K12=0,0,SER_hh_fech_in!K12/SER_summary!K$27)</f>
        <v>110.69462056433863</v>
      </c>
      <c r="L12" s="133">
        <f>IF(SER_hh_fech_in!L12=0,0,SER_hh_fech_in!L12/SER_summary!L$27)</f>
        <v>120.03876692269579</v>
      </c>
      <c r="M12" s="133">
        <f>IF(SER_hh_fech_in!M12=0,0,SER_hh_fech_in!M12/SER_summary!M$27)</f>
        <v>99.846443892624492</v>
      </c>
      <c r="N12" s="133">
        <f>IF(SER_hh_fech_in!N12=0,0,SER_hh_fech_in!N12/SER_summary!N$27)</f>
        <v>96.035525262089607</v>
      </c>
      <c r="O12" s="133">
        <f>IF(SER_hh_fech_in!O12=0,0,SER_hh_fech_in!O12/SER_summary!O$27)</f>
        <v>94.994982738170577</v>
      </c>
      <c r="P12" s="133">
        <f>IF(SER_hh_fech_in!P12=0,0,SER_hh_fech_in!P12/SER_summary!P$27)</f>
        <v>78.107603022558649</v>
      </c>
      <c r="Q12" s="133">
        <f>IF(SER_hh_fech_in!Q12=0,0,SER_hh_fech_in!Q12/SER_summary!Q$27)</f>
        <v>67.785155117490305</v>
      </c>
      <c r="R12" s="133">
        <f>IF(SER_hh_fech_in!R12=0,0,SER_hh_fech_in!R12/SER_summary!R$27)</f>
        <v>75.997561098116194</v>
      </c>
      <c r="S12" s="133">
        <f>IF(SER_hh_fech_in!S12=0,0,SER_hh_fech_in!S12/SER_summary!S$27)</f>
        <v>72.801118632120335</v>
      </c>
      <c r="T12" s="133">
        <f>IF(SER_hh_fech_in!T12=0,0,SER_hh_fech_in!T12/SER_summary!T$27)</f>
        <v>58.554055339156136</v>
      </c>
      <c r="U12" s="133">
        <f>IF(SER_hh_fech_in!U12=0,0,SER_hh_fech_in!U12/SER_summary!U$27)</f>
        <v>57.459834400569697</v>
      </c>
      <c r="V12" s="133">
        <f>IF(SER_hh_fech_in!V12=0,0,SER_hh_fech_in!V12/SER_summary!V$27)</f>
        <v>54.571609756174908</v>
      </c>
      <c r="W12" s="133">
        <f>IF(SER_hh_fech_in!W12=0,0,SER_hh_fech_in!W12/SER_summary!W$27)</f>
        <v>41.763173894630022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61.255107051027437</v>
      </c>
      <c r="D13" s="133">
        <f>IF(SER_hh_fech_in!D13=0,0,SER_hh_fech_in!D13/SER_summary!D$27)</f>
        <v>52.001811341643844</v>
      </c>
      <c r="E13" s="133">
        <f>IF(SER_hh_fech_in!E13=0,0,SER_hh_fech_in!E13/SER_summary!E$27)</f>
        <v>55.011687102948564</v>
      </c>
      <c r="F13" s="133">
        <f>IF(SER_hh_fech_in!F13=0,0,SER_hh_fech_in!F13/SER_summary!F$27)</f>
        <v>47.379469440209917</v>
      </c>
      <c r="G13" s="133">
        <f>IF(SER_hh_fech_in!G13=0,0,SER_hh_fech_in!G13/SER_summary!G$27)</f>
        <v>49.537964738184989</v>
      </c>
      <c r="H13" s="133">
        <f>IF(SER_hh_fech_in!H13=0,0,SER_hh_fech_in!H13/SER_summary!H$27)</f>
        <v>48.501109370092898</v>
      </c>
      <c r="I13" s="133">
        <f>IF(SER_hh_fech_in!I13=0,0,SER_hh_fech_in!I13/SER_summary!I$27)</f>
        <v>44.816617550147477</v>
      </c>
      <c r="J13" s="133">
        <f>IF(SER_hh_fech_in!J13=0,0,SER_hh_fech_in!J13/SER_summary!J$27)</f>
        <v>43.754815552432888</v>
      </c>
      <c r="K13" s="133">
        <f>IF(SER_hh_fech_in!K13=0,0,SER_hh_fech_in!K13/SER_summary!K$27)</f>
        <v>42.277368438564402</v>
      </c>
      <c r="L13" s="133">
        <f>IF(SER_hh_fech_in!L13=0,0,SER_hh_fech_in!L13/SER_summary!L$27)</f>
        <v>38.866438549082559</v>
      </c>
      <c r="M13" s="133">
        <f>IF(SER_hh_fech_in!M13=0,0,SER_hh_fech_in!M13/SER_summary!M$27)</f>
        <v>34.063656697481122</v>
      </c>
      <c r="N13" s="133">
        <f>IF(SER_hh_fech_in!N13=0,0,SER_hh_fech_in!N13/SER_summary!N$27)</f>
        <v>29.64387303565848</v>
      </c>
      <c r="O13" s="133">
        <f>IF(SER_hh_fech_in!O13=0,0,SER_hh_fech_in!O13/SER_summary!O$27)</f>
        <v>22.980762360156199</v>
      </c>
      <c r="P13" s="133">
        <f>IF(SER_hh_fech_in!P13=0,0,SER_hh_fech_in!P13/SER_summary!P$27)</f>
        <v>24.153109981104429</v>
      </c>
      <c r="Q13" s="133">
        <f>IF(SER_hh_fech_in!Q13=0,0,SER_hh_fech_in!Q13/SER_summary!Q$27)</f>
        <v>21.571656534132348</v>
      </c>
      <c r="R13" s="133">
        <f>IF(SER_hh_fech_in!R13=0,0,SER_hh_fech_in!R13/SER_summary!R$27)</f>
        <v>20.13213306417444</v>
      </c>
      <c r="S13" s="133">
        <f>IF(SER_hh_fech_in!S13=0,0,SER_hh_fech_in!S13/SER_summary!S$27)</f>
        <v>18.319843803321429</v>
      </c>
      <c r="T13" s="133">
        <f>IF(SER_hh_fech_in!T13=0,0,SER_hh_fech_in!T13/SER_summary!T$27)</f>
        <v>16.465932941735364</v>
      </c>
      <c r="U13" s="133">
        <f>IF(SER_hh_fech_in!U13=0,0,SER_hh_fech_in!U13/SER_summary!U$27)</f>
        <v>15.187898690585669</v>
      </c>
      <c r="V13" s="133">
        <f>IF(SER_hh_fech_in!V13=0,0,SER_hh_fech_in!V13/SER_summary!V$27)</f>
        <v>13.898649654995406</v>
      </c>
      <c r="W13" s="133">
        <f>IF(SER_hh_fech_in!W13=0,0,SER_hh_fech_in!W13/SER_summary!W$27)</f>
        <v>13.479232087307368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0</v>
      </c>
      <c r="D14" s="65">
        <f>IF(SER_hh_fech_in!D14=0,0,SER_hh_fech_in!D14/SER_summary!D$27)</f>
        <v>0</v>
      </c>
      <c r="E14" s="65">
        <f>IF(SER_hh_fech_in!E14=0,0,SER_hh_fech_in!E14/SER_summary!E$27)</f>
        <v>0</v>
      </c>
      <c r="F14" s="65">
        <f>IF(SER_hh_fech_in!F14=0,0,SER_hh_fech_in!F14/SER_summary!F$27)</f>
        <v>0</v>
      </c>
      <c r="G14" s="65">
        <f>IF(SER_hh_fech_in!G14=0,0,SER_hh_fech_in!G14/SER_summary!G$27)</f>
        <v>122.23097194085501</v>
      </c>
      <c r="H14" s="65">
        <f>IF(SER_hh_fech_in!H14=0,0,SER_hh_fech_in!H14/SER_summary!H$27)</f>
        <v>137.32158338070812</v>
      </c>
      <c r="I14" s="65">
        <f>IF(SER_hh_fech_in!I14=0,0,SER_hh_fech_in!I14/SER_summary!I$27)</f>
        <v>108.44277195169799</v>
      </c>
      <c r="J14" s="65">
        <f>IF(SER_hh_fech_in!J14=0,0,SER_hh_fech_in!J14/SER_summary!J$27)</f>
        <v>131.8442929581899</v>
      </c>
      <c r="K14" s="65">
        <f>IF(SER_hh_fech_in!K14=0,0,SER_hh_fech_in!K14/SER_summary!K$27)</f>
        <v>107.90437842686582</v>
      </c>
      <c r="L14" s="65">
        <f>IF(SER_hh_fech_in!L14=0,0,SER_hh_fech_in!L14/SER_summary!L$27)</f>
        <v>131.31410406884095</v>
      </c>
      <c r="M14" s="65">
        <f>IF(SER_hh_fech_in!M14=0,0,SER_hh_fech_in!M14/SER_summary!M$27)</f>
        <v>121.68050668490554</v>
      </c>
      <c r="N14" s="65">
        <f>IF(SER_hh_fech_in!N14=0,0,SER_hh_fech_in!N14/SER_summary!N$27)</f>
        <v>112.0785528430855</v>
      </c>
      <c r="O14" s="65">
        <f>IF(SER_hh_fech_in!O14=0,0,SER_hh_fech_in!O14/SER_summary!O$27)</f>
        <v>87.608224257678728</v>
      </c>
      <c r="P14" s="65">
        <f>IF(SER_hh_fech_in!P14=0,0,SER_hh_fech_in!P14/SER_summary!P$27)</f>
        <v>88.310156827330928</v>
      </c>
      <c r="Q14" s="65">
        <f>IF(SER_hh_fech_in!Q14=0,0,SER_hh_fech_in!Q14/SER_summary!Q$27)</f>
        <v>75.738127947365783</v>
      </c>
      <c r="R14" s="65">
        <f>IF(SER_hh_fech_in!R14=0,0,SER_hh_fech_in!R14/SER_summary!R$27)</f>
        <v>80.744552662193314</v>
      </c>
      <c r="S14" s="65">
        <f>IF(SER_hh_fech_in!S14=0,0,SER_hh_fech_in!S14/SER_summary!S$27)</f>
        <v>65.940016261798775</v>
      </c>
      <c r="T14" s="65">
        <f>IF(SER_hh_fech_in!T14=0,0,SER_hh_fech_in!T14/SER_summary!T$27)</f>
        <v>66.526013176256754</v>
      </c>
      <c r="U14" s="65">
        <f>IF(SER_hh_fech_in!U14=0,0,SER_hh_fech_in!U14/SER_summary!U$27)</f>
        <v>57.798015720182597</v>
      </c>
      <c r="V14" s="65">
        <f>IF(SER_hh_fech_in!V14=0,0,SER_hh_fech_in!V14/SER_summary!V$27)</f>
        <v>50.914152040409455</v>
      </c>
      <c r="W14" s="65">
        <f>IF(SER_hh_fech_in!W14=0,0,SER_hh_fech_in!W14/SER_summary!W$27)</f>
        <v>50.866965763341618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1.0587439404802423</v>
      </c>
      <c r="D15" s="135">
        <f>IF(SER_hh_fech_in!D15=0,0,SER_hh_fech_in!D15/SER_summary!D$27)</f>
        <v>1.2131804320837107</v>
      </c>
      <c r="E15" s="135">
        <f>IF(SER_hh_fech_in!E15=0,0,SER_hh_fech_in!E15/SER_summary!E$27)</f>
        <v>1.1493344966101426</v>
      </c>
      <c r="F15" s="135">
        <f>IF(SER_hh_fech_in!F15=0,0,SER_hh_fech_in!F15/SER_summary!F$27)</f>
        <v>0.91202524372242133</v>
      </c>
      <c r="G15" s="135">
        <f>IF(SER_hh_fech_in!G15=0,0,SER_hh_fech_in!G15/SER_summary!G$27)</f>
        <v>0.88297173149478136</v>
      </c>
      <c r="H15" s="135">
        <f>IF(SER_hh_fech_in!H15=0,0,SER_hh_fech_in!H15/SER_summary!H$27)</f>
        <v>1.0723723495563344</v>
      </c>
      <c r="I15" s="135">
        <f>IF(SER_hh_fech_in!I15=0,0,SER_hh_fech_in!I15/SER_summary!I$27)</f>
        <v>1.0964328969705721</v>
      </c>
      <c r="J15" s="135">
        <f>IF(SER_hh_fech_in!J15=0,0,SER_hh_fech_in!J15/SER_summary!J$27)</f>
        <v>1.1182860439220692</v>
      </c>
      <c r="K15" s="135">
        <f>IF(SER_hh_fech_in!K15=0,0,SER_hh_fech_in!K15/SER_summary!K$27)</f>
        <v>1.127157480756628</v>
      </c>
      <c r="L15" s="135">
        <f>IF(SER_hh_fech_in!L15=0,0,SER_hh_fech_in!L15/SER_summary!L$27)</f>
        <v>1.0788973852187873</v>
      </c>
      <c r="M15" s="135">
        <f>IF(SER_hh_fech_in!M15=0,0,SER_hh_fech_in!M15/SER_summary!M$27)</f>
        <v>1.0761682445411314</v>
      </c>
      <c r="N15" s="135">
        <f>IF(SER_hh_fech_in!N15=0,0,SER_hh_fech_in!N15/SER_summary!N$27)</f>
        <v>0.89965749129648631</v>
      </c>
      <c r="O15" s="135">
        <f>IF(SER_hh_fech_in!O15=0,0,SER_hh_fech_in!O15/SER_summary!O$27)</f>
        <v>0.70513466425673355</v>
      </c>
      <c r="P15" s="135">
        <f>IF(SER_hh_fech_in!P15=0,0,SER_hh_fech_in!P15/SER_summary!P$27)</f>
        <v>0.7112027388878962</v>
      </c>
      <c r="Q15" s="135">
        <f>IF(SER_hh_fech_in!Q15=0,0,SER_hh_fech_in!Q15/SER_summary!Q$27)</f>
        <v>0.6592800060104671</v>
      </c>
      <c r="R15" s="135">
        <f>IF(SER_hh_fech_in!R15=0,0,SER_hh_fech_in!R15/SER_summary!R$27)</f>
        <v>0.63162714709820111</v>
      </c>
      <c r="S15" s="135">
        <f>IF(SER_hh_fech_in!S15=0,0,SER_hh_fech_in!S15/SER_summary!S$27)</f>
        <v>0.45835947767497859</v>
      </c>
      <c r="T15" s="135">
        <f>IF(SER_hh_fech_in!T15=0,0,SER_hh_fech_in!T15/SER_summary!T$27)</f>
        <v>0.46768266492494576</v>
      </c>
      <c r="U15" s="135">
        <f>IF(SER_hh_fech_in!U15=0,0,SER_hh_fech_in!U15/SER_summary!U$27)</f>
        <v>0.45605804301564967</v>
      </c>
      <c r="V15" s="135">
        <f>IF(SER_hh_fech_in!V15=0,0,SER_hh_fech_in!V15/SER_summary!V$27)</f>
        <v>0.42921166902298291</v>
      </c>
      <c r="W15" s="135">
        <f>IF(SER_hh_fech_in!W15=0,0,SER_hh_fech_in!W15/SER_summary!W$27)</f>
        <v>0.48772351949390075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12.144090958470562</v>
      </c>
      <c r="D16" s="131">
        <f>IF(SER_hh_fech_in!D16=0,0,SER_hh_fech_in!D16/SER_summary!D$27)</f>
        <v>11.886371512240423</v>
      </c>
      <c r="E16" s="131">
        <f>IF(SER_hh_fech_in!E16=0,0,SER_hh_fech_in!E16/SER_summary!E$27)</f>
        <v>11.254017841930462</v>
      </c>
      <c r="F16" s="131">
        <f>IF(SER_hh_fech_in!F16=0,0,SER_hh_fech_in!F16/SER_summary!F$27)</f>
        <v>10.851276517160883</v>
      </c>
      <c r="G16" s="131">
        <f>IF(SER_hh_fech_in!G16=0,0,SER_hh_fech_in!G16/SER_summary!G$27)</f>
        <v>10.581347573727706</v>
      </c>
      <c r="H16" s="131">
        <f>IF(SER_hh_fech_in!H16=0,0,SER_hh_fech_in!H16/SER_summary!H$27)</f>
        <v>10.82229636825282</v>
      </c>
      <c r="I16" s="131">
        <f>IF(SER_hh_fech_in!I16=0,0,SER_hh_fech_in!I16/SER_summary!I$27)</f>
        <v>10.103185349071865</v>
      </c>
      <c r="J16" s="131">
        <f>IF(SER_hh_fech_in!J16=0,0,SER_hh_fech_in!J16/SER_summary!J$27)</f>
        <v>9.6121909970447668</v>
      </c>
      <c r="K16" s="131">
        <f>IF(SER_hh_fech_in!K16=0,0,SER_hh_fech_in!K16/SER_summary!K$27)</f>
        <v>9.2899222408153719</v>
      </c>
      <c r="L16" s="131">
        <f>IF(SER_hh_fech_in!L16=0,0,SER_hh_fech_in!L16/SER_summary!L$27)</f>
        <v>10.114070119522191</v>
      </c>
      <c r="M16" s="131">
        <f>IF(SER_hh_fech_in!M16=0,0,SER_hh_fech_in!M16/SER_summary!M$27)</f>
        <v>8.6294527882244516</v>
      </c>
      <c r="N16" s="131">
        <f>IF(SER_hh_fech_in!N16=0,0,SER_hh_fech_in!N16/SER_summary!N$27)</f>
        <v>8.6495731885889668</v>
      </c>
      <c r="O16" s="131">
        <f>IF(SER_hh_fech_in!O16=0,0,SER_hh_fech_in!O16/SER_summary!O$27)</f>
        <v>8.2187364565090988</v>
      </c>
      <c r="P16" s="131">
        <f>IF(SER_hh_fech_in!P16=0,0,SER_hh_fech_in!P16/SER_summary!P$27)</f>
        <v>7.7053977692726381</v>
      </c>
      <c r="Q16" s="131">
        <f>IF(SER_hh_fech_in!Q16=0,0,SER_hh_fech_in!Q16/SER_summary!Q$27)</f>
        <v>8.4021667927163328</v>
      </c>
      <c r="R16" s="131">
        <f>IF(SER_hh_fech_in!R16=0,0,SER_hh_fech_in!R16/SER_summary!R$27)</f>
        <v>7.2204478448359861</v>
      </c>
      <c r="S16" s="131">
        <f>IF(SER_hh_fech_in!S16=0,0,SER_hh_fech_in!S16/SER_summary!S$27)</f>
        <v>6.9703174788340796</v>
      </c>
      <c r="T16" s="131">
        <f>IF(SER_hh_fech_in!T16=0,0,SER_hh_fech_in!T16/SER_summary!T$27)</f>
        <v>6.9398042246649894</v>
      </c>
      <c r="U16" s="131">
        <f>IF(SER_hh_fech_in!U16=0,0,SER_hh_fech_in!U16/SER_summary!U$27)</f>
        <v>7.2881651759354211</v>
      </c>
      <c r="V16" s="131">
        <f>IF(SER_hh_fech_in!V16=0,0,SER_hh_fech_in!V16/SER_summary!V$27)</f>
        <v>6.245016859882532</v>
      </c>
      <c r="W16" s="131">
        <f>IF(SER_hh_fech_in!W16=0,0,SER_hh_fech_in!W16/SER_summary!W$27)</f>
        <v>6.0057382137622097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21.947892038250973</v>
      </c>
      <c r="D17" s="133">
        <f>IF(SER_hh_fech_in!D17=0,0,SER_hh_fech_in!D17/SER_summary!D$27)</f>
        <v>22.11851706343726</v>
      </c>
      <c r="E17" s="133">
        <f>IF(SER_hh_fech_in!E17=0,0,SER_hh_fech_in!E17/SER_summary!E$27)</f>
        <v>21.569409343988738</v>
      </c>
      <c r="F17" s="133">
        <f>IF(SER_hh_fech_in!F17=0,0,SER_hh_fech_in!F17/SER_summary!F$27)</f>
        <v>21.41977340335157</v>
      </c>
      <c r="G17" s="133">
        <f>IF(SER_hh_fech_in!G17=0,0,SER_hh_fech_in!G17/SER_summary!G$27)</f>
        <v>21.496321170470775</v>
      </c>
      <c r="H17" s="133">
        <f>IF(SER_hh_fech_in!H17=0,0,SER_hh_fech_in!H17/SER_summary!H$27)</f>
        <v>22.582329993125715</v>
      </c>
      <c r="I17" s="133">
        <f>IF(SER_hh_fech_in!I17=0,0,SER_hh_fech_in!I17/SER_summary!I$27)</f>
        <v>21.658618468570552</v>
      </c>
      <c r="J17" s="133">
        <f>IF(SER_hh_fech_in!J17=0,0,SER_hh_fech_in!J17/SER_summary!J$27)</f>
        <v>21.14250088525252</v>
      </c>
      <c r="K17" s="133">
        <f>IF(SER_hh_fech_in!K17=0,0,SER_hh_fech_in!K17/SER_summary!K$27)</f>
        <v>20.990921337913377</v>
      </c>
      <c r="L17" s="133">
        <f>IF(SER_hh_fech_in!L17=0,0,SER_hh_fech_in!L17/SER_summary!L$27)</f>
        <v>23.457322874231053</v>
      </c>
      <c r="M17" s="133">
        <f>IF(SER_hh_fech_in!M17=0,0,SER_hh_fech_in!M17/SER_summary!M$27)</f>
        <v>20.639377031969779</v>
      </c>
      <c r="N17" s="133">
        <f>IF(SER_hh_fech_in!N17=0,0,SER_hh_fech_in!N17/SER_summary!N$27)</f>
        <v>21.345419691675939</v>
      </c>
      <c r="O17" s="133">
        <f>IF(SER_hh_fech_in!O17=0,0,SER_hh_fech_in!O17/SER_summary!O$27)</f>
        <v>20.90354765191562</v>
      </c>
      <c r="P17" s="133">
        <f>IF(SER_hh_fech_in!P17=0,0,SER_hh_fech_in!P17/SER_summary!P$27)</f>
        <v>20.186144783230496</v>
      </c>
      <c r="Q17" s="133">
        <f>IF(SER_hh_fech_in!Q17=0,0,SER_hh_fech_in!Q17/SER_summary!Q$27)</f>
        <v>22.380907442012195</v>
      </c>
      <c r="R17" s="133">
        <f>IF(SER_hh_fech_in!R17=0,0,SER_hh_fech_in!R17/SER_summary!R$27)</f>
        <v>19.124170911348749</v>
      </c>
      <c r="S17" s="133">
        <f>IF(SER_hh_fech_in!S17=0,0,SER_hh_fech_in!S17/SER_summary!S$27)</f>
        <v>18.618732126441831</v>
      </c>
      <c r="T17" s="133">
        <f>IF(SER_hh_fech_in!T17=0,0,SER_hh_fech_in!T17/SER_summary!T$27)</f>
        <v>18.310495708949951</v>
      </c>
      <c r="U17" s="133">
        <f>IF(SER_hh_fech_in!U17=0,0,SER_hh_fech_in!U17/SER_summary!U$27)</f>
        <v>18.852449437123269</v>
      </c>
      <c r="V17" s="133">
        <f>IF(SER_hh_fech_in!V17=0,0,SER_hh_fech_in!V17/SER_summary!V$27)</f>
        <v>14.78637751693203</v>
      </c>
      <c r="W17" s="133">
        <f>IF(SER_hh_fech_in!W17=0,0,SER_hh_fech_in!W17/SER_summary!W$27)</f>
        <v>14.013524458367529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12.123540735132435</v>
      </c>
      <c r="D18" s="133">
        <f>IF(SER_hh_fech_in!D18=0,0,SER_hh_fech_in!D18/SER_summary!D$27)</f>
        <v>11.863012107788601</v>
      </c>
      <c r="E18" s="133">
        <f>IF(SER_hh_fech_in!E18=0,0,SER_hh_fech_in!E18/SER_summary!E$27)</f>
        <v>11.231369462196577</v>
      </c>
      <c r="F18" s="133">
        <f>IF(SER_hh_fech_in!F18=0,0,SER_hh_fech_in!F18/SER_summary!F$27)</f>
        <v>10.822043249388278</v>
      </c>
      <c r="G18" s="133">
        <f>IF(SER_hh_fech_in!G18=0,0,SER_hh_fech_in!G18/SER_summary!G$27)</f>
        <v>10.552301579952781</v>
      </c>
      <c r="H18" s="133">
        <f>IF(SER_hh_fech_in!H18=0,0,SER_hh_fech_in!H18/SER_summary!H$27)</f>
        <v>10.797350043761631</v>
      </c>
      <c r="I18" s="133">
        <f>IF(SER_hh_fech_in!I18=0,0,SER_hh_fech_in!I18/SER_summary!I$27)</f>
        <v>10.071386222217347</v>
      </c>
      <c r="J18" s="133">
        <f>IF(SER_hh_fech_in!J18=0,0,SER_hh_fech_in!J18/SER_summary!J$27)</f>
        <v>9.5859095165782851</v>
      </c>
      <c r="K18" s="133">
        <f>IF(SER_hh_fech_in!K18=0,0,SER_hh_fech_in!K18/SER_summary!K$27)</f>
        <v>9.2579419140273718</v>
      </c>
      <c r="L18" s="133">
        <f>IF(SER_hh_fech_in!L18=0,0,SER_hh_fech_in!L18/SER_summary!L$27)</f>
        <v>10.084856054115761</v>
      </c>
      <c r="M18" s="133">
        <f>IF(SER_hh_fech_in!M18=0,0,SER_hh_fech_in!M18/SER_summary!M$27)</f>
        <v>8.5806886077326965</v>
      </c>
      <c r="N18" s="133">
        <f>IF(SER_hh_fech_in!N18=0,0,SER_hh_fech_in!N18/SER_summary!N$27)</f>
        <v>8.5955912406005375</v>
      </c>
      <c r="O18" s="133">
        <f>IF(SER_hh_fech_in!O18=0,0,SER_hh_fech_in!O18/SER_summary!O$27)</f>
        <v>8.1209235648457998</v>
      </c>
      <c r="P18" s="133">
        <f>IF(SER_hh_fech_in!P18=0,0,SER_hh_fech_in!P18/SER_summary!P$27)</f>
        <v>7.5712444599935305</v>
      </c>
      <c r="Q18" s="133">
        <f>IF(SER_hh_fech_in!Q18=0,0,SER_hh_fech_in!Q18/SER_summary!Q$27)</f>
        <v>8.2801808488785866</v>
      </c>
      <c r="R18" s="133">
        <f>IF(SER_hh_fech_in!R18=0,0,SER_hh_fech_in!R18/SER_summary!R$27)</f>
        <v>6.9387098769720739</v>
      </c>
      <c r="S18" s="133">
        <f>IF(SER_hh_fech_in!S18=0,0,SER_hh_fech_in!S18/SER_summary!S$27)</f>
        <v>6.7963495746621074</v>
      </c>
      <c r="T18" s="133">
        <f>IF(SER_hh_fech_in!T18=0,0,SER_hh_fech_in!T18/SER_summary!T$27)</f>
        <v>6.8098558749279308</v>
      </c>
      <c r="U18" s="133">
        <f>IF(SER_hh_fech_in!U18=0,0,SER_hh_fech_in!U18/SER_summary!U$27)</f>
        <v>7.1693864442584836</v>
      </c>
      <c r="V18" s="133">
        <f>IF(SER_hh_fech_in!V18=0,0,SER_hh_fech_in!V18/SER_summary!V$27)</f>
        <v>6.1275881105784453</v>
      </c>
      <c r="W18" s="133">
        <f>IF(SER_hh_fech_in!W18=0,0,SER_hh_fech_in!W18/SER_summary!W$27)</f>
        <v>5.9415642208744162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15.602850251048606</v>
      </c>
      <c r="D19" s="131">
        <f>IF(SER_hh_fech_in!D19=0,0,SER_hh_fech_in!D19/SER_summary!D$27)</f>
        <v>17.56169422079763</v>
      </c>
      <c r="E19" s="131">
        <f>IF(SER_hh_fech_in!E19=0,0,SER_hh_fech_in!E19/SER_summary!E$27)</f>
        <v>19.739708695305627</v>
      </c>
      <c r="F19" s="131">
        <f>IF(SER_hh_fech_in!F19=0,0,SER_hh_fech_in!F19/SER_summary!F$27)</f>
        <v>19.692066128172165</v>
      </c>
      <c r="G19" s="131">
        <f>IF(SER_hh_fech_in!G19=0,0,SER_hh_fech_in!G19/SER_summary!G$27)</f>
        <v>19.798230040825466</v>
      </c>
      <c r="H19" s="131">
        <f>IF(SER_hh_fech_in!H19=0,0,SER_hh_fech_in!H19/SER_summary!H$27)</f>
        <v>20.673128151622542</v>
      </c>
      <c r="I19" s="131">
        <f>IF(SER_hh_fech_in!I19=0,0,SER_hh_fech_in!I19/SER_summary!I$27)</f>
        <v>22.197363189976397</v>
      </c>
      <c r="J19" s="131">
        <f>IF(SER_hh_fech_in!J19=0,0,SER_hh_fech_in!J19/SER_summary!J$27)</f>
        <v>22.423431413596891</v>
      </c>
      <c r="K19" s="131">
        <f>IF(SER_hh_fech_in!K19=0,0,SER_hh_fech_in!K19/SER_summary!K$27)</f>
        <v>22.469624473289606</v>
      </c>
      <c r="L19" s="131">
        <f>IF(SER_hh_fech_in!L19=0,0,SER_hh_fech_in!L19/SER_summary!L$27)</f>
        <v>22.230493399685216</v>
      </c>
      <c r="M19" s="131">
        <f>IF(SER_hh_fech_in!M19=0,0,SER_hh_fech_in!M19/SER_summary!M$27)</f>
        <v>22.178387199847808</v>
      </c>
      <c r="N19" s="131">
        <f>IF(SER_hh_fech_in!N19=0,0,SER_hh_fech_in!N19/SER_summary!N$27)</f>
        <v>22.118852038398501</v>
      </c>
      <c r="O19" s="131">
        <f>IF(SER_hh_fech_in!O19=0,0,SER_hh_fech_in!O19/SER_summary!O$27)</f>
        <v>21.671965289349735</v>
      </c>
      <c r="P19" s="131">
        <f>IF(SER_hh_fech_in!P19=0,0,SER_hh_fech_in!P19/SER_summary!P$27)</f>
        <v>20.866165648884426</v>
      </c>
      <c r="Q19" s="131">
        <f>IF(SER_hh_fech_in!Q19=0,0,SER_hh_fech_in!Q19/SER_summary!Q$27)</f>
        <v>20.071311630015842</v>
      </c>
      <c r="R19" s="131">
        <f>IF(SER_hh_fech_in!R19=0,0,SER_hh_fech_in!R19/SER_summary!R$27)</f>
        <v>19.970638863052034</v>
      </c>
      <c r="S19" s="131">
        <f>IF(SER_hh_fech_in!S19=0,0,SER_hh_fech_in!S19/SER_summary!S$27)</f>
        <v>19.269410684434437</v>
      </c>
      <c r="T19" s="131">
        <f>IF(SER_hh_fech_in!T19=0,0,SER_hh_fech_in!T19/SER_summary!T$27)</f>
        <v>18.312355214321755</v>
      </c>
      <c r="U19" s="131">
        <f>IF(SER_hh_fech_in!U19=0,0,SER_hh_fech_in!U19/SER_summary!U$27)</f>
        <v>18.108421881585496</v>
      </c>
      <c r="V19" s="131">
        <f>IF(SER_hh_fech_in!V19=0,0,SER_hh_fech_in!V19/SER_summary!V$27)</f>
        <v>16.322854274404612</v>
      </c>
      <c r="W19" s="131">
        <f>IF(SER_hh_fech_in!W19=0,0,SER_hh_fech_in!W19/SER_summary!W$27)</f>
        <v>17.364620917008452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16.749767406886818</v>
      </c>
      <c r="D20" s="133">
        <f>IF(SER_hh_fech_in!D20=0,0,SER_hh_fech_in!D20/SER_summary!D$27)</f>
        <v>19.950139892724209</v>
      </c>
      <c r="E20" s="133">
        <f>IF(SER_hh_fech_in!E20=0,0,SER_hh_fech_in!E20/SER_summary!E$27)</f>
        <v>19.848728472739097</v>
      </c>
      <c r="F20" s="133">
        <f>IF(SER_hh_fech_in!F20=0,0,SER_hh_fech_in!F20/SER_summary!F$27)</f>
        <v>20.667344513035182</v>
      </c>
      <c r="G20" s="133">
        <f>IF(SER_hh_fech_in!G20=0,0,SER_hh_fech_in!G20/SER_summary!G$27)</f>
        <v>20.799690054111043</v>
      </c>
      <c r="H20" s="133">
        <f>IF(SER_hh_fech_in!H20=0,0,SER_hh_fech_in!H20/SER_summary!H$27)</f>
        <v>19.151662556952893</v>
      </c>
      <c r="I20" s="133">
        <f>IF(SER_hh_fech_in!I20=0,0,SER_hh_fech_in!I20/SER_summary!I$27)</f>
        <v>22.730793044466356</v>
      </c>
      <c r="J20" s="133">
        <f>IF(SER_hh_fech_in!J20=0,0,SER_hh_fech_in!J20/SER_summary!J$27)</f>
        <v>22.625639446218173</v>
      </c>
      <c r="K20" s="133">
        <f>IF(SER_hh_fech_in!K20=0,0,SER_hh_fech_in!K20/SER_summary!K$27)</f>
        <v>22.337229420723794</v>
      </c>
      <c r="L20" s="133">
        <f>IF(SER_hh_fech_in!L20=0,0,SER_hh_fech_in!L20/SER_summary!L$27)</f>
        <v>22.834447011866811</v>
      </c>
      <c r="M20" s="133">
        <f>IF(SER_hh_fech_in!M20=0,0,SER_hh_fech_in!M20/SER_summary!M$27)</f>
        <v>22.407898434284832</v>
      </c>
      <c r="N20" s="133">
        <f>IF(SER_hh_fech_in!N20=0,0,SER_hh_fech_in!N20/SER_summary!N$27)</f>
        <v>22.360667929101776</v>
      </c>
      <c r="O20" s="133">
        <f>IF(SER_hh_fech_in!O20=0,0,SER_hh_fech_in!O20/SER_summary!O$27)</f>
        <v>22.646791611370151</v>
      </c>
      <c r="P20" s="133">
        <f>IF(SER_hh_fech_in!P20=0,0,SER_hh_fech_in!P20/SER_summary!P$27)</f>
        <v>22.290145148719553</v>
      </c>
      <c r="Q20" s="133">
        <f>IF(SER_hh_fech_in!Q20=0,0,SER_hh_fech_in!Q20/SER_summary!Q$27)</f>
        <v>22.193292400930314</v>
      </c>
      <c r="R20" s="133">
        <f>IF(SER_hh_fech_in!R20=0,0,SER_hh_fech_in!R20/SER_summary!R$27)</f>
        <v>24.809362101311805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15.444633680973785</v>
      </c>
      <c r="V20" s="133">
        <f>IF(SER_hh_fech_in!V20=0,0,SER_hh_fech_in!V20/SER_summary!V$27)</f>
        <v>17.909974000126354</v>
      </c>
      <c r="W20" s="133">
        <f>IF(SER_hh_fech_in!W20=0,0,SER_hh_fech_in!W20/SER_summary!W$27)</f>
        <v>24.177452116465727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18.671878506891339</v>
      </c>
      <c r="D21" s="133">
        <f>IF(SER_hh_fech_in!D21=0,0,SER_hh_fech_in!D21/SER_summary!D$27)</f>
        <v>17.872889383849376</v>
      </c>
      <c r="E21" s="133">
        <f>IF(SER_hh_fech_in!E21=0,0,SER_hh_fech_in!E21/SER_summary!E$27)</f>
        <v>27.027438079991036</v>
      </c>
      <c r="F21" s="133">
        <f>IF(SER_hh_fech_in!F21=0,0,SER_hh_fech_in!F21/SER_summary!F$27)</f>
        <v>23.650427083544976</v>
      </c>
      <c r="G21" s="133">
        <f>IF(SER_hh_fech_in!G21=0,0,SER_hh_fech_in!G21/SER_summary!G$27)</f>
        <v>20.662849500460286</v>
      </c>
      <c r="H21" s="133">
        <f>IF(SER_hh_fech_in!H21=0,0,SER_hh_fech_in!H21/SER_summary!H$27)</f>
        <v>25.774601228753905</v>
      </c>
      <c r="I21" s="133">
        <f>IF(SER_hh_fech_in!I21=0,0,SER_hh_fech_in!I21/SER_summary!I$27)</f>
        <v>0</v>
      </c>
      <c r="J21" s="133">
        <f>IF(SER_hh_fech_in!J21=0,0,SER_hh_fech_in!J21/SER_summary!J$27)</f>
        <v>24.074929579199722</v>
      </c>
      <c r="K21" s="133">
        <f>IF(SER_hh_fech_in!K21=0,0,SER_hh_fech_in!K21/SER_summary!K$27)</f>
        <v>25.21064547768573</v>
      </c>
      <c r="L21" s="133">
        <f>IF(SER_hh_fech_in!L21=0,0,SER_hh_fech_in!L21/SER_summary!L$27)</f>
        <v>24.625892174052147</v>
      </c>
      <c r="M21" s="133">
        <f>IF(SER_hh_fech_in!M21=0,0,SER_hh_fech_in!M21/SER_summary!M$27)</f>
        <v>24.453272622793751</v>
      </c>
      <c r="N21" s="133">
        <f>IF(SER_hh_fech_in!N21=0,0,SER_hh_fech_in!N21/SER_summary!N$27)</f>
        <v>31.316220284792944</v>
      </c>
      <c r="O21" s="133">
        <f>IF(SER_hh_fech_in!O21=0,0,SER_hh_fech_in!O21/SER_summary!O$27)</f>
        <v>20.529529759590897</v>
      </c>
      <c r="P21" s="133">
        <f>IF(SER_hh_fech_in!P21=0,0,SER_hh_fech_in!P21/SER_summary!P$27)</f>
        <v>23.049374867425747</v>
      </c>
      <c r="Q21" s="133">
        <f>IF(SER_hh_fech_in!Q21=0,0,SER_hh_fech_in!Q21/SER_summary!Q$27)</f>
        <v>21.207200899315836</v>
      </c>
      <c r="R21" s="133">
        <f>IF(SER_hh_fech_in!R21=0,0,SER_hh_fech_in!R21/SER_summary!R$27)</f>
        <v>21.593839023639823</v>
      </c>
      <c r="S21" s="133">
        <f>IF(SER_hh_fech_in!S21=0,0,SER_hh_fech_in!S21/SER_summary!S$27)</f>
        <v>21.125308035389331</v>
      </c>
      <c r="T21" s="133">
        <f>IF(SER_hh_fech_in!T21=0,0,SER_hh_fech_in!T21/SER_summary!T$27)</f>
        <v>19.256838944760698</v>
      </c>
      <c r="U21" s="133">
        <f>IF(SER_hh_fech_in!U21=0,0,SER_hh_fech_in!U21/SER_summary!U$27)</f>
        <v>21.66498171851088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17.974879438077533</v>
      </c>
      <c r="D22" s="133">
        <f>IF(SER_hh_fech_in!D22=0,0,SER_hh_fech_in!D22/SER_summary!D$27)</f>
        <v>21.793659163739896</v>
      </c>
      <c r="E22" s="133">
        <f>IF(SER_hh_fech_in!E22=0,0,SER_hh_fech_in!E22/SER_summary!E$27)</f>
        <v>23.501729123410982</v>
      </c>
      <c r="F22" s="133">
        <f>IF(SER_hh_fech_in!F22=0,0,SER_hh_fech_in!F22/SER_summary!F$27)</f>
        <v>24.936975539183184</v>
      </c>
      <c r="G22" s="133">
        <f>IF(SER_hh_fech_in!G22=0,0,SER_hh_fech_in!G22/SER_summary!G$27)</f>
        <v>24.371456828156798</v>
      </c>
      <c r="H22" s="133">
        <f>IF(SER_hh_fech_in!H22=0,0,SER_hh_fech_in!H22/SER_summary!H$27)</f>
        <v>25.995448762777684</v>
      </c>
      <c r="I22" s="133">
        <f>IF(SER_hh_fech_in!I22=0,0,SER_hh_fech_in!I22/SER_summary!I$27)</f>
        <v>27.645513229493545</v>
      </c>
      <c r="J22" s="133">
        <f>IF(SER_hh_fech_in!J22=0,0,SER_hh_fech_in!J22/SER_summary!J$27)</f>
        <v>28.079880217519818</v>
      </c>
      <c r="K22" s="133">
        <f>IF(SER_hh_fech_in!K22=0,0,SER_hh_fech_in!K22/SER_summary!K$27)</f>
        <v>27.666791638235413</v>
      </c>
      <c r="L22" s="133">
        <f>IF(SER_hh_fech_in!L22=0,0,SER_hh_fech_in!L22/SER_summary!L$27)</f>
        <v>27.732483507499239</v>
      </c>
      <c r="M22" s="133">
        <f>IF(SER_hh_fech_in!M22=0,0,SER_hh_fech_in!M22/SER_summary!M$27)</f>
        <v>27.22020028829602</v>
      </c>
      <c r="N22" s="133">
        <f>IF(SER_hh_fech_in!N22=0,0,SER_hh_fech_in!N22/SER_summary!N$27)</f>
        <v>26.261823935166902</v>
      </c>
      <c r="O22" s="133">
        <f>IF(SER_hh_fech_in!O22=0,0,SER_hh_fech_in!O22/SER_summary!O$27)</f>
        <v>25.553407710870701</v>
      </c>
      <c r="P22" s="133">
        <f>IF(SER_hh_fech_in!P22=0,0,SER_hh_fech_in!P22/SER_summary!P$27)</f>
        <v>23.716095756773434</v>
      </c>
      <c r="Q22" s="133">
        <f>IF(SER_hh_fech_in!Q22=0,0,SER_hh_fech_in!Q22/SER_summary!Q$27)</f>
        <v>22.744453754775648</v>
      </c>
      <c r="R22" s="133">
        <f>IF(SER_hh_fech_in!R22=0,0,SER_hh_fech_in!R22/SER_summary!R$27)</f>
        <v>21.808244542582763</v>
      </c>
      <c r="S22" s="133">
        <f>IF(SER_hh_fech_in!S22=0,0,SER_hh_fech_in!S22/SER_summary!S$27)</f>
        <v>22.264285812968918</v>
      </c>
      <c r="T22" s="133">
        <f>IF(SER_hh_fech_in!T22=0,0,SER_hh_fech_in!T22/SER_summary!T$27)</f>
        <v>20.787126560751709</v>
      </c>
      <c r="U22" s="133">
        <f>IF(SER_hh_fech_in!U22=0,0,SER_hh_fech_in!U22/SER_summary!U$27)</f>
        <v>17.60573739800024</v>
      </c>
      <c r="V22" s="133">
        <f>IF(SER_hh_fech_in!V22=0,0,SER_hh_fech_in!V22/SER_summary!V$27)</f>
        <v>17.79224177770946</v>
      </c>
      <c r="W22" s="133">
        <f>IF(SER_hh_fech_in!W22=0,0,SER_hh_fech_in!W22/SER_summary!W$27)</f>
        <v>20.163256469400682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17.167852035637495</v>
      </c>
      <c r="D23" s="133">
        <f>IF(SER_hh_fech_in!D23=0,0,SER_hh_fech_in!D23/SER_summary!D$27)</f>
        <v>19.032006447494183</v>
      </c>
      <c r="E23" s="133">
        <f>IF(SER_hh_fech_in!E23=0,0,SER_hh_fech_in!E23/SER_summary!E$27)</f>
        <v>22.66453508794115</v>
      </c>
      <c r="F23" s="133">
        <f>IF(SER_hh_fech_in!F23=0,0,SER_hh_fech_in!F23/SER_summary!F$27)</f>
        <v>22.470810594952578</v>
      </c>
      <c r="G23" s="133">
        <f>IF(SER_hh_fech_in!G23=0,0,SER_hh_fech_in!G23/SER_summary!G$27)</f>
        <v>22.735487981012074</v>
      </c>
      <c r="H23" s="133">
        <f>IF(SER_hh_fech_in!H23=0,0,SER_hh_fech_in!H23/SER_summary!H$27)</f>
        <v>23.210051899524451</v>
      </c>
      <c r="I23" s="133">
        <f>IF(SER_hh_fech_in!I23=0,0,SER_hh_fech_in!I23/SER_summary!I$27)</f>
        <v>24.113477167650785</v>
      </c>
      <c r="J23" s="133">
        <f>IF(SER_hh_fech_in!J23=0,0,SER_hh_fech_in!J23/SER_summary!J$27)</f>
        <v>24.770499942004104</v>
      </c>
      <c r="K23" s="133">
        <f>IF(SER_hh_fech_in!K23=0,0,SER_hh_fech_in!K23/SER_summary!K$27)</f>
        <v>24.017751196118361</v>
      </c>
      <c r="L23" s="133">
        <f>IF(SER_hh_fech_in!L23=0,0,SER_hh_fech_in!L23/SER_summary!L$27)</f>
        <v>24.391379551948919</v>
      </c>
      <c r="M23" s="133">
        <f>IF(SER_hh_fech_in!M23=0,0,SER_hh_fech_in!M23/SER_summary!M$27)</f>
        <v>24.129554511708367</v>
      </c>
      <c r="N23" s="133">
        <f>IF(SER_hh_fech_in!N23=0,0,SER_hh_fech_in!N23/SER_summary!N$27)</f>
        <v>23.185194095261615</v>
      </c>
      <c r="O23" s="133">
        <f>IF(SER_hh_fech_in!O23=0,0,SER_hh_fech_in!O23/SER_summary!O$27)</f>
        <v>22.903900030986474</v>
      </c>
      <c r="P23" s="133">
        <f>IF(SER_hh_fech_in!P23=0,0,SER_hh_fech_in!P23/SER_summary!P$27)</f>
        <v>22.093514893148029</v>
      </c>
      <c r="Q23" s="133">
        <f>IF(SER_hh_fech_in!Q23=0,0,SER_hh_fech_in!Q23/SER_summary!Q$27)</f>
        <v>21.755180053655742</v>
      </c>
      <c r="R23" s="133">
        <f>IF(SER_hh_fech_in!R23=0,0,SER_hh_fech_in!R23/SER_summary!R$27)</f>
        <v>22.467825012108857</v>
      </c>
      <c r="S23" s="133">
        <f>IF(SER_hh_fech_in!S23=0,0,SER_hh_fech_in!S23/SER_summary!S$27)</f>
        <v>0</v>
      </c>
      <c r="T23" s="133">
        <f>IF(SER_hh_fech_in!T23=0,0,SER_hh_fech_in!T23/SER_summary!T$27)</f>
        <v>0</v>
      </c>
      <c r="U23" s="133">
        <f>IF(SER_hh_fech_in!U23=0,0,SER_hh_fech_in!U23/SER_summary!U$27)</f>
        <v>17.936719458579571</v>
      </c>
      <c r="V23" s="133">
        <f>IF(SER_hh_fech_in!V23=0,0,SER_hh_fech_in!V23/SER_summary!V$27)</f>
        <v>15.880341347984746</v>
      </c>
      <c r="W23" s="133">
        <f>IF(SER_hh_fech_in!W23=0,0,SER_hh_fech_in!W23/SER_summary!W$27)</f>
        <v>21.620809054192776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16.354351468857288</v>
      </c>
      <c r="D24" s="133">
        <f>IF(SER_hh_fech_in!D24=0,0,SER_hh_fech_in!D24/SER_summary!D$27)</f>
        <v>19.942645772513995</v>
      </c>
      <c r="E24" s="133">
        <f>IF(SER_hh_fech_in!E24=0,0,SER_hh_fech_in!E24/SER_summary!E$27)</f>
        <v>20.540493083895822</v>
      </c>
      <c r="F24" s="133">
        <f>IF(SER_hh_fech_in!F24=0,0,SER_hh_fech_in!F24/SER_summary!F$27)</f>
        <v>20.823964319926482</v>
      </c>
      <c r="G24" s="133">
        <f>IF(SER_hh_fech_in!G24=0,0,SER_hh_fech_in!G24/SER_summary!G$27)</f>
        <v>20.191944618854198</v>
      </c>
      <c r="H24" s="133">
        <f>IF(SER_hh_fech_in!H24=0,0,SER_hh_fech_in!H24/SER_summary!H$27)</f>
        <v>21.487031187533095</v>
      </c>
      <c r="I24" s="133">
        <f>IF(SER_hh_fech_in!I24=0,0,SER_hh_fech_in!I24/SER_summary!I$27)</f>
        <v>23.592219303231818</v>
      </c>
      <c r="J24" s="133">
        <f>IF(SER_hh_fech_in!J24=0,0,SER_hh_fech_in!J24/SER_summary!J$27)</f>
        <v>23.75321853387366</v>
      </c>
      <c r="K24" s="133">
        <f>IF(SER_hh_fech_in!K24=0,0,SER_hh_fech_in!K24/SER_summary!K$27)</f>
        <v>23.084119314537542</v>
      </c>
      <c r="L24" s="133">
        <f>IF(SER_hh_fech_in!L24=0,0,SER_hh_fech_in!L24/SER_summary!L$27)</f>
        <v>21.947729796594189</v>
      </c>
      <c r="M24" s="133">
        <f>IF(SER_hh_fech_in!M24=0,0,SER_hh_fech_in!M24/SER_summary!M$27)</f>
        <v>22.120567634841628</v>
      </c>
      <c r="N24" s="133">
        <f>IF(SER_hh_fech_in!N24=0,0,SER_hh_fech_in!N24/SER_summary!N$27)</f>
        <v>22.157702173741669</v>
      </c>
      <c r="O24" s="133">
        <f>IF(SER_hh_fech_in!O24=0,0,SER_hh_fech_in!O24/SER_summary!O$27)</f>
        <v>22.090463059446662</v>
      </c>
      <c r="P24" s="133">
        <f>IF(SER_hh_fech_in!P24=0,0,SER_hh_fech_in!P24/SER_summary!P$27)</f>
        <v>21.211244450401104</v>
      </c>
      <c r="Q24" s="133">
        <f>IF(SER_hh_fech_in!Q24=0,0,SER_hh_fech_in!Q24/SER_summary!Q$27)</f>
        <v>21.250979438166048</v>
      </c>
      <c r="R24" s="133">
        <f>IF(SER_hh_fech_in!R24=0,0,SER_hh_fech_in!R24/SER_summary!R$27)</f>
        <v>22.47599391284783</v>
      </c>
      <c r="S24" s="133">
        <f>IF(SER_hh_fech_in!S24=0,0,SER_hh_fech_in!S24/SER_summary!S$27)</f>
        <v>22.049140951462281</v>
      </c>
      <c r="T24" s="133">
        <f>IF(SER_hh_fech_in!T24=0,0,SER_hh_fech_in!T24/SER_summary!T$27)</f>
        <v>18.741678342245759</v>
      </c>
      <c r="U24" s="133">
        <f>IF(SER_hh_fech_in!U24=0,0,SER_hh_fech_in!U24/SER_summary!U$27)</f>
        <v>17.609461037198265</v>
      </c>
      <c r="V24" s="133">
        <f>IF(SER_hh_fech_in!V24=0,0,SER_hh_fech_in!V24/SER_summary!V$27)</f>
        <v>18.240020056824203</v>
      </c>
      <c r="W24" s="133">
        <f>IF(SER_hh_fech_in!W24=0,0,SER_hh_fech_in!W24/SER_summary!W$27)</f>
        <v>19.45770619390419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12.074604439658486</v>
      </c>
      <c r="D25" s="133">
        <f>IF(SER_hh_fech_in!D25=0,0,SER_hh_fech_in!D25/SER_summary!D$27)</f>
        <v>14.042447803362334</v>
      </c>
      <c r="E25" s="133">
        <f>IF(SER_hh_fech_in!E25=0,0,SER_hh_fech_in!E25/SER_summary!E$27)</f>
        <v>14.653200194200513</v>
      </c>
      <c r="F25" s="133">
        <f>IF(SER_hh_fech_in!F25=0,0,SER_hh_fech_in!F25/SER_summary!F$27)</f>
        <v>17.028809449776688</v>
      </c>
      <c r="G25" s="133">
        <f>IF(SER_hh_fech_in!G25=0,0,SER_hh_fech_in!G25/SER_summary!G$27)</f>
        <v>16.987932552612531</v>
      </c>
      <c r="H25" s="133">
        <f>IF(SER_hh_fech_in!H25=0,0,SER_hh_fech_in!H25/SER_summary!H$27)</f>
        <v>17.50634746660932</v>
      </c>
      <c r="I25" s="133">
        <f>IF(SER_hh_fech_in!I25=0,0,SER_hh_fech_in!I25/SER_summary!I$27)</f>
        <v>18.268073954216042</v>
      </c>
      <c r="J25" s="133">
        <f>IF(SER_hh_fech_in!J25=0,0,SER_hh_fech_in!J25/SER_summary!J$27)</f>
        <v>18.707081574221981</v>
      </c>
      <c r="K25" s="133">
        <f>IF(SER_hh_fech_in!K25=0,0,SER_hh_fech_in!K25/SER_summary!K$27)</f>
        <v>18.883616623395856</v>
      </c>
      <c r="L25" s="133">
        <f>IF(SER_hh_fech_in!L25=0,0,SER_hh_fech_in!L25/SER_summary!L$27)</f>
        <v>18.193673113435686</v>
      </c>
      <c r="M25" s="133">
        <f>IF(SER_hh_fech_in!M25=0,0,SER_hh_fech_in!M25/SER_summary!M$27)</f>
        <v>18.515810086166464</v>
      </c>
      <c r="N25" s="133">
        <f>IF(SER_hh_fech_in!N25=0,0,SER_hh_fech_in!N25/SER_summary!N$27)</f>
        <v>18.633053027051595</v>
      </c>
      <c r="O25" s="133">
        <f>IF(SER_hh_fech_in!O25=0,0,SER_hh_fech_in!O25/SER_summary!O$27)</f>
        <v>19.223555490216523</v>
      </c>
      <c r="P25" s="133">
        <f>IF(SER_hh_fech_in!P25=0,0,SER_hh_fech_in!P25/SER_summary!P$27)</f>
        <v>18.529325189763686</v>
      </c>
      <c r="Q25" s="133">
        <f>IF(SER_hh_fech_in!Q25=0,0,SER_hh_fech_in!Q25/SER_summary!Q$27)</f>
        <v>17.91643090437876</v>
      </c>
      <c r="R25" s="133">
        <f>IF(SER_hh_fech_in!R25=0,0,SER_hh_fech_in!R25/SER_summary!R$27)</f>
        <v>18.22813608156228</v>
      </c>
      <c r="S25" s="133">
        <f>IF(SER_hh_fech_in!S25=0,0,SER_hh_fech_in!S25/SER_summary!S$27)</f>
        <v>20.720003889887359</v>
      </c>
      <c r="T25" s="133">
        <f>IF(SER_hh_fech_in!T25=0,0,SER_hh_fech_in!T25/SER_summary!T$27)</f>
        <v>16.967857383220622</v>
      </c>
      <c r="U25" s="133">
        <f>IF(SER_hh_fech_in!U25=0,0,SER_hh_fech_in!U25/SER_summary!U$27)</f>
        <v>17.064410778446643</v>
      </c>
      <c r="V25" s="133">
        <f>IF(SER_hh_fech_in!V25=0,0,SER_hh_fech_in!V25/SER_summary!V$27)</f>
        <v>17.332636025838564</v>
      </c>
      <c r="W25" s="133">
        <f>IF(SER_hh_fech_in!W25=0,0,SER_hh_fech_in!W25/SER_summary!W$27)</f>
        <v>14.557081139894823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13.980307617567538</v>
      </c>
      <c r="D26" s="65">
        <f>IF(SER_hh_fech_in!D26=0,0,SER_hh_fech_in!D26/SER_summary!D$27)</f>
        <v>16.48433029615811</v>
      </c>
      <c r="E26" s="65">
        <f>IF(SER_hh_fech_in!E26=0,0,SER_hh_fech_in!E26/SER_summary!E$27)</f>
        <v>17.050203015859907</v>
      </c>
      <c r="F26" s="65">
        <f>IF(SER_hh_fech_in!F26=0,0,SER_hh_fech_in!F26/SER_summary!F$27)</f>
        <v>19.120060342499915</v>
      </c>
      <c r="G26" s="65">
        <f>IF(SER_hh_fech_in!G26=0,0,SER_hh_fech_in!G26/SER_summary!G$27)</f>
        <v>19.849639544244841</v>
      </c>
      <c r="H26" s="65">
        <f>IF(SER_hh_fech_in!H26=0,0,SER_hh_fech_in!H26/SER_summary!H$27)</f>
        <v>20.554552887100275</v>
      </c>
      <c r="I26" s="65">
        <f>IF(SER_hh_fech_in!I26=0,0,SER_hh_fech_in!I26/SER_summary!I$27)</f>
        <v>22.172462702315308</v>
      </c>
      <c r="J26" s="65">
        <f>IF(SER_hh_fech_in!J26=0,0,SER_hh_fech_in!J26/SER_summary!J$27)</f>
        <v>20.871135538050975</v>
      </c>
      <c r="K26" s="65">
        <f>IF(SER_hh_fech_in!K26=0,0,SER_hh_fech_in!K26/SER_summary!K$27)</f>
        <v>21.148394954207234</v>
      </c>
      <c r="L26" s="65">
        <f>IF(SER_hh_fech_in!L26=0,0,SER_hh_fech_in!L26/SER_summary!L$27)</f>
        <v>12.748061341121009</v>
      </c>
      <c r="M26" s="65">
        <f>IF(SER_hh_fech_in!M26=0,0,SER_hh_fech_in!M26/SER_summary!M$27)</f>
        <v>20.339456541628788</v>
      </c>
      <c r="N26" s="65">
        <f>IF(SER_hh_fech_in!N26=0,0,SER_hh_fech_in!N26/SER_summary!N$27)</f>
        <v>19.494428589764539</v>
      </c>
      <c r="O26" s="65">
        <f>IF(SER_hh_fech_in!O26=0,0,SER_hh_fech_in!O26/SER_summary!O$27)</f>
        <v>19.80752542864095</v>
      </c>
      <c r="P26" s="65">
        <f>IF(SER_hh_fech_in!P26=0,0,SER_hh_fech_in!P26/SER_summary!P$27)</f>
        <v>19.696038334899725</v>
      </c>
      <c r="Q26" s="65">
        <f>IF(SER_hh_fech_in!Q26=0,0,SER_hh_fech_in!Q26/SER_summary!Q$27)</f>
        <v>17.28561966686264</v>
      </c>
      <c r="R26" s="65">
        <f>IF(SER_hh_fech_in!R26=0,0,SER_hh_fech_in!R26/SER_summary!R$27)</f>
        <v>18.751855049958223</v>
      </c>
      <c r="S26" s="65">
        <f>IF(SER_hh_fech_in!S26=0,0,SER_hh_fech_in!S26/SER_summary!S$27)</f>
        <v>18.024544567248569</v>
      </c>
      <c r="T26" s="65">
        <f>IF(SER_hh_fech_in!T26=0,0,SER_hh_fech_in!T26/SER_summary!T$27)</f>
        <v>16.572646893656451</v>
      </c>
      <c r="U26" s="65">
        <f>IF(SER_hh_fech_in!U26=0,0,SER_hh_fech_in!U26/SER_summary!U$27)</f>
        <v>18.212253767452964</v>
      </c>
      <c r="V26" s="65">
        <f>IF(SER_hh_fech_in!V26=0,0,SER_hh_fech_in!V26/SER_summary!V$27)</f>
        <v>15.691991650043509</v>
      </c>
      <c r="W26" s="65">
        <f>IF(SER_hh_fech_in!W26=0,0,SER_hh_fech_in!W26/SER_summary!W$27)</f>
        <v>16.87421491587444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0.11765714432008766</v>
      </c>
      <c r="E27" s="146">
        <f>IF(SER_hh_fech_in!E27=0,0,SER_hh_fech_in!E27/SER_summary!E$27)</f>
        <v>0</v>
      </c>
      <c r="F27" s="146">
        <f>IF(SER_hh_fech_in!F27=0,0,SER_hh_fech_in!F27/SER_summary!F$27)</f>
        <v>8.2806679747134737E-2</v>
      </c>
      <c r="G27" s="146">
        <f>IF(SER_hh_fech_in!G27=0,0,SER_hh_fech_in!G27/SER_summary!G$27)</f>
        <v>6.557455631927514E-2</v>
      </c>
      <c r="H27" s="146">
        <f>IF(SER_hh_fech_in!H27=0,0,SER_hh_fech_in!H27/SER_summary!H$27)</f>
        <v>9.6481776094024224E-2</v>
      </c>
      <c r="I27" s="146">
        <f>IF(SER_hh_fech_in!I27=0,0,SER_hh_fech_in!I27/SER_summary!I$27)</f>
        <v>6.1714785325595836E-2</v>
      </c>
      <c r="J27" s="146">
        <f>IF(SER_hh_fech_in!J27=0,0,SER_hh_fech_in!J27/SER_summary!J$27)</f>
        <v>0.74279148337651169</v>
      </c>
      <c r="K27" s="146">
        <f>IF(SER_hh_fech_in!K27=0,0,SER_hh_fech_in!K27/SER_summary!K$27)</f>
        <v>0.64011109570368008</v>
      </c>
      <c r="L27" s="146">
        <f>IF(SER_hh_fech_in!L27=0,0,SER_hh_fech_in!L27/SER_summary!L$27)</f>
        <v>2.2874769379254745</v>
      </c>
      <c r="M27" s="146">
        <f>IF(SER_hh_fech_in!M27=0,0,SER_hh_fech_in!M27/SER_summary!M$27)</f>
        <v>0.75102021639636352</v>
      </c>
      <c r="N27" s="146">
        <f>IF(SER_hh_fech_in!N27=0,0,SER_hh_fech_in!N27/SER_summary!N$27)</f>
        <v>0.72025850509763556</v>
      </c>
      <c r="O27" s="146">
        <f>IF(SER_hh_fech_in!O27=0,0,SER_hh_fech_in!O27/SER_summary!O$27)</f>
        <v>1.040674822885238</v>
      </c>
      <c r="P27" s="146">
        <f>IF(SER_hh_fech_in!P27=0,0,SER_hh_fech_in!P27/SER_summary!P$27)</f>
        <v>0.5757840434921645</v>
      </c>
      <c r="Q27" s="146">
        <f>IF(SER_hh_fech_in!Q27=0,0,SER_hh_fech_in!Q27/SER_summary!Q$27)</f>
        <v>1.3847278377411527</v>
      </c>
      <c r="R27" s="146">
        <f>IF(SER_hh_fech_in!R27=0,0,SER_hh_fech_in!R27/SER_summary!R$27)</f>
        <v>0.47621349998321599</v>
      </c>
      <c r="S27" s="146">
        <f>IF(SER_hh_fech_in!S27=0,0,SER_hh_fech_in!S27/SER_summary!S$27)</f>
        <v>0.21474855179015379</v>
      </c>
      <c r="T27" s="146">
        <f>IF(SER_hh_fech_in!T27=0,0,SER_hh_fech_in!T27/SER_summary!T$27)</f>
        <v>1.3998113833101544</v>
      </c>
      <c r="U27" s="146">
        <f>IF(SER_hh_fech_in!U27=0,0,SER_hh_fech_in!U27/SER_summary!U$27)</f>
        <v>0</v>
      </c>
      <c r="V27" s="146">
        <f>IF(SER_hh_fech_in!V27=0,0,SER_hh_fech_in!V27/SER_summary!V$27)</f>
        <v>0.20256198361033992</v>
      </c>
      <c r="W27" s="146">
        <f>IF(SER_hh_fech_in!W27=0,0,SER_hh_fech_in!W27/SER_summary!W$27)</f>
        <v>1.0135547319179406E-5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5.9117935757342597</v>
      </c>
      <c r="E28" s="147">
        <f>IF(SER_hh_fech_in!E28=0,0,SER_hh_fech_in!E28/SER_summary!E$27)</f>
        <v>0</v>
      </c>
      <c r="F28" s="147">
        <f>IF(SER_hh_fech_in!F28=0,0,SER_hh_fech_in!F28/SER_summary!F$27)</f>
        <v>6.7827041967432855</v>
      </c>
      <c r="G28" s="147">
        <f>IF(SER_hh_fech_in!G28=0,0,SER_hh_fech_in!G28/SER_summary!G$27)</f>
        <v>6.8557175792697116</v>
      </c>
      <c r="H28" s="147">
        <f>IF(SER_hh_fech_in!H28=0,0,SER_hh_fech_in!H28/SER_summary!H$27)</f>
        <v>7.2303059810421484</v>
      </c>
      <c r="I28" s="147">
        <f>IF(SER_hh_fech_in!I28=0,0,SER_hh_fech_in!I28/SER_summary!I$27)</f>
        <v>7.6930125997255185</v>
      </c>
      <c r="J28" s="147">
        <f>IF(SER_hh_fech_in!J28=0,0,SER_hh_fech_in!J28/SER_summary!J$27)</f>
        <v>7.9449032031413811</v>
      </c>
      <c r="K28" s="147">
        <f>IF(SER_hh_fech_in!K28=0,0,SER_hh_fech_in!K28/SER_summary!K$27)</f>
        <v>8.0640724658967837</v>
      </c>
      <c r="L28" s="147">
        <f>IF(SER_hh_fech_in!L28=0,0,SER_hh_fech_in!L28/SER_summary!L$27)</f>
        <v>7.7455844958640618</v>
      </c>
      <c r="M28" s="147">
        <f>IF(SER_hh_fech_in!M28=0,0,SER_hh_fech_in!M28/SER_summary!M$27)</f>
        <v>8.0542921103945986</v>
      </c>
      <c r="N28" s="147">
        <f>IF(SER_hh_fech_in!N28=0,0,SER_hh_fech_in!N28/SER_summary!N$27)</f>
        <v>8.4815143571696456</v>
      </c>
      <c r="O28" s="147">
        <f>IF(SER_hh_fech_in!O28=0,0,SER_hh_fech_in!O28/SER_summary!O$27)</f>
        <v>8.4339198897421621</v>
      </c>
      <c r="P28" s="147">
        <f>IF(SER_hh_fech_in!P28=0,0,SER_hh_fech_in!P28/SER_summary!P$27)</f>
        <v>8.4882855863067004</v>
      </c>
      <c r="Q28" s="147">
        <f>IF(SER_hh_fech_in!Q28=0,0,SER_hh_fech_in!Q28/SER_summary!Q$27)</f>
        <v>8.4805913713123307</v>
      </c>
      <c r="R28" s="147">
        <f>IF(SER_hh_fech_in!R28=0,0,SER_hh_fech_in!R28/SER_summary!R$27)</f>
        <v>8.6675392745463906</v>
      </c>
      <c r="S28" s="147">
        <f>IF(SER_hh_fech_in!S28=0,0,SER_hh_fech_in!S28/SER_summary!S$27)</f>
        <v>8.8504750660910947</v>
      </c>
      <c r="T28" s="147">
        <f>IF(SER_hh_fech_in!T28=0,0,SER_hh_fech_in!T28/SER_summary!T$27)</f>
        <v>7.3020373583321243</v>
      </c>
      <c r="U28" s="147">
        <f>IF(SER_hh_fech_in!U28=0,0,SER_hh_fech_in!U28/SER_summary!U$27)</f>
        <v>0</v>
      </c>
      <c r="V28" s="147">
        <f>IF(SER_hh_fech_in!V28=0,0,SER_hh_fech_in!V28/SER_summary!V$27)</f>
        <v>7.4169621938409067</v>
      </c>
      <c r="W28" s="147">
        <f>IF(SER_hh_fech_in!W28=0,0,SER_hh_fech_in!W28/SER_summary!W$27)</f>
        <v>8.2300246812444993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19.806711197549184</v>
      </c>
      <c r="D29" s="131">
        <f>IF(SER_hh_fech_in!D29=0,0,SER_hh_fech_in!D29/SER_summary!D$27)</f>
        <v>21.812339615809915</v>
      </c>
      <c r="E29" s="131">
        <f>IF(SER_hh_fech_in!E29=0,0,SER_hh_fech_in!E29/SER_summary!E$27)</f>
        <v>24.61654687770276</v>
      </c>
      <c r="F29" s="131">
        <f>IF(SER_hh_fech_in!F29=0,0,SER_hh_fech_in!F29/SER_summary!F$27)</f>
        <v>24.161936725634373</v>
      </c>
      <c r="G29" s="131">
        <f>IF(SER_hh_fech_in!G29=0,0,SER_hh_fech_in!G29/SER_summary!G$27)</f>
        <v>24.655647965325819</v>
      </c>
      <c r="H29" s="131">
        <f>IF(SER_hh_fech_in!H29=0,0,SER_hh_fech_in!H29/SER_summary!H$27)</f>
        <v>24.62961615972516</v>
      </c>
      <c r="I29" s="131">
        <f>IF(SER_hh_fech_in!I29=0,0,SER_hh_fech_in!I29/SER_summary!I$27)</f>
        <v>25.139810402027241</v>
      </c>
      <c r="J29" s="131">
        <f>IF(SER_hh_fech_in!J29=0,0,SER_hh_fech_in!J29/SER_summary!J$27)</f>
        <v>25.491131710254329</v>
      </c>
      <c r="K29" s="131">
        <f>IF(SER_hh_fech_in!K29=0,0,SER_hh_fech_in!K29/SER_summary!K$27)</f>
        <v>25.263357365230291</v>
      </c>
      <c r="L29" s="131">
        <f>IF(SER_hh_fech_in!L29=0,0,SER_hh_fech_in!L29/SER_summary!L$27)</f>
        <v>26.150429096364881</v>
      </c>
      <c r="M29" s="131">
        <f>IF(SER_hh_fech_in!M29=0,0,SER_hh_fech_in!M29/SER_summary!M$27)</f>
        <v>26.927065026719692</v>
      </c>
      <c r="N29" s="131">
        <f>IF(SER_hh_fech_in!N29=0,0,SER_hh_fech_in!N29/SER_summary!N$27)</f>
        <v>26.661508479071184</v>
      </c>
      <c r="O29" s="131">
        <f>IF(SER_hh_fech_in!O29=0,0,SER_hh_fech_in!O29/SER_summary!O$27)</f>
        <v>26.24336721711968</v>
      </c>
      <c r="P29" s="131">
        <f>IF(SER_hh_fech_in!P29=0,0,SER_hh_fech_in!P29/SER_summary!P$27)</f>
        <v>24.931336277830443</v>
      </c>
      <c r="Q29" s="131">
        <f>IF(SER_hh_fech_in!Q29=0,0,SER_hh_fech_in!Q29/SER_summary!Q$27)</f>
        <v>24.710899803511971</v>
      </c>
      <c r="R29" s="131">
        <f>IF(SER_hh_fech_in!R29=0,0,SER_hh_fech_in!R29/SER_summary!R$27)</f>
        <v>23.841574215206226</v>
      </c>
      <c r="S29" s="131">
        <f>IF(SER_hh_fech_in!S29=0,0,SER_hh_fech_in!S29/SER_summary!S$27)</f>
        <v>22.855107835082929</v>
      </c>
      <c r="T29" s="131">
        <f>IF(SER_hh_fech_in!T29=0,0,SER_hh_fech_in!T29/SER_summary!T$27)</f>
        <v>22.355302578316699</v>
      </c>
      <c r="U29" s="131">
        <f>IF(SER_hh_fech_in!U29=0,0,SER_hh_fech_in!U29/SER_summary!U$27)</f>
        <v>22.53891223697547</v>
      </c>
      <c r="V29" s="131">
        <f>IF(SER_hh_fech_in!V29=0,0,SER_hh_fech_in!V29/SER_summary!V$27)</f>
        <v>20.854408298742253</v>
      </c>
      <c r="W29" s="131">
        <f>IF(SER_hh_fech_in!W29=0,0,SER_hh_fech_in!W29/SER_summary!W$27)</f>
        <v>21.869616984073875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28.072461099667535</v>
      </c>
      <c r="D30" s="133">
        <f>IF(SER_hh_fech_in!D30=0,0,SER_hh_fech_in!D30/SER_summary!D$27)</f>
        <v>22.947194145479536</v>
      </c>
      <c r="E30" s="133">
        <f>IF(SER_hh_fech_in!E30=0,0,SER_hh_fech_in!E30/SER_summary!E$27)</f>
        <v>33.525938400700937</v>
      </c>
      <c r="F30" s="133">
        <f>IF(SER_hh_fech_in!F30=0,0,SER_hh_fech_in!F30/SER_summary!F$27)</f>
        <v>30.176619341531069</v>
      </c>
      <c r="G30" s="133">
        <f>IF(SER_hh_fech_in!G30=0,0,SER_hh_fech_in!G30/SER_summary!G$27)</f>
        <v>29.075722756002804</v>
      </c>
      <c r="H30" s="133">
        <f>IF(SER_hh_fech_in!H30=0,0,SER_hh_fech_in!H30/SER_summary!H$27)</f>
        <v>32.474580961400363</v>
      </c>
      <c r="I30" s="133">
        <f>IF(SER_hh_fech_in!I30=0,0,SER_hh_fech_in!I30/SER_summary!I$27)</f>
        <v>34.502750735160987</v>
      </c>
      <c r="J30" s="133">
        <f>IF(SER_hh_fech_in!J30=0,0,SER_hh_fech_in!J30/SER_summary!J$27)</f>
        <v>0</v>
      </c>
      <c r="K30" s="133">
        <f>IF(SER_hh_fech_in!K30=0,0,SER_hh_fech_in!K30/SER_summary!K$27)</f>
        <v>0</v>
      </c>
      <c r="L30" s="133">
        <f>IF(SER_hh_fech_in!L30=0,0,SER_hh_fech_in!L30/SER_summary!L$27)</f>
        <v>0</v>
      </c>
      <c r="M30" s="133">
        <f>IF(SER_hh_fech_in!M30=0,0,SER_hh_fech_in!M30/SER_summary!M$27)</f>
        <v>0</v>
      </c>
      <c r="N30" s="133">
        <f>IF(SER_hh_fech_in!N30=0,0,SER_hh_fech_in!N30/SER_summary!N$27)</f>
        <v>31.335900256227728</v>
      </c>
      <c r="O30" s="133">
        <f>IF(SER_hh_fech_in!O30=0,0,SER_hh_fech_in!O30/SER_summary!O$27)</f>
        <v>32.153808605671728</v>
      </c>
      <c r="P30" s="133">
        <f>IF(SER_hh_fech_in!P30=0,0,SER_hh_fech_in!P30/SER_summary!P$27)</f>
        <v>27.80779153125232</v>
      </c>
      <c r="Q30" s="133">
        <f>IF(SER_hh_fech_in!Q30=0,0,SER_hh_fech_in!Q30/SER_summary!Q$27)</f>
        <v>30.778246671320385</v>
      </c>
      <c r="R30" s="133">
        <f>IF(SER_hh_fech_in!R30=0,0,SER_hh_fech_in!R30/SER_summary!R$27)</f>
        <v>31.641856647605046</v>
      </c>
      <c r="S30" s="133">
        <f>IF(SER_hh_fech_in!S30=0,0,SER_hh_fech_in!S30/SER_summary!S$27)</f>
        <v>30.551718462957552</v>
      </c>
      <c r="T30" s="133">
        <f>IF(SER_hh_fech_in!T30=0,0,SER_hh_fech_in!T30/SER_summary!T$27)</f>
        <v>28.959980269694832</v>
      </c>
      <c r="U30" s="133">
        <f>IF(SER_hh_fech_in!U30=0,0,SER_hh_fech_in!U30/SER_summary!U$27)</f>
        <v>33.596379598659865</v>
      </c>
      <c r="V30" s="133">
        <f>IF(SER_hh_fech_in!V30=0,0,SER_hh_fech_in!V30/SER_summary!V$27)</f>
        <v>23.276237256103194</v>
      </c>
      <c r="W30" s="133">
        <f>IF(SER_hh_fech_in!W30=0,0,SER_hh_fech_in!W30/SER_summary!W$27)</f>
        <v>22.636661553288267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23.327410254233836</v>
      </c>
      <c r="D31" s="133">
        <f>IF(SER_hh_fech_in!D31=0,0,SER_hh_fech_in!D31/SER_summary!D$27)</f>
        <v>26.327480590143413</v>
      </c>
      <c r="E31" s="133">
        <f>IF(SER_hh_fech_in!E31=0,0,SER_hh_fech_in!E31/SER_summary!E$27)</f>
        <v>28.831571377417337</v>
      </c>
      <c r="F31" s="133">
        <f>IF(SER_hh_fech_in!F31=0,0,SER_hh_fech_in!F31/SER_summary!F$27)</f>
        <v>28.739176625730231</v>
      </c>
      <c r="G31" s="133">
        <f>IF(SER_hh_fech_in!G31=0,0,SER_hh_fech_in!G31/SER_summary!G$27)</f>
        <v>30.070677097926968</v>
      </c>
      <c r="H31" s="133">
        <f>IF(SER_hh_fech_in!H31=0,0,SER_hh_fech_in!H31/SER_summary!H$27)</f>
        <v>30.90271737829848</v>
      </c>
      <c r="I31" s="133">
        <f>IF(SER_hh_fech_in!I31=0,0,SER_hh_fech_in!I31/SER_summary!I$27)</f>
        <v>31.359857603904434</v>
      </c>
      <c r="J31" s="133">
        <f>IF(SER_hh_fech_in!J31=0,0,SER_hh_fech_in!J31/SER_summary!J$27)</f>
        <v>31.608597160009012</v>
      </c>
      <c r="K31" s="133">
        <f>IF(SER_hh_fech_in!K31=0,0,SER_hh_fech_in!K31/SER_summary!K$27)</f>
        <v>31.367507679700466</v>
      </c>
      <c r="L31" s="133">
        <f>IF(SER_hh_fech_in!L31=0,0,SER_hh_fech_in!L31/SER_summary!L$27)</f>
        <v>29.906716335777418</v>
      </c>
      <c r="M31" s="133">
        <f>IF(SER_hh_fech_in!M31=0,0,SER_hh_fech_in!M31/SER_summary!M$27)</f>
        <v>31.554934398496663</v>
      </c>
      <c r="N31" s="133">
        <f>IF(SER_hh_fech_in!N31=0,0,SER_hh_fech_in!N31/SER_summary!N$27)</f>
        <v>32.26868443249829</v>
      </c>
      <c r="O31" s="133">
        <f>IF(SER_hh_fech_in!O31=0,0,SER_hh_fech_in!O31/SER_summary!O$27)</f>
        <v>31.378902049953044</v>
      </c>
      <c r="P31" s="133">
        <f>IF(SER_hh_fech_in!P31=0,0,SER_hh_fech_in!P31/SER_summary!P$27)</f>
        <v>30.722682521232592</v>
      </c>
      <c r="Q31" s="133">
        <f>IF(SER_hh_fech_in!Q31=0,0,SER_hh_fech_in!Q31/SER_summary!Q$27)</f>
        <v>31.498183512560146</v>
      </c>
      <c r="R31" s="133">
        <f>IF(SER_hh_fech_in!R31=0,0,SER_hh_fech_in!R31/SER_summary!R$27)</f>
        <v>30.514938292471356</v>
      </c>
      <c r="S31" s="133">
        <f>IF(SER_hh_fech_in!S31=0,0,SER_hh_fech_in!S31/SER_summary!S$27)</f>
        <v>29.19713829535787</v>
      </c>
      <c r="T31" s="133">
        <f>IF(SER_hh_fech_in!T31=0,0,SER_hh_fech_in!T31/SER_summary!T$27)</f>
        <v>28.883346280537612</v>
      </c>
      <c r="U31" s="133">
        <f>IF(SER_hh_fech_in!U31=0,0,SER_hh_fech_in!U31/SER_summary!U$27)</f>
        <v>29.039809610707668</v>
      </c>
      <c r="V31" s="133">
        <f>IF(SER_hh_fech_in!V31=0,0,SER_hh_fech_in!V31/SER_summary!V$27)</f>
        <v>23.930070909364193</v>
      </c>
      <c r="W31" s="133">
        <f>IF(SER_hh_fech_in!W31=0,0,SER_hh_fech_in!W31/SER_summary!W$27)</f>
        <v>32.510578321103871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17.534973515927923</v>
      </c>
      <c r="D33" s="68">
        <f>IF(SER_hh_fech_in!D33=0,0,SER_hh_fech_in!D33/SER_summary!D$27)</f>
        <v>20.184758287347709</v>
      </c>
      <c r="E33" s="68">
        <f>IF(SER_hh_fech_in!E33=0,0,SER_hh_fech_in!E33/SER_summary!E$27)</f>
        <v>22.003415008843387</v>
      </c>
      <c r="F33" s="68">
        <f>IF(SER_hh_fech_in!F33=0,0,SER_hh_fech_in!F33/SER_summary!F$27)</f>
        <v>22.436403151313193</v>
      </c>
      <c r="G33" s="68">
        <f>IF(SER_hh_fech_in!G33=0,0,SER_hh_fech_in!G33/SER_summary!G$27)</f>
        <v>22.593767259412214</v>
      </c>
      <c r="H33" s="68">
        <f>IF(SER_hh_fech_in!H33=0,0,SER_hh_fech_in!H33/SER_summary!H$27)</f>
        <v>22.759611812039196</v>
      </c>
      <c r="I33" s="68">
        <f>IF(SER_hh_fech_in!I33=0,0,SER_hh_fech_in!I33/SER_summary!I$27)</f>
        <v>23.80802692260179</v>
      </c>
      <c r="J33" s="68">
        <f>IF(SER_hh_fech_in!J33=0,0,SER_hh_fech_in!J33/SER_summary!J$27)</f>
        <v>24.326862598442769</v>
      </c>
      <c r="K33" s="68">
        <f>IF(SER_hh_fech_in!K33=0,0,SER_hh_fech_in!K33/SER_summary!K$27)</f>
        <v>23.795837044179649</v>
      </c>
      <c r="L33" s="68">
        <f>IF(SER_hh_fech_in!L33=0,0,SER_hh_fech_in!L33/SER_summary!L$27)</f>
        <v>24.544640820334514</v>
      </c>
      <c r="M33" s="68">
        <f>IF(SER_hh_fech_in!M33=0,0,SER_hh_fech_in!M33/SER_summary!M$27)</f>
        <v>23.960745688790983</v>
      </c>
      <c r="N33" s="68">
        <f>IF(SER_hh_fech_in!N33=0,0,SER_hh_fech_in!N33/SER_summary!N$27)</f>
        <v>23.081210213614241</v>
      </c>
      <c r="O33" s="68">
        <f>IF(SER_hh_fech_in!O33=0,0,SER_hh_fech_in!O33/SER_summary!O$27)</f>
        <v>23.116526827784181</v>
      </c>
      <c r="P33" s="68">
        <f>IF(SER_hh_fech_in!P33=0,0,SER_hh_fech_in!P33/SER_summary!P$27)</f>
        <v>23.07706738409372</v>
      </c>
      <c r="Q33" s="68">
        <f>IF(SER_hh_fech_in!Q33=0,0,SER_hh_fech_in!Q33/SER_summary!Q$27)</f>
        <v>22.419512625987004</v>
      </c>
      <c r="R33" s="68">
        <f>IF(SER_hh_fech_in!R33=0,0,SER_hh_fech_in!R33/SER_summary!R$27)</f>
        <v>22.21510454003235</v>
      </c>
      <c r="S33" s="68">
        <f>IF(SER_hh_fech_in!S33=0,0,SER_hh_fech_in!S33/SER_summary!S$27)</f>
        <v>21.451660472325099</v>
      </c>
      <c r="T33" s="68">
        <f>IF(SER_hh_fech_in!T33=0,0,SER_hh_fech_in!T33/SER_summary!T$27)</f>
        <v>21.27458068983303</v>
      </c>
      <c r="U33" s="68">
        <f>IF(SER_hh_fech_in!U33=0,0,SER_hh_fech_in!U33/SER_summary!U$27)</f>
        <v>20.626859629404557</v>
      </c>
      <c r="V33" s="68">
        <f>IF(SER_hh_fech_in!V33=0,0,SER_hh_fech_in!V33/SER_summary!V$27)</f>
        <v>19.964201394285766</v>
      </c>
      <c r="W33" s="68">
        <f>IF(SER_hh_fech_in!W33=0,0,SER_hh_fech_in!W33/SER_summary!W$27)</f>
        <v>18.250737332130626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130.05847200573203</v>
      </c>
      <c r="D3" s="126">
        <f>IF(SER_hh_tesh_in!D3=0,0,SER_hh_tesh_in!D3/SER_summary!D$27)</f>
        <v>149.19763041261203</v>
      </c>
      <c r="E3" s="126">
        <f>IF(SER_hh_tesh_in!E3=0,0,SER_hh_tesh_in!E3/SER_summary!E$27)</f>
        <v>134.07756502217757</v>
      </c>
      <c r="F3" s="126">
        <f>IF(SER_hh_tesh_in!F3=0,0,SER_hh_tesh_in!F3/SER_summary!F$27)</f>
        <v>142.45909913968754</v>
      </c>
      <c r="G3" s="126">
        <f>IF(SER_hh_tesh_in!G3=0,0,SER_hh_tesh_in!G3/SER_summary!G$27)</f>
        <v>135.42187659521457</v>
      </c>
      <c r="H3" s="126">
        <f>IF(SER_hh_tesh_in!H3=0,0,SER_hh_tesh_in!H3/SER_summary!H$27)</f>
        <v>147.23974772152206</v>
      </c>
      <c r="I3" s="126">
        <f>IF(SER_hh_tesh_in!I3=0,0,SER_hh_tesh_in!I3/SER_summary!I$27)</f>
        <v>130.78867601386128</v>
      </c>
      <c r="J3" s="126">
        <f>IF(SER_hh_tesh_in!J3=0,0,SER_hh_tesh_in!J3/SER_summary!J$27)</f>
        <v>141.14919979484597</v>
      </c>
      <c r="K3" s="126">
        <f>IF(SER_hh_tesh_in!K3=0,0,SER_hh_tesh_in!K3/SER_summary!K$27)</f>
        <v>136.41928361998168</v>
      </c>
      <c r="L3" s="126">
        <f>IF(SER_hh_tesh_in!L3=0,0,SER_hh_tesh_in!L3/SER_summary!L$27)</f>
        <v>166.41344272905619</v>
      </c>
      <c r="M3" s="126">
        <f>IF(SER_hh_tesh_in!M3=0,0,SER_hh_tesh_in!M3/SER_summary!M$27)</f>
        <v>139.7093746365629</v>
      </c>
      <c r="N3" s="126">
        <f>IF(SER_hh_tesh_in!N3=0,0,SER_hh_tesh_in!N3/SER_summary!N$27)</f>
        <v>139.45784980818701</v>
      </c>
      <c r="O3" s="126">
        <f>IF(SER_hh_tesh_in!O3=0,0,SER_hh_tesh_in!O3/SER_summary!O$27)</f>
        <v>139.68979112433652</v>
      </c>
      <c r="P3" s="126">
        <f>IF(SER_hh_tesh_in!P3=0,0,SER_hh_tesh_in!P3/SER_summary!P$27)</f>
        <v>119.78300735052025</v>
      </c>
      <c r="Q3" s="126">
        <f>IF(SER_hh_tesh_in!Q3=0,0,SER_hh_tesh_in!Q3/SER_summary!Q$27)</f>
        <v>127.10465344677206</v>
      </c>
      <c r="R3" s="126">
        <f>IF(SER_hh_tesh_in!R3=0,0,SER_hh_tesh_in!R3/SER_summary!R$27)</f>
        <v>124.80954158838443</v>
      </c>
      <c r="S3" s="126">
        <f>IF(SER_hh_tesh_in!S3=0,0,SER_hh_tesh_in!S3/SER_summary!S$27)</f>
        <v>113.40369430337259</v>
      </c>
      <c r="T3" s="126">
        <f>IF(SER_hh_tesh_in!T3=0,0,SER_hh_tesh_in!T3/SER_summary!T$27)</f>
        <v>109.35768644990556</v>
      </c>
      <c r="U3" s="126">
        <f>IF(SER_hh_tesh_in!U3=0,0,SER_hh_tesh_in!U3/SER_summary!U$27)</f>
        <v>107.09568419747343</v>
      </c>
      <c r="V3" s="126">
        <f>IF(SER_hh_tesh_in!V3=0,0,SER_hh_tesh_in!V3/SER_summary!V$27)</f>
        <v>93.693735218816329</v>
      </c>
      <c r="W3" s="126">
        <f>IF(SER_hh_tesh_in!W3=0,0,SER_hh_tesh_in!W3/SER_summary!W$27)</f>
        <v>100.86195407793031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78.054624576389102</v>
      </c>
      <c r="D4" s="131">
        <f>IF(SER_hh_tesh_in!D4=0,0,SER_hh_tesh_in!D4/SER_summary!D$27)</f>
        <v>94.045705591895228</v>
      </c>
      <c r="E4" s="131">
        <f>IF(SER_hh_tesh_in!E4=0,0,SER_hh_tesh_in!E4/SER_summary!E$27)</f>
        <v>89.508299233638937</v>
      </c>
      <c r="F4" s="131">
        <f>IF(SER_hh_tesh_in!F4=0,0,SER_hh_tesh_in!F4/SER_summary!F$27)</f>
        <v>99.688295930474311</v>
      </c>
      <c r="G4" s="131">
        <f>IF(SER_hh_tesh_in!G4=0,0,SER_hh_tesh_in!G4/SER_summary!G$27)</f>
        <v>88.334694379083302</v>
      </c>
      <c r="H4" s="131">
        <f>IF(SER_hh_tesh_in!H4=0,0,SER_hh_tesh_in!H4/SER_summary!H$27)</f>
        <v>102.61943713628638</v>
      </c>
      <c r="I4" s="131">
        <f>IF(SER_hh_tesh_in!I4=0,0,SER_hh_tesh_in!I4/SER_summary!I$27)</f>
        <v>83.314201186253555</v>
      </c>
      <c r="J4" s="131">
        <f>IF(SER_hh_tesh_in!J4=0,0,SER_hh_tesh_in!J4/SER_summary!J$27)</f>
        <v>93.118304012477992</v>
      </c>
      <c r="K4" s="131">
        <f>IF(SER_hh_tesh_in!K4=0,0,SER_hh_tesh_in!K4/SER_summary!K$27)</f>
        <v>89.172869294631113</v>
      </c>
      <c r="L4" s="131">
        <f>IF(SER_hh_tesh_in!L4=0,0,SER_hh_tesh_in!L4/SER_summary!L$27)</f>
        <v>101.26573702745712</v>
      </c>
      <c r="M4" s="131">
        <f>IF(SER_hh_tesh_in!M4=0,0,SER_hh_tesh_in!M4/SER_summary!M$27)</f>
        <v>88.764745023008189</v>
      </c>
      <c r="N4" s="131">
        <f>IF(SER_hh_tesh_in!N4=0,0,SER_hh_tesh_in!N4/SER_summary!N$27)</f>
        <v>84.247604159104867</v>
      </c>
      <c r="O4" s="131">
        <f>IF(SER_hh_tesh_in!O4=0,0,SER_hh_tesh_in!O4/SER_summary!O$27)</f>
        <v>77.255936658038777</v>
      </c>
      <c r="P4" s="131">
        <f>IF(SER_hh_tesh_in!P4=0,0,SER_hh_tesh_in!P4/SER_summary!P$27)</f>
        <v>66.050698241295692</v>
      </c>
      <c r="Q4" s="131">
        <f>IF(SER_hh_tesh_in!Q4=0,0,SER_hh_tesh_in!Q4/SER_summary!Q$27)</f>
        <v>62.11851033681031</v>
      </c>
      <c r="R4" s="131">
        <f>IF(SER_hh_tesh_in!R4=0,0,SER_hh_tesh_in!R4/SER_summary!R$27)</f>
        <v>67.505327388704345</v>
      </c>
      <c r="S4" s="131">
        <f>IF(SER_hh_tesh_in!S4=0,0,SER_hh_tesh_in!S4/SER_summary!S$27)</f>
        <v>59.982350155042958</v>
      </c>
      <c r="T4" s="131">
        <f>IF(SER_hh_tesh_in!T4=0,0,SER_hh_tesh_in!T4/SER_summary!T$27)</f>
        <v>54.500145982805321</v>
      </c>
      <c r="U4" s="131">
        <f>IF(SER_hh_tesh_in!U4=0,0,SER_hh_tesh_in!U4/SER_summary!U$27)</f>
        <v>49.82355638150409</v>
      </c>
      <c r="V4" s="131">
        <f>IF(SER_hh_tesh_in!V4=0,0,SER_hh_tesh_in!V4/SER_summary!V$27)</f>
        <v>44.986413586551663</v>
      </c>
      <c r="W4" s="131">
        <f>IF(SER_hh_tesh_in!W4=0,0,SER_hh_tesh_in!W4/SER_summary!W$27)</f>
        <v>44.53591530852286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59.116224675937225</v>
      </c>
      <c r="D5" s="133">
        <f>IF(SER_hh_tesh_in!D5=0,0,SER_hh_tesh_in!D5/SER_summary!D$27)</f>
        <v>97.854254248193243</v>
      </c>
      <c r="E5" s="133">
        <f>IF(SER_hh_tesh_in!E5=0,0,SER_hh_tesh_in!E5/SER_summary!E$27)</f>
        <v>94.683188565843849</v>
      </c>
      <c r="F5" s="133">
        <f>IF(SER_hh_tesh_in!F5=0,0,SER_hh_tesh_in!F5/SER_summary!F$27)</f>
        <v>89.060577688658711</v>
      </c>
      <c r="G5" s="133">
        <f>IF(SER_hh_tesh_in!G5=0,0,SER_hh_tesh_in!G5/SER_summary!G$27)</f>
        <v>87.345426943384012</v>
      </c>
      <c r="H5" s="133">
        <f>IF(SER_hh_tesh_in!H5=0,0,SER_hh_tesh_in!H5/SER_summary!H$27)</f>
        <v>99.13363734463384</v>
      </c>
      <c r="I5" s="133">
        <f>IF(SER_hh_tesh_in!I5=0,0,SER_hh_tesh_in!I5/SER_summary!I$27)</f>
        <v>81.685754511557704</v>
      </c>
      <c r="J5" s="133">
        <f>IF(SER_hh_tesh_in!J5=0,0,SER_hh_tesh_in!J5/SER_summary!J$27)</f>
        <v>88.323224693713527</v>
      </c>
      <c r="K5" s="133">
        <f>IF(SER_hh_tesh_in!K5=0,0,SER_hh_tesh_in!K5/SER_summary!K$27)</f>
        <v>91.504965167447239</v>
      </c>
      <c r="L5" s="133">
        <f>IF(SER_hh_tesh_in!L5=0,0,SER_hh_tesh_in!L5/SER_summary!L$27)</f>
        <v>100.82068092026115</v>
      </c>
      <c r="M5" s="133">
        <f>IF(SER_hh_tesh_in!M5=0,0,SER_hh_tesh_in!M5/SER_summary!M$27)</f>
        <v>85.889025911981264</v>
      </c>
      <c r="N5" s="133">
        <f>IF(SER_hh_tesh_in!N5=0,0,SER_hh_tesh_in!N5/SER_summary!N$27)</f>
        <v>84.624840476526757</v>
      </c>
      <c r="O5" s="133">
        <f>IF(SER_hh_tesh_in!O5=0,0,SER_hh_tesh_in!O5/SER_summary!O$27)</f>
        <v>76.362786435777281</v>
      </c>
      <c r="P5" s="133">
        <f>IF(SER_hh_tesh_in!P5=0,0,SER_hh_tesh_in!P5/SER_summary!P$27)</f>
        <v>65.680942758674803</v>
      </c>
      <c r="Q5" s="133">
        <f>IF(SER_hh_tesh_in!Q5=0,0,SER_hh_tesh_in!Q5/SER_summary!Q$27)</f>
        <v>61.925517991442334</v>
      </c>
      <c r="R5" s="133">
        <f>IF(SER_hh_tesh_in!R5=0,0,SER_hh_tesh_in!R5/SER_summary!R$27)</f>
        <v>63.535679949547657</v>
      </c>
      <c r="S5" s="133">
        <f>IF(SER_hh_tesh_in!S5=0,0,SER_hh_tesh_in!S5/SER_summary!S$27)</f>
        <v>60.963028972201109</v>
      </c>
      <c r="T5" s="133">
        <f>IF(SER_hh_tesh_in!T5=0,0,SER_hh_tesh_in!T5/SER_summary!T$27)</f>
        <v>55.402808235861158</v>
      </c>
      <c r="U5" s="133">
        <f>IF(SER_hh_tesh_in!U5=0,0,SER_hh_tesh_in!U5/SER_summary!U$27)</f>
        <v>43.884524979850568</v>
      </c>
      <c r="V5" s="133">
        <f>IF(SER_hh_tesh_in!V5=0,0,SER_hh_tesh_in!V5/SER_summary!V$27)</f>
        <v>42.872887820405012</v>
      </c>
      <c r="W5" s="133">
        <f>IF(SER_hh_tesh_in!W5=0,0,SER_hh_tesh_in!W5/SER_summary!W$27)</f>
        <v>46.002886377040674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84.737651777438131</v>
      </c>
      <c r="D7" s="133">
        <f>IF(SER_hh_tesh_in!D7=0,0,SER_hh_tesh_in!D7/SER_summary!D$27)</f>
        <v>91.357589430775533</v>
      </c>
      <c r="E7" s="133">
        <f>IF(SER_hh_tesh_in!E7=0,0,SER_hh_tesh_in!E7/SER_summary!E$27)</f>
        <v>91.76314390549885</v>
      </c>
      <c r="F7" s="133">
        <f>IF(SER_hh_tesh_in!F7=0,0,SER_hh_tesh_in!F7/SER_summary!F$27)</f>
        <v>85.306314420060161</v>
      </c>
      <c r="G7" s="133">
        <f>IF(SER_hh_tesh_in!G7=0,0,SER_hh_tesh_in!G7/SER_summary!G$27)</f>
        <v>66.52668837383473</v>
      </c>
      <c r="H7" s="133">
        <f>IF(SER_hh_tesh_in!H7=0,0,SER_hh_tesh_in!H7/SER_summary!H$27)</f>
        <v>104.72515816393924</v>
      </c>
      <c r="I7" s="133">
        <f>IF(SER_hh_tesh_in!I7=0,0,SER_hh_tesh_in!I7/SER_summary!I$27)</f>
        <v>91.903132676437522</v>
      </c>
      <c r="J7" s="133">
        <f>IF(SER_hh_tesh_in!J7=0,0,SER_hh_tesh_in!J7/SER_summary!J$27)</f>
        <v>89.0723641157701</v>
      </c>
      <c r="K7" s="133">
        <f>IF(SER_hh_tesh_in!K7=0,0,SER_hh_tesh_in!K7/SER_summary!K$27)</f>
        <v>83.149451483770022</v>
      </c>
      <c r="L7" s="133">
        <f>IF(SER_hh_tesh_in!L7=0,0,SER_hh_tesh_in!L7/SER_summary!L$27)</f>
        <v>104.2598788480948</v>
      </c>
      <c r="M7" s="133">
        <f>IF(SER_hh_tesh_in!M7=0,0,SER_hh_tesh_in!M7/SER_summary!M$27)</f>
        <v>98.629009307556572</v>
      </c>
      <c r="N7" s="133">
        <f>IF(SER_hh_tesh_in!N7=0,0,SER_hh_tesh_in!N7/SER_summary!N$27)</f>
        <v>0</v>
      </c>
      <c r="O7" s="133">
        <f>IF(SER_hh_tesh_in!O7=0,0,SER_hh_tesh_in!O7/SER_summary!O$27)</f>
        <v>0</v>
      </c>
      <c r="P7" s="133">
        <f>IF(SER_hh_tesh_in!P7=0,0,SER_hh_tesh_in!P7/SER_summary!P$27)</f>
        <v>0</v>
      </c>
      <c r="Q7" s="133">
        <f>IF(SER_hh_tesh_in!Q7=0,0,SER_hh_tesh_in!Q7/SER_summary!Q$27)</f>
        <v>62.370803210578394</v>
      </c>
      <c r="R7" s="133">
        <f>IF(SER_hh_tesh_in!R7=0,0,SER_hh_tesh_in!R7/SER_summary!R$27)</f>
        <v>60.184064853504083</v>
      </c>
      <c r="S7" s="133">
        <f>IF(SER_hh_tesh_in!S7=0,0,SER_hh_tesh_in!S7/SER_summary!S$27)</f>
        <v>58.054678249007118</v>
      </c>
      <c r="T7" s="133">
        <f>IF(SER_hh_tesh_in!T7=0,0,SER_hh_tesh_in!T7/SER_summary!T$27)</f>
        <v>56.570619927931581</v>
      </c>
      <c r="U7" s="133">
        <f>IF(SER_hh_tesh_in!U7=0,0,SER_hh_tesh_in!U7/SER_summary!U$27)</f>
        <v>46.928141773613667</v>
      </c>
      <c r="V7" s="133">
        <f>IF(SER_hh_tesh_in!V7=0,0,SER_hh_tesh_in!V7/SER_summary!V$27)</f>
        <v>45.103420546846827</v>
      </c>
      <c r="W7" s="133">
        <f>IF(SER_hh_tesh_in!W7=0,0,SER_hh_tesh_in!W7/SER_summary!W$27)</f>
        <v>43.869347106714592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81.557596619471866</v>
      </c>
      <c r="D8" s="133">
        <f>IF(SER_hh_tesh_in!D8=0,0,SER_hh_tesh_in!D8/SER_summary!D$27)</f>
        <v>86.413063510008129</v>
      </c>
      <c r="E8" s="133">
        <f>IF(SER_hh_tesh_in!E8=0,0,SER_hh_tesh_in!E8/SER_summary!E$27)</f>
        <v>92.119398016731097</v>
      </c>
      <c r="F8" s="133">
        <f>IF(SER_hh_tesh_in!F8=0,0,SER_hh_tesh_in!F8/SER_summary!F$27)</f>
        <v>91.82972646257447</v>
      </c>
      <c r="G8" s="133">
        <f>IF(SER_hh_tesh_in!G8=0,0,SER_hh_tesh_in!G8/SER_summary!G$27)</f>
        <v>91.283279348425765</v>
      </c>
      <c r="H8" s="133">
        <f>IF(SER_hh_tesh_in!H8=0,0,SER_hh_tesh_in!H8/SER_summary!H$27)</f>
        <v>90.018486719251413</v>
      </c>
      <c r="I8" s="133">
        <f>IF(SER_hh_tesh_in!I8=0,0,SER_hh_tesh_in!I8/SER_summary!I$27)</f>
        <v>88.26833811513373</v>
      </c>
      <c r="J8" s="133">
        <f>IF(SER_hh_tesh_in!J8=0,0,SER_hh_tesh_in!J8/SER_summary!J$27)</f>
        <v>91.828208163707799</v>
      </c>
      <c r="K8" s="133">
        <f>IF(SER_hh_tesh_in!K8=0,0,SER_hh_tesh_in!K8/SER_summary!K$27)</f>
        <v>96.356114931219011</v>
      </c>
      <c r="L8" s="133">
        <f>IF(SER_hh_tesh_in!L8=0,0,SER_hh_tesh_in!L8/SER_summary!L$27)</f>
        <v>95.393303050115179</v>
      </c>
      <c r="M8" s="133">
        <f>IF(SER_hh_tesh_in!M8=0,0,SER_hh_tesh_in!M8/SER_summary!M$27)</f>
        <v>81.457718942372551</v>
      </c>
      <c r="N8" s="133">
        <f>IF(SER_hh_tesh_in!N8=0,0,SER_hh_tesh_in!N8/SER_summary!N$27)</f>
        <v>80.020668364999551</v>
      </c>
      <c r="O8" s="133">
        <f>IF(SER_hh_tesh_in!O8=0,0,SER_hh_tesh_in!O8/SER_summary!O$27)</f>
        <v>66.848418159929821</v>
      </c>
      <c r="P8" s="133">
        <f>IF(SER_hh_tesh_in!P8=0,0,SER_hh_tesh_in!P8/SER_summary!P$27)</f>
        <v>73.804588160160975</v>
      </c>
      <c r="Q8" s="133">
        <f>IF(SER_hh_tesh_in!Q8=0,0,SER_hh_tesh_in!Q8/SER_summary!Q$27)</f>
        <v>68.313639821064072</v>
      </c>
      <c r="R8" s="133">
        <f>IF(SER_hh_tesh_in!R8=0,0,SER_hh_tesh_in!R8/SER_summary!R$27)</f>
        <v>66.451127317899264</v>
      </c>
      <c r="S8" s="133">
        <f>IF(SER_hh_tesh_in!S8=0,0,SER_hh_tesh_in!S8/SER_summary!S$27)</f>
        <v>57.974473860880344</v>
      </c>
      <c r="T8" s="133">
        <f>IF(SER_hh_tesh_in!T8=0,0,SER_hh_tesh_in!T8/SER_summary!T$27)</f>
        <v>52.589487568036489</v>
      </c>
      <c r="U8" s="133">
        <f>IF(SER_hh_tesh_in!U8=0,0,SER_hh_tesh_in!U8/SER_summary!U$27)</f>
        <v>48.579531824586553</v>
      </c>
      <c r="V8" s="133">
        <f>IF(SER_hh_tesh_in!V8=0,0,SER_hh_tesh_in!V8/SER_summary!V$27)</f>
        <v>45.8224832637883</v>
      </c>
      <c r="W8" s="133">
        <f>IF(SER_hh_tesh_in!W8=0,0,SER_hh_tesh_in!W8/SER_summary!W$27)</f>
        <v>46.267738506473272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81.601292966659486</v>
      </c>
      <c r="D9" s="133">
        <f>IF(SER_hh_tesh_in!D9=0,0,SER_hh_tesh_in!D9/SER_summary!D$27)</f>
        <v>91.560031990605168</v>
      </c>
      <c r="E9" s="133">
        <f>IF(SER_hh_tesh_in!E9=0,0,SER_hh_tesh_in!E9/SER_summary!E$27)</f>
        <v>92.643184902188679</v>
      </c>
      <c r="F9" s="133">
        <f>IF(SER_hh_tesh_in!F9=0,0,SER_hh_tesh_in!F9/SER_summary!F$27)</f>
        <v>95.028452662742581</v>
      </c>
      <c r="G9" s="133">
        <f>IF(SER_hh_tesh_in!G9=0,0,SER_hh_tesh_in!G9/SER_summary!G$27)</f>
        <v>93.752448213031286</v>
      </c>
      <c r="H9" s="133">
        <f>IF(SER_hh_tesh_in!H9=0,0,SER_hh_tesh_in!H9/SER_summary!H$27)</f>
        <v>86.933963932782859</v>
      </c>
      <c r="I9" s="133">
        <f>IF(SER_hh_tesh_in!I9=0,0,SER_hh_tesh_in!I9/SER_summary!I$27)</f>
        <v>85.402165224260841</v>
      </c>
      <c r="J9" s="133">
        <f>IF(SER_hh_tesh_in!J9=0,0,SER_hh_tesh_in!J9/SER_summary!J$27)</f>
        <v>87.965925333646268</v>
      </c>
      <c r="K9" s="133">
        <f>IF(SER_hh_tesh_in!K9=0,0,SER_hh_tesh_in!K9/SER_summary!K$27)</f>
        <v>87.919171471604727</v>
      </c>
      <c r="L9" s="133">
        <f>IF(SER_hh_tesh_in!L9=0,0,SER_hh_tesh_in!L9/SER_summary!L$27)</f>
        <v>99.672047631058348</v>
      </c>
      <c r="M9" s="133">
        <f>IF(SER_hh_tesh_in!M9=0,0,SER_hh_tesh_in!M9/SER_summary!M$27)</f>
        <v>85.396166808924605</v>
      </c>
      <c r="N9" s="133">
        <f>IF(SER_hh_tesh_in!N9=0,0,SER_hh_tesh_in!N9/SER_summary!N$27)</f>
        <v>83.828548556910789</v>
      </c>
      <c r="O9" s="133">
        <f>IF(SER_hh_tesh_in!O9=0,0,SER_hh_tesh_in!O9/SER_summary!O$27)</f>
        <v>76.772981442151845</v>
      </c>
      <c r="P9" s="133">
        <f>IF(SER_hh_tesh_in!P9=0,0,SER_hh_tesh_in!P9/SER_summary!P$27)</f>
        <v>61.717938100719103</v>
      </c>
      <c r="Q9" s="133">
        <f>IF(SER_hh_tesh_in!Q9=0,0,SER_hh_tesh_in!Q9/SER_summary!Q$27)</f>
        <v>63.833302635628336</v>
      </c>
      <c r="R9" s="133">
        <f>IF(SER_hh_tesh_in!R9=0,0,SER_hh_tesh_in!R9/SER_summary!R$27)</f>
        <v>73.636878375685527</v>
      </c>
      <c r="S9" s="133">
        <f>IF(SER_hh_tesh_in!S9=0,0,SER_hh_tesh_in!S9/SER_summary!S$27)</f>
        <v>54.477653314572485</v>
      </c>
      <c r="T9" s="133">
        <f>IF(SER_hh_tesh_in!T9=0,0,SER_hh_tesh_in!T9/SER_summary!T$27)</f>
        <v>50.497925052370888</v>
      </c>
      <c r="U9" s="133">
        <f>IF(SER_hh_tesh_in!U9=0,0,SER_hh_tesh_in!U9/SER_summary!U$27)</f>
        <v>49.652068901715467</v>
      </c>
      <c r="V9" s="133">
        <f>IF(SER_hh_tesh_in!V9=0,0,SER_hh_tesh_in!V9/SER_summary!V$27)</f>
        <v>40.936471939672316</v>
      </c>
      <c r="W9" s="133">
        <f>IF(SER_hh_tesh_in!W9=0,0,SER_hh_tesh_in!W9/SER_summary!W$27)</f>
        <v>48.644650402533024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72.036022888011161</v>
      </c>
      <c r="I10" s="133">
        <f>IF(SER_hh_tesh_in!I10=0,0,SER_hh_tesh_in!I10/SER_summary!I$27)</f>
        <v>86.698175904468982</v>
      </c>
      <c r="J10" s="133">
        <f>IF(SER_hh_tesh_in!J10=0,0,SER_hh_tesh_in!J10/SER_summary!J$27)</f>
        <v>76.653445414328985</v>
      </c>
      <c r="K10" s="133">
        <f>IF(SER_hh_tesh_in!K10=0,0,SER_hh_tesh_in!K10/SER_summary!K$27)</f>
        <v>97.006429919610341</v>
      </c>
      <c r="L10" s="133">
        <f>IF(SER_hh_tesh_in!L10=0,0,SER_hh_tesh_in!L10/SER_summary!L$27)</f>
        <v>101.83909978263522</v>
      </c>
      <c r="M10" s="133">
        <f>IF(SER_hh_tesh_in!M10=0,0,SER_hh_tesh_in!M10/SER_summary!M$27)</f>
        <v>91.667769257964252</v>
      </c>
      <c r="N10" s="133">
        <f>IF(SER_hh_tesh_in!N10=0,0,SER_hh_tesh_in!N10/SER_summary!N$27)</f>
        <v>76.987089933292069</v>
      </c>
      <c r="O10" s="133">
        <f>IF(SER_hh_tesh_in!O10=0,0,SER_hh_tesh_in!O10/SER_summary!O$27)</f>
        <v>80.843866191551086</v>
      </c>
      <c r="P10" s="133">
        <f>IF(SER_hh_tesh_in!P10=0,0,SER_hh_tesh_in!P10/SER_summary!P$27)</f>
        <v>64.638295464618935</v>
      </c>
      <c r="Q10" s="133">
        <f>IF(SER_hh_tesh_in!Q10=0,0,SER_hh_tesh_in!Q10/SER_summary!Q$27)</f>
        <v>62.621030255991222</v>
      </c>
      <c r="R10" s="133">
        <f>IF(SER_hh_tesh_in!R10=0,0,SER_hh_tesh_in!R10/SER_summary!R$27)</f>
        <v>65.827270210384</v>
      </c>
      <c r="S10" s="133">
        <f>IF(SER_hh_tesh_in!S10=0,0,SER_hh_tesh_in!S10/SER_summary!S$27)</f>
        <v>60.478829365296633</v>
      </c>
      <c r="T10" s="133">
        <f>IF(SER_hh_tesh_in!T10=0,0,SER_hh_tesh_in!T10/SER_summary!T$27)</f>
        <v>53.021768283902155</v>
      </c>
      <c r="U10" s="133">
        <f>IF(SER_hh_tesh_in!U10=0,0,SER_hh_tesh_in!U10/SER_summary!U$27)</f>
        <v>46.955489648188205</v>
      </c>
      <c r="V10" s="133">
        <f>IF(SER_hh_tesh_in!V10=0,0,SER_hh_tesh_in!V10/SER_summary!V$27)</f>
        <v>45.086419743622123</v>
      </c>
      <c r="W10" s="133">
        <f>IF(SER_hh_tesh_in!W10=0,0,SER_hh_tesh_in!W10/SER_summary!W$27)</f>
        <v>42.765576764570746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56.584769590340805</v>
      </c>
      <c r="D11" s="133">
        <f>IF(SER_hh_tesh_in!D11=0,0,SER_hh_tesh_in!D11/SER_summary!D$27)</f>
        <v>94.294958358530536</v>
      </c>
      <c r="E11" s="133">
        <f>IF(SER_hh_tesh_in!E11=0,0,SER_hh_tesh_in!E11/SER_summary!E$27)</f>
        <v>100.10868647085469</v>
      </c>
      <c r="F11" s="133">
        <f>IF(SER_hh_tesh_in!F11=0,0,SER_hh_tesh_in!F11/SER_summary!F$27)</f>
        <v>86.463518922835178</v>
      </c>
      <c r="G11" s="133">
        <f>IF(SER_hh_tesh_in!G11=0,0,SER_hh_tesh_in!G11/SER_summary!G$27)</f>
        <v>96.846428174585526</v>
      </c>
      <c r="H11" s="133">
        <f>IF(SER_hh_tesh_in!H11=0,0,SER_hh_tesh_in!H11/SER_summary!H$27)</f>
        <v>98.325210013369656</v>
      </c>
      <c r="I11" s="133">
        <f>IF(SER_hh_tesh_in!I11=0,0,SER_hh_tesh_in!I11/SER_summary!I$27)</f>
        <v>72.194323057755128</v>
      </c>
      <c r="J11" s="133">
        <f>IF(SER_hh_tesh_in!J11=0,0,SER_hh_tesh_in!J11/SER_summary!J$27)</f>
        <v>100.32295383853861</v>
      </c>
      <c r="K11" s="133">
        <f>IF(SER_hh_tesh_in!K11=0,0,SER_hh_tesh_in!K11/SER_summary!K$27)</f>
        <v>102.61374591442259</v>
      </c>
      <c r="L11" s="133">
        <f>IF(SER_hh_tesh_in!L11=0,0,SER_hh_tesh_in!L11/SER_summary!L$27)</f>
        <v>90.81559919645585</v>
      </c>
      <c r="M11" s="133">
        <f>IF(SER_hh_tesh_in!M11=0,0,SER_hh_tesh_in!M11/SER_summary!M$27)</f>
        <v>67.270061884831421</v>
      </c>
      <c r="N11" s="133">
        <f>IF(SER_hh_tesh_in!N11=0,0,SER_hh_tesh_in!N11/SER_summary!N$27)</f>
        <v>76.276302666073576</v>
      </c>
      <c r="O11" s="133">
        <f>IF(SER_hh_tesh_in!O11=0,0,SER_hh_tesh_in!O11/SER_summary!O$27)</f>
        <v>80.654214018742039</v>
      </c>
      <c r="P11" s="133">
        <f>IF(SER_hh_tesh_in!P11=0,0,SER_hh_tesh_in!P11/SER_summary!P$27)</f>
        <v>74.023111049034966</v>
      </c>
      <c r="Q11" s="133">
        <f>IF(SER_hh_tesh_in!Q11=0,0,SER_hh_tesh_in!Q11/SER_summary!Q$27)</f>
        <v>66.499742726073606</v>
      </c>
      <c r="R11" s="133">
        <f>IF(SER_hh_tesh_in!R11=0,0,SER_hh_tesh_in!R11/SER_summary!R$27)</f>
        <v>61.490014418159262</v>
      </c>
      <c r="S11" s="133">
        <f>IF(SER_hh_tesh_in!S11=0,0,SER_hh_tesh_in!S11/SER_summary!S$27)</f>
        <v>58.074854883534428</v>
      </c>
      <c r="T11" s="133">
        <f>IF(SER_hh_tesh_in!T11=0,0,SER_hh_tesh_in!T11/SER_summary!T$27)</f>
        <v>54.544095630116942</v>
      </c>
      <c r="U11" s="133">
        <f>IF(SER_hh_tesh_in!U11=0,0,SER_hh_tesh_in!U11/SER_summary!U$27)</f>
        <v>50.821473370883943</v>
      </c>
      <c r="V11" s="133">
        <f>IF(SER_hh_tesh_in!V11=0,0,SER_hh_tesh_in!V11/SER_summary!V$27)</f>
        <v>45.996318245852109</v>
      </c>
      <c r="W11" s="133">
        <f>IF(SER_hh_tesh_in!W11=0,0,SER_hh_tesh_in!W11/SER_summary!W$27)</f>
        <v>42.56180010683665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78.190044112091343</v>
      </c>
      <c r="D12" s="133">
        <f>IF(SER_hh_tesh_in!D12=0,0,SER_hh_tesh_in!D12/SER_summary!D$27)</f>
        <v>91.946640654544268</v>
      </c>
      <c r="E12" s="133">
        <f>IF(SER_hh_tesh_in!E12=0,0,SER_hh_tesh_in!E12/SER_summary!E$27)</f>
        <v>78.279991283664373</v>
      </c>
      <c r="F12" s="133">
        <f>IF(SER_hh_tesh_in!F12=0,0,SER_hh_tesh_in!F12/SER_summary!F$27)</f>
        <v>103.44128788706591</v>
      </c>
      <c r="G12" s="133">
        <f>IF(SER_hh_tesh_in!G12=0,0,SER_hh_tesh_in!G12/SER_summary!G$27)</f>
        <v>88.248904715677057</v>
      </c>
      <c r="H12" s="133">
        <f>IF(SER_hh_tesh_in!H12=0,0,SER_hh_tesh_in!H12/SER_summary!H$27)</f>
        <v>105.95226598799407</v>
      </c>
      <c r="I12" s="133">
        <f>IF(SER_hh_tesh_in!I12=0,0,SER_hh_tesh_in!I12/SER_summary!I$27)</f>
        <v>70.359693801925204</v>
      </c>
      <c r="J12" s="133">
        <f>IF(SER_hh_tesh_in!J12=0,0,SER_hh_tesh_in!J12/SER_summary!J$27)</f>
        <v>99.071936160686519</v>
      </c>
      <c r="K12" s="133">
        <f>IF(SER_hh_tesh_in!K12=0,0,SER_hh_tesh_in!K12/SER_summary!K$27)</f>
        <v>91.318084552591799</v>
      </c>
      <c r="L12" s="133">
        <f>IF(SER_hh_tesh_in!L12=0,0,SER_hh_tesh_in!L12/SER_summary!L$27)</f>
        <v>99.359082083631634</v>
      </c>
      <c r="M12" s="133">
        <f>IF(SER_hh_tesh_in!M12=0,0,SER_hh_tesh_in!M12/SER_summary!M$27)</f>
        <v>83.028332667692283</v>
      </c>
      <c r="N12" s="133">
        <f>IF(SER_hh_tesh_in!N12=0,0,SER_hh_tesh_in!N12/SER_summary!N$27)</f>
        <v>80.357634327867956</v>
      </c>
      <c r="O12" s="133">
        <f>IF(SER_hh_tesh_in!O12=0,0,SER_hh_tesh_in!O12/SER_summary!O$27)</f>
        <v>80.13244470379469</v>
      </c>
      <c r="P12" s="133">
        <f>IF(SER_hh_tesh_in!P12=0,0,SER_hh_tesh_in!P12/SER_summary!P$27)</f>
        <v>66.505845345686026</v>
      </c>
      <c r="Q12" s="133">
        <f>IF(SER_hh_tesh_in!Q12=0,0,SER_hh_tesh_in!Q12/SER_summary!Q$27)</f>
        <v>58.223191029685253</v>
      </c>
      <c r="R12" s="133">
        <f>IF(SER_hh_tesh_in!R12=0,0,SER_hh_tesh_in!R12/SER_summary!R$27)</f>
        <v>65.712304216290761</v>
      </c>
      <c r="S12" s="133">
        <f>IF(SER_hh_tesh_in!S12=0,0,SER_hh_tesh_in!S12/SER_summary!S$27)</f>
        <v>63.354001449078908</v>
      </c>
      <c r="T12" s="133">
        <f>IF(SER_hh_tesh_in!T12=0,0,SER_hh_tesh_in!T12/SER_summary!T$27)</f>
        <v>51.270615294397281</v>
      </c>
      <c r="U12" s="133">
        <f>IF(SER_hh_tesh_in!U12=0,0,SER_hh_tesh_in!U12/SER_summary!U$27)</f>
        <v>50.608293526305587</v>
      </c>
      <c r="V12" s="133">
        <f>IF(SER_hh_tesh_in!V12=0,0,SER_hh_tesh_in!V12/SER_summary!V$27)</f>
        <v>48.330802415407348</v>
      </c>
      <c r="W12" s="133">
        <f>IF(SER_hh_tesh_in!W12=0,0,SER_hh_tesh_in!W12/SER_summary!W$27)</f>
        <v>37.174903462432944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84.889292483818664</v>
      </c>
      <c r="D13" s="133">
        <f>IF(SER_hh_tesh_in!D13=0,0,SER_hh_tesh_in!D13/SER_summary!D$27)</f>
        <v>77.350956983613329</v>
      </c>
      <c r="E13" s="133">
        <f>IF(SER_hh_tesh_in!E13=0,0,SER_hh_tesh_in!E13/SER_summary!E$27)</f>
        <v>87.579262041613191</v>
      </c>
      <c r="F13" s="133">
        <f>IF(SER_hh_tesh_in!F13=0,0,SER_hh_tesh_in!F13/SER_summary!F$27)</f>
        <v>80.499306558500706</v>
      </c>
      <c r="G13" s="133">
        <f>IF(SER_hh_tesh_in!G13=0,0,SER_hh_tesh_in!G13/SER_summary!G$27)</f>
        <v>89.608847836667124</v>
      </c>
      <c r="H13" s="133">
        <f>IF(SER_hh_tesh_in!H13=0,0,SER_hh_tesh_in!H13/SER_summary!H$27)</f>
        <v>93.195873435976651</v>
      </c>
      <c r="I13" s="133">
        <f>IF(SER_hh_tesh_in!I13=0,0,SER_hh_tesh_in!I13/SER_summary!I$27)</f>
        <v>91.290629576597468</v>
      </c>
      <c r="J13" s="133">
        <f>IF(SER_hh_tesh_in!J13=0,0,SER_hh_tesh_in!J13/SER_summary!J$27)</f>
        <v>94.317616440884962</v>
      </c>
      <c r="K13" s="133">
        <f>IF(SER_hh_tesh_in!K13=0,0,SER_hh_tesh_in!K13/SER_summary!K$27)</f>
        <v>96.290616610302166</v>
      </c>
      <c r="L13" s="133">
        <f>IF(SER_hh_tesh_in!L13=0,0,SER_hh_tesh_in!L13/SER_summary!L$27)</f>
        <v>93.395147953181976</v>
      </c>
      <c r="M13" s="133">
        <f>IF(SER_hh_tesh_in!M13=0,0,SER_hh_tesh_in!M13/SER_summary!M$27)</f>
        <v>86.550526854900966</v>
      </c>
      <c r="N13" s="133">
        <f>IF(SER_hh_tesh_in!N13=0,0,SER_hh_tesh_in!N13/SER_summary!N$27)</f>
        <v>79.846179789352476</v>
      </c>
      <c r="O13" s="133">
        <f>IF(SER_hh_tesh_in!O13=0,0,SER_hh_tesh_in!O13/SER_summary!O$27)</f>
        <v>65.71200814655181</v>
      </c>
      <c r="P13" s="133">
        <f>IF(SER_hh_tesh_in!P13=0,0,SER_hh_tesh_in!P13/SER_summary!P$27)</f>
        <v>73.08681545198553</v>
      </c>
      <c r="Q13" s="133">
        <f>IF(SER_hh_tesh_in!Q13=0,0,SER_hh_tesh_in!Q13/SER_summary!Q$27)</f>
        <v>68.220402629130959</v>
      </c>
      <c r="R13" s="133">
        <f>IF(SER_hh_tesh_in!R13=0,0,SER_hh_tesh_in!R13/SER_summary!R$27)</f>
        <v>64.772212119247044</v>
      </c>
      <c r="S13" s="133">
        <f>IF(SER_hh_tesh_in!S13=0,0,SER_hh_tesh_in!S13/SER_summary!S$27)</f>
        <v>59.577494427381339</v>
      </c>
      <c r="T13" s="133">
        <f>IF(SER_hh_tesh_in!T13=0,0,SER_hh_tesh_in!T13/SER_summary!T$27)</f>
        <v>53.915102461865928</v>
      </c>
      <c r="U13" s="133">
        <f>IF(SER_hh_tesh_in!U13=0,0,SER_hh_tesh_in!U13/SER_summary!U$27)</f>
        <v>49.999545280595164</v>
      </c>
      <c r="V13" s="133">
        <f>IF(SER_hh_tesh_in!V13=0,0,SER_hh_tesh_in!V13/SER_summary!V$27)</f>
        <v>46.052588568296144</v>
      </c>
      <c r="W13" s="133">
        <f>IF(SER_hh_tesh_in!W13=0,0,SER_hh_tesh_in!W13/SER_summary!W$27)</f>
        <v>44.992522819010681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0</v>
      </c>
      <c r="D14" s="65">
        <f>IF(SER_hh_tesh_in!D14=0,0,SER_hh_tesh_in!D14/SER_summary!D$27)</f>
        <v>0</v>
      </c>
      <c r="E14" s="65">
        <f>IF(SER_hh_tesh_in!E14=0,0,SER_hh_tesh_in!E14/SER_summary!E$27)</f>
        <v>0</v>
      </c>
      <c r="F14" s="65">
        <f>IF(SER_hh_tesh_in!F14=0,0,SER_hh_tesh_in!F14/SER_summary!F$27)</f>
        <v>0</v>
      </c>
      <c r="G14" s="65">
        <f>IF(SER_hh_tesh_in!G14=0,0,SER_hh_tesh_in!G14/SER_summary!G$27)</f>
        <v>90.941451801677914</v>
      </c>
      <c r="H14" s="65">
        <f>IF(SER_hh_tesh_in!H14=0,0,SER_hh_tesh_in!H14/SER_summary!H$27)</f>
        <v>102.66060958526568</v>
      </c>
      <c r="I14" s="65">
        <f>IF(SER_hh_tesh_in!I14=0,0,SER_hh_tesh_in!I14/SER_summary!I$27)</f>
        <v>81.46861930679411</v>
      </c>
      <c r="J14" s="65">
        <f>IF(SER_hh_tesh_in!J14=0,0,SER_hh_tesh_in!J14/SER_summary!J$27)</f>
        <v>99.552996829926215</v>
      </c>
      <c r="K14" s="65">
        <f>IF(SER_hh_tesh_in!K14=0,0,SER_hh_tesh_in!K14/SER_summary!K$27)</f>
        <v>81.911600418388375</v>
      </c>
      <c r="L14" s="65">
        <f>IF(SER_hh_tesh_in!L14=0,0,SER_hh_tesh_in!L14/SER_summary!L$27)</f>
        <v>100.2415620675268</v>
      </c>
      <c r="M14" s="65">
        <f>IF(SER_hh_tesh_in!M14=0,0,SER_hh_tesh_in!M14/SER_summary!M$27)</f>
        <v>93.57667401065693</v>
      </c>
      <c r="N14" s="65">
        <f>IF(SER_hh_tesh_in!N14=0,0,SER_hh_tesh_in!N14/SER_summary!N$27)</f>
        <v>87.023688418650224</v>
      </c>
      <c r="O14" s="65">
        <f>IF(SER_hh_tesh_in!O14=0,0,SER_hh_tesh_in!O14/SER_summary!O$27)</f>
        <v>68.867185780269182</v>
      </c>
      <c r="P14" s="65">
        <f>IF(SER_hh_tesh_in!P14=0,0,SER_hh_tesh_in!P14/SER_summary!P$27)</f>
        <v>70.436365183409535</v>
      </c>
      <c r="Q14" s="65">
        <f>IF(SER_hh_tesh_in!Q14=0,0,SER_hh_tesh_in!Q14/SER_summary!Q$27)</f>
        <v>61.336327331218612</v>
      </c>
      <c r="R14" s="65">
        <f>IF(SER_hh_tesh_in!R14=0,0,SER_hh_tesh_in!R14/SER_summary!R$27)</f>
        <v>66.453397973537477</v>
      </c>
      <c r="S14" s="65">
        <f>IF(SER_hh_tesh_in!S14=0,0,SER_hh_tesh_in!S14/SER_summary!S$27)</f>
        <v>55.279713136551081</v>
      </c>
      <c r="T14" s="65">
        <f>IF(SER_hh_tesh_in!T14=0,0,SER_hh_tesh_in!T14/SER_summary!T$27)</f>
        <v>56.802580426625703</v>
      </c>
      <c r="U14" s="65">
        <f>IF(SER_hh_tesh_in!U14=0,0,SER_hh_tesh_in!U14/SER_summary!U$27)</f>
        <v>50.142678953728819</v>
      </c>
      <c r="V14" s="65">
        <f>IF(SER_hh_tesh_in!V14=0,0,SER_hh_tesh_in!V14/SER_summary!V$27)</f>
        <v>44.676134199596135</v>
      </c>
      <c r="W14" s="65">
        <f>IF(SER_hh_tesh_in!W14=0,0,SER_hh_tesh_in!W14/SER_summary!W$27)</f>
        <v>44.888461385289411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1.0587439404802423</v>
      </c>
      <c r="D15" s="135">
        <f>IF(SER_hh_tesh_in!D15=0,0,SER_hh_tesh_in!D15/SER_summary!D$27)</f>
        <v>1.2131804320837107</v>
      </c>
      <c r="E15" s="135">
        <f>IF(SER_hh_tesh_in!E15=0,0,SER_hh_tesh_in!E15/SER_summary!E$27)</f>
        <v>1.1493344966101426</v>
      </c>
      <c r="F15" s="135">
        <f>IF(SER_hh_tesh_in!F15=0,0,SER_hh_tesh_in!F15/SER_summary!F$27)</f>
        <v>0.91202524372242133</v>
      </c>
      <c r="G15" s="135">
        <f>IF(SER_hh_tesh_in!G15=0,0,SER_hh_tesh_in!G15/SER_summary!G$27)</f>
        <v>0.88297173149478136</v>
      </c>
      <c r="H15" s="135">
        <f>IF(SER_hh_tesh_in!H15=0,0,SER_hh_tesh_in!H15/SER_summary!H$27)</f>
        <v>1.0723723495563344</v>
      </c>
      <c r="I15" s="135">
        <f>IF(SER_hh_tesh_in!I15=0,0,SER_hh_tesh_in!I15/SER_summary!I$27)</f>
        <v>1.0964328969705721</v>
      </c>
      <c r="J15" s="135">
        <f>IF(SER_hh_tesh_in!J15=0,0,SER_hh_tesh_in!J15/SER_summary!J$27)</f>
        <v>1.1182860439220692</v>
      </c>
      <c r="K15" s="135">
        <f>IF(SER_hh_tesh_in!K15=0,0,SER_hh_tesh_in!K15/SER_summary!K$27)</f>
        <v>1.127157480756628</v>
      </c>
      <c r="L15" s="135">
        <f>IF(SER_hh_tesh_in!L15=0,0,SER_hh_tesh_in!L15/SER_summary!L$27)</f>
        <v>1.0788973852187873</v>
      </c>
      <c r="M15" s="135">
        <f>IF(SER_hh_tesh_in!M15=0,0,SER_hh_tesh_in!M15/SER_summary!M$27)</f>
        <v>1.0761682445411314</v>
      </c>
      <c r="N15" s="135">
        <f>IF(SER_hh_tesh_in!N15=0,0,SER_hh_tesh_in!N15/SER_summary!N$27)</f>
        <v>0.89965749129648631</v>
      </c>
      <c r="O15" s="135">
        <f>IF(SER_hh_tesh_in!O15=0,0,SER_hh_tesh_in!O15/SER_summary!O$27)</f>
        <v>0.70513466425673355</v>
      </c>
      <c r="P15" s="135">
        <f>IF(SER_hh_tesh_in!P15=0,0,SER_hh_tesh_in!P15/SER_summary!P$27)</f>
        <v>0.7112027388878962</v>
      </c>
      <c r="Q15" s="135">
        <f>IF(SER_hh_tesh_in!Q15=0,0,SER_hh_tesh_in!Q15/SER_summary!Q$27)</f>
        <v>0.6592800060104671</v>
      </c>
      <c r="R15" s="135">
        <f>IF(SER_hh_tesh_in!R15=0,0,SER_hh_tesh_in!R15/SER_summary!R$27)</f>
        <v>0.63162714709820111</v>
      </c>
      <c r="S15" s="135">
        <f>IF(SER_hh_tesh_in!S15=0,0,SER_hh_tesh_in!S15/SER_summary!S$27)</f>
        <v>0.45835947767497859</v>
      </c>
      <c r="T15" s="135">
        <f>IF(SER_hh_tesh_in!T15=0,0,SER_hh_tesh_in!T15/SER_summary!T$27)</f>
        <v>0.46768266492494576</v>
      </c>
      <c r="U15" s="135">
        <f>IF(SER_hh_tesh_in!U15=0,0,SER_hh_tesh_in!U15/SER_summary!U$27)</f>
        <v>0.45605804301564967</v>
      </c>
      <c r="V15" s="135">
        <f>IF(SER_hh_tesh_in!V15=0,0,SER_hh_tesh_in!V15/SER_summary!V$27)</f>
        <v>0.42921166902298291</v>
      </c>
      <c r="W15" s="135">
        <f>IF(SER_hh_tesh_in!W15=0,0,SER_hh_tesh_in!W15/SER_summary!W$27)</f>
        <v>0.48772351949390075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28.009581082088147</v>
      </c>
      <c r="D16" s="131">
        <f>IF(SER_hh_tesh_in!D16=0,0,SER_hh_tesh_in!D16/SER_summary!D$27)</f>
        <v>28.290238538372193</v>
      </c>
      <c r="E16" s="131">
        <f>IF(SER_hh_tesh_in!E16=0,0,SER_hh_tesh_in!E16/SER_summary!E$27)</f>
        <v>27.629158107819006</v>
      </c>
      <c r="F16" s="131">
        <f>IF(SER_hh_tesh_in!F16=0,0,SER_hh_tesh_in!F16/SER_summary!F$27)</f>
        <v>27.438242765111024</v>
      </c>
      <c r="G16" s="131">
        <f>IF(SER_hh_tesh_in!G16=0,0,SER_hh_tesh_in!G16/SER_summary!G$27)</f>
        <v>27.558046241004956</v>
      </c>
      <c r="H16" s="131">
        <f>IF(SER_hh_tesh_in!H16=0,0,SER_hh_tesh_in!H16/SER_summary!H$27)</f>
        <v>29.027560479050848</v>
      </c>
      <c r="I16" s="131">
        <f>IF(SER_hh_tesh_in!I16=0,0,SER_hh_tesh_in!I16/SER_summary!I$27)</f>
        <v>27.858230223711171</v>
      </c>
      <c r="J16" s="131">
        <f>IF(SER_hh_tesh_in!J16=0,0,SER_hh_tesh_in!J16/SER_summary!J$27)</f>
        <v>27.273846305008377</v>
      </c>
      <c r="K16" s="131">
        <f>IF(SER_hh_tesh_in!K16=0,0,SER_hh_tesh_in!K16/SER_summary!K$27)</f>
        <v>27.091963848412142</v>
      </c>
      <c r="L16" s="131">
        <f>IF(SER_hh_tesh_in!L16=0,0,SER_hh_tesh_in!L16/SER_summary!L$27)</f>
        <v>30.351509041856719</v>
      </c>
      <c r="M16" s="131">
        <f>IF(SER_hh_tesh_in!M16=0,0,SER_hh_tesh_in!M16/SER_summary!M$27)</f>
        <v>26.679497275865927</v>
      </c>
      <c r="N16" s="131">
        <f>IF(SER_hh_tesh_in!N16=0,0,SER_hh_tesh_in!N16/SER_summary!N$27)</f>
        <v>27.76219435748645</v>
      </c>
      <c r="O16" s="131">
        <f>IF(SER_hh_tesh_in!O16=0,0,SER_hh_tesh_in!O16/SER_summary!O$27)</f>
        <v>27.401604574841784</v>
      </c>
      <c r="P16" s="131">
        <f>IF(SER_hh_tesh_in!P16=0,0,SER_hh_tesh_in!P16/SER_summary!P$27)</f>
        <v>26.735586420234455</v>
      </c>
      <c r="Q16" s="131">
        <f>IF(SER_hh_tesh_in!Q16=0,0,SER_hh_tesh_in!Q16/SER_summary!Q$27)</f>
        <v>30.349925649602959</v>
      </c>
      <c r="R16" s="131">
        <f>IF(SER_hh_tesh_in!R16=0,0,SER_hh_tesh_in!R16/SER_summary!R$27)</f>
        <v>26.043302566164975</v>
      </c>
      <c r="S16" s="131">
        <f>IF(SER_hh_tesh_in!S16=0,0,SER_hh_tesh_in!S16/SER_summary!S$27)</f>
        <v>25.954384268010163</v>
      </c>
      <c r="T16" s="131">
        <f>IF(SER_hh_tesh_in!T16=0,0,SER_hh_tesh_in!T16/SER_summary!T$27)</f>
        <v>26.381858668005666</v>
      </c>
      <c r="U16" s="131">
        <f>IF(SER_hh_tesh_in!U16=0,0,SER_hh_tesh_in!U16/SER_summary!U$27)</f>
        <v>28.137403531159276</v>
      </c>
      <c r="V16" s="131">
        <f>IF(SER_hh_tesh_in!V16=0,0,SER_hh_tesh_in!V16/SER_summary!V$27)</f>
        <v>24.345517902493452</v>
      </c>
      <c r="W16" s="131">
        <f>IF(SER_hh_tesh_in!W16=0,0,SER_hh_tesh_in!W16/SER_summary!W$27)</f>
        <v>23.914118966701217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28.01479936073547</v>
      </c>
      <c r="D17" s="133">
        <f>IF(SER_hh_tesh_in!D17=0,0,SER_hh_tesh_in!D17/SER_summary!D$27)</f>
        <v>28.311988920105147</v>
      </c>
      <c r="E17" s="133">
        <f>IF(SER_hh_tesh_in!E17=0,0,SER_hh_tesh_in!E17/SER_summary!E$27)</f>
        <v>27.670834700621903</v>
      </c>
      <c r="F17" s="133">
        <f>IF(SER_hh_tesh_in!F17=0,0,SER_hh_tesh_in!F17/SER_summary!F$27)</f>
        <v>27.527512185976295</v>
      </c>
      <c r="G17" s="133">
        <f>IF(SER_hh_tesh_in!G17=0,0,SER_hh_tesh_in!G17/SER_summary!G$27)</f>
        <v>27.662522270531362</v>
      </c>
      <c r="H17" s="133">
        <f>IF(SER_hh_tesh_in!H17=0,0,SER_hh_tesh_in!H17/SER_summary!H$27)</f>
        <v>29.0911116298122</v>
      </c>
      <c r="I17" s="133">
        <f>IF(SER_hh_tesh_in!I17=0,0,SER_hh_tesh_in!I17/SER_summary!I$27)</f>
        <v>27.925344083947586</v>
      </c>
      <c r="J17" s="133">
        <f>IF(SER_hh_tesh_in!J17=0,0,SER_hh_tesh_in!J17/SER_summary!J$27)</f>
        <v>27.283186559515521</v>
      </c>
      <c r="K17" s="133">
        <f>IF(SER_hh_tesh_in!K17=0,0,SER_hh_tesh_in!K17/SER_summary!K$27)</f>
        <v>27.11789759101384</v>
      </c>
      <c r="L17" s="133">
        <f>IF(SER_hh_tesh_in!L17=0,0,SER_hh_tesh_in!L17/SER_summary!L$27)</f>
        <v>30.351462230161275</v>
      </c>
      <c r="M17" s="133">
        <f>IF(SER_hh_tesh_in!M17=0,0,SER_hh_tesh_in!M17/SER_summary!M$27)</f>
        <v>26.821280755716465</v>
      </c>
      <c r="N17" s="133">
        <f>IF(SER_hh_tesh_in!N17=0,0,SER_hh_tesh_in!N17/SER_summary!N$27)</f>
        <v>28.025211694257184</v>
      </c>
      <c r="O17" s="133">
        <f>IF(SER_hh_tesh_in!O17=0,0,SER_hh_tesh_in!O17/SER_summary!O$27)</f>
        <v>27.920515385697993</v>
      </c>
      <c r="P17" s="133">
        <f>IF(SER_hh_tesh_in!P17=0,0,SER_hh_tesh_in!P17/SER_summary!P$27)</f>
        <v>27.601143526689217</v>
      </c>
      <c r="Q17" s="133">
        <f>IF(SER_hh_tesh_in!Q17=0,0,SER_hh_tesh_in!Q17/SER_summary!Q$27)</f>
        <v>31.360904039953368</v>
      </c>
      <c r="R17" s="133">
        <f>IF(SER_hh_tesh_in!R17=0,0,SER_hh_tesh_in!R17/SER_summary!R$27)</f>
        <v>27.335651801688989</v>
      </c>
      <c r="S17" s="133">
        <f>IF(SER_hh_tesh_in!S17=0,0,SER_hh_tesh_in!S17/SER_summary!S$27)</f>
        <v>27.132682102277201</v>
      </c>
      <c r="T17" s="133">
        <f>IF(SER_hh_tesh_in!T17=0,0,SER_hh_tesh_in!T17/SER_summary!T$27)</f>
        <v>27.281743611210477</v>
      </c>
      <c r="U17" s="133">
        <f>IF(SER_hh_tesh_in!U17=0,0,SER_hh_tesh_in!U17/SER_summary!U$27)</f>
        <v>28.742079535380896</v>
      </c>
      <c r="V17" s="133">
        <f>IF(SER_hh_tesh_in!V17=0,0,SER_hh_tesh_in!V17/SER_summary!V$27)</f>
        <v>23.038526626077186</v>
      </c>
      <c r="W17" s="133">
        <f>IF(SER_hh_tesh_in!W17=0,0,SER_hh_tesh_in!W17/SER_summary!W$27)</f>
        <v>22.217673424641699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28.009570143800968</v>
      </c>
      <c r="D18" s="133">
        <f>IF(SER_hh_tesh_in!D18=0,0,SER_hh_tesh_in!D18/SER_summary!D$27)</f>
        <v>28.290188883491766</v>
      </c>
      <c r="E18" s="133">
        <f>IF(SER_hh_tesh_in!E18=0,0,SER_hh_tesh_in!E18/SER_summary!E$27)</f>
        <v>27.629066603071021</v>
      </c>
      <c r="F18" s="133">
        <f>IF(SER_hh_tesh_in!F18=0,0,SER_hh_tesh_in!F18/SER_summary!F$27)</f>
        <v>27.437995839090025</v>
      </c>
      <c r="G18" s="133">
        <f>IF(SER_hh_tesh_in!G18=0,0,SER_hh_tesh_in!G18/SER_summary!G$27)</f>
        <v>27.557768218334871</v>
      </c>
      <c r="H18" s="133">
        <f>IF(SER_hh_tesh_in!H18=0,0,SER_hh_tesh_in!H18/SER_summary!H$27)</f>
        <v>29.027425669263792</v>
      </c>
      <c r="I18" s="133">
        <f>IF(SER_hh_tesh_in!I18=0,0,SER_hh_tesh_in!I18/SER_summary!I$27)</f>
        <v>27.858045534644717</v>
      </c>
      <c r="J18" s="133">
        <f>IF(SER_hh_tesh_in!J18=0,0,SER_hh_tesh_in!J18/SER_summary!J$27)</f>
        <v>27.273825015405684</v>
      </c>
      <c r="K18" s="133">
        <f>IF(SER_hh_tesh_in!K18=0,0,SER_hh_tesh_in!K18/SER_summary!K$27)</f>
        <v>27.091892968177355</v>
      </c>
      <c r="L18" s="133">
        <f>IF(SER_hh_tesh_in!L18=0,0,SER_hh_tesh_in!L18/SER_summary!L$27)</f>
        <v>30.35150914434746</v>
      </c>
      <c r="M18" s="133">
        <f>IF(SER_hh_tesh_in!M18=0,0,SER_hh_tesh_in!M18/SER_summary!M$27)</f>
        <v>26.678921589037113</v>
      </c>
      <c r="N18" s="133">
        <f>IF(SER_hh_tesh_in!N18=0,0,SER_hh_tesh_in!N18/SER_summary!N$27)</f>
        <v>27.761076024164595</v>
      </c>
      <c r="O18" s="133">
        <f>IF(SER_hh_tesh_in!O18=0,0,SER_hh_tesh_in!O18/SER_summary!O$27)</f>
        <v>27.397603240794059</v>
      </c>
      <c r="P18" s="133">
        <f>IF(SER_hh_tesh_in!P18=0,0,SER_hh_tesh_in!P18/SER_summary!P$27)</f>
        <v>26.726282702270215</v>
      </c>
      <c r="Q18" s="133">
        <f>IF(SER_hh_tesh_in!Q18=0,0,SER_hh_tesh_in!Q18/SER_summary!Q$27)</f>
        <v>30.341103313153596</v>
      </c>
      <c r="R18" s="133">
        <f>IF(SER_hh_tesh_in!R18=0,0,SER_hh_tesh_in!R18/SER_summary!R$27)</f>
        <v>26.012715173854801</v>
      </c>
      <c r="S18" s="133">
        <f>IF(SER_hh_tesh_in!S18=0,0,SER_hh_tesh_in!S18/SER_summary!S$27)</f>
        <v>25.936786508064355</v>
      </c>
      <c r="T18" s="133">
        <f>IF(SER_hh_tesh_in!T18=0,0,SER_hh_tesh_in!T18/SER_summary!T$27)</f>
        <v>26.371574459390537</v>
      </c>
      <c r="U18" s="133">
        <f>IF(SER_hh_tesh_in!U18=0,0,SER_hh_tesh_in!U18/SER_summary!U$27)</f>
        <v>28.131192801015093</v>
      </c>
      <c r="V18" s="133">
        <f>IF(SER_hh_tesh_in!V18=0,0,SER_hh_tesh_in!V18/SER_summary!V$27)</f>
        <v>24.363486743419781</v>
      </c>
      <c r="W18" s="133">
        <f>IF(SER_hh_tesh_in!W18=0,0,SER_hh_tesh_in!W18/SER_summary!W$27)</f>
        <v>23.927714195248182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9.9927303233430003</v>
      </c>
      <c r="D19" s="131">
        <f>IF(SER_hh_tesh_in!D19=0,0,SER_hh_tesh_in!D19/SER_summary!D$27)</f>
        <v>11.35099415800199</v>
      </c>
      <c r="E19" s="131">
        <f>IF(SER_hh_tesh_in!E19=0,0,SER_hh_tesh_in!E19/SER_summary!E$27)</f>
        <v>12.81041595567468</v>
      </c>
      <c r="F19" s="131">
        <f>IF(SER_hh_tesh_in!F19=0,0,SER_hh_tesh_in!F19/SER_summary!F$27)</f>
        <v>13.469275114750888</v>
      </c>
      <c r="G19" s="131">
        <f>IF(SER_hh_tesh_in!G19=0,0,SER_hh_tesh_in!G19/SER_summary!G$27)</f>
        <v>13.686214396866694</v>
      </c>
      <c r="H19" s="131">
        <f>IF(SER_hh_tesh_in!H19=0,0,SER_hh_tesh_in!H19/SER_summary!H$27)</f>
        <v>14.213389938909346</v>
      </c>
      <c r="I19" s="131">
        <f>IF(SER_hh_tesh_in!I19=0,0,SER_hh_tesh_in!I19/SER_summary!I$27)</f>
        <v>15.21443620332715</v>
      </c>
      <c r="J19" s="131">
        <f>IF(SER_hh_tesh_in!J19=0,0,SER_hh_tesh_in!J19/SER_summary!J$27)</f>
        <v>15.595779943425262</v>
      </c>
      <c r="K19" s="131">
        <f>IF(SER_hh_tesh_in!K19=0,0,SER_hh_tesh_in!K19/SER_summary!K$27)</f>
        <v>15.651233928953312</v>
      </c>
      <c r="L19" s="131">
        <f>IF(SER_hh_tesh_in!L19=0,0,SER_hh_tesh_in!L19/SER_summary!L$27)</f>
        <v>15.76815914472879</v>
      </c>
      <c r="M19" s="131">
        <f>IF(SER_hh_tesh_in!M19=0,0,SER_hh_tesh_in!M19/SER_summary!M$27)</f>
        <v>15.678271267627279</v>
      </c>
      <c r="N19" s="131">
        <f>IF(SER_hh_tesh_in!N19=0,0,SER_hh_tesh_in!N19/SER_summary!N$27)</f>
        <v>15.92441491837924</v>
      </c>
      <c r="O19" s="131">
        <f>IF(SER_hh_tesh_in!O19=0,0,SER_hh_tesh_in!O19/SER_summary!O$27)</f>
        <v>16.332505197823554</v>
      </c>
      <c r="P19" s="131">
        <f>IF(SER_hh_tesh_in!P19=0,0,SER_hh_tesh_in!P19/SER_summary!P$27)</f>
        <v>16.083709219333088</v>
      </c>
      <c r="Q19" s="131">
        <f>IF(SER_hh_tesh_in!Q19=0,0,SER_hh_tesh_in!Q19/SER_summary!Q$27)</f>
        <v>16.217883296616709</v>
      </c>
      <c r="R19" s="131">
        <f>IF(SER_hh_tesh_in!R19=0,0,SER_hh_tesh_in!R19/SER_summary!R$27)</f>
        <v>16.298167250845069</v>
      </c>
      <c r="S19" s="131">
        <f>IF(SER_hh_tesh_in!S19=0,0,SER_hh_tesh_in!S19/SER_summary!S$27)</f>
        <v>16.135577337023754</v>
      </c>
      <c r="T19" s="131">
        <f>IF(SER_hh_tesh_in!T19=0,0,SER_hh_tesh_in!T19/SER_summary!T$27)</f>
        <v>15.81238506553132</v>
      </c>
      <c r="U19" s="131">
        <f>IF(SER_hh_tesh_in!U19=0,0,SER_hh_tesh_in!U19/SER_summary!U$27)</f>
        <v>15.696678013290819</v>
      </c>
      <c r="V19" s="131">
        <f>IF(SER_hh_tesh_in!V19=0,0,SER_hh_tesh_in!V19/SER_summary!V$27)</f>
        <v>14.340664531725986</v>
      </c>
      <c r="W19" s="131">
        <f>IF(SER_hh_tesh_in!W19=0,0,SER_hh_tesh_in!W19/SER_summary!W$27)</f>
        <v>15.289751450897075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10.652608486595483</v>
      </c>
      <c r="D20" s="133">
        <f>IF(SER_hh_tesh_in!D20=0,0,SER_hh_tesh_in!D20/SER_summary!D$27)</f>
        <v>12.824444393046802</v>
      </c>
      <c r="E20" s="133">
        <f>IF(SER_hh_tesh_in!E20=0,0,SER_hh_tesh_in!E20/SER_summary!E$27)</f>
        <v>12.894728512445919</v>
      </c>
      <c r="F20" s="133">
        <f>IF(SER_hh_tesh_in!F20=0,0,SER_hh_tesh_in!F20/SER_summary!F$27)</f>
        <v>13.567564234738709</v>
      </c>
      <c r="G20" s="133">
        <f>IF(SER_hh_tesh_in!G20=0,0,SER_hh_tesh_in!G20/SER_summary!G$27)</f>
        <v>13.796101998476953</v>
      </c>
      <c r="H20" s="133">
        <f>IF(SER_hh_tesh_in!H20=0,0,SER_hh_tesh_in!H20/SER_summary!H$27)</f>
        <v>12.833202890377288</v>
      </c>
      <c r="I20" s="133">
        <f>IF(SER_hh_tesh_in!I20=0,0,SER_hh_tesh_in!I20/SER_summary!I$27)</f>
        <v>15.385738540525693</v>
      </c>
      <c r="J20" s="133">
        <f>IF(SER_hh_tesh_in!J20=0,0,SER_hh_tesh_in!J20/SER_summary!J$27)</f>
        <v>15.467497527144424</v>
      </c>
      <c r="K20" s="133">
        <f>IF(SER_hh_tesh_in!K20=0,0,SER_hh_tesh_in!K20/SER_summary!K$27)</f>
        <v>15.420540065996081</v>
      </c>
      <c r="L20" s="133">
        <f>IF(SER_hh_tesh_in!L20=0,0,SER_hh_tesh_in!L20/SER_summary!L$27)</f>
        <v>15.91649383314008</v>
      </c>
      <c r="M20" s="133">
        <f>IF(SER_hh_tesh_in!M20=0,0,SER_hh_tesh_in!M20/SER_summary!M$27)</f>
        <v>15.760924970603504</v>
      </c>
      <c r="N20" s="133">
        <f>IF(SER_hh_tesh_in!N20=0,0,SER_hh_tesh_in!N20/SER_summary!N$27)</f>
        <v>15.85861679335224</v>
      </c>
      <c r="O20" s="133">
        <f>IF(SER_hh_tesh_in!O20=0,0,SER_hh_tesh_in!O20/SER_summary!O$27)</f>
        <v>16.183646327015069</v>
      </c>
      <c r="P20" s="133">
        <f>IF(SER_hh_tesh_in!P20=0,0,SER_hh_tesh_in!P20/SER_summary!P$27)</f>
        <v>16.047181685870878</v>
      </c>
      <c r="Q20" s="133">
        <f>IF(SER_hh_tesh_in!Q20=0,0,SER_hh_tesh_in!Q20/SER_summary!Q$27)</f>
        <v>16.118291186039293</v>
      </c>
      <c r="R20" s="133">
        <f>IF(SER_hh_tesh_in!R20=0,0,SER_hh_tesh_in!R20/SER_summary!R$27)</f>
        <v>18.236779631594782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11.833324638044566</v>
      </c>
      <c r="V20" s="133">
        <f>IF(SER_hh_tesh_in!V20=0,0,SER_hh_tesh_in!V20/SER_summary!V$27)</f>
        <v>13.879961779255035</v>
      </c>
      <c r="W20" s="133">
        <f>IF(SER_hh_tesh_in!W20=0,0,SER_hh_tesh_in!W20/SER_summary!W$27)</f>
        <v>18.90706817005848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10.491204992342338</v>
      </c>
      <c r="D21" s="133">
        <f>IF(SER_hh_tesh_in!D21=0,0,SER_hh_tesh_in!D21/SER_summary!D$27)</f>
        <v>10.081181569107638</v>
      </c>
      <c r="E21" s="133">
        <f>IF(SER_hh_tesh_in!E21=0,0,SER_hh_tesh_in!E21/SER_summary!E$27)</f>
        <v>15.313367284650862</v>
      </c>
      <c r="F21" s="133">
        <f>IF(SER_hh_tesh_in!F21=0,0,SER_hh_tesh_in!F21/SER_summary!F$27)</f>
        <v>13.461167936132497</v>
      </c>
      <c r="G21" s="133">
        <f>IF(SER_hh_tesh_in!G21=0,0,SER_hh_tesh_in!G21/SER_summary!G$27)</f>
        <v>11.821019790857633</v>
      </c>
      <c r="H21" s="133">
        <f>IF(SER_hh_tesh_in!H21=0,0,SER_hh_tesh_in!H21/SER_summary!H$27)</f>
        <v>14.828281678349184</v>
      </c>
      <c r="I21" s="133">
        <f>IF(SER_hh_tesh_in!I21=0,0,SER_hh_tesh_in!I21/SER_summary!I$27)</f>
        <v>0</v>
      </c>
      <c r="J21" s="133">
        <f>IF(SER_hh_tesh_in!J21=0,0,SER_hh_tesh_in!J21/SER_summary!J$27)</f>
        <v>14.03864704859698</v>
      </c>
      <c r="K21" s="133">
        <f>IF(SER_hh_tesh_in!K21=0,0,SER_hh_tesh_in!K21/SER_summary!K$27)</f>
        <v>14.830232387866099</v>
      </c>
      <c r="L21" s="133">
        <f>IF(SER_hh_tesh_in!L21=0,0,SER_hh_tesh_in!L21/SER_summary!L$27)</f>
        <v>14.63621170890883</v>
      </c>
      <c r="M21" s="133">
        <f>IF(SER_hh_tesh_in!M21=0,0,SER_hh_tesh_in!M21/SER_summary!M$27)</f>
        <v>14.846811091746117</v>
      </c>
      <c r="N21" s="133">
        <f>IF(SER_hh_tesh_in!N21=0,0,SER_hh_tesh_in!N21/SER_summary!N$27)</f>
        <v>19.682373290523319</v>
      </c>
      <c r="O21" s="133">
        <f>IF(SER_hh_tesh_in!O21=0,0,SER_hh_tesh_in!O21/SER_summary!O$27)</f>
        <v>13.548045184138447</v>
      </c>
      <c r="P21" s="133">
        <f>IF(SER_hh_tesh_in!P21=0,0,SER_hh_tesh_in!P21/SER_summary!P$27)</f>
        <v>16.093539654769646</v>
      </c>
      <c r="Q21" s="133">
        <f>IF(SER_hh_tesh_in!Q21=0,0,SER_hh_tesh_in!Q21/SER_summary!Q$27)</f>
        <v>15.544586286436077</v>
      </c>
      <c r="R21" s="133">
        <f>IF(SER_hh_tesh_in!R21=0,0,SER_hh_tesh_in!R21/SER_summary!R$27)</f>
        <v>16.334638708548546</v>
      </c>
      <c r="S21" s="133">
        <f>IF(SER_hh_tesh_in!S21=0,0,SER_hh_tesh_in!S21/SER_summary!S$27)</f>
        <v>16.457853882041487</v>
      </c>
      <c r="T21" s="133">
        <f>IF(SER_hh_tesh_in!T21=0,0,SER_hh_tesh_in!T21/SER_summary!T$27)</f>
        <v>15.396522017494659</v>
      </c>
      <c r="U21" s="133">
        <f>IF(SER_hh_tesh_in!U21=0,0,SER_hh_tesh_in!U21/SER_summary!U$27)</f>
        <v>17.691605262508936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9.5207497375947074</v>
      </c>
      <c r="D22" s="133">
        <f>IF(SER_hh_tesh_in!D22=0,0,SER_hh_tesh_in!D22/SER_summary!D$27)</f>
        <v>11.59180870661673</v>
      </c>
      <c r="E22" s="133">
        <f>IF(SER_hh_tesh_in!E22=0,0,SER_hh_tesh_in!E22/SER_summary!E$27)</f>
        <v>12.561104436674052</v>
      </c>
      <c r="F22" s="133">
        <f>IF(SER_hh_tesh_in!F22=0,0,SER_hh_tesh_in!F22/SER_summary!F$27)</f>
        <v>13.393962746297579</v>
      </c>
      <c r="G22" s="133">
        <f>IF(SER_hh_tesh_in!G22=0,0,SER_hh_tesh_in!G22/SER_summary!G$27)</f>
        <v>13.162724306342657</v>
      </c>
      <c r="H22" s="133">
        <f>IF(SER_hh_tesh_in!H22=0,0,SER_hh_tesh_in!H22/SER_summary!H$27)</f>
        <v>14.125041208909145</v>
      </c>
      <c r="I22" s="133">
        <f>IF(SER_hh_tesh_in!I22=0,0,SER_hh_tesh_in!I22/SER_summary!I$27)</f>
        <v>15.122600143492207</v>
      </c>
      <c r="J22" s="133">
        <f>IF(SER_hh_tesh_in!J22=0,0,SER_hh_tesh_in!J22/SER_summary!J$27)</f>
        <v>15.481438080518572</v>
      </c>
      <c r="K22" s="133">
        <f>IF(SER_hh_tesh_in!K22=0,0,SER_hh_tesh_in!K22/SER_summary!K$27)</f>
        <v>15.39838003230266</v>
      </c>
      <c r="L22" s="133">
        <f>IF(SER_hh_tesh_in!L22=0,0,SER_hh_tesh_in!L22/SER_summary!L$27)</f>
        <v>15.607117899618487</v>
      </c>
      <c r="M22" s="133">
        <f>IF(SER_hh_tesh_in!M22=0,0,SER_hh_tesh_in!M22/SER_summary!M$27)</f>
        <v>15.674255517874299</v>
      </c>
      <c r="N22" s="133">
        <f>IF(SER_hh_tesh_in!N22=0,0,SER_hh_tesh_in!N22/SER_summary!N$27)</f>
        <v>15.694127830457601</v>
      </c>
      <c r="O22" s="133">
        <f>IF(SER_hh_tesh_in!O22=0,0,SER_hh_tesh_in!O22/SER_summary!O$27)</f>
        <v>16.089478634634474</v>
      </c>
      <c r="P22" s="133">
        <f>IF(SER_hh_tesh_in!P22=0,0,SER_hh_tesh_in!P22/SER_summary!P$27)</f>
        <v>15.858457896213089</v>
      </c>
      <c r="Q22" s="133">
        <f>IF(SER_hh_tesh_in!Q22=0,0,SER_hh_tesh_in!Q22/SER_summary!Q$27)</f>
        <v>16.014907846306446</v>
      </c>
      <c r="R22" s="133">
        <f>IF(SER_hh_tesh_in!R22=0,0,SER_hh_tesh_in!R22/SER_summary!R$27)</f>
        <v>15.877369867310671</v>
      </c>
      <c r="S22" s="133">
        <f>IF(SER_hh_tesh_in!S22=0,0,SER_hh_tesh_in!S22/SER_summary!S$27)</f>
        <v>16.722599591258447</v>
      </c>
      <c r="T22" s="133">
        <f>IF(SER_hh_tesh_in!T22=0,0,SER_hh_tesh_in!T22/SER_summary!T$27)</f>
        <v>16.04706996492251</v>
      </c>
      <c r="U22" s="133">
        <f>IF(SER_hh_tesh_in!U22=0,0,SER_hh_tesh_in!U22/SER_summary!U$27)</f>
        <v>13.897413217226216</v>
      </c>
      <c r="V22" s="133">
        <f>IF(SER_hh_tesh_in!V22=0,0,SER_hh_tesh_in!V22/SER_summary!V$27)</f>
        <v>14.269042932212949</v>
      </c>
      <c r="W22" s="133">
        <f>IF(SER_hh_tesh_in!W22=0,0,SER_hh_tesh_in!W22/SER_summary!W$27)</f>
        <v>16.290178387352697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9.9223057286812022</v>
      </c>
      <c r="D23" s="133">
        <f>IF(SER_hh_tesh_in!D23=0,0,SER_hh_tesh_in!D23/SER_summary!D$27)</f>
        <v>11.114287417019375</v>
      </c>
      <c r="E23" s="133">
        <f>IF(SER_hh_tesh_in!E23=0,0,SER_hh_tesh_in!E23/SER_summary!E$27)</f>
        <v>13.377953103053176</v>
      </c>
      <c r="F23" s="133">
        <f>IF(SER_hh_tesh_in!F23=0,0,SER_hh_tesh_in!F23/SER_summary!F$27)</f>
        <v>13.405875593010455</v>
      </c>
      <c r="G23" s="133">
        <f>IF(SER_hh_tesh_in!G23=0,0,SER_hh_tesh_in!G23/SER_summary!G$27)</f>
        <v>13.71312734451312</v>
      </c>
      <c r="H23" s="133">
        <f>IF(SER_hh_tesh_in!H23=0,0,SER_hh_tesh_in!H23/SER_summary!H$27)</f>
        <v>14.15675763187326</v>
      </c>
      <c r="I23" s="133">
        <f>IF(SER_hh_tesh_in!I23=0,0,SER_hh_tesh_in!I23/SER_summary!I$27)</f>
        <v>14.877482576205233</v>
      </c>
      <c r="J23" s="133">
        <f>IF(SER_hh_tesh_in!J23=0,0,SER_hh_tesh_in!J23/SER_summary!J$27)</f>
        <v>15.468063798445327</v>
      </c>
      <c r="K23" s="133">
        <f>IF(SER_hh_tesh_in!K23=0,0,SER_hh_tesh_in!K23/SER_summary!K$27)</f>
        <v>15.191847505634801</v>
      </c>
      <c r="L23" s="133">
        <f>IF(SER_hh_tesh_in!L23=0,0,SER_hh_tesh_in!L23/SER_summary!L$27)</f>
        <v>15.640386348020503</v>
      </c>
      <c r="M23" s="133">
        <f>IF(SER_hh_tesh_in!M23=0,0,SER_hh_tesh_in!M23/SER_summary!M$27)</f>
        <v>15.789967416014834</v>
      </c>
      <c r="N23" s="133">
        <f>IF(SER_hh_tesh_in!N23=0,0,SER_hh_tesh_in!N23/SER_summary!N$27)</f>
        <v>15.607683418458061</v>
      </c>
      <c r="O23" s="133">
        <f>IF(SER_hh_tesh_in!O23=0,0,SER_hh_tesh_in!O23/SER_summary!O$27)</f>
        <v>15.997709146166851</v>
      </c>
      <c r="P23" s="133">
        <f>IF(SER_hh_tesh_in!P23=0,0,SER_hh_tesh_in!P23/SER_summary!P$27)</f>
        <v>16.082031686854958</v>
      </c>
      <c r="Q23" s="133">
        <f>IF(SER_hh_tesh_in!Q23=0,0,SER_hh_tesh_in!Q23/SER_summary!Q$27)</f>
        <v>16.404825410577541</v>
      </c>
      <c r="R23" s="133">
        <f>IF(SER_hh_tesh_in!R23=0,0,SER_hh_tesh_in!R23/SER_summary!R$27)</f>
        <v>17.328641351791209</v>
      </c>
      <c r="S23" s="133">
        <f>IF(SER_hh_tesh_in!S23=0,0,SER_hh_tesh_in!S23/SER_summary!S$27)</f>
        <v>0</v>
      </c>
      <c r="T23" s="133">
        <f>IF(SER_hh_tesh_in!T23=0,0,SER_hh_tesh_in!T23/SER_summary!T$27)</f>
        <v>0</v>
      </c>
      <c r="U23" s="133">
        <f>IF(SER_hh_tesh_in!U23=0,0,SER_hh_tesh_in!U23/SER_summary!U$27)</f>
        <v>14.567319717461229</v>
      </c>
      <c r="V23" s="133">
        <f>IF(SER_hh_tesh_in!V23=0,0,SER_hh_tesh_in!V23/SER_summary!V$27)</f>
        <v>13.032961764187631</v>
      </c>
      <c r="W23" s="133">
        <f>IF(SER_hh_tesh_in!W23=0,0,SER_hh_tesh_in!W23/SER_summary!W$27)</f>
        <v>17.839526838898564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9.5107894272465625</v>
      </c>
      <c r="D24" s="133">
        <f>IF(SER_hh_tesh_in!D24=0,0,SER_hh_tesh_in!D24/SER_summary!D$27)</f>
        <v>11.838960737730391</v>
      </c>
      <c r="E24" s="133">
        <f>IF(SER_hh_tesh_in!E24=0,0,SER_hh_tesh_in!E24/SER_summary!E$27)</f>
        <v>12.444891292484584</v>
      </c>
      <c r="F24" s="133">
        <f>IF(SER_hh_tesh_in!F24=0,0,SER_hh_tesh_in!F24/SER_summary!F$27)</f>
        <v>12.873272569628222</v>
      </c>
      <c r="G24" s="133">
        <f>IF(SER_hh_tesh_in!G24=0,0,SER_hh_tesh_in!G24/SER_summary!G$27)</f>
        <v>12.733257042331761</v>
      </c>
      <c r="H24" s="133">
        <f>IF(SER_hh_tesh_in!H24=0,0,SER_hh_tesh_in!H24/SER_summary!H$27)</f>
        <v>13.818398271389684</v>
      </c>
      <c r="I24" s="133">
        <f>IF(SER_hh_tesh_in!I24=0,0,SER_hh_tesh_in!I24/SER_summary!I$27)</f>
        <v>15.46840257713054</v>
      </c>
      <c r="J24" s="133">
        <f>IF(SER_hh_tesh_in!J24=0,0,SER_hh_tesh_in!J24/SER_summary!J$27)</f>
        <v>15.872608072484303</v>
      </c>
      <c r="K24" s="133">
        <f>IF(SER_hh_tesh_in!K24=0,0,SER_hh_tesh_in!K24/SER_summary!K$27)</f>
        <v>15.714985936390631</v>
      </c>
      <c r="L24" s="133">
        <f>IF(SER_hh_tesh_in!L24=0,0,SER_hh_tesh_in!L24/SER_summary!L$27)</f>
        <v>15.214881587115793</v>
      </c>
      <c r="M24" s="133">
        <f>IF(SER_hh_tesh_in!M24=0,0,SER_hh_tesh_in!M24/SER_summary!M$27)</f>
        <v>15.588579527561819</v>
      </c>
      <c r="N24" s="133">
        <f>IF(SER_hh_tesh_in!N24=0,0,SER_hh_tesh_in!N24/SER_summary!N$27)</f>
        <v>15.83644777701592</v>
      </c>
      <c r="O24" s="133">
        <f>IF(SER_hh_tesh_in!O24=0,0,SER_hh_tesh_in!O24/SER_summary!O$27)</f>
        <v>15.971092635941398</v>
      </c>
      <c r="P24" s="133">
        <f>IF(SER_hh_tesh_in!P24=0,0,SER_hh_tesh_in!P24/SER_summary!P$27)</f>
        <v>15.489090605107162</v>
      </c>
      <c r="Q24" s="133">
        <f>IF(SER_hh_tesh_in!Q24=0,0,SER_hh_tesh_in!Q24/SER_summary!Q$27)</f>
        <v>15.701385304636361</v>
      </c>
      <c r="R24" s="133">
        <f>IF(SER_hh_tesh_in!R24=0,0,SER_hh_tesh_in!R24/SER_summary!R$27)</f>
        <v>16.892310037710526</v>
      </c>
      <c r="S24" s="133">
        <f>IF(SER_hh_tesh_in!S24=0,0,SER_hh_tesh_in!S24/SER_summary!S$27)</f>
        <v>16.885751523145363</v>
      </c>
      <c r="T24" s="133">
        <f>IF(SER_hh_tesh_in!T24=0,0,SER_hh_tesh_in!T24/SER_summary!T$27)</f>
        <v>14.621227191576168</v>
      </c>
      <c r="U24" s="133">
        <f>IF(SER_hh_tesh_in!U24=0,0,SER_hh_tesh_in!U24/SER_summary!U$27)</f>
        <v>13.970237534764733</v>
      </c>
      <c r="V24" s="133">
        <f>IF(SER_hh_tesh_in!V24=0,0,SER_hh_tesh_in!V24/SER_summary!V$27)</f>
        <v>14.672179428396467</v>
      </c>
      <c r="W24" s="133">
        <f>IF(SER_hh_tesh_in!W24=0,0,SER_hh_tesh_in!W24/SER_summary!W$27)</f>
        <v>15.824747289308915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9.760782214943486</v>
      </c>
      <c r="D25" s="133">
        <f>IF(SER_hh_tesh_in!D25=0,0,SER_hh_tesh_in!D25/SER_summary!D$27)</f>
        <v>11.383073589153119</v>
      </c>
      <c r="E25" s="133">
        <f>IF(SER_hh_tesh_in!E25=0,0,SER_hh_tesh_in!E25/SER_summary!E$27)</f>
        <v>11.911961606174298</v>
      </c>
      <c r="F25" s="133">
        <f>IF(SER_hh_tesh_in!F25=0,0,SER_hh_tesh_in!F25/SER_summary!F$27)</f>
        <v>13.882576412774505</v>
      </c>
      <c r="G25" s="133">
        <f>IF(SER_hh_tesh_in!G25=0,0,SER_hh_tesh_in!G25/SER_summary!G$27)</f>
        <v>13.889527171543413</v>
      </c>
      <c r="H25" s="133">
        <f>IF(SER_hh_tesh_in!H25=0,0,SER_hh_tesh_in!H25/SER_summary!H$27)</f>
        <v>14.355769132264792</v>
      </c>
      <c r="I25" s="133">
        <f>IF(SER_hh_tesh_in!I25=0,0,SER_hh_tesh_in!I25/SER_summary!I$27)</f>
        <v>15.025761380833613</v>
      </c>
      <c r="J25" s="133">
        <f>IF(SER_hh_tesh_in!J25=0,0,SER_hh_tesh_in!J25/SER_summary!J$27)</f>
        <v>15.435346919324935</v>
      </c>
      <c r="K25" s="133">
        <f>IF(SER_hh_tesh_in!K25=0,0,SER_hh_tesh_in!K25/SER_summary!K$27)</f>
        <v>15.632804016783945</v>
      </c>
      <c r="L25" s="133">
        <f>IF(SER_hh_tesh_in!L25=0,0,SER_hh_tesh_in!L25/SER_summary!L$27)</f>
        <v>15.114477198308302</v>
      </c>
      <c r="M25" s="133">
        <f>IF(SER_hh_tesh_in!M25=0,0,SER_hh_tesh_in!M25/SER_summary!M$27)</f>
        <v>15.456557184778665</v>
      </c>
      <c r="N25" s="133">
        <f>IF(SER_hh_tesh_in!N25=0,0,SER_hh_tesh_in!N25/SER_summary!N$27)</f>
        <v>15.655808875349239</v>
      </c>
      <c r="O25" s="133">
        <f>IF(SER_hh_tesh_in!O25=0,0,SER_hh_tesh_in!O25/SER_summary!O$27)</f>
        <v>16.288927058342438</v>
      </c>
      <c r="P25" s="133">
        <f>IF(SER_hh_tesh_in!P25=0,0,SER_hh_tesh_in!P25/SER_summary!P$27)</f>
        <v>15.854566639501629</v>
      </c>
      <c r="Q25" s="133">
        <f>IF(SER_hh_tesh_in!Q25=0,0,SER_hh_tesh_in!Q25/SER_summary!Q$27)</f>
        <v>15.470534596005129</v>
      </c>
      <c r="R25" s="133">
        <f>IF(SER_hh_tesh_in!R25=0,0,SER_hh_tesh_in!R25/SER_summary!R$27)</f>
        <v>15.849133929551298</v>
      </c>
      <c r="S25" s="133">
        <f>IF(SER_hh_tesh_in!S25=0,0,SER_hh_tesh_in!S25/SER_summary!S$27)</f>
        <v>18.136810764101</v>
      </c>
      <c r="T25" s="133">
        <f>IF(SER_hh_tesh_in!T25=0,0,SER_hh_tesh_in!T25/SER_summary!T$27)</f>
        <v>14.948132126972753</v>
      </c>
      <c r="U25" s="133">
        <f>IF(SER_hh_tesh_in!U25=0,0,SER_hh_tesh_in!U25/SER_summary!U$27)</f>
        <v>15.12530376097167</v>
      </c>
      <c r="V25" s="133">
        <f>IF(SER_hh_tesh_in!V25=0,0,SER_hh_tesh_in!V25/SER_summary!V$27)</f>
        <v>15.451751727706597</v>
      </c>
      <c r="W25" s="133">
        <f>IF(SER_hh_tesh_in!W25=0,0,SER_hh_tesh_in!W25/SER_summary!W$27)</f>
        <v>13.046018584665662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9.3512327858282678</v>
      </c>
      <c r="D26" s="65">
        <f>IF(SER_hh_tesh_in!D26=0,0,SER_hh_tesh_in!D26/SER_summary!D$27)</f>
        <v>11.068197099099095</v>
      </c>
      <c r="E26" s="65">
        <f>IF(SER_hh_tesh_in!E26=0,0,SER_hh_tesh_in!E26/SER_summary!E$27)</f>
        <v>11.49499343274092</v>
      </c>
      <c r="F26" s="65">
        <f>IF(SER_hh_tesh_in!F26=0,0,SER_hh_tesh_in!F26/SER_summary!F$27)</f>
        <v>12.943500577185594</v>
      </c>
      <c r="G26" s="65">
        <f>IF(SER_hh_tesh_in!G26=0,0,SER_hh_tesh_in!G26/SER_summary!G$27)</f>
        <v>13.49607848422735</v>
      </c>
      <c r="H26" s="65">
        <f>IF(SER_hh_tesh_in!H26=0,0,SER_hh_tesh_in!H26/SER_summary!H$27)</f>
        <v>14.039514441237225</v>
      </c>
      <c r="I26" s="65">
        <f>IF(SER_hh_tesh_in!I26=0,0,SER_hh_tesh_in!I26/SER_summary!I$27)</f>
        <v>15.218365316764141</v>
      </c>
      <c r="J26" s="65">
        <f>IF(SER_hh_tesh_in!J26=0,0,SER_hh_tesh_in!J26/SER_summary!J$27)</f>
        <v>14.40229190951511</v>
      </c>
      <c r="K26" s="65">
        <f>IF(SER_hh_tesh_in!K26=0,0,SER_hh_tesh_in!K26/SER_summary!K$27)</f>
        <v>14.682579109984271</v>
      </c>
      <c r="L26" s="65">
        <f>IF(SER_hh_tesh_in!L26=0,0,SER_hh_tesh_in!L26/SER_summary!L$27)</f>
        <v>8.9113212087705538</v>
      </c>
      <c r="M26" s="65">
        <f>IF(SER_hh_tesh_in!M26=0,0,SER_hh_tesh_in!M26/SER_summary!M$27)</f>
        <v>14.393609213679859</v>
      </c>
      <c r="N26" s="65">
        <f>IF(SER_hh_tesh_in!N26=0,0,SER_hh_tesh_in!N26/SER_summary!N$27)</f>
        <v>14.067647757203721</v>
      </c>
      <c r="O26" s="65">
        <f>IF(SER_hh_tesh_in!O26=0,0,SER_hh_tesh_in!O26/SER_summary!O$27)</f>
        <v>14.712227367686598</v>
      </c>
      <c r="P26" s="65">
        <f>IF(SER_hh_tesh_in!P26=0,0,SER_hh_tesh_in!P26/SER_summary!P$27)</f>
        <v>15.170952723513814</v>
      </c>
      <c r="Q26" s="65">
        <f>IF(SER_hh_tesh_in!Q26=0,0,SER_hh_tesh_in!Q26/SER_summary!Q$27)</f>
        <v>13.780662518338239</v>
      </c>
      <c r="R26" s="65">
        <f>IF(SER_hh_tesh_in!R26=0,0,SER_hh_tesh_in!R26/SER_summary!R$27)</f>
        <v>15.312251902937886</v>
      </c>
      <c r="S26" s="65">
        <f>IF(SER_hh_tesh_in!S26=0,0,SER_hh_tesh_in!S26/SER_summary!S$27)</f>
        <v>15.063505856558585</v>
      </c>
      <c r="T26" s="65">
        <f>IF(SER_hh_tesh_in!T26=0,0,SER_hh_tesh_in!T26/SER_summary!T$27)</f>
        <v>14.157662266325621</v>
      </c>
      <c r="U26" s="65">
        <f>IF(SER_hh_tesh_in!U26=0,0,SER_hh_tesh_in!U26/SER_summary!U$27)</f>
        <v>15.87581878716305</v>
      </c>
      <c r="V26" s="65">
        <f>IF(SER_hh_tesh_in!V26=0,0,SER_hh_tesh_in!V26/SER_summary!V$27)</f>
        <v>13.921936886174024</v>
      </c>
      <c r="W26" s="65">
        <f>IF(SER_hh_tesh_in!W26=0,0,SER_hh_tesh_in!W26/SER_summary!W$27)</f>
        <v>15.176553974677995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0.11765714432008766</v>
      </c>
      <c r="E27" s="146">
        <f>IF(SER_hh_tesh_in!E27=0,0,SER_hh_tesh_in!E27/SER_summary!E$27)</f>
        <v>0</v>
      </c>
      <c r="F27" s="146">
        <f>IF(SER_hh_tesh_in!F27=0,0,SER_hh_tesh_in!F27/SER_summary!F$27)</f>
        <v>8.2806679747134737E-2</v>
      </c>
      <c r="G27" s="146">
        <f>IF(SER_hh_tesh_in!G27=0,0,SER_hh_tesh_in!G27/SER_summary!G$27)</f>
        <v>6.557455631927514E-2</v>
      </c>
      <c r="H27" s="146">
        <f>IF(SER_hh_tesh_in!H27=0,0,SER_hh_tesh_in!H27/SER_summary!H$27)</f>
        <v>9.6481776094024224E-2</v>
      </c>
      <c r="I27" s="146">
        <f>IF(SER_hh_tesh_in!I27=0,0,SER_hh_tesh_in!I27/SER_summary!I$27)</f>
        <v>6.1714785325595836E-2</v>
      </c>
      <c r="J27" s="146">
        <f>IF(SER_hh_tesh_in!J27=0,0,SER_hh_tesh_in!J27/SER_summary!J$27)</f>
        <v>0.74279148337651169</v>
      </c>
      <c r="K27" s="146">
        <f>IF(SER_hh_tesh_in!K27=0,0,SER_hh_tesh_in!K27/SER_summary!K$27)</f>
        <v>0.64011109570368008</v>
      </c>
      <c r="L27" s="146">
        <f>IF(SER_hh_tesh_in!L27=0,0,SER_hh_tesh_in!L27/SER_summary!L$27)</f>
        <v>2.2874769379254745</v>
      </c>
      <c r="M27" s="146">
        <f>IF(SER_hh_tesh_in!M27=0,0,SER_hh_tesh_in!M27/SER_summary!M$27)</f>
        <v>0.75102021639636352</v>
      </c>
      <c r="N27" s="146">
        <f>IF(SER_hh_tesh_in!N27=0,0,SER_hh_tesh_in!N27/SER_summary!N$27)</f>
        <v>0.72025850509763556</v>
      </c>
      <c r="O27" s="146">
        <f>IF(SER_hh_tesh_in!O27=0,0,SER_hh_tesh_in!O27/SER_summary!O$27)</f>
        <v>1.040674822885238</v>
      </c>
      <c r="P27" s="146">
        <f>IF(SER_hh_tesh_in!P27=0,0,SER_hh_tesh_in!P27/SER_summary!P$27)</f>
        <v>0.5757840434921645</v>
      </c>
      <c r="Q27" s="146">
        <f>IF(SER_hh_tesh_in!Q27=0,0,SER_hh_tesh_in!Q27/SER_summary!Q$27)</f>
        <v>1.3847278377411527</v>
      </c>
      <c r="R27" s="146">
        <f>IF(SER_hh_tesh_in!R27=0,0,SER_hh_tesh_in!R27/SER_summary!R$27)</f>
        <v>0.47621349998321599</v>
      </c>
      <c r="S27" s="146">
        <f>IF(SER_hh_tesh_in!S27=0,0,SER_hh_tesh_in!S27/SER_summary!S$27)</f>
        <v>0.21474855179015379</v>
      </c>
      <c r="T27" s="146">
        <f>IF(SER_hh_tesh_in!T27=0,0,SER_hh_tesh_in!T27/SER_summary!T$27)</f>
        <v>1.3998113833101544</v>
      </c>
      <c r="U27" s="146">
        <f>IF(SER_hh_tesh_in!U27=0,0,SER_hh_tesh_in!U27/SER_summary!U$27)</f>
        <v>0</v>
      </c>
      <c r="V27" s="146">
        <f>IF(SER_hh_tesh_in!V27=0,0,SER_hh_tesh_in!V27/SER_summary!V$27)</f>
        <v>0.20256198361033992</v>
      </c>
      <c r="W27" s="146">
        <f>IF(SER_hh_tesh_in!W27=0,0,SER_hh_tesh_in!W27/SER_summary!W$27)</f>
        <v>1.0135547319179406E-5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5.9117935757342597</v>
      </c>
      <c r="E28" s="147">
        <f>IF(SER_hh_tesh_in!E28=0,0,SER_hh_tesh_in!E28/SER_summary!E$27)</f>
        <v>0</v>
      </c>
      <c r="F28" s="147">
        <f>IF(SER_hh_tesh_in!F28=0,0,SER_hh_tesh_in!F28/SER_summary!F$27)</f>
        <v>6.7827041967432855</v>
      </c>
      <c r="G28" s="147">
        <f>IF(SER_hh_tesh_in!G28=0,0,SER_hh_tesh_in!G28/SER_summary!G$27)</f>
        <v>6.8557175792697116</v>
      </c>
      <c r="H28" s="147">
        <f>IF(SER_hh_tesh_in!H28=0,0,SER_hh_tesh_in!H28/SER_summary!H$27)</f>
        <v>7.2303059810421484</v>
      </c>
      <c r="I28" s="147">
        <f>IF(SER_hh_tesh_in!I28=0,0,SER_hh_tesh_in!I28/SER_summary!I$27)</f>
        <v>7.6930125997255185</v>
      </c>
      <c r="J28" s="147">
        <f>IF(SER_hh_tesh_in!J28=0,0,SER_hh_tesh_in!J28/SER_summary!J$27)</f>
        <v>7.9449032031413811</v>
      </c>
      <c r="K28" s="147">
        <f>IF(SER_hh_tesh_in!K28=0,0,SER_hh_tesh_in!K28/SER_summary!K$27)</f>
        <v>8.0640724658967837</v>
      </c>
      <c r="L28" s="147">
        <f>IF(SER_hh_tesh_in!L28=0,0,SER_hh_tesh_in!L28/SER_summary!L$27)</f>
        <v>7.7455844958640618</v>
      </c>
      <c r="M28" s="147">
        <f>IF(SER_hh_tesh_in!M28=0,0,SER_hh_tesh_in!M28/SER_summary!M$27)</f>
        <v>8.0542921103945986</v>
      </c>
      <c r="N28" s="147">
        <f>IF(SER_hh_tesh_in!N28=0,0,SER_hh_tesh_in!N28/SER_summary!N$27)</f>
        <v>8.4815143571696456</v>
      </c>
      <c r="O28" s="147">
        <f>IF(SER_hh_tesh_in!O28=0,0,SER_hh_tesh_in!O28/SER_summary!O$27)</f>
        <v>8.4339198897421621</v>
      </c>
      <c r="P28" s="147">
        <f>IF(SER_hh_tesh_in!P28=0,0,SER_hh_tesh_in!P28/SER_summary!P$27)</f>
        <v>8.4882855863067004</v>
      </c>
      <c r="Q28" s="147">
        <f>IF(SER_hh_tesh_in!Q28=0,0,SER_hh_tesh_in!Q28/SER_summary!Q$27)</f>
        <v>8.4805913713123307</v>
      </c>
      <c r="R28" s="147">
        <f>IF(SER_hh_tesh_in!R28=0,0,SER_hh_tesh_in!R28/SER_summary!R$27)</f>
        <v>8.6675392745463906</v>
      </c>
      <c r="S28" s="147">
        <f>IF(SER_hh_tesh_in!S28=0,0,SER_hh_tesh_in!S28/SER_summary!S$27)</f>
        <v>8.8504750660910947</v>
      </c>
      <c r="T28" s="147">
        <f>IF(SER_hh_tesh_in!T28=0,0,SER_hh_tesh_in!T28/SER_summary!T$27)</f>
        <v>7.3020373583321243</v>
      </c>
      <c r="U28" s="147">
        <f>IF(SER_hh_tesh_in!U28=0,0,SER_hh_tesh_in!U28/SER_summary!U$27)</f>
        <v>0</v>
      </c>
      <c r="V28" s="147">
        <f>IF(SER_hh_tesh_in!V28=0,0,SER_hh_tesh_in!V28/SER_summary!V$27)</f>
        <v>7.4169621938409067</v>
      </c>
      <c r="W28" s="147">
        <f>IF(SER_hh_tesh_in!W28=0,0,SER_hh_tesh_in!W28/SER_summary!W$27)</f>
        <v>8.2300246812444993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14.001536023911768</v>
      </c>
      <c r="D29" s="131">
        <f>IF(SER_hh_tesh_in!D29=0,0,SER_hh_tesh_in!D29/SER_summary!D$27)</f>
        <v>15.510692124342606</v>
      </c>
      <c r="E29" s="131">
        <f>IF(SER_hh_tesh_in!E29=0,0,SER_hh_tesh_in!E29/SER_summary!E$27)</f>
        <v>17.502548860116342</v>
      </c>
      <c r="F29" s="131">
        <f>IF(SER_hh_tesh_in!F29=0,0,SER_hh_tesh_in!F29/SER_summary!F$27)</f>
        <v>17.527527946455852</v>
      </c>
      <c r="G29" s="131">
        <f>IF(SER_hh_tesh_in!G29=0,0,SER_hh_tesh_in!G29/SER_summary!G$27)</f>
        <v>17.778108558730651</v>
      </c>
      <c r="H29" s="131">
        <f>IF(SER_hh_tesh_in!H29=0,0,SER_hh_tesh_in!H29/SER_summary!H$27)</f>
        <v>18.070219554276449</v>
      </c>
      <c r="I29" s="131">
        <f>IF(SER_hh_tesh_in!I29=0,0,SER_hh_tesh_in!I29/SER_summary!I$27)</f>
        <v>18.786938093783327</v>
      </c>
      <c r="J29" s="131">
        <f>IF(SER_hh_tesh_in!J29=0,0,SER_hh_tesh_in!J29/SER_summary!J$27)</f>
        <v>19.177277687334236</v>
      </c>
      <c r="K29" s="131">
        <f>IF(SER_hh_tesh_in!K29=0,0,SER_hh_tesh_in!K29/SER_summary!K$27)</f>
        <v>18.837862926845869</v>
      </c>
      <c r="L29" s="131">
        <f>IF(SER_hh_tesh_in!L29=0,0,SER_hh_tesh_in!L29/SER_summary!L$27)</f>
        <v>19.028037515013601</v>
      </c>
      <c r="M29" s="131">
        <f>IF(SER_hh_tesh_in!M29=0,0,SER_hh_tesh_in!M29/SER_summary!M$27)</f>
        <v>19.037902892965274</v>
      </c>
      <c r="N29" s="131">
        <f>IF(SER_hh_tesh_in!N29=0,0,SER_hh_tesh_in!N29/SER_summary!N$27)</f>
        <v>18.810918598903463</v>
      </c>
      <c r="O29" s="131">
        <f>IF(SER_hh_tesh_in!O29=0,0,SER_hh_tesh_in!O29/SER_summary!O$27)</f>
        <v>18.699744693632418</v>
      </c>
      <c r="P29" s="131">
        <f>IF(SER_hh_tesh_in!P29=0,0,SER_hh_tesh_in!P29/SER_summary!P$27)</f>
        <v>18.521855647913835</v>
      </c>
      <c r="Q29" s="131">
        <f>IF(SER_hh_tesh_in!Q29=0,0,SER_hh_tesh_in!Q29/SER_summary!Q$27)</f>
        <v>18.418334163742053</v>
      </c>
      <c r="R29" s="131">
        <f>IF(SER_hh_tesh_in!R29=0,0,SER_hh_tesh_in!R29/SER_summary!R$27)</f>
        <v>18.367561535622681</v>
      </c>
      <c r="S29" s="131">
        <f>IF(SER_hh_tesh_in!S29=0,0,SER_hh_tesh_in!S29/SER_summary!S$27)</f>
        <v>17.938117317754145</v>
      </c>
      <c r="T29" s="131">
        <f>IF(SER_hh_tesh_in!T29=0,0,SER_hh_tesh_in!T29/SER_summary!T$27)</f>
        <v>18.016312941293904</v>
      </c>
      <c r="U29" s="131">
        <f>IF(SER_hh_tesh_in!U29=0,0,SER_hh_tesh_in!U29/SER_summary!U$27)</f>
        <v>17.8355276754329</v>
      </c>
      <c r="V29" s="131">
        <f>IF(SER_hh_tesh_in!V29=0,0,SER_hh_tesh_in!V29/SER_summary!V$27)</f>
        <v>16.839665005723216</v>
      </c>
      <c r="W29" s="131">
        <f>IF(SER_hh_tesh_in!W29=0,0,SER_hh_tesh_in!W29/SER_summary!W$27)</f>
        <v>17.122168351809158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16.586556161881859</v>
      </c>
      <c r="D30" s="133">
        <f>IF(SER_hh_tesh_in!D30=0,0,SER_hh_tesh_in!D30/SER_summary!D$27)</f>
        <v>13.57511866005505</v>
      </c>
      <c r="E30" s="133">
        <f>IF(SER_hh_tesh_in!E30=0,0,SER_hh_tesh_in!E30/SER_summary!E$27)</f>
        <v>19.857522006183373</v>
      </c>
      <c r="F30" s="133">
        <f>IF(SER_hh_tesh_in!F30=0,0,SER_hh_tesh_in!F30/SER_summary!F$27)</f>
        <v>17.895468864032694</v>
      </c>
      <c r="G30" s="133">
        <f>IF(SER_hh_tesh_in!G30=0,0,SER_hh_tesh_in!G30/SER_summary!G$27)</f>
        <v>17.263299262248793</v>
      </c>
      <c r="H30" s="133">
        <f>IF(SER_hh_tesh_in!H30=0,0,SER_hh_tesh_in!H30/SER_summary!H$27)</f>
        <v>19.304153696949989</v>
      </c>
      <c r="I30" s="133">
        <f>IF(SER_hh_tesh_in!I30=0,0,SER_hh_tesh_in!I30/SER_summary!I$27)</f>
        <v>20.53366987810314</v>
      </c>
      <c r="J30" s="133">
        <f>IF(SER_hh_tesh_in!J30=0,0,SER_hh_tesh_in!J30/SER_summary!J$27)</f>
        <v>0</v>
      </c>
      <c r="K30" s="133">
        <f>IF(SER_hh_tesh_in!K30=0,0,SER_hh_tesh_in!K30/SER_summary!K$27)</f>
        <v>0</v>
      </c>
      <c r="L30" s="133">
        <f>IF(SER_hh_tesh_in!L30=0,0,SER_hh_tesh_in!L30/SER_summary!L$27)</f>
        <v>0</v>
      </c>
      <c r="M30" s="133">
        <f>IF(SER_hh_tesh_in!M30=0,0,SER_hh_tesh_in!M30/SER_summary!M$27)</f>
        <v>0</v>
      </c>
      <c r="N30" s="133">
        <f>IF(SER_hh_tesh_in!N30=0,0,SER_hh_tesh_in!N30/SER_summary!N$27)</f>
        <v>18.7203132475959</v>
      </c>
      <c r="O30" s="133">
        <f>IF(SER_hh_tesh_in!O30=0,0,SER_hh_tesh_in!O30/SER_summary!O$27)</f>
        <v>19.208938127820069</v>
      </c>
      <c r="P30" s="133">
        <f>IF(SER_hh_tesh_in!P30=0,0,SER_hh_tesh_in!P30/SER_summary!P$27)</f>
        <v>16.612593349234611</v>
      </c>
      <c r="Q30" s="133">
        <f>IF(SER_hh_tesh_in!Q30=0,0,SER_hh_tesh_in!Q30/SER_summary!Q$27)</f>
        <v>18.387166610424192</v>
      </c>
      <c r="R30" s="133">
        <f>IF(SER_hh_tesh_in!R30=0,0,SER_hh_tesh_in!R30/SER_summary!R$27)</f>
        <v>18.969854431553106</v>
      </c>
      <c r="S30" s="133">
        <f>IF(SER_hh_tesh_in!S30=0,0,SER_hh_tesh_in!S30/SER_summary!S$27)</f>
        <v>18.42170456254161</v>
      </c>
      <c r="T30" s="133">
        <f>IF(SER_hh_tesh_in!T30=0,0,SER_hh_tesh_in!T30/SER_summary!T$27)</f>
        <v>17.578505793320268</v>
      </c>
      <c r="U30" s="133">
        <f>IF(SER_hh_tesh_in!U30=0,0,SER_hh_tesh_in!U30/SER_summary!U$27)</f>
        <v>20.532827878663785</v>
      </c>
      <c r="V30" s="133">
        <f>IF(SER_hh_tesh_in!V30=0,0,SER_hh_tesh_in!V30/SER_summary!V$27)</f>
        <v>14.315894089665141</v>
      </c>
      <c r="W30" s="133">
        <f>IF(SER_hh_tesh_in!W30=0,0,SER_hh_tesh_in!W30/SER_summary!W$27)</f>
        <v>14.003880830702768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13.859489735081798</v>
      </c>
      <c r="D31" s="133">
        <f>IF(SER_hh_tesh_in!D31=0,0,SER_hh_tesh_in!D31/SER_summary!D$27)</f>
        <v>15.665651588111784</v>
      </c>
      <c r="E31" s="133">
        <f>IF(SER_hh_tesh_in!E31=0,0,SER_hh_tesh_in!E31/SER_summary!E$27)</f>
        <v>17.181285771442944</v>
      </c>
      <c r="F31" s="133">
        <f>IF(SER_hh_tesh_in!F31=0,0,SER_hh_tesh_in!F31/SER_summary!F$27)</f>
        <v>17.151718043402205</v>
      </c>
      <c r="G31" s="133">
        <f>IF(SER_hh_tesh_in!G31=0,0,SER_hh_tesh_in!G31/SER_summary!G$27)</f>
        <v>17.972686805913568</v>
      </c>
      <c r="H31" s="133">
        <f>IF(SER_hh_tesh_in!H31=0,0,SER_hh_tesh_in!H31/SER_summary!H$27)</f>
        <v>18.496707130987058</v>
      </c>
      <c r="I31" s="133">
        <f>IF(SER_hh_tesh_in!I31=0,0,SER_hh_tesh_in!I31/SER_summary!I$27)</f>
        <v>18.797041362730308</v>
      </c>
      <c r="J31" s="133">
        <f>IF(SER_hh_tesh_in!J31=0,0,SER_hh_tesh_in!J31/SER_summary!J$27)</f>
        <v>18.972334501973492</v>
      </c>
      <c r="K31" s="133">
        <f>IF(SER_hh_tesh_in!K31=0,0,SER_hh_tesh_in!K31/SER_summary!K$27)</f>
        <v>18.852634934979562</v>
      </c>
      <c r="L31" s="133">
        <f>IF(SER_hh_tesh_in!L31=0,0,SER_hh_tesh_in!L31/SER_summary!L$27)</f>
        <v>17.997495209791101</v>
      </c>
      <c r="M31" s="133">
        <f>IF(SER_hh_tesh_in!M31=0,0,SER_hh_tesh_in!M31/SER_summary!M$27)</f>
        <v>19.002336068912655</v>
      </c>
      <c r="N31" s="133">
        <f>IF(SER_hh_tesh_in!N31=0,0,SER_hh_tesh_in!N31/SER_summary!N$27)</f>
        <v>19.432155311887946</v>
      </c>
      <c r="O31" s="133">
        <f>IF(SER_hh_tesh_in!O31=0,0,SER_hh_tesh_in!O31/SER_summary!O$27)</f>
        <v>18.896329642032388</v>
      </c>
      <c r="P31" s="133">
        <f>IF(SER_hh_tesh_in!P31=0,0,SER_hh_tesh_in!P31/SER_summary!P$27)</f>
        <v>18.501155186517643</v>
      </c>
      <c r="Q31" s="133">
        <f>IF(SER_hh_tesh_in!Q31=0,0,SER_hh_tesh_in!Q31/SER_summary!Q$27)</f>
        <v>18.968160767099139</v>
      </c>
      <c r="R31" s="133">
        <f>IF(SER_hh_tesh_in!R31=0,0,SER_hh_tesh_in!R31/SER_summary!R$27)</f>
        <v>18.455251747896416</v>
      </c>
      <c r="S31" s="133">
        <f>IF(SER_hh_tesh_in!S31=0,0,SER_hh_tesh_in!S31/SER_summary!S$27)</f>
        <v>17.782170959530802</v>
      </c>
      <c r="T31" s="133">
        <f>IF(SER_hh_tesh_in!T31=0,0,SER_hh_tesh_in!T31/SER_summary!T$27)</f>
        <v>17.734075454138832</v>
      </c>
      <c r="U31" s="133">
        <f>IF(SER_hh_tesh_in!U31=0,0,SER_hh_tesh_in!U31/SER_summary!U$27)</f>
        <v>17.979068223388925</v>
      </c>
      <c r="V31" s="133">
        <f>IF(SER_hh_tesh_in!V31=0,0,SER_hh_tesh_in!V31/SER_summary!V$27)</f>
        <v>14.929795027105509</v>
      </c>
      <c r="W31" s="133">
        <f>IF(SER_hh_tesh_in!W31=0,0,SER_hh_tesh_in!W31/SER_summary!W$27)</f>
        <v>20.42683901526232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13.689704911346929</v>
      </c>
      <c r="D33" s="68">
        <f>IF(SER_hh_tesh_in!D33=0,0,SER_hh_tesh_in!D33/SER_summary!D$27)</f>
        <v>15.782825137720787</v>
      </c>
      <c r="E33" s="68">
        <f>IF(SER_hh_tesh_in!E33=0,0,SER_hh_tesh_in!E33/SER_summary!E$27)</f>
        <v>17.232459283260599</v>
      </c>
      <c r="F33" s="68">
        <f>IF(SER_hh_tesh_in!F33=0,0,SER_hh_tesh_in!F33/SER_summary!F$27)</f>
        <v>17.599837083265442</v>
      </c>
      <c r="G33" s="68">
        <f>IF(SER_hh_tesh_in!G33=0,0,SER_hh_tesh_in!G33/SER_summary!G$27)</f>
        <v>17.752680945497566</v>
      </c>
      <c r="H33" s="68">
        <f>IF(SER_hh_tesh_in!H33=0,0,SER_hh_tesh_in!H33/SER_summary!H$27)</f>
        <v>17.913448373103794</v>
      </c>
      <c r="I33" s="68">
        <f>IF(SER_hh_tesh_in!I33=0,0,SER_hh_tesh_in!I33/SER_summary!I$27)</f>
        <v>18.771571242530484</v>
      </c>
      <c r="J33" s="68">
        <f>IF(SER_hh_tesh_in!J33=0,0,SER_hh_tesh_in!J33/SER_summary!J$27)</f>
        <v>19.21628224279133</v>
      </c>
      <c r="K33" s="68">
        <f>IF(SER_hh_tesh_in!K33=0,0,SER_hh_tesh_in!K33/SER_summary!K$27)</f>
        <v>18.834311536234221</v>
      </c>
      <c r="L33" s="68">
        <f>IF(SER_hh_tesh_in!L33=0,0,SER_hh_tesh_in!L33/SER_summary!L$27)</f>
        <v>19.468587623726371</v>
      </c>
      <c r="M33" s="68">
        <f>IF(SER_hh_tesh_in!M33=0,0,SER_hh_tesh_in!M33/SER_summary!M$27)</f>
        <v>19.060700113349107</v>
      </c>
      <c r="N33" s="68">
        <f>IF(SER_hh_tesh_in!N33=0,0,SER_hh_tesh_in!N33/SER_summary!N$27)</f>
        <v>18.431580858268561</v>
      </c>
      <c r="O33" s="68">
        <f>IF(SER_hh_tesh_in!O33=0,0,SER_hh_tesh_in!O33/SER_summary!O$27)</f>
        <v>18.555630514379889</v>
      </c>
      <c r="P33" s="68">
        <f>IF(SER_hh_tesh_in!P33=0,0,SER_hh_tesh_in!P33/SER_summary!P$27)</f>
        <v>18.648899157589632</v>
      </c>
      <c r="Q33" s="68">
        <f>IF(SER_hh_tesh_in!Q33=0,0,SER_hh_tesh_in!Q33/SER_summary!Q$27)</f>
        <v>18.273966046690749</v>
      </c>
      <c r="R33" s="68">
        <f>IF(SER_hh_tesh_in!R33=0,0,SER_hh_tesh_in!R33/SER_summary!R$27)</f>
        <v>18.318234978053571</v>
      </c>
      <c r="S33" s="68">
        <f>IF(SER_hh_tesh_in!S33=0,0,SER_hh_tesh_in!S33/SER_summary!S$27)</f>
        <v>17.942863998610235</v>
      </c>
      <c r="T33" s="68">
        <f>IF(SER_hh_tesh_in!T33=0,0,SER_hh_tesh_in!T33/SER_summary!T$27)</f>
        <v>18.065749072175837</v>
      </c>
      <c r="U33" s="68">
        <f>IF(SER_hh_tesh_in!U33=0,0,SER_hh_tesh_in!U33/SER_summary!U$27)</f>
        <v>17.766631737866344</v>
      </c>
      <c r="V33" s="68">
        <f>IF(SER_hh_tesh_in!V33=0,0,SER_hh_tesh_in!V33/SER_summary!V$27)</f>
        <v>17.398009197233492</v>
      </c>
      <c r="W33" s="68">
        <f>IF(SER_hh_tesh_in!W33=0,0,SER_hh_tesh_in!W33/SER_summary!W$27)</f>
        <v>16.042995897059861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25.893031564489004</v>
      </c>
      <c r="D3" s="126">
        <f>IF(SER_hh_emih_in!D3=0,0,SER_hh_emih_in!D3/SER_summary!D$27)</f>
        <v>31.969826609818309</v>
      </c>
      <c r="E3" s="126">
        <f>IF(SER_hh_emih_in!E3=0,0,SER_hh_emih_in!E3/SER_summary!E$27)</f>
        <v>29.461508600054081</v>
      </c>
      <c r="F3" s="126">
        <f>IF(SER_hh_emih_in!F3=0,0,SER_hh_emih_in!F3/SER_summary!F$27)</f>
        <v>19.030234519893636</v>
      </c>
      <c r="G3" s="126">
        <f>IF(SER_hh_emih_in!G3=0,0,SER_hh_emih_in!G3/SER_summary!G$27)</f>
        <v>16.522586569601156</v>
      </c>
      <c r="H3" s="126">
        <f>IF(SER_hh_emih_in!H3=0,0,SER_hh_emih_in!H3/SER_summary!H$27)</f>
        <v>20.687907671471407</v>
      </c>
      <c r="I3" s="126">
        <f>IF(SER_hh_emih_in!I3=0,0,SER_hh_emih_in!I3/SER_summary!I$27)</f>
        <v>22.003437820488962</v>
      </c>
      <c r="J3" s="126">
        <f>IF(SER_hh_emih_in!J3=0,0,SER_hh_emih_in!J3/SER_summary!J$27)</f>
        <v>21.282365441053404</v>
      </c>
      <c r="K3" s="126">
        <f>IF(SER_hh_emih_in!K3=0,0,SER_hh_emih_in!K3/SER_summary!K$27)</f>
        <v>24.288404549977951</v>
      </c>
      <c r="L3" s="126">
        <f>IF(SER_hh_emih_in!L3=0,0,SER_hh_emih_in!L3/SER_summary!L$27)</f>
        <v>23.416846549085456</v>
      </c>
      <c r="M3" s="126">
        <f>IF(SER_hh_emih_in!M3=0,0,SER_hh_emih_in!M3/SER_summary!M$27)</f>
        <v>21.990914022173182</v>
      </c>
      <c r="N3" s="126">
        <f>IF(SER_hh_emih_in!N3=0,0,SER_hh_emih_in!N3/SER_summary!N$27)</f>
        <v>18.92204171600622</v>
      </c>
      <c r="O3" s="126">
        <f>IF(SER_hh_emih_in!O3=0,0,SER_hh_emih_in!O3/SER_summary!O$27)</f>
        <v>15.370676723824975</v>
      </c>
      <c r="P3" s="126">
        <f>IF(SER_hh_emih_in!P3=0,0,SER_hh_emih_in!P3/SER_summary!P$27)</f>
        <v>12.280944757483187</v>
      </c>
      <c r="Q3" s="126">
        <f>IF(SER_hh_emih_in!Q3=0,0,SER_hh_emih_in!Q3/SER_summary!Q$27)</f>
        <v>12.813337622770145</v>
      </c>
      <c r="R3" s="126">
        <f>IF(SER_hh_emih_in!R3=0,0,SER_hh_emih_in!R3/SER_summary!R$27)</f>
        <v>10.715800066236884</v>
      </c>
      <c r="S3" s="126">
        <f>IF(SER_hh_emih_in!S3=0,0,SER_hh_emih_in!S3/SER_summary!S$27)</f>
        <v>8.4447431953785159</v>
      </c>
      <c r="T3" s="126">
        <f>IF(SER_hh_emih_in!T3=0,0,SER_hh_emih_in!T3/SER_summary!T$27)</f>
        <v>6.6228061548114541</v>
      </c>
      <c r="U3" s="126">
        <f>IF(SER_hh_emih_in!U3=0,0,SER_hh_emih_in!U3/SER_summary!U$27)</f>
        <v>6.377835872522895</v>
      </c>
      <c r="V3" s="126">
        <f>IF(SER_hh_emih_in!V3=0,0,SER_hh_emih_in!V3/SER_summary!V$27)</f>
        <v>6.6609750696141949</v>
      </c>
      <c r="W3" s="126">
        <f>IF(SER_hh_emih_in!W3=0,0,SER_hh_emih_in!W3/SER_summary!W$27)</f>
        <v>8.6387015532743998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21.611345219018531</v>
      </c>
      <c r="D4" s="131">
        <f>IF(SER_hh_emih_in!D4=0,0,SER_hh_emih_in!D4/SER_summary!D$27)</f>
        <v>27.346449290851321</v>
      </c>
      <c r="E4" s="131">
        <f>IF(SER_hh_emih_in!E4=0,0,SER_hh_emih_in!E4/SER_summary!E$27)</f>
        <v>24.696767421001169</v>
      </c>
      <c r="F4" s="131">
        <f>IF(SER_hh_emih_in!F4=0,0,SER_hh_emih_in!F4/SER_summary!F$27)</f>
        <v>15.977520491871458</v>
      </c>
      <c r="G4" s="131">
        <f>IF(SER_hh_emih_in!G4=0,0,SER_hh_emih_in!G4/SER_summary!G$27)</f>
        <v>13.714940101420941</v>
      </c>
      <c r="H4" s="131">
        <f>IF(SER_hh_emih_in!H4=0,0,SER_hh_emih_in!H4/SER_summary!H$27)</f>
        <v>18.348333177972219</v>
      </c>
      <c r="I4" s="131">
        <f>IF(SER_hh_emih_in!I4=0,0,SER_hh_emih_in!I4/SER_summary!I$27)</f>
        <v>19.687828109402911</v>
      </c>
      <c r="J4" s="131">
        <f>IF(SER_hh_emih_in!J4=0,0,SER_hh_emih_in!J4/SER_summary!J$27)</f>
        <v>18.767232658466899</v>
      </c>
      <c r="K4" s="131">
        <f>IF(SER_hh_emih_in!K4=0,0,SER_hh_emih_in!K4/SER_summary!K$27)</f>
        <v>21.340438636628786</v>
      </c>
      <c r="L4" s="131">
        <f>IF(SER_hh_emih_in!L4=0,0,SER_hh_emih_in!L4/SER_summary!L$27)</f>
        <v>18.733199474356514</v>
      </c>
      <c r="M4" s="131">
        <f>IF(SER_hh_emih_in!M4=0,0,SER_hh_emih_in!M4/SER_summary!M$27)</f>
        <v>17.665747134304173</v>
      </c>
      <c r="N4" s="131">
        <f>IF(SER_hh_emih_in!N4=0,0,SER_hh_emih_in!N4/SER_summary!N$27)</f>
        <v>14.490931492662785</v>
      </c>
      <c r="O4" s="131">
        <f>IF(SER_hh_emih_in!O4=0,0,SER_hh_emih_in!O4/SER_summary!O$27)</f>
        <v>11.404499359669002</v>
      </c>
      <c r="P4" s="131">
        <f>IF(SER_hh_emih_in!P4=0,0,SER_hh_emih_in!P4/SER_summary!P$27)</f>
        <v>9.1997590538456784</v>
      </c>
      <c r="Q4" s="131">
        <f>IF(SER_hh_emih_in!Q4=0,0,SER_hh_emih_in!Q4/SER_summary!Q$27)</f>
        <v>9.8266260192108916</v>
      </c>
      <c r="R4" s="131">
        <f>IF(SER_hh_emih_in!R4=0,0,SER_hh_emih_in!R4/SER_summary!R$27)</f>
        <v>8.2662300641382238</v>
      </c>
      <c r="S4" s="131">
        <f>IF(SER_hh_emih_in!S4=0,0,SER_hh_emih_in!S4/SER_summary!S$27)</f>
        <v>6.8041661970359186</v>
      </c>
      <c r="T4" s="131">
        <f>IF(SER_hh_emih_in!T4=0,0,SER_hh_emih_in!T4/SER_summary!T$27)</f>
        <v>5.4333906171090787</v>
      </c>
      <c r="U4" s="131">
        <f>IF(SER_hh_emih_in!U4=0,0,SER_hh_emih_in!U4/SER_summary!U$27)</f>
        <v>4.7830594858128226</v>
      </c>
      <c r="V4" s="131">
        <f>IF(SER_hh_emih_in!V4=0,0,SER_hh_emih_in!V4/SER_summary!V$27)</f>
        <v>5.2616553523116609</v>
      </c>
      <c r="W4" s="131">
        <f>IF(SER_hh_emih_in!W4=0,0,SER_hh_emih_in!W4/SER_summary!W$27)</f>
        <v>6.2518523282635412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34.490091328796041</v>
      </c>
      <c r="D5" s="133">
        <f>IF(SER_hh_emih_in!D5=0,0,SER_hh_emih_in!D5/SER_summary!D$27)</f>
        <v>56.874524943891878</v>
      </c>
      <c r="E5" s="133">
        <f>IF(SER_hh_emih_in!E5=0,0,SER_hh_emih_in!E5/SER_summary!E$27)</f>
        <v>54.475044532054063</v>
      </c>
      <c r="F5" s="133">
        <f>IF(SER_hh_emih_in!F5=0,0,SER_hh_emih_in!F5/SER_summary!F$27)</f>
        <v>50.212265501060287</v>
      </c>
      <c r="G5" s="133">
        <f>IF(SER_hh_emih_in!G5=0,0,SER_hh_emih_in!G5/SER_summary!G$27)</f>
        <v>47.964249050828478</v>
      </c>
      <c r="H5" s="133">
        <f>IF(SER_hh_emih_in!H5=0,0,SER_hh_emih_in!H5/SER_summary!H$27)</f>
        <v>53.82167316863147</v>
      </c>
      <c r="I5" s="133">
        <f>IF(SER_hh_emih_in!I5=0,0,SER_hh_emih_in!I5/SER_summary!I$27)</f>
        <v>43.972418958166074</v>
      </c>
      <c r="J5" s="133">
        <f>IF(SER_hh_emih_in!J5=0,0,SER_hh_emih_in!J5/SER_summary!J$27)</f>
        <v>46.902135497273463</v>
      </c>
      <c r="K5" s="133">
        <f>IF(SER_hh_emih_in!K5=0,0,SER_hh_emih_in!K5/SER_summary!K$27)</f>
        <v>48.076934766175285</v>
      </c>
      <c r="L5" s="133">
        <f>IF(SER_hh_emih_in!L5=0,0,SER_hh_emih_in!L5/SER_summary!L$27)</f>
        <v>52.707588277052551</v>
      </c>
      <c r="M5" s="133">
        <f>IF(SER_hh_emih_in!M5=0,0,SER_hh_emih_in!M5/SER_summary!M$27)</f>
        <v>44.425838819129453</v>
      </c>
      <c r="N5" s="133">
        <f>IF(SER_hh_emih_in!N5=0,0,SER_hh_emih_in!N5/SER_summary!N$27)</f>
        <v>43.164377099068403</v>
      </c>
      <c r="O5" s="133">
        <f>IF(SER_hh_emih_in!O5=0,0,SER_hh_emih_in!O5/SER_summary!O$27)</f>
        <v>38.745271328211672</v>
      </c>
      <c r="P5" s="133">
        <f>IF(SER_hh_emih_in!P5=0,0,SER_hh_emih_in!P5/SER_summary!P$27)</f>
        <v>33.010523340830446</v>
      </c>
      <c r="Q5" s="133">
        <f>IF(SER_hh_emih_in!Q5=0,0,SER_hh_emih_in!Q5/SER_summary!Q$27)</f>
        <v>30.877009697022185</v>
      </c>
      <c r="R5" s="133">
        <f>IF(SER_hh_emih_in!R5=0,0,SER_hh_emih_in!R5/SER_summary!R$27)</f>
        <v>31.311514938675046</v>
      </c>
      <c r="S5" s="133">
        <f>IF(SER_hh_emih_in!S5=0,0,SER_hh_emih_in!S5/SER_summary!S$27)</f>
        <v>29.621009073232798</v>
      </c>
      <c r="T5" s="133">
        <f>IF(SER_hh_emih_in!T5=0,0,SER_hh_emih_in!T5/SER_summary!T$27)</f>
        <v>26.550346868838652</v>
      </c>
      <c r="U5" s="133">
        <f>IF(SER_hh_emih_in!U5=0,0,SER_hh_emih_in!U5/SER_summary!U$27)</f>
        <v>20.749378744645991</v>
      </c>
      <c r="V5" s="133">
        <f>IF(SER_hh_emih_in!V5=0,0,SER_hh_emih_in!V5/SER_summary!V$27)</f>
        <v>20.002730303761005</v>
      </c>
      <c r="W5" s="133">
        <f>IF(SER_hh_emih_in!W5=0,0,SER_hh_emih_in!W5/SER_summary!W$27)</f>
        <v>21.369587562830837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43.313237139985844</v>
      </c>
      <c r="D7" s="133">
        <f>IF(SER_hh_emih_in!D7=0,0,SER_hh_emih_in!D7/SER_summary!D$27)</f>
        <v>46.232089375842264</v>
      </c>
      <c r="E7" s="133">
        <f>IF(SER_hh_emih_in!E7=0,0,SER_hh_emih_in!E7/SER_summary!E$27)</f>
        <v>45.851894306370724</v>
      </c>
      <c r="F7" s="133">
        <f>IF(SER_hh_emih_in!F7=0,0,SER_hh_emih_in!F7/SER_summary!F$27)</f>
        <v>42.116779476813569</v>
      </c>
      <c r="G7" s="133">
        <f>IF(SER_hh_emih_in!G7=0,0,SER_hh_emih_in!G7/SER_summary!G$27)</f>
        <v>32.500107511512091</v>
      </c>
      <c r="H7" s="133">
        <f>IF(SER_hh_emih_in!H7=0,0,SER_hh_emih_in!H7/SER_summary!H$27)</f>
        <v>50.549742454658947</v>
      </c>
      <c r="I7" s="133">
        <f>IF(SER_hh_emih_in!I7=0,0,SER_hh_emih_in!I7/SER_summary!I$27)</f>
        <v>43.821358063577641</v>
      </c>
      <c r="J7" s="133">
        <f>IF(SER_hh_emih_in!J7=0,0,SER_hh_emih_in!J7/SER_summary!J$27)</f>
        <v>41.931663488938675</v>
      </c>
      <c r="K7" s="133">
        <f>IF(SER_hh_emih_in!K7=0,0,SER_hh_emih_in!K7/SER_summary!K$27)</f>
        <v>38.613829877392781</v>
      </c>
      <c r="L7" s="133">
        <f>IF(SER_hh_emih_in!L7=0,0,SER_hh_emih_in!L7/SER_summary!L$27)</f>
        <v>47.72706270142524</v>
      </c>
      <c r="M7" s="133">
        <f>IF(SER_hh_emih_in!M7=0,0,SER_hh_emih_in!M7/SER_summary!M$27)</f>
        <v>44.131850013876488</v>
      </c>
      <c r="N7" s="133">
        <f>IF(SER_hh_emih_in!N7=0,0,SER_hh_emih_in!N7/SER_summary!N$27)</f>
        <v>0</v>
      </c>
      <c r="O7" s="133">
        <f>IF(SER_hh_emih_in!O7=0,0,SER_hh_emih_in!O7/SER_summary!O$27)</f>
        <v>0</v>
      </c>
      <c r="P7" s="133">
        <f>IF(SER_hh_emih_in!P7=0,0,SER_hh_emih_in!P7/SER_summary!P$27)</f>
        <v>0</v>
      </c>
      <c r="Q7" s="133">
        <f>IF(SER_hh_emih_in!Q7=0,0,SER_hh_emih_in!Q7/SER_summary!Q$27)</f>
        <v>23.801165887814232</v>
      </c>
      <c r="R7" s="133">
        <f>IF(SER_hh_emih_in!R7=0,0,SER_hh_emih_in!R7/SER_summary!R$27)</f>
        <v>22.540422802886063</v>
      </c>
      <c r="S7" s="133">
        <f>IF(SER_hh_emih_in!S7=0,0,SER_hh_emih_in!S7/SER_summary!S$27)</f>
        <v>21.469776829852112</v>
      </c>
      <c r="T7" s="133">
        <f>IF(SER_hh_emih_in!T7=0,0,SER_hh_emih_in!T7/SER_summary!T$27)</f>
        <v>20.727504141400726</v>
      </c>
      <c r="U7" s="133">
        <f>IF(SER_hh_emih_in!U7=0,0,SER_hh_emih_in!U7/SER_summary!U$27)</f>
        <v>17.045935918154697</v>
      </c>
      <c r="V7" s="133">
        <f>IF(SER_hh_emih_in!V7=0,0,SER_hh_emih_in!V7/SER_summary!V$27)</f>
        <v>16.288584509883009</v>
      </c>
      <c r="W7" s="133">
        <f>IF(SER_hh_emih_in!W7=0,0,SER_hh_emih_in!W7/SER_summary!W$27)</f>
        <v>15.780907832292568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15.799518782477193</v>
      </c>
      <c r="D8" s="133">
        <f>IF(SER_hh_emih_in!D8=0,0,SER_hh_emih_in!D8/SER_summary!D$27)</f>
        <v>15.776641559273049</v>
      </c>
      <c r="E8" s="133">
        <f>IF(SER_hh_emih_in!E8=0,0,SER_hh_emih_in!E8/SER_summary!E$27)</f>
        <v>15.809447588950183</v>
      </c>
      <c r="F8" s="133">
        <f>IF(SER_hh_emih_in!F8=0,0,SER_hh_emih_in!F8/SER_summary!F$27)</f>
        <v>14.7167171316348</v>
      </c>
      <c r="G8" s="133">
        <f>IF(SER_hh_emih_in!G8=0,0,SER_hh_emih_in!G8/SER_summary!G$27)</f>
        <v>13.748579090590304</v>
      </c>
      <c r="H8" s="133">
        <f>IF(SER_hh_emih_in!H8=0,0,SER_hh_emih_in!H8/SER_summary!H$27)</f>
        <v>12.804298531199317</v>
      </c>
      <c r="I8" s="133">
        <f>IF(SER_hh_emih_in!I8=0,0,SER_hh_emih_in!I8/SER_summary!I$27)</f>
        <v>11.930768171215437</v>
      </c>
      <c r="J8" s="133">
        <f>IF(SER_hh_emih_in!J8=0,0,SER_hh_emih_in!J8/SER_summary!J$27)</f>
        <v>11.742319988197309</v>
      </c>
      <c r="K8" s="133">
        <f>IF(SER_hh_emih_in!K8=0,0,SER_hh_emih_in!K8/SER_summary!K$27)</f>
        <v>11.745064093018744</v>
      </c>
      <c r="L8" s="133">
        <f>IF(SER_hh_emih_in!L8=0,0,SER_hh_emih_in!L8/SER_summary!L$27)</f>
        <v>11.067038304987378</v>
      </c>
      <c r="M8" s="133">
        <f>IF(SER_hh_emih_in!M8=0,0,SER_hh_emih_in!M8/SER_summary!M$27)</f>
        <v>8.9446687296983445</v>
      </c>
      <c r="N8" s="133">
        <f>IF(SER_hh_emih_in!N8=0,0,SER_hh_emih_in!N8/SER_summary!N$27)</f>
        <v>8.2945808122628986</v>
      </c>
      <c r="O8" s="133">
        <f>IF(SER_hh_emih_in!O8=0,0,SER_hh_emih_in!O8/SER_summary!O$27)</f>
        <v>6.5522634081739568</v>
      </c>
      <c r="P8" s="133">
        <f>IF(SER_hh_emih_in!P8=0,0,SER_hh_emih_in!P8/SER_summary!P$27)</f>
        <v>6.8315767620942545</v>
      </c>
      <c r="Q8" s="133">
        <f>IF(SER_hh_emih_in!Q8=0,0,SER_hh_emih_in!Q8/SER_summary!Q$27)</f>
        <v>6.0547723806494229</v>
      </c>
      <c r="R8" s="133">
        <f>IF(SER_hh_emih_in!R8=0,0,SER_hh_emih_in!R8/SER_summary!R$27)</f>
        <v>5.7893041609899454</v>
      </c>
      <c r="S8" s="133">
        <f>IF(SER_hh_emih_in!S8=0,0,SER_hh_emih_in!S8/SER_summary!S$27)</f>
        <v>4.9600106087523494</v>
      </c>
      <c r="T8" s="133">
        <f>IF(SER_hh_emih_in!T8=0,0,SER_hh_emih_in!T8/SER_summary!T$27)</f>
        <v>4.449350791475446</v>
      </c>
      <c r="U8" s="133">
        <f>IF(SER_hh_emih_in!U8=0,0,SER_hh_emih_in!U8/SER_summary!U$27)</f>
        <v>4.072252836794986</v>
      </c>
      <c r="V8" s="133">
        <f>IF(SER_hh_emih_in!V8=0,0,SER_hh_emih_in!V8/SER_summary!V$27)</f>
        <v>3.7818711068978215</v>
      </c>
      <c r="W8" s="133">
        <f>IF(SER_hh_emih_in!W8=0,0,SER_hh_emih_in!W8/SER_summary!W$27)</f>
        <v>3.8663884148372114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27.190474394714091</v>
      </c>
      <c r="D9" s="133">
        <f>IF(SER_hh_emih_in!D9=0,0,SER_hh_emih_in!D9/SER_summary!D$27)</f>
        <v>30.272139559036713</v>
      </c>
      <c r="E9" s="133">
        <f>IF(SER_hh_emih_in!E9=0,0,SER_hh_emih_in!E9/SER_summary!E$27)</f>
        <v>30.240870488810945</v>
      </c>
      <c r="F9" s="133">
        <f>IF(SER_hh_emih_in!F9=0,0,SER_hh_emih_in!F9/SER_summary!F$27)</f>
        <v>30.354298320081984</v>
      </c>
      <c r="G9" s="133">
        <f>IF(SER_hh_emih_in!G9=0,0,SER_hh_emih_in!G9/SER_summary!G$27)</f>
        <v>29.433211406125455</v>
      </c>
      <c r="H9" s="133">
        <f>IF(SER_hh_emih_in!H9=0,0,SER_hh_emih_in!H9/SER_summary!H$27)</f>
        <v>26.905582530338048</v>
      </c>
      <c r="I9" s="133">
        <f>IF(SER_hh_emih_in!I9=0,0,SER_hh_emih_in!I9/SER_summary!I$27)</f>
        <v>26.173109220417672</v>
      </c>
      <c r="J9" s="133">
        <f>IF(SER_hh_emih_in!J9=0,0,SER_hh_emih_in!J9/SER_summary!J$27)</f>
        <v>26.534933866169165</v>
      </c>
      <c r="K9" s="133">
        <f>IF(SER_hh_emih_in!K9=0,0,SER_hh_emih_in!K9/SER_summary!K$27)</f>
        <v>26.26212229595237</v>
      </c>
      <c r="L9" s="133">
        <f>IF(SER_hh_emih_in!L9=0,0,SER_hh_emih_in!L9/SER_summary!L$27)</f>
        <v>29.394300161053515</v>
      </c>
      <c r="M9" s="133">
        <f>IF(SER_hh_emih_in!M9=0,0,SER_hh_emih_in!M9/SER_summary!M$27)</f>
        <v>24.699823195179921</v>
      </c>
      <c r="N9" s="133">
        <f>IF(SER_hh_emih_in!N9=0,0,SER_hh_emih_in!N9/SER_summary!N$27)</f>
        <v>23.680655111727216</v>
      </c>
      <c r="O9" s="133">
        <f>IF(SER_hh_emih_in!O9=0,0,SER_hh_emih_in!O9/SER_summary!O$27)</f>
        <v>21.157864180167422</v>
      </c>
      <c r="P9" s="133">
        <f>IF(SER_hh_emih_in!P9=0,0,SER_hh_emih_in!P9/SER_summary!P$27)</f>
        <v>16.493625912846419</v>
      </c>
      <c r="Q9" s="133">
        <f>IF(SER_hh_emih_in!Q9=0,0,SER_hh_emih_in!Q9/SER_summary!Q$27)</f>
        <v>16.655656326268268</v>
      </c>
      <c r="R9" s="133">
        <f>IF(SER_hh_emih_in!R9=0,0,SER_hh_emih_in!R9/SER_summary!R$27)</f>
        <v>18.964882458261268</v>
      </c>
      <c r="S9" s="133">
        <f>IF(SER_hh_emih_in!S9=0,0,SER_hh_emih_in!S9/SER_summary!S$27)</f>
        <v>13.792343262676376</v>
      </c>
      <c r="T9" s="133">
        <f>IF(SER_hh_emih_in!T9=0,0,SER_hh_emih_in!T9/SER_summary!T$27)</f>
        <v>12.634201692377612</v>
      </c>
      <c r="U9" s="133">
        <f>IF(SER_hh_emih_in!U9=0,0,SER_hh_emih_in!U9/SER_summary!U$27)</f>
        <v>12.298546635970444</v>
      </c>
      <c r="V9" s="133">
        <f>IF(SER_hh_emih_in!V9=0,0,SER_hh_emih_in!V9/SER_summary!V$27)</f>
        <v>9.9928554370614222</v>
      </c>
      <c r="W9" s="133">
        <f>IF(SER_hh_emih_in!W9=0,0,SER_hh_emih_in!W9/SER_summary!W$27)</f>
        <v>12.062323280602037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0.50735103150928351</v>
      </c>
      <c r="K10" s="133">
        <f>IF(SER_hh_emih_in!K10=0,0,SER_hh_emih_in!K10/SER_summary!K$27)</f>
        <v>1.4939606674191832</v>
      </c>
      <c r="L10" s="133">
        <f>IF(SER_hh_emih_in!L10=0,0,SER_hh_emih_in!L10/SER_summary!L$27)</f>
        <v>0.30002882183666452</v>
      </c>
      <c r="M10" s="133">
        <f>IF(SER_hh_emih_in!M10=0,0,SER_hh_emih_in!M10/SER_summary!M$27)</f>
        <v>0.45900895579262851</v>
      </c>
      <c r="N10" s="133">
        <f>IF(SER_hh_emih_in!N10=0,0,SER_hh_emih_in!N10/SER_summary!N$27)</f>
        <v>0.36021845262947244</v>
      </c>
      <c r="O10" s="133">
        <f>IF(SER_hh_emih_in!O10=0,0,SER_hh_emih_in!O10/SER_summary!O$27)</f>
        <v>4.0074740098414967</v>
      </c>
      <c r="P10" s="133">
        <f>IF(SER_hh_emih_in!P10=0,0,SER_hh_emih_in!P10/SER_summary!P$27)</f>
        <v>1.9443044246633903</v>
      </c>
      <c r="Q10" s="133">
        <f>IF(SER_hh_emih_in!Q10=0,0,SER_hh_emih_in!Q10/SER_summary!Q$27)</f>
        <v>1.536377748573837</v>
      </c>
      <c r="R10" s="133">
        <f>IF(SER_hh_emih_in!R10=0,0,SER_hh_emih_in!R10/SER_summary!R$27)</f>
        <v>2.3958653760794402</v>
      </c>
      <c r="S10" s="133">
        <f>IF(SER_hh_emih_in!S10=0,0,SER_hh_emih_in!S10/SER_summary!S$27)</f>
        <v>1.570043640728719</v>
      </c>
      <c r="T10" s="133">
        <f>IF(SER_hh_emih_in!T10=0,0,SER_hh_emih_in!T10/SER_summary!T$27)</f>
        <v>1.3046720695323935</v>
      </c>
      <c r="U10" s="133">
        <f>IF(SER_hh_emih_in!U10=0,0,SER_hh_emih_in!U10/SER_summary!U$27)</f>
        <v>1.0890154341063076</v>
      </c>
      <c r="V10" s="133">
        <f>IF(SER_hh_emih_in!V10=0,0,SER_hh_emih_in!V10/SER_summary!V$27)</f>
        <v>2.7603181917245316</v>
      </c>
      <c r="W10" s="133">
        <f>IF(SER_hh_emih_in!W10=0,0,SER_hh_emih_in!W10/SER_summary!W$27)</f>
        <v>2.8558514032652349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9.1149477484196023E-3</v>
      </c>
      <c r="D16" s="131">
        <f>IF(SER_hh_emih_in!D16=0,0,SER_hh_emih_in!D16/SER_summary!D$27)</f>
        <v>1.0062055983765651E-2</v>
      </c>
      <c r="E16" s="131">
        <f>IF(SER_hh_emih_in!E16=0,0,SER_hh_emih_in!E16/SER_summary!E$27)</f>
        <v>9.4446942362366951E-3</v>
      </c>
      <c r="F16" s="131">
        <f>IF(SER_hh_emih_in!F16=0,0,SER_hh_emih_in!F16/SER_summary!F$27)</f>
        <v>1.1709738406371413E-2</v>
      </c>
      <c r="G16" s="131">
        <f>IF(SER_hh_emih_in!G16=0,0,SER_hh_emih_in!G16/SER_summary!G$27)</f>
        <v>1.1258558573813145E-2</v>
      </c>
      <c r="H16" s="131">
        <f>IF(SER_hh_emih_in!H16=0,0,SER_hh_emih_in!H16/SER_summary!H$27)</f>
        <v>9.4193926262288036E-3</v>
      </c>
      <c r="I16" s="131">
        <f>IF(SER_hh_emih_in!I16=0,0,SER_hh_emih_in!I16/SER_summary!I$27)</f>
        <v>1.174574790526132E-2</v>
      </c>
      <c r="J16" s="131">
        <f>IF(SER_hh_emih_in!J16=0,0,SER_hh_emih_in!J16/SER_summary!J$27)</f>
        <v>9.4714183681659479E-3</v>
      </c>
      <c r="K16" s="131">
        <f>IF(SER_hh_emih_in!K16=0,0,SER_hh_emih_in!K16/SER_summary!K$27)</f>
        <v>1.1304519253787049E-2</v>
      </c>
      <c r="L16" s="131">
        <f>IF(SER_hh_emih_in!L16=0,0,SER_hh_emih_in!L16/SER_summary!L$27)</f>
        <v>1.0127073744560148E-2</v>
      </c>
      <c r="M16" s="131">
        <f>IF(SER_hh_emih_in!M16=0,0,SER_hh_emih_in!M16/SER_summary!M$27)</f>
        <v>1.6443222813639875E-2</v>
      </c>
      <c r="N16" s="131">
        <f>IF(SER_hh_emih_in!N16=0,0,SER_hh_emih_in!N16/SER_summary!N$27)</f>
        <v>1.7751177461431993E-2</v>
      </c>
      <c r="O16" s="131">
        <f>IF(SER_hh_emih_in!O16=0,0,SER_hh_emih_in!O16/SER_summary!O$27)</f>
        <v>3.143136236982013E-2</v>
      </c>
      <c r="P16" s="131">
        <f>IF(SER_hh_emih_in!P16=0,0,SER_hh_emih_in!P16/SER_summary!P$27)</f>
        <v>4.2034077607276968E-2</v>
      </c>
      <c r="Q16" s="131">
        <f>IF(SER_hh_emih_in!Q16=0,0,SER_hh_emih_in!Q16/SER_summary!Q$27)</f>
        <v>3.7858604022428889E-2</v>
      </c>
      <c r="R16" s="131">
        <f>IF(SER_hh_emih_in!R16=0,0,SER_hh_emih_in!R16/SER_summary!R$27)</f>
        <v>8.6418380759452809E-2</v>
      </c>
      <c r="S16" s="131">
        <f>IF(SER_hh_emih_in!S16=0,0,SER_hh_emih_in!S16/SER_summary!S$27)</f>
        <v>5.3145735616487853E-2</v>
      </c>
      <c r="T16" s="131">
        <f>IF(SER_hh_emih_in!T16=0,0,SER_hh_emih_in!T16/SER_summary!T$27)</f>
        <v>3.9962408404928783E-2</v>
      </c>
      <c r="U16" s="131">
        <f>IF(SER_hh_emih_in!U16=0,0,SER_hh_emih_in!U16/SER_summary!U$27)</f>
        <v>3.6882340450328004E-2</v>
      </c>
      <c r="V16" s="131">
        <f>IF(SER_hh_emih_in!V16=0,0,SER_hh_emih_in!V16/SER_summary!V$27)</f>
        <v>3.8235021157228759E-2</v>
      </c>
      <c r="W16" s="131">
        <f>IF(SER_hh_emih_in!W16=0,0,SER_hh_emih_in!W16/SER_summary!W$27)</f>
        <v>2.1659346504804871E-2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4.3575413909935206</v>
      </c>
      <c r="D17" s="133">
        <f>IF(SER_hh_emih_in!D17=0,0,SER_hh_emih_in!D17/SER_summary!D$27)</f>
        <v>4.4175554739998226</v>
      </c>
      <c r="E17" s="133">
        <f>IF(SER_hh_emih_in!E17=0,0,SER_hh_emih_in!E17/SER_summary!E$27)</f>
        <v>4.3111086458629986</v>
      </c>
      <c r="F17" s="133">
        <f>IF(SER_hh_emih_in!F17=0,0,SER_hh_emih_in!F17/SER_summary!F$27)</f>
        <v>4.2450487837874427</v>
      </c>
      <c r="G17" s="133">
        <f>IF(SER_hh_emih_in!G17=0,0,SER_hh_emih_in!G17/SER_summary!G$27)</f>
        <v>4.2420268539462711</v>
      </c>
      <c r="H17" s="133">
        <f>IF(SER_hh_emih_in!H17=0,0,SER_hh_emih_in!H17/SER_summary!H$27)</f>
        <v>4.449848043726905</v>
      </c>
      <c r="I17" s="133">
        <f>IF(SER_hh_emih_in!I17=0,0,SER_hh_emih_in!I17/SER_summary!I$27)</f>
        <v>4.2800140239083797</v>
      </c>
      <c r="J17" s="133">
        <f>IF(SER_hh_emih_in!J17=0,0,SER_hh_emih_in!J17/SER_summary!J$27)</f>
        <v>4.164807682818604</v>
      </c>
      <c r="K17" s="133">
        <f>IF(SER_hh_emih_in!K17=0,0,SER_hh_emih_in!K17/SER_summary!K$27)</f>
        <v>4.1474151493470028</v>
      </c>
      <c r="L17" s="133">
        <f>IF(SER_hh_emih_in!L17=0,0,SER_hh_emih_in!L17/SER_summary!L$27)</f>
        <v>4.6355738494442376</v>
      </c>
      <c r="M17" s="133">
        <f>IF(SER_hh_emih_in!M17=0,0,SER_hh_emih_in!M17/SER_summary!M$27)</f>
        <v>4.0661751843348872</v>
      </c>
      <c r="N17" s="133">
        <f>IF(SER_hh_emih_in!N17=0,0,SER_hh_emih_in!N17/SER_summary!N$27)</f>
        <v>4.1925954114579982</v>
      </c>
      <c r="O17" s="133">
        <f>IF(SER_hh_emih_in!O17=0,0,SER_hh_emih_in!O17/SER_summary!O$27)</f>
        <v>4.1075903481200964</v>
      </c>
      <c r="P17" s="133">
        <f>IF(SER_hh_emih_in!P17=0,0,SER_hh_emih_in!P17/SER_summary!P$27)</f>
        <v>3.9526099061171718</v>
      </c>
      <c r="Q17" s="133">
        <f>IF(SER_hh_emih_in!Q17=0,0,SER_hh_emih_in!Q17/SER_summary!Q$27)</f>
        <v>4.3761912866619603</v>
      </c>
      <c r="R17" s="133">
        <f>IF(SER_hh_emih_in!R17=0,0,SER_hh_emih_in!R17/SER_summary!R$27)</f>
        <v>3.7376851241678888</v>
      </c>
      <c r="S17" s="133">
        <f>IF(SER_hh_emih_in!S17=0,0,SER_hh_emih_in!S17/SER_summary!S$27)</f>
        <v>3.6116387125797602</v>
      </c>
      <c r="T17" s="133">
        <f>IF(SER_hh_emih_in!T17=0,0,SER_hh_emih_in!T17/SER_summary!T$27)</f>
        <v>3.5367379954815341</v>
      </c>
      <c r="U17" s="133">
        <f>IF(SER_hh_emih_in!U17=0,0,SER_hh_emih_in!U17/SER_summary!U$27)</f>
        <v>3.6277429529847041</v>
      </c>
      <c r="V17" s="133">
        <f>IF(SER_hh_emih_in!V17=0,0,SER_hh_emih_in!V17/SER_summary!V$27)</f>
        <v>2.8193180810484852</v>
      </c>
      <c r="W17" s="133">
        <f>IF(SER_hh_emih_in!W17=0,0,SER_hh_emih_in!W17/SER_summary!W$27)</f>
        <v>2.7243650564577044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2.6502864499237075</v>
      </c>
      <c r="D19" s="131">
        <f>IF(SER_hh_emih_in!D19=0,0,SER_hh_emih_in!D19/SER_summary!D$27)</f>
        <v>2.9014866748131958</v>
      </c>
      <c r="E19" s="131">
        <f>IF(SER_hh_emih_in!E19=0,0,SER_hh_emih_in!E19/SER_summary!E$27)</f>
        <v>2.779798714718928</v>
      </c>
      <c r="F19" s="131">
        <f>IF(SER_hh_emih_in!F19=0,0,SER_hh_emih_in!F19/SER_summary!F$27)</f>
        <v>1.4966924231917234</v>
      </c>
      <c r="G19" s="131">
        <f>IF(SER_hh_emih_in!G19=0,0,SER_hh_emih_in!G19/SER_summary!G$27)</f>
        <v>1.0891698982949152</v>
      </c>
      <c r="H19" s="131">
        <f>IF(SER_hh_emih_in!H19=0,0,SER_hh_emih_in!H19/SER_summary!H$27)</f>
        <v>0.93350628190160567</v>
      </c>
      <c r="I19" s="131">
        <f>IF(SER_hh_emih_in!I19=0,0,SER_hh_emih_in!I19/SER_summary!I$27)</f>
        <v>1.2229690289654611</v>
      </c>
      <c r="J19" s="131">
        <f>IF(SER_hh_emih_in!J19=0,0,SER_hh_emih_in!J19/SER_summary!J$27)</f>
        <v>1.5149803889219391</v>
      </c>
      <c r="K19" s="131">
        <f>IF(SER_hh_emih_in!K19=0,0,SER_hh_emih_in!K19/SER_summary!K$27)</f>
        <v>1.7414341401219042</v>
      </c>
      <c r="L19" s="131">
        <f>IF(SER_hh_emih_in!L19=0,0,SER_hh_emih_in!L19/SER_summary!L$27)</f>
        <v>2.9036182991831652</v>
      </c>
      <c r="M19" s="131">
        <f>IF(SER_hh_emih_in!M19=0,0,SER_hh_emih_in!M19/SER_summary!M$27)</f>
        <v>1.88691543673949</v>
      </c>
      <c r="N19" s="131">
        <f>IF(SER_hh_emih_in!N19=0,0,SER_hh_emih_in!N19/SER_summary!N$27)</f>
        <v>1.9234194734004324</v>
      </c>
      <c r="O19" s="131">
        <f>IF(SER_hh_emih_in!O19=0,0,SER_hh_emih_in!O19/SER_summary!O$27)</f>
        <v>1.5709843668963239</v>
      </c>
      <c r="P19" s="131">
        <f>IF(SER_hh_emih_in!P19=0,0,SER_hh_emih_in!P19/SER_summary!P$27)</f>
        <v>1.470451648869505</v>
      </c>
      <c r="Q19" s="131">
        <f>IF(SER_hh_emih_in!Q19=0,0,SER_hh_emih_in!Q19/SER_summary!Q$27)</f>
        <v>1.3169226617395728</v>
      </c>
      <c r="R19" s="131">
        <f>IF(SER_hh_emih_in!R19=0,0,SER_hh_emih_in!R19/SER_summary!R$27)</f>
        <v>1.1869694166099707</v>
      </c>
      <c r="S19" s="131">
        <f>IF(SER_hh_emih_in!S19=0,0,SER_hh_emih_in!S19/SER_summary!S$27)</f>
        <v>0.56429501426215201</v>
      </c>
      <c r="T19" s="131">
        <f>IF(SER_hh_emih_in!T19=0,0,SER_hh_emih_in!T19/SER_summary!T$27)</f>
        <v>0.35073375649452981</v>
      </c>
      <c r="U19" s="131">
        <f>IF(SER_hh_emih_in!U19=0,0,SER_hh_emih_in!U19/SER_summary!U$27)</f>
        <v>0.30193667052452955</v>
      </c>
      <c r="V19" s="131">
        <f>IF(SER_hh_emih_in!V19=0,0,SER_hh_emih_in!V19/SER_summary!V$27)</f>
        <v>0.34136947956617691</v>
      </c>
      <c r="W19" s="131">
        <f>IF(SER_hh_emih_in!W19=0,0,SER_hh_emih_in!W19/SER_summary!W$27)</f>
        <v>0.72969812763641173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5.9000771493482294</v>
      </c>
      <c r="D20" s="133">
        <f>IF(SER_hh_emih_in!D20=0,0,SER_hh_emih_in!D20/SER_summary!D$27)</f>
        <v>7.0746113966655884</v>
      </c>
      <c r="E20" s="133">
        <f>IF(SER_hh_emih_in!E20=0,0,SER_hh_emih_in!E20/SER_summary!E$27)</f>
        <v>7.0400668512905398</v>
      </c>
      <c r="F20" s="133">
        <f>IF(SER_hh_emih_in!F20=0,0,SER_hh_emih_in!F20/SER_summary!F$27)</f>
        <v>7.2574116024524491</v>
      </c>
      <c r="G20" s="133">
        <f>IF(SER_hh_emih_in!G20=0,0,SER_hh_emih_in!G20/SER_summary!G$27)</f>
        <v>7.1863274969981443</v>
      </c>
      <c r="H20" s="133">
        <f>IF(SER_hh_emih_in!H20=0,0,SER_hh_emih_in!H20/SER_summary!H$27)</f>
        <v>6.6079038114441619</v>
      </c>
      <c r="I20" s="133">
        <f>IF(SER_hh_emih_in!I20=0,0,SER_hh_emih_in!I20/SER_summary!I$27)</f>
        <v>7.853550053087667</v>
      </c>
      <c r="J20" s="133">
        <f>IF(SER_hh_emih_in!J20=0,0,SER_hh_emih_in!J20/SER_summary!J$27)</f>
        <v>7.7870751469239741</v>
      </c>
      <c r="K20" s="133">
        <f>IF(SER_hh_emih_in!K20=0,0,SER_hh_emih_in!K20/SER_summary!K$27)</f>
        <v>7.6798574615386626</v>
      </c>
      <c r="L20" s="133">
        <f>IF(SER_hh_emih_in!L20=0,0,SER_hh_emih_in!L20/SER_summary!L$27)</f>
        <v>7.8860420002720399</v>
      </c>
      <c r="M20" s="133">
        <f>IF(SER_hh_emih_in!M20=0,0,SER_hh_emih_in!M20/SER_summary!M$27)</f>
        <v>7.7250224680641795</v>
      </c>
      <c r="N20" s="133">
        <f>IF(SER_hh_emih_in!N20=0,0,SER_hh_emih_in!N20/SER_summary!N$27)</f>
        <v>7.66392214508158</v>
      </c>
      <c r="O20" s="133">
        <f>IF(SER_hh_emih_in!O20=0,0,SER_hh_emih_in!O20/SER_summary!O$27)</f>
        <v>7.7788490165635862</v>
      </c>
      <c r="P20" s="133">
        <f>IF(SER_hh_emih_in!P20=0,0,SER_hh_emih_in!P20/SER_summary!P$27)</f>
        <v>7.639401458647713</v>
      </c>
      <c r="Q20" s="133">
        <f>IF(SER_hh_emih_in!Q20=0,0,SER_hh_emih_in!Q20/SER_summary!Q$27)</f>
        <v>7.6114614133964471</v>
      </c>
      <c r="R20" s="133">
        <f>IF(SER_hh_emih_in!R20=0,0,SER_hh_emih_in!R20/SER_summary!R$27)</f>
        <v>8.5100264971665389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5.2942588789513536</v>
      </c>
      <c r="V20" s="133">
        <f>IF(SER_hh_emih_in!V20=0,0,SER_hh_emih_in!V20/SER_summary!V$27)</f>
        <v>6.1266225976727728</v>
      </c>
      <c r="W20" s="133">
        <f>IF(SER_hh_emih_in!W20=0,0,SER_hh_emih_in!W20/SER_summary!W$27)</f>
        <v>8.3080726351198084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4.2415039216254371</v>
      </c>
      <c r="D21" s="133">
        <f>IF(SER_hh_emih_in!D21=0,0,SER_hh_emih_in!D21/SER_summary!D$27)</f>
        <v>4.0600055524352241</v>
      </c>
      <c r="E21" s="133">
        <f>IF(SER_hh_emih_in!E21=0,0,SER_hh_emih_in!E21/SER_summary!E$27)</f>
        <v>6.1395528342507655</v>
      </c>
      <c r="F21" s="133">
        <f>IF(SER_hh_emih_in!F21=0,0,SER_hh_emih_in!F21/SER_summary!F$27)</f>
        <v>5.3724310162980773</v>
      </c>
      <c r="G21" s="133">
        <f>IF(SER_hh_emih_in!G21=0,0,SER_hh_emih_in!G21/SER_summary!G$27)</f>
        <v>4.6937728925245592</v>
      </c>
      <c r="H21" s="133">
        <f>IF(SER_hh_emih_in!H21=0,0,SER_hh_emih_in!H21/SER_summary!H$27)</f>
        <v>5.8549584151237397</v>
      </c>
      <c r="I21" s="133">
        <f>IF(SER_hh_emih_in!I21=0,0,SER_hh_emih_in!I21/SER_summary!I$27)</f>
        <v>0</v>
      </c>
      <c r="J21" s="133">
        <f>IF(SER_hh_emih_in!J21=0,0,SER_hh_emih_in!J21/SER_summary!J$27)</f>
        <v>5.4688610032110105</v>
      </c>
      <c r="K21" s="133">
        <f>IF(SER_hh_emih_in!K21=0,0,SER_hh_emih_in!K21/SER_summary!K$27)</f>
        <v>5.7268502267110915</v>
      </c>
      <c r="L21" s="133">
        <f>IF(SER_hh_emih_in!L21=0,0,SER_hh_emih_in!L21/SER_summary!L$27)</f>
        <v>5.5940176662576873</v>
      </c>
      <c r="M21" s="133">
        <f>IF(SER_hh_emih_in!M21=0,0,SER_hh_emih_in!M21/SER_summary!M$27)</f>
        <v>5.554805408993829</v>
      </c>
      <c r="N21" s="133">
        <f>IF(SER_hh_emih_in!N21=0,0,SER_hh_emih_in!N21/SER_summary!N$27)</f>
        <v>7.113792599893566</v>
      </c>
      <c r="O21" s="133">
        <f>IF(SER_hh_emih_in!O21=0,0,SER_hh_emih_in!O21/SER_summary!O$27)</f>
        <v>4.6634879801886688</v>
      </c>
      <c r="P21" s="133">
        <f>IF(SER_hh_emih_in!P21=0,0,SER_hh_emih_in!P21/SER_summary!P$27)</f>
        <v>5.2358959948844337</v>
      </c>
      <c r="Q21" s="133">
        <f>IF(SER_hh_emih_in!Q21=0,0,SER_hh_emih_in!Q21/SER_summary!Q$27)</f>
        <v>4.817427756288585</v>
      </c>
      <c r="R21" s="133">
        <f>IF(SER_hh_emih_in!R21=0,0,SER_hh_emih_in!R21/SER_summary!R$27)</f>
        <v>4.9052564726100218</v>
      </c>
      <c r="S21" s="133">
        <f>IF(SER_hh_emih_in!S21=0,0,SER_hh_emih_in!S21/SER_summary!S$27)</f>
        <v>4.798824973319042</v>
      </c>
      <c r="T21" s="133">
        <f>IF(SER_hh_emih_in!T21=0,0,SER_hh_emih_in!T21/SER_summary!T$27)</f>
        <v>4.3743835346918409</v>
      </c>
      <c r="U21" s="133">
        <f>IF(SER_hh_emih_in!U21=0,0,SER_hh_emih_in!U21/SER_summary!U$27)</f>
        <v>4.9214172471769331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4.7863389574007105</v>
      </c>
      <c r="D22" s="133">
        <f>IF(SER_hh_emih_in!D22=0,0,SER_hh_emih_in!D22/SER_summary!D$27)</f>
        <v>5.8125117815768697</v>
      </c>
      <c r="E22" s="133">
        <f>IF(SER_hh_emih_in!E22=0,0,SER_hh_emih_in!E22/SER_summary!E$27)</f>
        <v>6.2630111083952995</v>
      </c>
      <c r="F22" s="133">
        <f>IF(SER_hh_emih_in!F22=0,0,SER_hh_emih_in!F22/SER_summary!F$27)</f>
        <v>6.6433471827786432</v>
      </c>
      <c r="G22" s="133">
        <f>IF(SER_hh_emih_in!G22=0,0,SER_hh_emih_in!G22/SER_summary!G$27)</f>
        <v>6.5013298234791081</v>
      </c>
      <c r="H22" s="133">
        <f>IF(SER_hh_emih_in!H22=0,0,SER_hh_emih_in!H22/SER_summary!H$27)</f>
        <v>6.9345459119585762</v>
      </c>
      <c r="I22" s="133">
        <f>IF(SER_hh_emih_in!I22=0,0,SER_hh_emih_in!I22/SER_summary!I$27)</f>
        <v>7.3747171090996977</v>
      </c>
      <c r="J22" s="133">
        <f>IF(SER_hh_emih_in!J22=0,0,SER_hh_emih_in!J22/SER_summary!J$27)</f>
        <v>7.4905888468255872</v>
      </c>
      <c r="K22" s="133">
        <f>IF(SER_hh_emih_in!K22=0,0,SER_hh_emih_in!K22/SER_summary!K$27)</f>
        <v>7.3803933374156783</v>
      </c>
      <c r="L22" s="133">
        <f>IF(SER_hh_emih_in!L22=0,0,SER_hh_emih_in!L22/SER_summary!L$27)</f>
        <v>7.3987000692965879</v>
      </c>
      <c r="M22" s="133">
        <f>IF(SER_hh_emih_in!M22=0,0,SER_hh_emih_in!M22/SER_summary!M$27)</f>
        <v>7.2617644503735894</v>
      </c>
      <c r="N22" s="133">
        <f>IF(SER_hh_emih_in!N22=0,0,SER_hh_emih_in!N22/SER_summary!N$27)</f>
        <v>7.0056041529451223</v>
      </c>
      <c r="O22" s="133">
        <f>IF(SER_hh_emih_in!O22=0,0,SER_hh_emih_in!O22/SER_summary!O$27)</f>
        <v>6.8166270409518699</v>
      </c>
      <c r="P22" s="133">
        <f>IF(SER_hh_emih_in!P22=0,0,SER_hh_emih_in!P22/SER_summary!P$27)</f>
        <v>6.3265057040768804</v>
      </c>
      <c r="Q22" s="133">
        <f>IF(SER_hh_emih_in!Q22=0,0,SER_hh_emih_in!Q22/SER_summary!Q$27)</f>
        <v>6.0673104836239533</v>
      </c>
      <c r="R22" s="133">
        <f>IF(SER_hh_emih_in!R22=0,0,SER_hh_emih_in!R22/SER_summary!R$27)</f>
        <v>5.8113158509849274</v>
      </c>
      <c r="S22" s="133">
        <f>IF(SER_hh_emih_in!S22=0,0,SER_hh_emih_in!S22/SER_summary!S$27)</f>
        <v>5.9316802557365298</v>
      </c>
      <c r="T22" s="133">
        <f>IF(SER_hh_emih_in!T22=0,0,SER_hh_emih_in!T22/SER_summary!T$27)</f>
        <v>5.5366476173886481</v>
      </c>
      <c r="U22" s="133">
        <f>IF(SER_hh_emih_in!U22=0,0,SER_hh_emih_in!U22/SER_summary!U$27)</f>
        <v>4.6812892621139799</v>
      </c>
      <c r="V22" s="133">
        <f>IF(SER_hh_emih_in!V22=0,0,SER_hh_emih_in!V22/SER_summary!V$27)</f>
        <v>4.7319255854634941</v>
      </c>
      <c r="W22" s="133">
        <f>IF(SER_hh_emih_in!W22=0,0,SER_hh_emih_in!W22/SER_summary!W$27)</f>
        <v>5.3622003957865241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3.408510744875358</v>
      </c>
      <c r="D23" s="133">
        <f>IF(SER_hh_emih_in!D23=0,0,SER_hh_emih_in!D23/SER_summary!D$27)</f>
        <v>3.8011112599545345</v>
      </c>
      <c r="E23" s="133">
        <f>IF(SER_hh_emih_in!E23=0,0,SER_hh_emih_in!E23/SER_summary!E$27)</f>
        <v>4.5299929921038551</v>
      </c>
      <c r="F23" s="133">
        <f>IF(SER_hh_emih_in!F23=0,0,SER_hh_emih_in!F23/SER_summary!F$27)</f>
        <v>4.4533471662167861</v>
      </c>
      <c r="G23" s="133">
        <f>IF(SER_hh_emih_in!G23=0,0,SER_hh_emih_in!G23/SER_summary!G$27)</f>
        <v>4.4865607369837113</v>
      </c>
      <c r="H23" s="133">
        <f>IF(SER_hh_emih_in!H23=0,0,SER_hh_emih_in!H23/SER_summary!H$27)</f>
        <v>4.573540643119582</v>
      </c>
      <c r="I23" s="133">
        <f>IF(SER_hh_emih_in!I23=0,0,SER_hh_emih_in!I23/SER_summary!I$27)</f>
        <v>4.7651248205191434</v>
      </c>
      <c r="J23" s="133">
        <f>IF(SER_hh_emih_in!J23=0,0,SER_hh_emih_in!J23/SER_summary!J$27)</f>
        <v>4.8794780251222054</v>
      </c>
      <c r="K23" s="133">
        <f>IF(SER_hh_emih_in!K23=0,0,SER_hh_emih_in!K23/SER_summary!K$27)</f>
        <v>4.7454603616713067</v>
      </c>
      <c r="L23" s="133">
        <f>IF(SER_hh_emih_in!L23=0,0,SER_hh_emih_in!L23/SER_summary!L$27)</f>
        <v>4.8201596494668069</v>
      </c>
      <c r="M23" s="133">
        <f>IF(SER_hh_emih_in!M23=0,0,SER_hh_emih_in!M23/SER_summary!M$27)</f>
        <v>4.7537769968825758</v>
      </c>
      <c r="N23" s="133">
        <f>IF(SER_hh_emih_in!N23=0,0,SER_hh_emih_in!N23/SER_summary!N$27)</f>
        <v>4.5539577006051717</v>
      </c>
      <c r="O23" s="133">
        <f>IF(SER_hh_emih_in!O23=0,0,SER_hh_emih_in!O23/SER_summary!O$27)</f>
        <v>4.5006637279086963</v>
      </c>
      <c r="P23" s="133">
        <f>IF(SER_hh_emih_in!P23=0,0,SER_hh_emih_in!P23/SER_summary!P$27)</f>
        <v>4.3260883524500704</v>
      </c>
      <c r="Q23" s="133">
        <f>IF(SER_hh_emih_in!Q23=0,0,SER_hh_emih_in!Q23/SER_summary!Q$27)</f>
        <v>4.2538413438883671</v>
      </c>
      <c r="R23" s="133">
        <f>IF(SER_hh_emih_in!R23=0,0,SER_hh_emih_in!R23/SER_summary!R$27)</f>
        <v>4.3911788756464256</v>
      </c>
      <c r="S23" s="133">
        <f>IF(SER_hh_emih_in!S23=0,0,SER_hh_emih_in!S23/SER_summary!S$27)</f>
        <v>0</v>
      </c>
      <c r="T23" s="133">
        <f>IF(SER_hh_emih_in!T23=0,0,SER_hh_emih_in!T23/SER_summary!T$27)</f>
        <v>0</v>
      </c>
      <c r="U23" s="133">
        <f>IF(SER_hh_emih_in!U23=0,0,SER_hh_emih_in!U23/SER_summary!U$27)</f>
        <v>3.4515306794773073</v>
      </c>
      <c r="V23" s="133">
        <f>IF(SER_hh_emih_in!V23=0,0,SER_hh_emih_in!V23/SER_summary!V$27)</f>
        <v>3.027904126235565</v>
      </c>
      <c r="W23" s="133">
        <f>IF(SER_hh_emih_in!W23=0,0,SER_hh_emih_in!W23/SER_summary!W$27)</f>
        <v>4.203294956567186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0.13148375156356151</v>
      </c>
      <c r="D24" s="133">
        <f>IF(SER_hh_emih_in!D24=0,0,SER_hh_emih_in!D24/SER_summary!D$27)</f>
        <v>0.17700078230078911</v>
      </c>
      <c r="E24" s="133">
        <f>IF(SER_hh_emih_in!E24=0,0,SER_hh_emih_in!E24/SER_summary!E$27)</f>
        <v>0.12860958084642624</v>
      </c>
      <c r="F24" s="133">
        <f>IF(SER_hh_emih_in!F24=0,0,SER_hh_emih_in!F24/SER_summary!F$27)</f>
        <v>3.5508038006038176E-3</v>
      </c>
      <c r="G24" s="133">
        <f>IF(SER_hh_emih_in!G24=0,0,SER_hh_emih_in!G24/SER_summary!G$27)</f>
        <v>3.674782978453979E-2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8.6786642307095069E-2</v>
      </c>
      <c r="K24" s="133">
        <f>IF(SER_hh_emih_in!K24=0,0,SER_hh_emih_in!K24/SER_summary!K$27)</f>
        <v>0.19634969910961789</v>
      </c>
      <c r="L24" s="133">
        <f>IF(SER_hh_emih_in!L24=0,0,SER_hh_emih_in!L24/SER_summary!L$27)</f>
        <v>3.5730535831760883E-2</v>
      </c>
      <c r="M24" s="133">
        <f>IF(SER_hh_emih_in!M24=0,0,SER_hh_emih_in!M24/SER_summary!M$27)</f>
        <v>6.1236129158767798E-2</v>
      </c>
      <c r="N24" s="133">
        <f>IF(SER_hh_emih_in!N24=0,0,SER_hh_emih_in!N24/SER_summary!N$27)</f>
        <v>5.7340144427440801E-2</v>
      </c>
      <c r="O24" s="133">
        <f>IF(SER_hh_emih_in!O24=0,0,SER_hh_emih_in!O24/SER_summary!O$27)</f>
        <v>0.60584623144037397</v>
      </c>
      <c r="P24" s="133">
        <f>IF(SER_hh_emih_in!P24=0,0,SER_hh_emih_in!P24/SER_summary!P$27)</f>
        <v>0.35310511729944805</v>
      </c>
      <c r="Q24" s="133">
        <f>IF(SER_hh_emih_in!Q24=0,0,SER_hh_emih_in!Q24/SER_summary!Q$27)</f>
        <v>0.2886518976785783</v>
      </c>
      <c r="R24" s="133">
        <f>IF(SER_hh_emih_in!R24=0,0,SER_hh_emih_in!R24/SER_summary!R$27)</f>
        <v>0.45312743705190445</v>
      </c>
      <c r="S24" s="133">
        <f>IF(SER_hh_emih_in!S24=0,0,SER_hh_emih_in!S24/SER_summary!S$27)</f>
        <v>0.31724839458067505</v>
      </c>
      <c r="T24" s="133">
        <f>IF(SER_hh_emih_in!T24=0,0,SER_hh_emih_in!T24/SER_summary!T$27)</f>
        <v>0.25574706401169628</v>
      </c>
      <c r="U24" s="133">
        <f>IF(SER_hh_emih_in!U24=0,0,SER_hh_emih_in!U24/SER_summary!U$27)</f>
        <v>0.22661260340585404</v>
      </c>
      <c r="V24" s="133">
        <f>IF(SER_hh_emih_in!V24=0,0,SER_hh_emih_in!V24/SER_summary!V$27)</f>
        <v>0.61990650578259998</v>
      </c>
      <c r="W24" s="133">
        <f>IF(SER_hh_emih_in!W24=0,0,SER_hh_emih_in!W24/SER_summary!W$27)</f>
        <v>0.72157073973664965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1.6222849477983425</v>
      </c>
      <c r="D29" s="131">
        <f>IF(SER_hh_emih_in!D29=0,0,SER_hh_emih_in!D29/SER_summary!D$27)</f>
        <v>1.711828588170023</v>
      </c>
      <c r="E29" s="131">
        <f>IF(SER_hh_emih_in!E29=0,0,SER_hh_emih_in!E29/SER_summary!E$27)</f>
        <v>1.9800691199091545</v>
      </c>
      <c r="F29" s="131">
        <f>IF(SER_hh_emih_in!F29=0,0,SER_hh_emih_in!F29/SER_summary!F$27)</f>
        <v>1.5509968493127648</v>
      </c>
      <c r="G29" s="131">
        <f>IF(SER_hh_emih_in!G29=0,0,SER_hh_emih_in!G29/SER_summary!G$27)</f>
        <v>1.7120940101589324</v>
      </c>
      <c r="H29" s="131">
        <f>IF(SER_hh_emih_in!H29=0,0,SER_hh_emih_in!H29/SER_summary!H$27)</f>
        <v>1.402064973661604</v>
      </c>
      <c r="I29" s="131">
        <f>IF(SER_hh_emih_in!I29=0,0,SER_hh_emih_in!I29/SER_summary!I$27)</f>
        <v>1.0869600756691875</v>
      </c>
      <c r="J29" s="131">
        <f>IF(SER_hh_emih_in!J29=0,0,SER_hh_emih_in!J29/SER_summary!J$27)</f>
        <v>0.9955483297424117</v>
      </c>
      <c r="K29" s="131">
        <f>IF(SER_hh_emih_in!K29=0,0,SER_hh_emih_in!K29/SER_summary!K$27)</f>
        <v>1.2012085954108398</v>
      </c>
      <c r="L29" s="131">
        <f>IF(SER_hh_emih_in!L29=0,0,SER_hh_emih_in!L29/SER_summary!L$27)</f>
        <v>1.7699017018012209</v>
      </c>
      <c r="M29" s="131">
        <f>IF(SER_hh_emih_in!M29=0,0,SER_hh_emih_in!M29/SER_summary!M$27)</f>
        <v>2.4282494594812087</v>
      </c>
      <c r="N29" s="131">
        <f>IF(SER_hh_emih_in!N29=0,0,SER_hh_emih_in!N29/SER_summary!N$27)</f>
        <v>2.4945990687135335</v>
      </c>
      <c r="O29" s="131">
        <f>IF(SER_hh_emih_in!O29=0,0,SER_hh_emih_in!O29/SER_summary!O$27)</f>
        <v>2.363761634889832</v>
      </c>
      <c r="P29" s="131">
        <f>IF(SER_hh_emih_in!P29=0,0,SER_hh_emih_in!P29/SER_summary!P$27)</f>
        <v>1.5806627094380443</v>
      </c>
      <c r="Q29" s="131">
        <f>IF(SER_hh_emih_in!Q29=0,0,SER_hh_emih_in!Q29/SER_summary!Q$27)</f>
        <v>1.631930337797254</v>
      </c>
      <c r="R29" s="131">
        <f>IF(SER_hh_emih_in!R29=0,0,SER_hh_emih_in!R29/SER_summary!R$27)</f>
        <v>1.1874802643510027</v>
      </c>
      <c r="S29" s="131">
        <f>IF(SER_hh_emih_in!S29=0,0,SER_hh_emih_in!S29/SER_summary!S$27)</f>
        <v>1.0366645901878799</v>
      </c>
      <c r="T29" s="131">
        <f>IF(SER_hh_emih_in!T29=0,0,SER_hh_emih_in!T29/SER_summary!T$27)</f>
        <v>0.80682795311878985</v>
      </c>
      <c r="U29" s="131">
        <f>IF(SER_hh_emih_in!U29=0,0,SER_hh_emih_in!U29/SER_summary!U$27)</f>
        <v>1.2617215680880569</v>
      </c>
      <c r="V29" s="131">
        <f>IF(SER_hh_emih_in!V29=0,0,SER_hh_emih_in!V29/SER_summary!V$27)</f>
        <v>1.0304238192698505</v>
      </c>
      <c r="W29" s="131">
        <f>IF(SER_hh_emih_in!W29=0,0,SER_hh_emih_in!W29/SER_summary!W$27)</f>
        <v>1.6354917508696432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6.3769402634004777</v>
      </c>
      <c r="D30" s="133">
        <f>IF(SER_hh_emih_in!D30=0,0,SER_hh_emih_in!D30/SER_summary!D$27)</f>
        <v>5.2126846220871323</v>
      </c>
      <c r="E30" s="133">
        <f>IF(SER_hh_emih_in!E30=0,0,SER_hh_emih_in!E30/SER_summary!E$27)</f>
        <v>7.6157521671032269</v>
      </c>
      <c r="F30" s="133">
        <f>IF(SER_hh_emih_in!F30=0,0,SER_hh_emih_in!F30/SER_summary!F$27)</f>
        <v>6.8549208496221983</v>
      </c>
      <c r="G30" s="133">
        <f>IF(SER_hh_emih_in!G30=0,0,SER_hh_emih_in!G30/SER_summary!G$27)</f>
        <v>6.6048411812535983</v>
      </c>
      <c r="H30" s="133">
        <f>IF(SER_hh_emih_in!H30=0,0,SER_hh_emih_in!H30/SER_summary!H$27)</f>
        <v>7.3769258111917067</v>
      </c>
      <c r="I30" s="133">
        <f>IF(SER_hh_emih_in!I30=0,0,SER_hh_emih_in!I30/SER_summary!I$27)</f>
        <v>7.8376448569991704</v>
      </c>
      <c r="J30" s="133">
        <f>IF(SER_hh_emih_in!J30=0,0,SER_hh_emih_in!J30/SER_summary!J$27)</f>
        <v>0</v>
      </c>
      <c r="K30" s="133">
        <f>IF(SER_hh_emih_in!K30=0,0,SER_hh_emih_in!K30/SER_summary!K$27)</f>
        <v>0</v>
      </c>
      <c r="L30" s="133">
        <f>IF(SER_hh_emih_in!L30=0,0,SER_hh_emih_in!L30/SER_summary!L$27)</f>
        <v>0</v>
      </c>
      <c r="M30" s="133">
        <f>IF(SER_hh_emih_in!M30=0,0,SER_hh_emih_in!M30/SER_summary!M$27)</f>
        <v>0</v>
      </c>
      <c r="N30" s="133">
        <f>IF(SER_hh_emih_in!N30=0,0,SER_hh_emih_in!N30/SER_summary!N$27)</f>
        <v>7.1182631022046907</v>
      </c>
      <c r="O30" s="133">
        <f>IF(SER_hh_emih_in!O30=0,0,SER_hh_emih_in!O30/SER_summary!O$27)</f>
        <v>7.3040591628643901</v>
      </c>
      <c r="P30" s="133">
        <f>IF(SER_hh_emih_in!P30=0,0,SER_hh_emih_in!P30/SER_summary!P$27)</f>
        <v>6.3168179242392783</v>
      </c>
      <c r="Q30" s="133">
        <f>IF(SER_hh_emih_in!Q30=0,0,SER_hh_emih_in!Q30/SER_summary!Q$27)</f>
        <v>6.9915865138571416</v>
      </c>
      <c r="R30" s="133">
        <f>IF(SER_hh_emih_in!R30=0,0,SER_hh_emih_in!R30/SER_summary!R$27)</f>
        <v>7.1877641560699628</v>
      </c>
      <c r="S30" s="133">
        <f>IF(SER_hh_emih_in!S30=0,0,SER_hh_emih_in!S30/SER_summary!S$27)</f>
        <v>6.9401283660454389</v>
      </c>
      <c r="T30" s="133">
        <f>IF(SER_hh_emih_in!T30=0,0,SER_hh_emih_in!T30/SER_summary!T$27)</f>
        <v>6.5785491180638784</v>
      </c>
      <c r="U30" s="133">
        <f>IF(SER_hh_emih_in!U30=0,0,SER_hh_emih_in!U30/SER_summary!U$27)</f>
        <v>7.6317535896315754</v>
      </c>
      <c r="V30" s="133">
        <f>IF(SER_hh_emih_in!V30=0,0,SER_hh_emih_in!V30/SER_summary!V$27)</f>
        <v>5.2874300550964026</v>
      </c>
      <c r="W30" s="133">
        <f>IF(SER_hh_emih_in!W30=0,0,SER_hh_emih_in!W30/SER_summary!W$27)</f>
        <v>5.1421440384449637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4.6314313716485334</v>
      </c>
      <c r="D31" s="133">
        <f>IF(SER_hh_emih_in!D31=0,0,SER_hh_emih_in!D31/SER_summary!D$27)</f>
        <v>5.2581782794953078</v>
      </c>
      <c r="E31" s="133">
        <f>IF(SER_hh_emih_in!E31=0,0,SER_hh_emih_in!E31/SER_summary!E$27)</f>
        <v>5.7626073415700922</v>
      </c>
      <c r="F31" s="133">
        <f>IF(SER_hh_emih_in!F31=0,0,SER_hh_emih_in!F31/SER_summary!F$27)</f>
        <v>5.6956347989666085</v>
      </c>
      <c r="G31" s="133">
        <f>IF(SER_hh_emih_in!G31=0,0,SER_hh_emih_in!G31/SER_summary!G$27)</f>
        <v>5.9340674506194926</v>
      </c>
      <c r="H31" s="133">
        <f>IF(SER_hh_emih_in!H31=0,0,SER_hh_emih_in!H31/SER_summary!H$27)</f>
        <v>6.0893803479768049</v>
      </c>
      <c r="I31" s="133">
        <f>IF(SER_hh_emih_in!I31=0,0,SER_hh_emih_in!I31/SER_summary!I$27)</f>
        <v>6.1971002687568566</v>
      </c>
      <c r="J31" s="133">
        <f>IF(SER_hh_emih_in!J31=0,0,SER_hh_emih_in!J31/SER_summary!J$27)</f>
        <v>6.2264974711174768</v>
      </c>
      <c r="K31" s="133">
        <f>IF(SER_hh_emih_in!K31=0,0,SER_hh_emih_in!K31/SER_summary!K$27)</f>
        <v>6.1976353707292917</v>
      </c>
      <c r="L31" s="133">
        <f>IF(SER_hh_emih_in!L31=0,0,SER_hh_emih_in!L31/SER_summary!L$27)</f>
        <v>5.9100858572899329</v>
      </c>
      <c r="M31" s="133">
        <f>IF(SER_hh_emih_in!M31=0,0,SER_hh_emih_in!M31/SER_summary!M$27)</f>
        <v>6.2166552311989536</v>
      </c>
      <c r="N31" s="133">
        <f>IF(SER_hh_emih_in!N31=0,0,SER_hh_emih_in!N31/SER_summary!N$27)</f>
        <v>6.3381062654034981</v>
      </c>
      <c r="O31" s="133">
        <f>IF(SER_hh_emih_in!O31=0,0,SER_hh_emih_in!O31/SER_summary!O$27)</f>
        <v>6.1660191533651592</v>
      </c>
      <c r="P31" s="133">
        <f>IF(SER_hh_emih_in!P31=0,0,SER_hh_emih_in!P31/SER_summary!P$27)</f>
        <v>6.0157489495863503</v>
      </c>
      <c r="Q31" s="133">
        <f>IF(SER_hh_emih_in!Q31=0,0,SER_hh_emih_in!Q31/SER_summary!Q$27)</f>
        <v>6.1589136450560371</v>
      </c>
      <c r="R31" s="133">
        <f>IF(SER_hh_emih_in!R31=0,0,SER_hh_emih_in!R31/SER_summary!R$27)</f>
        <v>5.963930747606323</v>
      </c>
      <c r="S31" s="133">
        <f>IF(SER_hh_emih_in!S31=0,0,SER_hh_emih_in!S31/SER_summary!S$27)</f>
        <v>5.6636249046358493</v>
      </c>
      <c r="T31" s="133">
        <f>IF(SER_hh_emih_in!T31=0,0,SER_hh_emih_in!T31/SER_summary!T$27)</f>
        <v>5.5789220483581197</v>
      </c>
      <c r="U31" s="133">
        <f>IF(SER_hh_emih_in!U31=0,0,SER_hh_emih_in!U31/SER_summary!U$27)</f>
        <v>5.5880783567473467</v>
      </c>
      <c r="V31" s="133">
        <f>IF(SER_hh_emih_in!V31=0,0,SER_hh_emih_in!V31/SER_summary!V$27)</f>
        <v>4.5627457785577485</v>
      </c>
      <c r="W31" s="133">
        <f>IF(SER_hh_emih_in!W31=0,0,SER_hh_emih_in!W31/SER_summary!W$27)</f>
        <v>6.320371709942024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1173.4408523438944</v>
      </c>
      <c r="C3" s="180">
        <f t="shared" ref="C3:W3" si="1">SUM(C4:C9)</f>
        <v>1217.0040132959202</v>
      </c>
      <c r="D3" s="180">
        <f t="shared" si="1"/>
        <v>1265.623199892977</v>
      </c>
      <c r="E3" s="180">
        <f t="shared" si="1"/>
        <v>1323.6659547780853</v>
      </c>
      <c r="F3" s="180">
        <f t="shared" si="1"/>
        <v>1405.025940202006</v>
      </c>
      <c r="G3" s="180">
        <f t="shared" si="1"/>
        <v>1482.8570855301837</v>
      </c>
      <c r="H3" s="180">
        <f t="shared" si="1"/>
        <v>1572.9014388400865</v>
      </c>
      <c r="I3" s="180">
        <f t="shared" si="1"/>
        <v>1658.0664509898606</v>
      </c>
      <c r="J3" s="180">
        <f t="shared" si="1"/>
        <v>1747.2154330069234</v>
      </c>
      <c r="K3" s="180">
        <f t="shared" si="1"/>
        <v>1813.3562965023286</v>
      </c>
      <c r="L3" s="180">
        <f t="shared" si="1"/>
        <v>1849.3462328402852</v>
      </c>
      <c r="M3" s="180">
        <f t="shared" si="1"/>
        <v>1906.6405498783829</v>
      </c>
      <c r="N3" s="180">
        <f t="shared" si="1"/>
        <v>1962.6178345428382</v>
      </c>
      <c r="O3" s="180">
        <f t="shared" si="1"/>
        <v>1996.4003721170563</v>
      </c>
      <c r="P3" s="180">
        <f t="shared" si="1"/>
        <v>2078.4190229629135</v>
      </c>
      <c r="Q3" s="180">
        <f t="shared" si="1"/>
        <v>2149.9872494790661</v>
      </c>
      <c r="R3" s="180">
        <f t="shared" si="1"/>
        <v>2197.5436950391986</v>
      </c>
      <c r="S3" s="180">
        <f t="shared" si="1"/>
        <v>2194.9858839745939</v>
      </c>
      <c r="T3" s="180">
        <f t="shared" si="1"/>
        <v>2187.7130258155216</v>
      </c>
      <c r="U3" s="180">
        <f t="shared" si="1"/>
        <v>2146.7029782932605</v>
      </c>
      <c r="V3" s="180">
        <f t="shared" si="1"/>
        <v>2097.7862063447751</v>
      </c>
      <c r="W3" s="180">
        <f t="shared" si="1"/>
        <v>2168.2932582181161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79.81119862451267</v>
      </c>
      <c r="C4" s="181">
        <f t="shared" ref="C4:R9" si="3">C12*C44/11630</f>
        <v>80.809405948878421</v>
      </c>
      <c r="D4" s="181">
        <f t="shared" si="3"/>
        <v>82.21182880578985</v>
      </c>
      <c r="E4" s="181">
        <f t="shared" si="3"/>
        <v>84.688575961133338</v>
      </c>
      <c r="F4" s="181">
        <f t="shared" si="3"/>
        <v>87.998784561851821</v>
      </c>
      <c r="G4" s="181">
        <f t="shared" si="3"/>
        <v>90.771887138481262</v>
      </c>
      <c r="H4" s="181">
        <f t="shared" si="3"/>
        <v>94.909168966144051</v>
      </c>
      <c r="I4" s="181">
        <f t="shared" si="3"/>
        <v>99.276483546199103</v>
      </c>
      <c r="J4" s="181">
        <f t="shared" si="3"/>
        <v>103.44535208592451</v>
      </c>
      <c r="K4" s="181">
        <f t="shared" si="3"/>
        <v>107.2392736968421</v>
      </c>
      <c r="L4" s="181">
        <f t="shared" si="3"/>
        <v>108.09891821998029</v>
      </c>
      <c r="M4" s="181">
        <f t="shared" si="3"/>
        <v>110.93050576207217</v>
      </c>
      <c r="N4" s="181">
        <f t="shared" si="3"/>
        <v>113.46853320990529</v>
      </c>
      <c r="O4" s="181">
        <f t="shared" si="3"/>
        <v>114.70143553960264</v>
      </c>
      <c r="P4" s="181">
        <f t="shared" si="3"/>
        <v>117.43727794036531</v>
      </c>
      <c r="Q4" s="181">
        <f t="shared" si="3"/>
        <v>119.28289746169062</v>
      </c>
      <c r="R4" s="181">
        <f t="shared" si="3"/>
        <v>120.54918067934875</v>
      </c>
      <c r="S4" s="181">
        <f t="shared" ref="D4:W9" si="4">S12*S44/11630</f>
        <v>122.26137829459401</v>
      </c>
      <c r="T4" s="181">
        <f t="shared" si="4"/>
        <v>123.87895805751188</v>
      </c>
      <c r="U4" s="181">
        <f t="shared" si="4"/>
        <v>126.01220058091836</v>
      </c>
      <c r="V4" s="181">
        <f t="shared" si="4"/>
        <v>127.81924877098847</v>
      </c>
      <c r="W4" s="181">
        <f t="shared" si="4"/>
        <v>129.246568487156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163.87288906536338</v>
      </c>
      <c r="C5" s="181">
        <f t="shared" si="3"/>
        <v>167.39767440776802</v>
      </c>
      <c r="D5" s="181">
        <f t="shared" si="4"/>
        <v>171.42913512921928</v>
      </c>
      <c r="E5" s="181">
        <f t="shared" si="4"/>
        <v>175.60993266401334</v>
      </c>
      <c r="F5" s="181">
        <f t="shared" si="4"/>
        <v>178.81225160334048</v>
      </c>
      <c r="G5" s="181">
        <f t="shared" si="4"/>
        <v>181.55389477564603</v>
      </c>
      <c r="H5" s="181">
        <f t="shared" si="4"/>
        <v>184.70482163099174</v>
      </c>
      <c r="I5" s="181">
        <f t="shared" si="4"/>
        <v>186.46463947479955</v>
      </c>
      <c r="J5" s="181">
        <f t="shared" si="4"/>
        <v>190.02398642676013</v>
      </c>
      <c r="K5" s="181">
        <f t="shared" si="4"/>
        <v>193.63112259624347</v>
      </c>
      <c r="L5" s="181">
        <f t="shared" si="4"/>
        <v>197.93162788990531</v>
      </c>
      <c r="M5" s="181">
        <f t="shared" si="4"/>
        <v>202.72254333800106</v>
      </c>
      <c r="N5" s="181">
        <f t="shared" si="4"/>
        <v>209.89132646813789</v>
      </c>
      <c r="O5" s="181">
        <f t="shared" si="4"/>
        <v>217.58380254545818</v>
      </c>
      <c r="P5" s="181">
        <f t="shared" si="4"/>
        <v>226.11427346600442</v>
      </c>
      <c r="Q5" s="181">
        <f t="shared" si="4"/>
        <v>233.49323621206767</v>
      </c>
      <c r="R5" s="181">
        <f t="shared" si="4"/>
        <v>239.79353047948214</v>
      </c>
      <c r="S5" s="181">
        <f t="shared" si="4"/>
        <v>237.00640615632113</v>
      </c>
      <c r="T5" s="181">
        <f t="shared" si="4"/>
        <v>233.29739606770087</v>
      </c>
      <c r="U5" s="181">
        <f t="shared" si="4"/>
        <v>226.22599865218007</v>
      </c>
      <c r="V5" s="181">
        <f t="shared" si="4"/>
        <v>218.93538038670974</v>
      </c>
      <c r="W5" s="181">
        <f t="shared" si="4"/>
        <v>213.70320027637229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502.29287376697613</v>
      </c>
      <c r="C6" s="181">
        <f t="shared" si="3"/>
        <v>504.2168756820214</v>
      </c>
      <c r="D6" s="181">
        <f t="shared" si="4"/>
        <v>507.51780574622421</v>
      </c>
      <c r="E6" s="181">
        <f t="shared" si="4"/>
        <v>516.16471388896571</v>
      </c>
      <c r="F6" s="181">
        <f t="shared" si="4"/>
        <v>531.61816890113266</v>
      </c>
      <c r="G6" s="181">
        <f t="shared" si="4"/>
        <v>540.27634036005747</v>
      </c>
      <c r="H6" s="181">
        <f t="shared" si="4"/>
        <v>556.95217822203097</v>
      </c>
      <c r="I6" s="181">
        <f t="shared" si="4"/>
        <v>579.99401625490123</v>
      </c>
      <c r="J6" s="181">
        <f t="shared" si="4"/>
        <v>603.15771459544112</v>
      </c>
      <c r="K6" s="181">
        <f t="shared" si="4"/>
        <v>620.73327093963121</v>
      </c>
      <c r="L6" s="181">
        <f t="shared" si="4"/>
        <v>624.93928046431631</v>
      </c>
      <c r="M6" s="181">
        <f t="shared" si="4"/>
        <v>643.67744790252755</v>
      </c>
      <c r="N6" s="181">
        <f t="shared" si="4"/>
        <v>655.01964979691729</v>
      </c>
      <c r="O6" s="181">
        <f t="shared" si="4"/>
        <v>659.58801960856533</v>
      </c>
      <c r="P6" s="181">
        <f t="shared" si="4"/>
        <v>673.15168785256867</v>
      </c>
      <c r="Q6" s="181">
        <f t="shared" si="4"/>
        <v>683.10442300964166</v>
      </c>
      <c r="R6" s="181">
        <f t="shared" si="4"/>
        <v>685.19392150698968</v>
      </c>
      <c r="S6" s="181">
        <f t="shared" si="4"/>
        <v>666.26660063421957</v>
      </c>
      <c r="T6" s="181">
        <f t="shared" si="4"/>
        <v>629.93162622369061</v>
      </c>
      <c r="U6" s="181">
        <f t="shared" si="4"/>
        <v>589.0843665369182</v>
      </c>
      <c r="V6" s="181">
        <f t="shared" si="4"/>
        <v>543.91368319415528</v>
      </c>
      <c r="W6" s="181">
        <f t="shared" si="4"/>
        <v>544.8965012799697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234.49825604471198</v>
      </c>
      <c r="C7" s="181">
        <f t="shared" si="3"/>
        <v>246.48191338614362</v>
      </c>
      <c r="D7" s="181">
        <f t="shared" si="4"/>
        <v>256.59520197846962</v>
      </c>
      <c r="E7" s="181">
        <f t="shared" si="4"/>
        <v>267.62288896336571</v>
      </c>
      <c r="F7" s="181">
        <f t="shared" si="4"/>
        <v>283.02614267857916</v>
      </c>
      <c r="G7" s="181">
        <f t="shared" si="4"/>
        <v>300.04174270086776</v>
      </c>
      <c r="H7" s="181">
        <f t="shared" si="4"/>
        <v>316.41945701026026</v>
      </c>
      <c r="I7" s="181">
        <f t="shared" si="4"/>
        <v>329.92633103242991</v>
      </c>
      <c r="J7" s="181">
        <f t="shared" si="4"/>
        <v>337.07727889426457</v>
      </c>
      <c r="K7" s="181">
        <f t="shared" si="4"/>
        <v>342.0214238125775</v>
      </c>
      <c r="L7" s="181">
        <f t="shared" si="4"/>
        <v>344.50846486059419</v>
      </c>
      <c r="M7" s="181">
        <f t="shared" si="4"/>
        <v>344.71221982143595</v>
      </c>
      <c r="N7" s="181">
        <f t="shared" si="4"/>
        <v>345.41337440000274</v>
      </c>
      <c r="O7" s="181">
        <f t="shared" si="4"/>
        <v>347.01162472576647</v>
      </c>
      <c r="P7" s="181">
        <f t="shared" si="4"/>
        <v>349.47674409384643</v>
      </c>
      <c r="Q7" s="181">
        <f t="shared" si="4"/>
        <v>354.53854364062386</v>
      </c>
      <c r="R7" s="181">
        <f t="shared" si="4"/>
        <v>357.36256269415099</v>
      </c>
      <c r="S7" s="181">
        <f t="shared" si="4"/>
        <v>361.0086961788337</v>
      </c>
      <c r="T7" s="181">
        <f t="shared" si="4"/>
        <v>365.86154689574693</v>
      </c>
      <c r="U7" s="181">
        <f t="shared" si="4"/>
        <v>370.65308443416143</v>
      </c>
      <c r="V7" s="181">
        <f t="shared" si="4"/>
        <v>375.28530620338051</v>
      </c>
      <c r="W7" s="181">
        <f t="shared" si="4"/>
        <v>378.51936153411913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76.024962422115678</v>
      </c>
      <c r="C8" s="55">
        <f t="shared" si="3"/>
        <v>81.173205209957842</v>
      </c>
      <c r="D8" s="55">
        <f t="shared" si="4"/>
        <v>85.933603208904572</v>
      </c>
      <c r="E8" s="55">
        <f t="shared" si="4"/>
        <v>93.416537485428165</v>
      </c>
      <c r="F8" s="55">
        <f t="shared" si="4"/>
        <v>103.03338053602157</v>
      </c>
      <c r="G8" s="55">
        <f t="shared" si="4"/>
        <v>114.01143926274506</v>
      </c>
      <c r="H8" s="55">
        <f t="shared" si="4"/>
        <v>125.63063469479739</v>
      </c>
      <c r="I8" s="55">
        <f t="shared" si="4"/>
        <v>138.04591565775075</v>
      </c>
      <c r="J8" s="55">
        <f t="shared" si="4"/>
        <v>149.48191163055935</v>
      </c>
      <c r="K8" s="55">
        <f t="shared" si="4"/>
        <v>159.3992000140961</v>
      </c>
      <c r="L8" s="55">
        <f t="shared" si="4"/>
        <v>165.42088130855493</v>
      </c>
      <c r="M8" s="55">
        <f t="shared" si="4"/>
        <v>173.16625890835286</v>
      </c>
      <c r="N8" s="55">
        <f t="shared" si="4"/>
        <v>178.81591578341224</v>
      </c>
      <c r="O8" s="55">
        <f t="shared" si="4"/>
        <v>182.17990590883826</v>
      </c>
      <c r="P8" s="55">
        <f t="shared" si="4"/>
        <v>187.27991569806863</v>
      </c>
      <c r="Q8" s="55">
        <f t="shared" si="4"/>
        <v>190.8285517460607</v>
      </c>
      <c r="R8" s="55">
        <f t="shared" si="4"/>
        <v>204.37701767569149</v>
      </c>
      <c r="S8" s="55">
        <f t="shared" si="4"/>
        <v>212.96049951494155</v>
      </c>
      <c r="T8" s="55">
        <f t="shared" si="4"/>
        <v>220.33971086985517</v>
      </c>
      <c r="U8" s="55">
        <f t="shared" si="4"/>
        <v>224.17548340598958</v>
      </c>
      <c r="V8" s="55">
        <f t="shared" si="4"/>
        <v>225.9923562793673</v>
      </c>
      <c r="W8" s="55">
        <f t="shared" si="4"/>
        <v>249.50134135119512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116.94067242021451</v>
      </c>
      <c r="C9" s="63">
        <f t="shared" si="3"/>
        <v>136.92493866115092</v>
      </c>
      <c r="D9" s="63">
        <f t="shared" si="4"/>
        <v>161.93562502436964</v>
      </c>
      <c r="E9" s="63">
        <f t="shared" si="4"/>
        <v>186.16330581517903</v>
      </c>
      <c r="F9" s="63">
        <f t="shared" si="4"/>
        <v>220.53721192108031</v>
      </c>
      <c r="G9" s="63">
        <f t="shared" si="4"/>
        <v>256.20178129238604</v>
      </c>
      <c r="H9" s="63">
        <f t="shared" si="4"/>
        <v>294.28517831586214</v>
      </c>
      <c r="I9" s="63">
        <f t="shared" si="4"/>
        <v>324.35906502377998</v>
      </c>
      <c r="J9" s="63">
        <f t="shared" si="4"/>
        <v>364.02918937397351</v>
      </c>
      <c r="K9" s="63">
        <f t="shared" si="4"/>
        <v>390.33200544293823</v>
      </c>
      <c r="L9" s="63">
        <f t="shared" si="4"/>
        <v>408.44706009693408</v>
      </c>
      <c r="M9" s="63">
        <f t="shared" si="4"/>
        <v>431.4315741459933</v>
      </c>
      <c r="N9" s="63">
        <f t="shared" si="4"/>
        <v>460.00903488446255</v>
      </c>
      <c r="O9" s="63">
        <f t="shared" si="4"/>
        <v>475.33558378882549</v>
      </c>
      <c r="P9" s="63">
        <f t="shared" si="4"/>
        <v>524.95912391206014</v>
      </c>
      <c r="Q9" s="63">
        <f t="shared" si="4"/>
        <v>568.73959740898204</v>
      </c>
      <c r="R9" s="63">
        <f t="shared" si="4"/>
        <v>590.26748200353586</v>
      </c>
      <c r="S9" s="63">
        <f t="shared" si="4"/>
        <v>595.48230319568404</v>
      </c>
      <c r="T9" s="63">
        <f t="shared" si="4"/>
        <v>614.4037877010162</v>
      </c>
      <c r="U9" s="63">
        <f t="shared" si="4"/>
        <v>610.55184468309301</v>
      </c>
      <c r="V9" s="63">
        <f t="shared" si="4"/>
        <v>605.84023151017379</v>
      </c>
      <c r="W9" s="63">
        <f t="shared" si="4"/>
        <v>652.42628528930391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5419.6969377437545</v>
      </c>
      <c r="C11" s="180">
        <f t="shared" ref="C11:W11" si="6">SUM(C12:C17)</f>
        <v>5643.5293144872767</v>
      </c>
      <c r="D11" s="180">
        <f t="shared" si="6"/>
        <v>5891.0469459275118</v>
      </c>
      <c r="E11" s="180">
        <f t="shared" si="6"/>
        <v>6193.7137100216096</v>
      </c>
      <c r="F11" s="180">
        <f t="shared" si="6"/>
        <v>6622.9983514283622</v>
      </c>
      <c r="G11" s="180">
        <f t="shared" si="6"/>
        <v>7044.2852700758576</v>
      </c>
      <c r="H11" s="180">
        <f t="shared" si="6"/>
        <v>7520.6792596409414</v>
      </c>
      <c r="I11" s="180">
        <f t="shared" si="6"/>
        <v>7971.1476750943839</v>
      </c>
      <c r="J11" s="180">
        <f t="shared" si="6"/>
        <v>8468.6310418566281</v>
      </c>
      <c r="K11" s="180">
        <f t="shared" si="6"/>
        <v>8836.7358709677137</v>
      </c>
      <c r="L11" s="180">
        <f t="shared" si="6"/>
        <v>9015.1457628361422</v>
      </c>
      <c r="M11" s="180">
        <f t="shared" si="6"/>
        <v>9311.7565237580784</v>
      </c>
      <c r="N11" s="180">
        <f t="shared" si="6"/>
        <v>9595.2834485566054</v>
      </c>
      <c r="O11" s="180">
        <f t="shared" si="6"/>
        <v>9735.6123422921737</v>
      </c>
      <c r="P11" s="180">
        <f t="shared" si="6"/>
        <v>10145.906232775149</v>
      </c>
      <c r="Q11" s="180">
        <f t="shared" si="6"/>
        <v>10473.090237871935</v>
      </c>
      <c r="R11" s="180">
        <f t="shared" si="6"/>
        <v>10543.168529651733</v>
      </c>
      <c r="S11" s="180">
        <f t="shared" si="6"/>
        <v>10631.700560276751</v>
      </c>
      <c r="T11" s="180">
        <f t="shared" si="6"/>
        <v>10750.372471113857</v>
      </c>
      <c r="U11" s="180">
        <f t="shared" si="6"/>
        <v>10744.029021457003</v>
      </c>
      <c r="V11" s="180">
        <f t="shared" si="6"/>
        <v>10697.304159008927</v>
      </c>
      <c r="W11" s="180">
        <f t="shared" si="6"/>
        <v>10599.719133780345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105.95938812820579</v>
      </c>
      <c r="C12" s="181">
        <f t="shared" ref="C12:W12" si="7">C20*C52</f>
        <v>107.28463369696985</v>
      </c>
      <c r="D12" s="181">
        <f t="shared" si="7"/>
        <v>109.14652614284655</v>
      </c>
      <c r="E12" s="181">
        <f t="shared" si="7"/>
        <v>112.43471899862793</v>
      </c>
      <c r="F12" s="181">
        <f t="shared" si="7"/>
        <v>116.82943658154528</v>
      </c>
      <c r="G12" s="181">
        <f t="shared" si="7"/>
        <v>120.51107847266407</v>
      </c>
      <c r="H12" s="181">
        <f t="shared" si="7"/>
        <v>126.00383962057712</v>
      </c>
      <c r="I12" s="181">
        <f t="shared" si="7"/>
        <v>131.80199813268212</v>
      </c>
      <c r="J12" s="181">
        <f t="shared" si="7"/>
        <v>137.33669460722626</v>
      </c>
      <c r="K12" s="181">
        <f t="shared" si="7"/>
        <v>142.37360195140116</v>
      </c>
      <c r="L12" s="181">
        <f t="shared" si="7"/>
        <v>143.51488800209717</v>
      </c>
      <c r="M12" s="181">
        <f t="shared" si="7"/>
        <v>147.27417602886982</v>
      </c>
      <c r="N12" s="181">
        <f t="shared" si="7"/>
        <v>150.64372616794503</v>
      </c>
      <c r="O12" s="181">
        <f t="shared" si="7"/>
        <v>152.28055882712087</v>
      </c>
      <c r="P12" s="181">
        <f t="shared" si="7"/>
        <v>155.91273315598727</v>
      </c>
      <c r="Q12" s="181">
        <f t="shared" si="7"/>
        <v>158.36302482642259</v>
      </c>
      <c r="R12" s="181">
        <f t="shared" si="7"/>
        <v>160.04417480603038</v>
      </c>
      <c r="S12" s="181">
        <f t="shared" si="7"/>
        <v>162.3173321422521</v>
      </c>
      <c r="T12" s="181">
        <f t="shared" si="7"/>
        <v>164.46487239827201</v>
      </c>
      <c r="U12" s="181">
        <f t="shared" si="7"/>
        <v>167.29701972101378</v>
      </c>
      <c r="V12" s="181">
        <f t="shared" si="7"/>
        <v>169.69610310577582</v>
      </c>
      <c r="W12" s="181">
        <f t="shared" si="7"/>
        <v>171.59104925863295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480.95638916554429</v>
      </c>
      <c r="C13" s="181">
        <f t="shared" ref="C13:W13" si="8">C21*C53/1000</f>
        <v>491.07549537933795</v>
      </c>
      <c r="D13" s="181">
        <f t="shared" si="8"/>
        <v>502.76479439170527</v>
      </c>
      <c r="E13" s="181">
        <f t="shared" si="8"/>
        <v>514.63713557312985</v>
      </c>
      <c r="F13" s="181">
        <f t="shared" si="8"/>
        <v>523.38546938151046</v>
      </c>
      <c r="G13" s="181">
        <f t="shared" si="8"/>
        <v>530.18242885828067</v>
      </c>
      <c r="H13" s="181">
        <f t="shared" si="8"/>
        <v>538.70822347138233</v>
      </c>
      <c r="I13" s="181">
        <f t="shared" si="8"/>
        <v>542.62286335807801</v>
      </c>
      <c r="J13" s="181">
        <f t="shared" si="8"/>
        <v>552.18767553466807</v>
      </c>
      <c r="K13" s="181">
        <f t="shared" si="8"/>
        <v>562.20008373666394</v>
      </c>
      <c r="L13" s="181">
        <f t="shared" si="8"/>
        <v>573.79869852992999</v>
      </c>
      <c r="M13" s="181">
        <f t="shared" si="8"/>
        <v>588.00892899076155</v>
      </c>
      <c r="N13" s="181">
        <f t="shared" si="8"/>
        <v>608.88016429058337</v>
      </c>
      <c r="O13" s="181">
        <f t="shared" si="8"/>
        <v>631.80157844501457</v>
      </c>
      <c r="P13" s="181">
        <f t="shared" si="8"/>
        <v>658.46728906787496</v>
      </c>
      <c r="Q13" s="181">
        <f t="shared" si="8"/>
        <v>682.29335666891848</v>
      </c>
      <c r="R13" s="181">
        <f t="shared" si="8"/>
        <v>687.41239811881837</v>
      </c>
      <c r="S13" s="181">
        <f t="shared" si="8"/>
        <v>689.33424394684073</v>
      </c>
      <c r="T13" s="181">
        <f t="shared" si="8"/>
        <v>687.36725770222802</v>
      </c>
      <c r="U13" s="181">
        <f t="shared" si="8"/>
        <v>679.26651931678634</v>
      </c>
      <c r="V13" s="181">
        <f t="shared" si="8"/>
        <v>665.06426797973052</v>
      </c>
      <c r="W13" s="181">
        <f t="shared" si="8"/>
        <v>649.03540865444722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2604.0116968551961</v>
      </c>
      <c r="C14" s="181">
        <f t="shared" ref="C14:W14" si="9">C22*C54</f>
        <v>2598.0789577751211</v>
      </c>
      <c r="D14" s="181">
        <f t="shared" si="9"/>
        <v>2598.6917784840821</v>
      </c>
      <c r="E14" s="181">
        <f t="shared" si="9"/>
        <v>2623.6897229469851</v>
      </c>
      <c r="F14" s="181">
        <f t="shared" si="9"/>
        <v>2677.939097321289</v>
      </c>
      <c r="G14" s="181">
        <f t="shared" si="9"/>
        <v>2703.237724279365</v>
      </c>
      <c r="H14" s="181">
        <f t="shared" si="9"/>
        <v>2761.1604904874043</v>
      </c>
      <c r="I14" s="181">
        <f t="shared" si="9"/>
        <v>2849.5405822948278</v>
      </c>
      <c r="J14" s="181">
        <f t="shared" si="9"/>
        <v>2940.3615290348184</v>
      </c>
      <c r="K14" s="181">
        <f t="shared" si="9"/>
        <v>3008.6942110391492</v>
      </c>
      <c r="L14" s="181">
        <f t="shared" si="9"/>
        <v>3011.044151141004</v>
      </c>
      <c r="M14" s="181">
        <f t="shared" si="9"/>
        <v>3080.4093690034351</v>
      </c>
      <c r="N14" s="181">
        <f t="shared" si="9"/>
        <v>3118.8547853407044</v>
      </c>
      <c r="O14" s="181">
        <f t="shared" si="9"/>
        <v>3128.2790092736655</v>
      </c>
      <c r="P14" s="181">
        <f t="shared" si="9"/>
        <v>3174.8463340211979</v>
      </c>
      <c r="Q14" s="181">
        <f t="shared" si="9"/>
        <v>3202.4175212364694</v>
      </c>
      <c r="R14" s="181">
        <f t="shared" si="9"/>
        <v>3132.8959282779747</v>
      </c>
      <c r="S14" s="181">
        <f t="shared" si="9"/>
        <v>3052.0040272562378</v>
      </c>
      <c r="T14" s="181">
        <f t="shared" si="9"/>
        <v>2938.1567212763421</v>
      </c>
      <c r="U14" s="181">
        <f t="shared" si="9"/>
        <v>2826.1010594991048</v>
      </c>
      <c r="V14" s="181">
        <f t="shared" si="9"/>
        <v>2669.2445866895919</v>
      </c>
      <c r="W14" s="181">
        <f t="shared" si="9"/>
        <v>2488.6534528926604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311.32588102739737</v>
      </c>
      <c r="C15" s="181">
        <f t="shared" ref="C15:W15" si="10">C23*C55/1000</f>
        <v>327.23569094530251</v>
      </c>
      <c r="D15" s="181">
        <f t="shared" si="10"/>
        <v>340.6623514851143</v>
      </c>
      <c r="E15" s="181">
        <f t="shared" si="10"/>
        <v>355.30299071277892</v>
      </c>
      <c r="F15" s="181">
        <f t="shared" si="10"/>
        <v>375.75274421825071</v>
      </c>
      <c r="G15" s="181">
        <f t="shared" si="10"/>
        <v>398.34308990994202</v>
      </c>
      <c r="H15" s="181">
        <f t="shared" si="10"/>
        <v>420.08656221795957</v>
      </c>
      <c r="I15" s="181">
        <f t="shared" si="10"/>
        <v>438.0186335510457</v>
      </c>
      <c r="J15" s="181">
        <f t="shared" si="10"/>
        <v>447.51241478770515</v>
      </c>
      <c r="K15" s="181">
        <f t="shared" si="10"/>
        <v>454.07638800688102</v>
      </c>
      <c r="L15" s="181">
        <f t="shared" si="10"/>
        <v>457.37824729779805</v>
      </c>
      <c r="M15" s="181">
        <f t="shared" si="10"/>
        <v>457.64875759398416</v>
      </c>
      <c r="N15" s="181">
        <f t="shared" si="10"/>
        <v>458.57962834155614</v>
      </c>
      <c r="O15" s="181">
        <f t="shared" si="10"/>
        <v>460.70150634254162</v>
      </c>
      <c r="P15" s="181">
        <f t="shared" si="10"/>
        <v>463.97426185062034</v>
      </c>
      <c r="Q15" s="181">
        <f t="shared" si="10"/>
        <v>470.69443636306596</v>
      </c>
      <c r="R15" s="181">
        <f t="shared" si="10"/>
        <v>474.44367627088786</v>
      </c>
      <c r="S15" s="181">
        <f t="shared" si="10"/>
        <v>479.284376319616</v>
      </c>
      <c r="T15" s="181">
        <f t="shared" si="10"/>
        <v>485.72714502255002</v>
      </c>
      <c r="U15" s="181">
        <f t="shared" si="10"/>
        <v>492.08851278188337</v>
      </c>
      <c r="V15" s="181">
        <f t="shared" si="10"/>
        <v>498.2383688522051</v>
      </c>
      <c r="W15" s="181">
        <f t="shared" si="10"/>
        <v>502.53198340659884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1065.9918230769586</v>
      </c>
      <c r="C16" s="55">
        <f t="shared" ref="C16:W16" si="11">C24*C56</f>
        <v>1132.7673423436688</v>
      </c>
      <c r="D16" s="55">
        <f t="shared" si="11"/>
        <v>1193.9925558142777</v>
      </c>
      <c r="E16" s="55">
        <f t="shared" si="11"/>
        <v>1292.7789071055636</v>
      </c>
      <c r="F16" s="55">
        <f t="shared" si="11"/>
        <v>1420.5914834747639</v>
      </c>
      <c r="G16" s="55">
        <f t="shared" si="11"/>
        <v>1566.5401291207877</v>
      </c>
      <c r="H16" s="55">
        <f t="shared" si="11"/>
        <v>1720.6289032371224</v>
      </c>
      <c r="I16" s="55">
        <f t="shared" si="11"/>
        <v>1884.9454004399668</v>
      </c>
      <c r="J16" s="55">
        <f t="shared" si="11"/>
        <v>2035.2730272142569</v>
      </c>
      <c r="K16" s="55">
        <f t="shared" si="11"/>
        <v>2164.4428172141061</v>
      </c>
      <c r="L16" s="55">
        <f t="shared" si="11"/>
        <v>2240.4563632252521</v>
      </c>
      <c r="M16" s="55">
        <f t="shared" si="11"/>
        <v>2341.5483184093964</v>
      </c>
      <c r="N16" s="55">
        <f t="shared" si="11"/>
        <v>2414.1962693270193</v>
      </c>
      <c r="O16" s="55">
        <f t="shared" si="11"/>
        <v>2455.9717755454008</v>
      </c>
      <c r="P16" s="55">
        <f t="shared" si="11"/>
        <v>2521.1459609450726</v>
      </c>
      <c r="Q16" s="55">
        <f t="shared" si="11"/>
        <v>2565.4241574074681</v>
      </c>
      <c r="R16" s="55">
        <f t="shared" si="11"/>
        <v>2685.1646846867843</v>
      </c>
      <c r="S16" s="55">
        <f t="shared" si="11"/>
        <v>2819.1209444265196</v>
      </c>
      <c r="T16" s="55">
        <f t="shared" si="11"/>
        <v>2941.9571306720327</v>
      </c>
      <c r="U16" s="55">
        <f t="shared" si="11"/>
        <v>3051.0573568013092</v>
      </c>
      <c r="V16" s="55">
        <f t="shared" si="11"/>
        <v>3146.3295054520868</v>
      </c>
      <c r="W16" s="55">
        <f t="shared" si="11"/>
        <v>3232.7740918363088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851.45175949045199</v>
      </c>
      <c r="C17" s="63">
        <f t="shared" ref="C17:W17" si="12">C25*C57/1000</f>
        <v>987.08719434687612</v>
      </c>
      <c r="D17" s="63">
        <f t="shared" si="12"/>
        <v>1145.7889396094861</v>
      </c>
      <c r="E17" s="63">
        <f t="shared" si="12"/>
        <v>1294.8702346845241</v>
      </c>
      <c r="F17" s="63">
        <f t="shared" si="12"/>
        <v>1508.5001204510024</v>
      </c>
      <c r="G17" s="63">
        <f t="shared" si="12"/>
        <v>1725.4708194348188</v>
      </c>
      <c r="H17" s="63">
        <f t="shared" si="12"/>
        <v>1954.0912406064967</v>
      </c>
      <c r="I17" s="63">
        <f t="shared" si="12"/>
        <v>2124.2181973177835</v>
      </c>
      <c r="J17" s="63">
        <f t="shared" si="12"/>
        <v>2355.9597006779541</v>
      </c>
      <c r="K17" s="63">
        <f t="shared" si="12"/>
        <v>2504.9487690195137</v>
      </c>
      <c r="L17" s="63">
        <f t="shared" si="12"/>
        <v>2588.9534146400601</v>
      </c>
      <c r="M17" s="63">
        <f t="shared" si="12"/>
        <v>2696.8669737316309</v>
      </c>
      <c r="N17" s="63">
        <f t="shared" si="12"/>
        <v>2844.1288750887961</v>
      </c>
      <c r="O17" s="63">
        <f t="shared" si="12"/>
        <v>2906.5779138584317</v>
      </c>
      <c r="P17" s="63">
        <f t="shared" si="12"/>
        <v>3171.5596537343945</v>
      </c>
      <c r="Q17" s="63">
        <f t="shared" si="12"/>
        <v>3393.8977413695907</v>
      </c>
      <c r="R17" s="63">
        <f t="shared" si="12"/>
        <v>3403.2076674912378</v>
      </c>
      <c r="S17" s="63">
        <f t="shared" si="12"/>
        <v>3429.6396361852844</v>
      </c>
      <c r="T17" s="63">
        <f t="shared" si="12"/>
        <v>3532.699344042433</v>
      </c>
      <c r="U17" s="63">
        <f t="shared" si="12"/>
        <v>3528.2185533369043</v>
      </c>
      <c r="V17" s="63">
        <f t="shared" si="12"/>
        <v>3548.7313269295373</v>
      </c>
      <c r="W17" s="63">
        <f t="shared" si="12"/>
        <v>3555.1331477316971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137.36701284295546</v>
      </c>
      <c r="C20" s="182">
        <v>139.99133962331979</v>
      </c>
      <c r="D20" s="182">
        <v>143.52553211920747</v>
      </c>
      <c r="E20" s="182">
        <v>149.31157957998749</v>
      </c>
      <c r="F20" s="182">
        <v>156.95699262034665</v>
      </c>
      <c r="G20" s="182">
        <v>163.73156428759214</v>
      </c>
      <c r="H20" s="182">
        <v>173.568704866026</v>
      </c>
      <c r="I20" s="182">
        <v>184.20176643216692</v>
      </c>
      <c r="J20" s="182">
        <v>194.74069588803391</v>
      </c>
      <c r="K20" s="182">
        <v>204.83605050840688</v>
      </c>
      <c r="L20" s="182">
        <v>208.86106480325694</v>
      </c>
      <c r="M20" s="182">
        <v>217.62438768333922</v>
      </c>
      <c r="N20" s="182">
        <v>226.21531360310084</v>
      </c>
      <c r="O20" s="182">
        <v>232.20578809934094</v>
      </c>
      <c r="P20" s="182">
        <v>242.35106341541783</v>
      </c>
      <c r="Q20" s="182">
        <v>250.94995282050567</v>
      </c>
      <c r="R20" s="182">
        <v>258.31777285545257</v>
      </c>
      <c r="S20" s="182">
        <v>267.09508957355234</v>
      </c>
      <c r="T20" s="182">
        <v>275.922447245775</v>
      </c>
      <c r="U20" s="182">
        <v>284.38161786584237</v>
      </c>
      <c r="V20" s="182">
        <v>292.36549556159787</v>
      </c>
      <c r="W20" s="182">
        <v>300.06577558266912</v>
      </c>
      <c r="DA20" s="191" t="s">
        <v>921</v>
      </c>
    </row>
    <row r="21" spans="1:105" ht="12" customHeight="1" x14ac:dyDescent="0.25">
      <c r="A21" s="132" t="s">
        <v>163</v>
      </c>
      <c r="B21" s="182">
        <v>2442.3944160806086</v>
      </c>
      <c r="C21" s="182">
        <v>2519.6303804033332</v>
      </c>
      <c r="D21" s="182">
        <v>2611.7072398646656</v>
      </c>
      <c r="E21" s="182">
        <v>2712.1631334315575</v>
      </c>
      <c r="F21" s="182">
        <v>2802.6104909796672</v>
      </c>
      <c r="G21" s="182">
        <v>2891.8019534538171</v>
      </c>
      <c r="H21" s="182">
        <v>3000.8509738212756</v>
      </c>
      <c r="I21" s="182">
        <v>3093.0921238811566</v>
      </c>
      <c r="J21" s="182">
        <v>3194.6182471415259</v>
      </c>
      <c r="K21" s="182">
        <v>3305.8767092818825</v>
      </c>
      <c r="L21" s="182">
        <v>3435.9411509860802</v>
      </c>
      <c r="M21" s="182">
        <v>3591.1589463046439</v>
      </c>
      <c r="N21" s="182">
        <v>3802.751872405167</v>
      </c>
      <c r="O21" s="182">
        <v>4055.4560861465429</v>
      </c>
      <c r="P21" s="182">
        <v>4360.9449102098761</v>
      </c>
      <c r="Q21" s="182">
        <v>4682.5610986343345</v>
      </c>
      <c r="R21" s="182">
        <v>4898.3791739316512</v>
      </c>
      <c r="S21" s="182">
        <v>5119.7580107965923</v>
      </c>
      <c r="T21" s="182">
        <v>5337.2210621409058</v>
      </c>
      <c r="U21" s="182">
        <v>5542.7210535297745</v>
      </c>
      <c r="V21" s="182">
        <v>5728.5299649447761</v>
      </c>
      <c r="W21" s="182">
        <v>5887.7761664363961</v>
      </c>
      <c r="DA21" s="191" t="s">
        <v>922</v>
      </c>
    </row>
    <row r="22" spans="1:105" ht="12" customHeight="1" x14ac:dyDescent="0.25">
      <c r="A22" s="132" t="s">
        <v>167</v>
      </c>
      <c r="B22" s="182">
        <v>52.598782062506864</v>
      </c>
      <c r="C22" s="182">
        <v>52.919456504239974</v>
      </c>
      <c r="D22" s="182">
        <v>53.73312937868392</v>
      </c>
      <c r="E22" s="182">
        <v>55.397068049059726</v>
      </c>
      <c r="F22" s="182">
        <v>58.003134704583061</v>
      </c>
      <c r="G22" s="182">
        <v>60.176396822608083</v>
      </c>
      <c r="H22" s="182">
        <v>63.425534401179483</v>
      </c>
      <c r="I22" s="182">
        <v>67.055420554935807</v>
      </c>
      <c r="J22" s="182">
        <v>70.987374009748791</v>
      </c>
      <c r="K22" s="182">
        <v>74.64406779491442</v>
      </c>
      <c r="L22" s="182">
        <v>76.960630145279879</v>
      </c>
      <c r="M22" s="182">
        <v>81.657248539013423</v>
      </c>
      <c r="N22" s="182">
        <v>86.399226036599813</v>
      </c>
      <c r="O22" s="182">
        <v>90.81465626729441</v>
      </c>
      <c r="P22" s="182">
        <v>97.487764702594774</v>
      </c>
      <c r="Q22" s="182">
        <v>105.03860689749553</v>
      </c>
      <c r="R22" s="182">
        <v>110.08526368734086</v>
      </c>
      <c r="S22" s="182">
        <v>115.8533362960445</v>
      </c>
      <c r="T22" s="182">
        <v>121.54666900145217</v>
      </c>
      <c r="U22" s="182">
        <v>126.8254394233705</v>
      </c>
      <c r="V22" s="182">
        <v>131.34940703237643</v>
      </c>
      <c r="W22" s="182">
        <v>134.62055506258869</v>
      </c>
      <c r="DA22" s="191" t="s">
        <v>923</v>
      </c>
    </row>
    <row r="23" spans="1:105" ht="12" customHeight="1" x14ac:dyDescent="0.25">
      <c r="A23" s="132" t="s">
        <v>180</v>
      </c>
      <c r="B23" s="182">
        <v>442.22983986604203</v>
      </c>
      <c r="C23" s="182">
        <v>471.80426071966883</v>
      </c>
      <c r="D23" s="182">
        <v>498.98348893078457</v>
      </c>
      <c r="E23" s="182">
        <v>528.99241516533061</v>
      </c>
      <c r="F23" s="182">
        <v>569.91584709657627</v>
      </c>
      <c r="G23" s="182">
        <v>615.85366934591264</v>
      </c>
      <c r="H23" s="182">
        <v>662.723009420567</v>
      </c>
      <c r="I23" s="182">
        <v>704.99533300449184</v>
      </c>
      <c r="J23" s="182">
        <v>734.47207237668215</v>
      </c>
      <c r="K23" s="182">
        <v>760.54868169263</v>
      </c>
      <c r="L23" s="182">
        <v>782.78885654224837</v>
      </c>
      <c r="M23" s="182">
        <v>800.27928810604942</v>
      </c>
      <c r="N23" s="182">
        <v>818.4220801587752</v>
      </c>
      <c r="O23" s="182">
        <v>840.80396313518486</v>
      </c>
      <c r="P23" s="182">
        <v>870.03087599696278</v>
      </c>
      <c r="Q23" s="182">
        <v>908.44542809028826</v>
      </c>
      <c r="R23" s="182">
        <v>940.01628188664699</v>
      </c>
      <c r="S23" s="182">
        <v>972.89785946638972</v>
      </c>
      <c r="T23" s="182">
        <v>1005.9163364015449</v>
      </c>
      <c r="U23" s="182">
        <v>1037.9291689545762</v>
      </c>
      <c r="V23" s="182">
        <v>1068.1796597151631</v>
      </c>
      <c r="W23" s="182">
        <v>1096.4917452674558</v>
      </c>
      <c r="DA23" s="191" t="s">
        <v>924</v>
      </c>
    </row>
    <row r="24" spans="1:105" ht="12" customHeight="1" x14ac:dyDescent="0.25">
      <c r="A24" s="60" t="s">
        <v>166</v>
      </c>
      <c r="B24" s="36">
        <v>19.998285782869473</v>
      </c>
      <c r="C24" s="36">
        <v>21.370392392374967</v>
      </c>
      <c r="D24" s="36">
        <v>22.655764038452322</v>
      </c>
      <c r="E24" s="36">
        <v>24.740317149310872</v>
      </c>
      <c r="F24" s="36">
        <v>27.474179368240996</v>
      </c>
      <c r="G24" s="36">
        <v>30.654734406707163</v>
      </c>
      <c r="H24" s="36">
        <v>34.106201009449926</v>
      </c>
      <c r="I24" s="36">
        <v>37.883035684456914</v>
      </c>
      <c r="J24" s="36">
        <v>41.474146340420106</v>
      </c>
      <c r="K24" s="36">
        <v>44.714198813061422</v>
      </c>
      <c r="L24" s="36">
        <v>46.865298220998973</v>
      </c>
      <c r="M24" s="36">
        <v>49.79302595143136</v>
      </c>
      <c r="N24" s="36">
        <v>52.222274573923947</v>
      </c>
      <c r="O24" s="36">
        <v>54.068028912066652</v>
      </c>
      <c r="P24" s="36">
        <v>56.752733074632246</v>
      </c>
      <c r="Q24" s="36">
        <v>59.133629616158849</v>
      </c>
      <c r="R24" s="36">
        <v>63.208881640701421</v>
      </c>
      <c r="S24" s="36">
        <v>67.737602373943105</v>
      </c>
      <c r="T24" s="36">
        <v>72.352904355196245</v>
      </c>
      <c r="U24" s="36">
        <v>76.910533804636444</v>
      </c>
      <c r="V24" s="36">
        <v>81.313533749352985</v>
      </c>
      <c r="W24" s="36">
        <v>85.544176625959537</v>
      </c>
      <c r="DA24" s="89" t="s">
        <v>925</v>
      </c>
    </row>
    <row r="25" spans="1:105" ht="12" customHeight="1" x14ac:dyDescent="0.25">
      <c r="A25" s="62" t="s">
        <v>164</v>
      </c>
      <c r="B25" s="38">
        <v>2199.3433087845583</v>
      </c>
      <c r="C25" s="38">
        <v>2616.8161202368428</v>
      </c>
      <c r="D25" s="38">
        <v>3134.5123491192148</v>
      </c>
      <c r="E25" s="38">
        <v>3656.18281843553</v>
      </c>
      <c r="F25" s="38">
        <v>4421.1545808012388</v>
      </c>
      <c r="G25" s="38">
        <v>5251.7762229516538</v>
      </c>
      <c r="H25" s="38">
        <v>6252.7810260883307</v>
      </c>
      <c r="I25" s="38">
        <v>7154.7260139011378</v>
      </c>
      <c r="J25" s="38">
        <v>8415.2520104694559</v>
      </c>
      <c r="K25" s="38">
        <v>9531.834526659537</v>
      </c>
      <c r="L25" s="38">
        <v>10551.627609957426</v>
      </c>
      <c r="M25" s="38">
        <v>12029.183884266731</v>
      </c>
      <c r="N25" s="38">
        <v>13699.279521523056</v>
      </c>
      <c r="O25" s="38">
        <v>14939.414499307675</v>
      </c>
      <c r="P25" s="38">
        <v>17216.699748412924</v>
      </c>
      <c r="Q25" s="38">
        <v>19007.499137426519</v>
      </c>
      <c r="R25" s="38">
        <v>19591.700903700443</v>
      </c>
      <c r="S25" s="38">
        <v>20213.400956223475</v>
      </c>
      <c r="T25" s="38">
        <v>21287.263871185638</v>
      </c>
      <c r="U25" s="38">
        <v>21839.859202145522</v>
      </c>
      <c r="V25" s="38">
        <v>22516.673503228085</v>
      </c>
      <c r="W25" s="38">
        <v>23063.413613662848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8.5823911675043405</v>
      </c>
      <c r="D28" s="183">
        <v>9.6607842750830457</v>
      </c>
      <c r="E28" s="183">
        <v>12.085933529470481</v>
      </c>
      <c r="F28" s="183">
        <v>14.123495130511515</v>
      </c>
      <c r="G28" s="183">
        <v>13.435890159228308</v>
      </c>
      <c r="H28" s="183">
        <v>16.686878422769951</v>
      </c>
      <c r="I28" s="183">
        <v>17.676548316188814</v>
      </c>
      <c r="J28" s="183">
        <v>17.781645414569283</v>
      </c>
      <c r="K28" s="183">
        <v>17.542935104297982</v>
      </c>
      <c r="L28" s="183">
        <v>11.683254018844252</v>
      </c>
      <c r="M28" s="183">
        <v>16.638180465945368</v>
      </c>
      <c r="N28" s="183">
        <v>16.688528532452068</v>
      </c>
      <c r="O28" s="183">
        <v>14.31712261121865</v>
      </c>
      <c r="P28" s="183">
        <v>18.70744762149701</v>
      </c>
      <c r="Q28" s="183">
        <v>17.403247842647716</v>
      </c>
      <c r="R28" s="183">
        <v>16.421214983324774</v>
      </c>
      <c r="S28" s="183">
        <v>18.086792323006023</v>
      </c>
      <c r="T28" s="183">
        <v>18.400157327215425</v>
      </c>
      <c r="U28" s="183">
        <v>17.041561787571709</v>
      </c>
      <c r="V28" s="183">
        <v>17.64466197083857</v>
      </c>
      <c r="W28" s="183">
        <v>19.786213550541731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383.62073860370492</v>
      </c>
      <c r="D29" s="183">
        <v>411.64993004789903</v>
      </c>
      <c r="E29" s="183">
        <v>433.78494911084681</v>
      </c>
      <c r="F29" s="183">
        <v>438.12452279200488</v>
      </c>
      <c r="G29" s="183">
        <v>451.83435009992127</v>
      </c>
      <c r="H29" s="183">
        <v>487.30182812175462</v>
      </c>
      <c r="I29" s="183">
        <v>486.77580510502503</v>
      </c>
      <c r="J29" s="183">
        <v>485.14686186407425</v>
      </c>
      <c r="K29" s="183">
        <v>522.90839218825568</v>
      </c>
      <c r="L29" s="183">
        <v>563.84939081504444</v>
      </c>
      <c r="M29" s="183">
        <v>593.34231811056861</v>
      </c>
      <c r="N29" s="183">
        <v>663.42727620044434</v>
      </c>
      <c r="O29" s="183">
        <v>740.00604186313058</v>
      </c>
      <c r="P29" s="183">
        <v>792.26462916835817</v>
      </c>
      <c r="Q29" s="183">
        <v>806.76305028853267</v>
      </c>
      <c r="R29" s="183">
        <v>738.72646748557236</v>
      </c>
      <c r="S29" s="183">
        <v>785.22822767998605</v>
      </c>
      <c r="T29" s="183">
        <v>810.80536945488257</v>
      </c>
      <c r="U29" s="183">
        <v>868.92726758931349</v>
      </c>
      <c r="V29" s="183">
        <v>925.81495327813263</v>
      </c>
      <c r="W29" s="183">
        <v>951.51083065997864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8.5348209560689128</v>
      </c>
      <c r="D30" s="183">
        <v>9.2412093790082039</v>
      </c>
      <c r="E30" s="183">
        <v>10.310408685466129</v>
      </c>
      <c r="F30" s="183">
        <v>11.477157712959396</v>
      </c>
      <c r="G30" s="183">
        <v>11.274809502330626</v>
      </c>
      <c r="H30" s="183">
        <v>12.587128165346208</v>
      </c>
      <c r="I30" s="183">
        <v>12.164707109825237</v>
      </c>
      <c r="J30" s="183">
        <v>13.173162833821188</v>
      </c>
      <c r="K30" s="183">
        <v>13.967102470631758</v>
      </c>
      <c r="L30" s="183">
        <v>13.793720063324855</v>
      </c>
      <c r="M30" s="183">
        <v>15.971427896064171</v>
      </c>
      <c r="N30" s="183">
        <v>17.329105662932605</v>
      </c>
      <c r="O30" s="183">
        <v>16.58013734051984</v>
      </c>
      <c r="P30" s="183">
        <v>19.846271269121559</v>
      </c>
      <c r="Q30" s="183">
        <v>21.517944665532511</v>
      </c>
      <c r="R30" s="183">
        <v>18.840376853170184</v>
      </c>
      <c r="S30" s="183">
        <v>21.739500504767818</v>
      </c>
      <c r="T30" s="183">
        <v>23.022438368340275</v>
      </c>
      <c r="U30" s="183">
        <v>21.858907762438164</v>
      </c>
      <c r="V30" s="183">
        <v>24.370238878127495</v>
      </c>
      <c r="W30" s="183">
        <v>24.78909269574477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69.765640665993942</v>
      </c>
      <c r="D31" s="183">
        <v>68.217043320773257</v>
      </c>
      <c r="E31" s="183">
        <v>71.911169481620163</v>
      </c>
      <c r="F31" s="183">
        <v>83.708311790109633</v>
      </c>
      <c r="G31" s="183">
        <v>89.623930741039771</v>
      </c>
      <c r="H31" s="183">
        <v>91.475660846021128</v>
      </c>
      <c r="I31" s="183">
        <v>87.818240156831507</v>
      </c>
      <c r="J31" s="183">
        <v>75.982043566607672</v>
      </c>
      <c r="K31" s="183">
        <v>73.561509850408015</v>
      </c>
      <c r="L31" s="183">
        <v>70.725306122843108</v>
      </c>
      <c r="M31" s="183">
        <v>87.256072229794995</v>
      </c>
      <c r="N31" s="183">
        <v>86.359835373499095</v>
      </c>
      <c r="O31" s="183">
        <v>94.29305245802982</v>
      </c>
      <c r="P31" s="183">
        <v>112.93522465188755</v>
      </c>
      <c r="Q31" s="183">
        <v>128.03848283436525</v>
      </c>
      <c r="R31" s="183">
        <v>123.04651464237986</v>
      </c>
      <c r="S31" s="183">
        <v>120.69981773657423</v>
      </c>
      <c r="T31" s="183">
        <v>109.00052050176282</v>
      </c>
      <c r="U31" s="183">
        <v>105.57434240343935</v>
      </c>
      <c r="V31" s="183">
        <v>100.97579688343001</v>
      </c>
      <c r="W31" s="183">
        <v>115.56815778208772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1.9417068752941589</v>
      </c>
      <c r="D32" s="41">
        <v>1.9190698705601683</v>
      </c>
      <c r="E32" s="41">
        <v>2.7895623319421397</v>
      </c>
      <c r="F32" s="41">
        <v>3.5182071683238831</v>
      </c>
      <c r="G32" s="41">
        <v>4.0531634827840328</v>
      </c>
      <c r="H32" s="41">
        <v>4.4222709633539736</v>
      </c>
      <c r="I32" s="41">
        <v>4.8568850833186872</v>
      </c>
      <c r="J32" s="41">
        <v>4.7927007309808189</v>
      </c>
      <c r="K32" s="41">
        <v>4.5768592524635636</v>
      </c>
      <c r="L32" s="41">
        <v>3.6383390279489873</v>
      </c>
      <c r="M32" s="41">
        <v>4.5823286201928894</v>
      </c>
      <c r="N32" s="41">
        <v>4.270044192728399</v>
      </c>
      <c r="O32" s="41">
        <v>3.893697351089024</v>
      </c>
      <c r="P32" s="41">
        <v>4.9631052257202555</v>
      </c>
      <c r="Q32" s="41">
        <v>4.9156894394578643</v>
      </c>
      <c r="R32" s="41">
        <v>6.0169588998367303</v>
      </c>
      <c r="S32" s="41">
        <v>6.4477906038018489</v>
      </c>
      <c r="T32" s="41">
        <v>7.4048643131952758</v>
      </c>
      <c r="U32" s="41">
        <v>8.0758366177640823</v>
      </c>
      <c r="V32" s="41">
        <v>8.4561634275005702</v>
      </c>
      <c r="W32" s="41">
        <v>8.652913839960533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857.34147320919624</v>
      </c>
      <c r="D33" s="42">
        <v>957.56489063928393</v>
      </c>
      <c r="E33" s="42">
        <v>961.5391310732266</v>
      </c>
      <c r="F33" s="42">
        <v>1204.8404241226208</v>
      </c>
      <c r="G33" s="42">
        <v>1270.490303907327</v>
      </c>
      <c r="H33" s="42">
        <v>1858.3462763458729</v>
      </c>
      <c r="I33" s="42">
        <v>1859.5098784520906</v>
      </c>
      <c r="J33" s="42">
        <v>2222.0651276415447</v>
      </c>
      <c r="K33" s="42">
        <v>2321.4229403127019</v>
      </c>
      <c r="L33" s="42">
        <v>2290.2833872052161</v>
      </c>
      <c r="M33" s="42">
        <v>3335.902550655177</v>
      </c>
      <c r="N33" s="42">
        <v>3529.6055157084156</v>
      </c>
      <c r="O33" s="42">
        <v>3462.2001054261636</v>
      </c>
      <c r="P33" s="42">
        <v>4598.7081894179501</v>
      </c>
      <c r="Q33" s="42">
        <v>4081.082776218811</v>
      </c>
      <c r="R33" s="42">
        <v>3920.1043169291006</v>
      </c>
      <c r="S33" s="42">
        <v>4151.305568231448</v>
      </c>
      <c r="T33" s="42">
        <v>4536.0630203883265</v>
      </c>
      <c r="U33" s="42">
        <v>5151.3035203778345</v>
      </c>
      <c r="V33" s="42">
        <v>4757.8970773013716</v>
      </c>
      <c r="W33" s="42">
        <v>4466.8444273638634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5.9580643871400127</v>
      </c>
      <c r="D36" s="183">
        <v>6.1265917791953655</v>
      </c>
      <c r="E36" s="183">
        <v>6.299886068690455</v>
      </c>
      <c r="F36" s="183">
        <v>6.4780820901523555</v>
      </c>
      <c r="G36" s="183">
        <v>6.6613184919828257</v>
      </c>
      <c r="H36" s="183">
        <v>6.8497378443360901</v>
      </c>
      <c r="I36" s="183">
        <v>7.0434867500478902</v>
      </c>
      <c r="J36" s="183">
        <v>7.2427159587022913</v>
      </c>
      <c r="K36" s="183">
        <v>7.4475804839250088</v>
      </c>
      <c r="L36" s="183">
        <v>7.6582397239941997</v>
      </c>
      <c r="M36" s="183">
        <v>7.8748575858630829</v>
      </c>
      <c r="N36" s="183">
        <v>8.0976026126904515</v>
      </c>
      <c r="O36" s="183">
        <v>8.3266481149785534</v>
      </c>
      <c r="P36" s="183">
        <v>8.5621723054201198</v>
      </c>
      <c r="Q36" s="183">
        <v>8.8043584375598414</v>
      </c>
      <c r="R36" s="183">
        <v>9.0533949483778429</v>
      </c>
      <c r="S36" s="183">
        <v>9.3094756049062539</v>
      </c>
      <c r="T36" s="183">
        <v>9.5727996549927639</v>
      </c>
      <c r="U36" s="183">
        <v>8.5823911675043405</v>
      </c>
      <c r="V36" s="183">
        <v>9.6607842750830741</v>
      </c>
      <c r="W36" s="183">
        <v>12.085933529470481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306.38477428098031</v>
      </c>
      <c r="D37" s="183">
        <v>319.5730705865667</v>
      </c>
      <c r="E37" s="183">
        <v>333.32905554395484</v>
      </c>
      <c r="F37" s="183">
        <v>347.67716524389516</v>
      </c>
      <c r="G37" s="183">
        <v>362.64288762577144</v>
      </c>
      <c r="H37" s="183">
        <v>378.2528077542961</v>
      </c>
      <c r="I37" s="183">
        <v>394.53465504514406</v>
      </c>
      <c r="J37" s="183">
        <v>383.62073860370492</v>
      </c>
      <c r="K37" s="183">
        <v>411.64993004789903</v>
      </c>
      <c r="L37" s="183">
        <v>433.78494911084681</v>
      </c>
      <c r="M37" s="183">
        <v>438.12452279200488</v>
      </c>
      <c r="N37" s="183">
        <v>451.83435009992081</v>
      </c>
      <c r="O37" s="183">
        <v>487.30182812175417</v>
      </c>
      <c r="P37" s="183">
        <v>486.77580510502503</v>
      </c>
      <c r="Q37" s="183">
        <v>485.1468618640738</v>
      </c>
      <c r="R37" s="183">
        <v>522.90839218825568</v>
      </c>
      <c r="S37" s="183">
        <v>563.8493908150449</v>
      </c>
      <c r="T37" s="183">
        <v>593.34231811056907</v>
      </c>
      <c r="U37" s="183">
        <v>663.42727620044479</v>
      </c>
      <c r="V37" s="183">
        <v>740.00604186313103</v>
      </c>
      <c r="W37" s="183">
        <v>792.26462916835862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8.2141465143358019</v>
      </c>
      <c r="D38" s="183">
        <v>8.4275365045642587</v>
      </c>
      <c r="E38" s="183">
        <v>8.6464700150903298</v>
      </c>
      <c r="F38" s="183">
        <v>8.8710910574360611</v>
      </c>
      <c r="G38" s="183">
        <v>9.1015473843056043</v>
      </c>
      <c r="H38" s="183">
        <v>9.337990586774815</v>
      </c>
      <c r="I38" s="183">
        <v>8.5348209560689128</v>
      </c>
      <c r="J38" s="183">
        <v>9.2412093790081968</v>
      </c>
      <c r="K38" s="183">
        <v>10.310408685466129</v>
      </c>
      <c r="L38" s="183">
        <v>11.477157712959396</v>
      </c>
      <c r="M38" s="183">
        <v>11.274809502330626</v>
      </c>
      <c r="N38" s="183">
        <v>12.587128165346215</v>
      </c>
      <c r="O38" s="183">
        <v>12.164707109825244</v>
      </c>
      <c r="P38" s="183">
        <v>13.173162833821195</v>
      </c>
      <c r="Q38" s="183">
        <v>13.967102470631758</v>
      </c>
      <c r="R38" s="183">
        <v>13.793720063324855</v>
      </c>
      <c r="S38" s="183">
        <v>15.971427896064156</v>
      </c>
      <c r="T38" s="183">
        <v>17.329105662932605</v>
      </c>
      <c r="U38" s="183">
        <v>16.58013734051984</v>
      </c>
      <c r="V38" s="183">
        <v>19.846271269121559</v>
      </c>
      <c r="W38" s="183">
        <v>21.517944665532497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40.191219812367137</v>
      </c>
      <c r="D39" s="183">
        <v>41.037815109657572</v>
      </c>
      <c r="E39" s="183">
        <v>41.902243247074125</v>
      </c>
      <c r="F39" s="183">
        <v>42.784879858863974</v>
      </c>
      <c r="G39" s="183">
        <v>43.686108491703408</v>
      </c>
      <c r="H39" s="183">
        <v>44.606320771366768</v>
      </c>
      <c r="I39" s="183">
        <v>45.545916572906663</v>
      </c>
      <c r="J39" s="183">
        <v>46.505304194417363</v>
      </c>
      <c r="K39" s="183">
        <v>47.484900534460166</v>
      </c>
      <c r="L39" s="183">
        <v>48.485131273224738</v>
      </c>
      <c r="M39" s="183">
        <v>69.765640665993942</v>
      </c>
      <c r="N39" s="183">
        <v>68.217043320773314</v>
      </c>
      <c r="O39" s="183">
        <v>71.911169481620163</v>
      </c>
      <c r="P39" s="183">
        <v>83.708311790109633</v>
      </c>
      <c r="Q39" s="183">
        <v>89.623930741039771</v>
      </c>
      <c r="R39" s="183">
        <v>91.475660846021128</v>
      </c>
      <c r="S39" s="183">
        <v>87.818240156831507</v>
      </c>
      <c r="T39" s="183">
        <v>75.982043566607672</v>
      </c>
      <c r="U39" s="183">
        <v>73.561509850408129</v>
      </c>
      <c r="V39" s="183">
        <v>70.725306122843222</v>
      </c>
      <c r="W39" s="183">
        <v>87.256072229794881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0.56960026578866518</v>
      </c>
      <c r="D40" s="41">
        <v>0.63369822448281354</v>
      </c>
      <c r="E40" s="41">
        <v>0.70500922108358921</v>
      </c>
      <c r="F40" s="41">
        <v>0.78434494939375909</v>
      </c>
      <c r="G40" s="41">
        <v>0.87260844431786566</v>
      </c>
      <c r="H40" s="41">
        <v>0.97080436061121134</v>
      </c>
      <c r="I40" s="41">
        <v>1.0800504083116991</v>
      </c>
      <c r="J40" s="41">
        <v>1.2015900750176272</v>
      </c>
      <c r="K40" s="41">
        <v>1.3368067798222469</v>
      </c>
      <c r="L40" s="41">
        <v>1.4872396200114366</v>
      </c>
      <c r="M40" s="41">
        <v>1.654600889760502</v>
      </c>
      <c r="N40" s="41">
        <v>1.8407955702358123</v>
      </c>
      <c r="O40" s="41">
        <v>2.0479430129463196</v>
      </c>
      <c r="P40" s="41">
        <v>2.2784010631546607</v>
      </c>
      <c r="Q40" s="41">
        <v>2.5347928979312613</v>
      </c>
      <c r="R40" s="41">
        <v>1.9417068752941589</v>
      </c>
      <c r="S40" s="41">
        <v>1.9190698705601648</v>
      </c>
      <c r="T40" s="41">
        <v>2.7895623319421361</v>
      </c>
      <c r="U40" s="41">
        <v>3.5182071683238831</v>
      </c>
      <c r="V40" s="41">
        <v>4.0531634827840293</v>
      </c>
      <c r="W40" s="41">
        <v>4.4222709633539807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439.86866175691193</v>
      </c>
      <c r="D41" s="42">
        <v>439.86866175691193</v>
      </c>
      <c r="E41" s="42">
        <v>439.86866175691193</v>
      </c>
      <c r="F41" s="42">
        <v>439.86866175691193</v>
      </c>
      <c r="G41" s="42">
        <v>439.86866175691193</v>
      </c>
      <c r="H41" s="42">
        <v>857.34147320919601</v>
      </c>
      <c r="I41" s="42">
        <v>957.56489063928348</v>
      </c>
      <c r="J41" s="42">
        <v>961.5391310732266</v>
      </c>
      <c r="K41" s="42">
        <v>1204.8404241226217</v>
      </c>
      <c r="L41" s="42">
        <v>1270.490303907327</v>
      </c>
      <c r="M41" s="42">
        <v>1858.346276345872</v>
      </c>
      <c r="N41" s="42">
        <v>1859.5098784520906</v>
      </c>
      <c r="O41" s="42">
        <v>2222.0651276415465</v>
      </c>
      <c r="P41" s="42">
        <v>2321.4229403127028</v>
      </c>
      <c r="Q41" s="42">
        <v>2290.2833872052179</v>
      </c>
      <c r="R41" s="42">
        <v>3335.902550655177</v>
      </c>
      <c r="S41" s="42">
        <v>3529.6055157084156</v>
      </c>
      <c r="T41" s="42">
        <v>3462.2001054261636</v>
      </c>
      <c r="U41" s="42">
        <v>4598.7081894179501</v>
      </c>
      <c r="V41" s="42">
        <v>4081.0827762188092</v>
      </c>
      <c r="W41" s="42">
        <v>3920.1043169291006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8759.9999999999964</v>
      </c>
      <c r="C44" s="185">
        <v>8760.0000000000018</v>
      </c>
      <c r="D44" s="185">
        <v>8760.0000000000018</v>
      </c>
      <c r="E44" s="185">
        <v>8760</v>
      </c>
      <c r="F44" s="185">
        <v>8760</v>
      </c>
      <c r="G44" s="185">
        <v>8759.9999999999982</v>
      </c>
      <c r="H44" s="185">
        <v>8759.9999999999982</v>
      </c>
      <c r="I44" s="185">
        <v>8760.0000000000018</v>
      </c>
      <c r="J44" s="185">
        <v>8760</v>
      </c>
      <c r="K44" s="185">
        <v>8759.9999999999964</v>
      </c>
      <c r="L44" s="185">
        <v>8759.9999999999982</v>
      </c>
      <c r="M44" s="185">
        <v>8759.9999999999982</v>
      </c>
      <c r="N44" s="185">
        <v>8760</v>
      </c>
      <c r="O44" s="185">
        <v>8760</v>
      </c>
      <c r="P44" s="185">
        <v>8760</v>
      </c>
      <c r="Q44" s="185">
        <v>8760</v>
      </c>
      <c r="R44" s="185">
        <v>8759.9999999999982</v>
      </c>
      <c r="S44" s="185">
        <v>8760</v>
      </c>
      <c r="T44" s="185">
        <v>8760.0000000000018</v>
      </c>
      <c r="U44" s="185">
        <v>8759.9999999999982</v>
      </c>
      <c r="V44" s="185">
        <v>8759.9999999999982</v>
      </c>
      <c r="W44" s="185">
        <v>8759.9999999999982</v>
      </c>
      <c r="DA44" s="194" t="s">
        <v>939</v>
      </c>
    </row>
    <row r="45" spans="1:105" ht="12" customHeight="1" x14ac:dyDescent="0.25">
      <c r="A45" s="132" t="s">
        <v>6</v>
      </c>
      <c r="B45" s="185">
        <v>3962.608134048904</v>
      </c>
      <c r="C45" s="185">
        <v>3964.4310735938534</v>
      </c>
      <c r="D45" s="185">
        <v>3965.514021253261</v>
      </c>
      <c r="E45" s="185">
        <v>3968.5117448976989</v>
      </c>
      <c r="F45" s="185">
        <v>3973.3363033641663</v>
      </c>
      <c r="G45" s="185">
        <v>3982.5382383714682</v>
      </c>
      <c r="H45" s="185">
        <v>3987.5334772619221</v>
      </c>
      <c r="I45" s="185">
        <v>3996.4843052712758</v>
      </c>
      <c r="J45" s="185">
        <v>4002.2243524420546</v>
      </c>
      <c r="K45" s="185">
        <v>4005.5667384943358</v>
      </c>
      <c r="L45" s="185">
        <v>4011.7637740503292</v>
      </c>
      <c r="M45" s="185">
        <v>4009.5703700751023</v>
      </c>
      <c r="N45" s="185">
        <v>4009.0583828897375</v>
      </c>
      <c r="O45" s="185">
        <v>4005.2125697940264</v>
      </c>
      <c r="P45" s="185">
        <v>3993.6820614616145</v>
      </c>
      <c r="Q45" s="185">
        <v>3979.9982084012154</v>
      </c>
      <c r="R45" s="185">
        <v>4056.9514997230772</v>
      </c>
      <c r="S45" s="185">
        <v>3998.6182723436245</v>
      </c>
      <c r="T45" s="185">
        <v>3947.3057319276013</v>
      </c>
      <c r="U45" s="185">
        <v>3873.30788358471</v>
      </c>
      <c r="V45" s="185">
        <v>3828.529957912333</v>
      </c>
      <c r="W45" s="185">
        <v>3829.3260830973309</v>
      </c>
      <c r="DA45" s="194" t="s">
        <v>940</v>
      </c>
    </row>
    <row r="46" spans="1:105" ht="12" customHeight="1" x14ac:dyDescent="0.25">
      <c r="A46" s="132" t="s">
        <v>5</v>
      </c>
      <c r="B46" s="185">
        <v>2243.3332880051098</v>
      </c>
      <c r="C46" s="185">
        <v>2257.0685338999911</v>
      </c>
      <c r="D46" s="185">
        <v>2271.3090215999782</v>
      </c>
      <c r="E46" s="185">
        <v>2287.9975364563979</v>
      </c>
      <c r="F46" s="185">
        <v>2308.7602367449936</v>
      </c>
      <c r="G46" s="185">
        <v>2324.4029860757119</v>
      </c>
      <c r="H46" s="185">
        <v>2345.8809638330104</v>
      </c>
      <c r="I46" s="185">
        <v>2367.1641846252519</v>
      </c>
      <c r="J46" s="185">
        <v>2385.667256042349</v>
      </c>
      <c r="K46" s="185">
        <v>2399.4222857678024</v>
      </c>
      <c r="L46" s="185">
        <v>2413.7951710358843</v>
      </c>
      <c r="M46" s="185">
        <v>2430.1863234263028</v>
      </c>
      <c r="N46" s="185">
        <v>2442.5242762003004</v>
      </c>
      <c r="O46" s="185">
        <v>2452.1497747826197</v>
      </c>
      <c r="P46" s="185">
        <v>2465.8686771178709</v>
      </c>
      <c r="Q46" s="185">
        <v>2480.7834665277246</v>
      </c>
      <c r="R46" s="185">
        <v>2543.5908148747276</v>
      </c>
      <c r="S46" s="185">
        <v>2538.8828114824159</v>
      </c>
      <c r="T46" s="185">
        <v>2493.4356836482993</v>
      </c>
      <c r="U46" s="185">
        <v>2424.2060133683372</v>
      </c>
      <c r="V46" s="185">
        <v>2369.8525669366272</v>
      </c>
      <c r="W46" s="185">
        <v>2546.4157343884626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8760</v>
      </c>
      <c r="E47" s="185">
        <v>8760</v>
      </c>
      <c r="F47" s="185">
        <v>8759.9999999999982</v>
      </c>
      <c r="G47" s="185">
        <v>8760</v>
      </c>
      <c r="H47" s="185">
        <v>8760.0000000000018</v>
      </c>
      <c r="I47" s="185">
        <v>8760</v>
      </c>
      <c r="J47" s="185">
        <v>8760</v>
      </c>
      <c r="K47" s="185">
        <v>8759.9999999999964</v>
      </c>
      <c r="L47" s="185">
        <v>8759.9999999999982</v>
      </c>
      <c r="M47" s="185">
        <v>8759.9999999999982</v>
      </c>
      <c r="N47" s="185">
        <v>8760</v>
      </c>
      <c r="O47" s="185">
        <v>8759.9999999999982</v>
      </c>
      <c r="P47" s="185">
        <v>8760</v>
      </c>
      <c r="Q47" s="185">
        <v>8759.9999999999945</v>
      </c>
      <c r="R47" s="185">
        <v>8759.9999999999964</v>
      </c>
      <c r="S47" s="185">
        <v>8759.9999999999982</v>
      </c>
      <c r="T47" s="185">
        <v>8759.9999999999982</v>
      </c>
      <c r="U47" s="185">
        <v>8759.9999999999982</v>
      </c>
      <c r="V47" s="185">
        <v>8759.9999999999982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829.43442325577132</v>
      </c>
      <c r="C48" s="44">
        <v>833.39653369473399</v>
      </c>
      <c r="D48" s="44">
        <v>837.03018117896488</v>
      </c>
      <c r="E48" s="44">
        <v>840.38680162873004</v>
      </c>
      <c r="F48" s="44">
        <v>843.50654609229719</v>
      </c>
      <c r="G48" s="44">
        <v>846.42136768619469</v>
      </c>
      <c r="H48" s="44">
        <v>849.15711851153276</v>
      </c>
      <c r="I48" s="44">
        <v>851.7350150964088</v>
      </c>
      <c r="J48" s="44">
        <v>854.17268789873901</v>
      </c>
      <c r="K48" s="44">
        <v>856.48494911499392</v>
      </c>
      <c r="L48" s="44">
        <v>858.6843650233028</v>
      </c>
      <c r="M48" s="44">
        <v>860.08201294440653</v>
      </c>
      <c r="N48" s="44">
        <v>861.41674849858043</v>
      </c>
      <c r="O48" s="44">
        <v>862.69407768306905</v>
      </c>
      <c r="P48" s="44">
        <v>863.918810457159</v>
      </c>
      <c r="Q48" s="44">
        <v>865.09517359868971</v>
      </c>
      <c r="R48" s="44">
        <v>885.19885916999169</v>
      </c>
      <c r="S48" s="44">
        <v>878.54712805257088</v>
      </c>
      <c r="T48" s="44">
        <v>871.03609046507449</v>
      </c>
      <c r="U48" s="44">
        <v>854.5106063640095</v>
      </c>
      <c r="V48" s="44">
        <v>835.35151006105139</v>
      </c>
      <c r="W48" s="44">
        <v>897.58842328080834</v>
      </c>
      <c r="DA48" s="95" t="s">
        <v>943</v>
      </c>
    </row>
    <row r="49" spans="1:105" ht="12" customHeight="1" x14ac:dyDescent="0.25">
      <c r="A49" s="62" t="s">
        <v>3</v>
      </c>
      <c r="B49" s="186">
        <v>1597.2954487298182</v>
      </c>
      <c r="C49" s="186">
        <v>1613.2688639354194</v>
      </c>
      <c r="D49" s="186">
        <v>1643.6808332914256</v>
      </c>
      <c r="E49" s="186">
        <v>1672.0434130281956</v>
      </c>
      <c r="F49" s="186">
        <v>1700.2635530949385</v>
      </c>
      <c r="G49" s="186">
        <v>1726.8485116464803</v>
      </c>
      <c r="H49" s="186">
        <v>1751.4722714540262</v>
      </c>
      <c r="I49" s="186">
        <v>1775.851431359443</v>
      </c>
      <c r="J49" s="186">
        <v>1796.9999534376709</v>
      </c>
      <c r="K49" s="186">
        <v>1812.2371520908371</v>
      </c>
      <c r="L49" s="186">
        <v>1834.810654400193</v>
      </c>
      <c r="M49" s="186">
        <v>1860.5104575755784</v>
      </c>
      <c r="N49" s="186">
        <v>1881.0346895898911</v>
      </c>
      <c r="O49" s="186">
        <v>1901.9455191983873</v>
      </c>
      <c r="P49" s="186">
        <v>1925.0070241966043</v>
      </c>
      <c r="Q49" s="186">
        <v>1948.9218656297037</v>
      </c>
      <c r="R49" s="186">
        <v>2017.1589530890117</v>
      </c>
      <c r="S49" s="186">
        <v>2019.2964628402906</v>
      </c>
      <c r="T49" s="186">
        <v>2022.6787946200582</v>
      </c>
      <c r="U49" s="186">
        <v>2012.5504830047116</v>
      </c>
      <c r="V49" s="186">
        <v>1985.4762852840856</v>
      </c>
      <c r="W49" s="186">
        <v>2134.2991619753657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0.77135977506727638</v>
      </c>
      <c r="C52" s="181">
        <v>0.76636621940789218</v>
      </c>
      <c r="D52" s="181">
        <v>0.76046766405431698</v>
      </c>
      <c r="E52" s="181">
        <v>0.7530207591059318</v>
      </c>
      <c r="F52" s="181">
        <v>0.74434043766458124</v>
      </c>
      <c r="G52" s="181">
        <v>0.73602838278017113</v>
      </c>
      <c r="H52" s="181">
        <v>0.72595943904655402</v>
      </c>
      <c r="I52" s="181">
        <v>0.71553058738564679</v>
      </c>
      <c r="J52" s="181">
        <v>0.70522852956316817</v>
      </c>
      <c r="K52" s="181">
        <v>0.6950612531242778</v>
      </c>
      <c r="L52" s="181">
        <v>0.68713088357222252</v>
      </c>
      <c r="M52" s="181">
        <v>0.67673562506774487</v>
      </c>
      <c r="N52" s="181">
        <v>0.66593071781273117</v>
      </c>
      <c r="O52" s="181">
        <v>0.65580001288328382</v>
      </c>
      <c r="P52" s="181">
        <v>0.6433342233317737</v>
      </c>
      <c r="Q52" s="181">
        <v>0.63105421238988335</v>
      </c>
      <c r="R52" s="181">
        <v>0.61956315679288021</v>
      </c>
      <c r="S52" s="181">
        <v>0.60771365134945077</v>
      </c>
      <c r="T52" s="181">
        <v>0.59605470319628129</v>
      </c>
      <c r="U52" s="181">
        <v>0.58828352189745436</v>
      </c>
      <c r="V52" s="181">
        <v>0.5804245223254223</v>
      </c>
      <c r="W52" s="181">
        <v>0.57184478611543299</v>
      </c>
      <c r="DA52" s="190" t="s">
        <v>945</v>
      </c>
    </row>
    <row r="53" spans="1:105" ht="12" customHeight="1" x14ac:dyDescent="0.25">
      <c r="A53" s="132" t="s">
        <v>100</v>
      </c>
      <c r="B53" s="181">
        <v>196.92003306220744</v>
      </c>
      <c r="C53" s="181">
        <v>194.8998151469853</v>
      </c>
      <c r="D53" s="181">
        <v>192.50426951290211</v>
      </c>
      <c r="E53" s="181">
        <v>189.75154157559339</v>
      </c>
      <c r="F53" s="181">
        <v>186.74927217537046</v>
      </c>
      <c r="G53" s="181">
        <v>183.3398128198435</v>
      </c>
      <c r="H53" s="181">
        <v>179.51848597979281</v>
      </c>
      <c r="I53" s="181">
        <v>175.4305535126463</v>
      </c>
      <c r="J53" s="181">
        <v>172.8493462493534</v>
      </c>
      <c r="K53" s="181">
        <v>170.06081387069864</v>
      </c>
      <c r="L53" s="181">
        <v>166.99898901506376</v>
      </c>
      <c r="M53" s="181">
        <v>163.73792911500936</v>
      </c>
      <c r="N53" s="181">
        <v>160.11567010431276</v>
      </c>
      <c r="O53" s="181">
        <v>155.7905116031836</v>
      </c>
      <c r="P53" s="181">
        <v>150.99188424193724</v>
      </c>
      <c r="Q53" s="181">
        <v>145.70944026078141</v>
      </c>
      <c r="R53" s="181">
        <v>140.33466453089451</v>
      </c>
      <c r="S53" s="181">
        <v>134.64195817325086</v>
      </c>
      <c r="T53" s="181">
        <v>128.78748129396502</v>
      </c>
      <c r="U53" s="181">
        <v>122.55109228060621</v>
      </c>
      <c r="V53" s="181">
        <v>116.09684719282808</v>
      </c>
      <c r="W53" s="181">
        <v>110.23438906429742</v>
      </c>
      <c r="DA53" s="190" t="s">
        <v>946</v>
      </c>
    </row>
    <row r="54" spans="1:105" ht="12" customHeight="1" x14ac:dyDescent="0.25">
      <c r="A54" s="132" t="s">
        <v>140</v>
      </c>
      <c r="B54" s="181">
        <v>49.507072117385995</v>
      </c>
      <c r="C54" s="181">
        <v>49.094966755128326</v>
      </c>
      <c r="D54" s="181">
        <v>48.362933790247297</v>
      </c>
      <c r="E54" s="181">
        <v>47.361526798195193</v>
      </c>
      <c r="F54" s="181">
        <v>46.168868475132506</v>
      </c>
      <c r="G54" s="181">
        <v>44.921894081630477</v>
      </c>
      <c r="H54" s="181">
        <v>43.533893983809413</v>
      </c>
      <c r="I54" s="181">
        <v>42.49530550569456</v>
      </c>
      <c r="J54" s="181">
        <v>41.420908577784758</v>
      </c>
      <c r="K54" s="181">
        <v>40.307211275055067</v>
      </c>
      <c r="L54" s="181">
        <v>39.124473714118572</v>
      </c>
      <c r="M54" s="181">
        <v>37.723648838494803</v>
      </c>
      <c r="N54" s="181">
        <v>36.09817967604846</v>
      </c>
      <c r="O54" s="181">
        <v>34.446851839269364</v>
      </c>
      <c r="P54" s="181">
        <v>32.566613294567567</v>
      </c>
      <c r="Q54" s="181">
        <v>30.488004514012893</v>
      </c>
      <c r="R54" s="181">
        <v>28.45881295407424</v>
      </c>
      <c r="S54" s="181">
        <v>26.343686982456283</v>
      </c>
      <c r="T54" s="181">
        <v>24.173074798464764</v>
      </c>
      <c r="U54" s="181">
        <v>22.283392609151338</v>
      </c>
      <c r="V54" s="181">
        <v>20.321710215499088</v>
      </c>
      <c r="W54" s="181">
        <v>18.486429889816002</v>
      </c>
      <c r="DA54" s="190" t="s">
        <v>947</v>
      </c>
    </row>
    <row r="55" spans="1:105" ht="12" customHeight="1" x14ac:dyDescent="0.25">
      <c r="A55" s="132" t="s">
        <v>181</v>
      </c>
      <c r="B55" s="181">
        <v>703.99112172462753</v>
      </c>
      <c r="C55" s="181">
        <v>693.58358579922958</v>
      </c>
      <c r="D55" s="181">
        <v>682.71267294852032</v>
      </c>
      <c r="E55" s="181">
        <v>671.65989629876447</v>
      </c>
      <c r="F55" s="181">
        <v>659.31267946402056</v>
      </c>
      <c r="G55" s="181">
        <v>646.81451087725952</v>
      </c>
      <c r="H55" s="181">
        <v>633.87954884085025</v>
      </c>
      <c r="I55" s="181">
        <v>621.3071392747147</v>
      </c>
      <c r="J55" s="181">
        <v>609.29806812068068</v>
      </c>
      <c r="K55" s="181">
        <v>597.03790031732979</v>
      </c>
      <c r="L55" s="181">
        <v>584.29325286787935</v>
      </c>
      <c r="M55" s="181">
        <v>571.86130441668831</v>
      </c>
      <c r="N55" s="181">
        <v>560.3216719820058</v>
      </c>
      <c r="O55" s="181">
        <v>547.92975121653865</v>
      </c>
      <c r="P55" s="181">
        <v>533.28482316096563</v>
      </c>
      <c r="Q55" s="181">
        <v>518.13176863309036</v>
      </c>
      <c r="R55" s="181">
        <v>504.71857287265499</v>
      </c>
      <c r="S55" s="181">
        <v>492.63586270247481</v>
      </c>
      <c r="T55" s="181">
        <v>482.87032176069158</v>
      </c>
      <c r="U55" s="181">
        <v>474.10606378614943</v>
      </c>
      <c r="V55" s="181">
        <v>466.43686230185619</v>
      </c>
      <c r="W55" s="181">
        <v>458.30895268985489</v>
      </c>
      <c r="DA55" s="190" t="s">
        <v>948</v>
      </c>
    </row>
    <row r="56" spans="1:105" ht="12" customHeight="1" x14ac:dyDescent="0.25">
      <c r="A56" s="60" t="s">
        <v>99</v>
      </c>
      <c r="B56" s="55">
        <v>53.304159899049289</v>
      </c>
      <c r="C56" s="55">
        <v>53.006389473121907</v>
      </c>
      <c r="D56" s="55">
        <v>52.701491496282493</v>
      </c>
      <c r="E56" s="55">
        <v>52.253934309066572</v>
      </c>
      <c r="F56" s="55">
        <v>51.706420942891135</v>
      </c>
      <c r="G56" s="55">
        <v>51.102714130122536</v>
      </c>
      <c r="H56" s="55">
        <v>50.449151541691251</v>
      </c>
      <c r="I56" s="55">
        <v>49.756978721041193</v>
      </c>
      <c r="J56" s="55">
        <v>49.073295216463784</v>
      </c>
      <c r="K56" s="55">
        <v>48.40616347087164</v>
      </c>
      <c r="L56" s="55">
        <v>47.806296946199069</v>
      </c>
      <c r="M56" s="55">
        <v>47.025628060712101</v>
      </c>
      <c r="N56" s="55">
        <v>46.229243919844414</v>
      </c>
      <c r="O56" s="55">
        <v>45.423734228219452</v>
      </c>
      <c r="P56" s="55">
        <v>44.423340064163234</v>
      </c>
      <c r="Q56" s="55">
        <v>43.383505698193105</v>
      </c>
      <c r="R56" s="55">
        <v>42.48081305962792</v>
      </c>
      <c r="S56" s="55">
        <v>41.618257003896588</v>
      </c>
      <c r="T56" s="55">
        <v>40.661216807957302</v>
      </c>
      <c r="U56" s="55">
        <v>39.670214284969383</v>
      </c>
      <c r="V56" s="55">
        <v>38.693798687320268</v>
      </c>
      <c r="W56" s="55">
        <v>37.790697384014329</v>
      </c>
      <c r="DA56" s="101" t="s">
        <v>949</v>
      </c>
    </row>
    <row r="57" spans="1:105" ht="12" customHeight="1" x14ac:dyDescent="0.25">
      <c r="A57" s="62" t="s">
        <v>98</v>
      </c>
      <c r="B57" s="63">
        <v>387.13908651259953</v>
      </c>
      <c r="C57" s="63">
        <v>377.20923022192972</v>
      </c>
      <c r="D57" s="63">
        <v>365.53977524811734</v>
      </c>
      <c r="E57" s="63">
        <v>354.15905029568387</v>
      </c>
      <c r="F57" s="63">
        <v>341.20049251424712</v>
      </c>
      <c r="G57" s="63">
        <v>328.54995075648009</v>
      </c>
      <c r="H57" s="63">
        <v>312.51554027775609</v>
      </c>
      <c r="I57" s="63">
        <v>296.89721076538427</v>
      </c>
      <c r="J57" s="63">
        <v>279.96305966201527</v>
      </c>
      <c r="K57" s="63">
        <v>262.79818035168739</v>
      </c>
      <c r="L57" s="63">
        <v>245.36057472279444</v>
      </c>
      <c r="M57" s="63">
        <v>224.19367761589632</v>
      </c>
      <c r="N57" s="63">
        <v>207.61156604041554</v>
      </c>
      <c r="O57" s="63">
        <v>194.55768591152813</v>
      </c>
      <c r="P57" s="63">
        <v>184.21414673429246</v>
      </c>
      <c r="Q57" s="63">
        <v>178.55572249833074</v>
      </c>
      <c r="R57" s="63">
        <v>173.70659567635838</v>
      </c>
      <c r="S57" s="63">
        <v>169.67157796023125</v>
      </c>
      <c r="T57" s="63">
        <v>165.95365968212954</v>
      </c>
      <c r="U57" s="63">
        <v>161.54951003485849</v>
      </c>
      <c r="V57" s="63">
        <v>157.60460027191743</v>
      </c>
      <c r="W57" s="63">
        <v>154.14600836129583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0.68990758620787596</v>
      </c>
      <c r="D60" s="181">
        <v>0.68190104602550461</v>
      </c>
      <c r="E60" s="181">
        <v>0.67414499151501672</v>
      </c>
      <c r="F60" s="181">
        <v>0.66496638686521026</v>
      </c>
      <c r="G60" s="181">
        <v>0.65644441270519693</v>
      </c>
      <c r="H60" s="181">
        <v>0.64579923924447857</v>
      </c>
      <c r="I60" s="181">
        <v>0.63537409376610754</v>
      </c>
      <c r="J60" s="181">
        <v>0.62544471943033342</v>
      </c>
      <c r="K60" s="181">
        <v>0.61458765519854208</v>
      </c>
      <c r="L60" s="181">
        <v>0.60330316453264166</v>
      </c>
      <c r="M60" s="181">
        <v>0.59102835331171399</v>
      </c>
      <c r="N60" s="181">
        <v>0.57618711261965794</v>
      </c>
      <c r="O60" s="181">
        <v>0.56293951620520588</v>
      </c>
      <c r="P60" s="181">
        <v>0.5471986258937539</v>
      </c>
      <c r="Q60" s="181">
        <v>0.53102844354121226</v>
      </c>
      <c r="R60" s="181">
        <v>0.52764516385555604</v>
      </c>
      <c r="S60" s="181">
        <v>0.52270807205493774</v>
      </c>
      <c r="T60" s="181">
        <v>0.51801800795263186</v>
      </c>
      <c r="U60" s="181">
        <v>0.51363860930810756</v>
      </c>
      <c r="V60" s="181">
        <v>0.50932017299171839</v>
      </c>
      <c r="W60" s="181">
        <v>0.5075563186397587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183.65119245479931</v>
      </c>
      <c r="D61" s="181">
        <v>181.26964974677028</v>
      </c>
      <c r="E61" s="181">
        <v>178.68648965026148</v>
      </c>
      <c r="F61" s="181">
        <v>176.23513103337325</v>
      </c>
      <c r="G61" s="181">
        <v>173.09133066247807</v>
      </c>
      <c r="H61" s="181">
        <v>170.34894029006128</v>
      </c>
      <c r="I61" s="181">
        <v>167.6468229244982</v>
      </c>
      <c r="J61" s="181">
        <v>164.93401186622566</v>
      </c>
      <c r="K61" s="181">
        <v>161.84870639749096</v>
      </c>
      <c r="L61" s="181">
        <v>158.03887716220086</v>
      </c>
      <c r="M61" s="181">
        <v>154.08164958660169</v>
      </c>
      <c r="N61" s="181">
        <v>149.34544863014915</v>
      </c>
      <c r="O61" s="181">
        <v>143.15121523828685</v>
      </c>
      <c r="P61" s="181">
        <v>136.66156968144111</v>
      </c>
      <c r="Q61" s="181">
        <v>128.71596664653401</v>
      </c>
      <c r="R61" s="181">
        <v>121.49434498461909</v>
      </c>
      <c r="S61" s="181">
        <v>115.93058837171913</v>
      </c>
      <c r="T61" s="181">
        <v>110.33002526801783</v>
      </c>
      <c r="U61" s="181">
        <v>104.70278607391052</v>
      </c>
      <c r="V61" s="181">
        <v>99.080828749336789</v>
      </c>
      <c r="W61" s="181">
        <v>96.94400266150241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46.95184665859631</v>
      </c>
      <c r="D62" s="181">
        <v>45.21437195887566</v>
      </c>
      <c r="E62" s="181">
        <v>43.941939925178851</v>
      </c>
      <c r="F62" s="181">
        <v>42.992449128544528</v>
      </c>
      <c r="G62" s="181">
        <v>42.208215544069994</v>
      </c>
      <c r="H62" s="181">
        <v>41.329470295789477</v>
      </c>
      <c r="I62" s="181">
        <v>40.206943922250531</v>
      </c>
      <c r="J62" s="181">
        <v>38.613082626320953</v>
      </c>
      <c r="K62" s="181">
        <v>37.330007577551783</v>
      </c>
      <c r="L62" s="181">
        <v>35.942519997541538</v>
      </c>
      <c r="M62" s="181">
        <v>34.139390109853437</v>
      </c>
      <c r="N62" s="181">
        <v>32.238522103955923</v>
      </c>
      <c r="O62" s="181">
        <v>30.067900542051625</v>
      </c>
      <c r="P62" s="181">
        <v>27.976224962908393</v>
      </c>
      <c r="Q62" s="181">
        <v>25.511880284724761</v>
      </c>
      <c r="R62" s="181">
        <v>22.624784502987481</v>
      </c>
      <c r="S62" s="181">
        <v>21.360330078952419</v>
      </c>
      <c r="T62" s="181">
        <v>19.321039885507695</v>
      </c>
      <c r="U62" s="181">
        <v>17.680401187070213</v>
      </c>
      <c r="V62" s="181">
        <v>16.34646582179689</v>
      </c>
      <c r="W62" s="181">
        <v>14.860249183169966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633.60805426733634</v>
      </c>
      <c r="D63" s="181">
        <v>620.32764793107469</v>
      </c>
      <c r="E63" s="181">
        <v>613.80515394388271</v>
      </c>
      <c r="F63" s="181">
        <v>604.12076159134642</v>
      </c>
      <c r="G63" s="181">
        <v>595.20908948620865</v>
      </c>
      <c r="H63" s="181">
        <v>580.98433629596707</v>
      </c>
      <c r="I63" s="181">
        <v>569.31216273449547</v>
      </c>
      <c r="J63" s="181">
        <v>555.83004247062354</v>
      </c>
      <c r="K63" s="181">
        <v>543.66640506347801</v>
      </c>
      <c r="L63" s="181">
        <v>529.30080186431906</v>
      </c>
      <c r="M63" s="181">
        <v>509.70185795383549</v>
      </c>
      <c r="N63" s="181">
        <v>500.78591040055113</v>
      </c>
      <c r="O63" s="181">
        <v>490.61222697745512</v>
      </c>
      <c r="P63" s="181">
        <v>476.75722737711567</v>
      </c>
      <c r="Q63" s="181">
        <v>469.11796668738418</v>
      </c>
      <c r="R63" s="181">
        <v>462.38746523655374</v>
      </c>
      <c r="S63" s="181">
        <v>454.32290875228625</v>
      </c>
      <c r="T63" s="181">
        <v>446.56549327926501</v>
      </c>
      <c r="U63" s="181">
        <v>439.06775373138555</v>
      </c>
      <c r="V63" s="181">
        <v>431.63627976670381</v>
      </c>
      <c r="W63" s="181">
        <v>421.98645045143206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50.026903725174542</v>
      </c>
      <c r="D64" s="55">
        <v>49.505214173600301</v>
      </c>
      <c r="E64" s="55">
        <v>48.884469789670874</v>
      </c>
      <c r="F64" s="55">
        <v>48.212460737071027</v>
      </c>
      <c r="G64" s="55">
        <v>47.484466518238101</v>
      </c>
      <c r="H64" s="55">
        <v>46.545471023995539</v>
      </c>
      <c r="I64" s="55">
        <v>45.685181563923237</v>
      </c>
      <c r="J64" s="55">
        <v>44.729973411519055</v>
      </c>
      <c r="K64" s="55">
        <v>43.791417059142603</v>
      </c>
      <c r="L64" s="55">
        <v>42.681455282625713</v>
      </c>
      <c r="M64" s="55">
        <v>41.308487729777823</v>
      </c>
      <c r="N64" s="55">
        <v>39.992563221182678</v>
      </c>
      <c r="O64" s="55">
        <v>38.765053992292671</v>
      </c>
      <c r="P64" s="55">
        <v>37.6019510964829</v>
      </c>
      <c r="Q64" s="55">
        <v>36.494006509996737</v>
      </c>
      <c r="R64" s="55">
        <v>36.044472598616515</v>
      </c>
      <c r="S64" s="55">
        <v>35.509872879698825</v>
      </c>
      <c r="T64" s="55">
        <v>35.004349954914019</v>
      </c>
      <c r="U64" s="55">
        <v>34.513037384124573</v>
      </c>
      <c r="V64" s="55">
        <v>34.026595726169454</v>
      </c>
      <c r="W64" s="55">
        <v>33.77836377145811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356.83073351085505</v>
      </c>
      <c r="D65" s="63">
        <v>343.57159538405864</v>
      </c>
      <c r="E65" s="63">
        <v>332.14628157323165</v>
      </c>
      <c r="F65" s="63">
        <v>318.64820434137084</v>
      </c>
      <c r="G65" s="63">
        <v>304.81228364427932</v>
      </c>
      <c r="H65" s="63">
        <v>287.64618022497291</v>
      </c>
      <c r="I65" s="63">
        <v>268.41430618667545</v>
      </c>
      <c r="J65" s="63">
        <v>248.018450709516</v>
      </c>
      <c r="K65" s="63">
        <v>229.56148866795655</v>
      </c>
      <c r="L65" s="63">
        <v>205.76741687740568</v>
      </c>
      <c r="M65" s="63">
        <v>192.58948883011686</v>
      </c>
      <c r="N65" s="63">
        <v>183.13121745544964</v>
      </c>
      <c r="O65" s="63">
        <v>177.21742545768041</v>
      </c>
      <c r="P65" s="63">
        <v>173.50329984366297</v>
      </c>
      <c r="Q65" s="63">
        <v>169.95582353276441</v>
      </c>
      <c r="R65" s="63">
        <v>166.26335435124054</v>
      </c>
      <c r="S65" s="63">
        <v>162.07260893344278</v>
      </c>
      <c r="T65" s="63">
        <v>157.98323209776163</v>
      </c>
      <c r="U65" s="63">
        <v>154.02125928669184</v>
      </c>
      <c r="V65" s="63">
        <v>150.09079560319546</v>
      </c>
      <c r="W65" s="63">
        <v>147.34596752678814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433.33584967285879</v>
      </c>
      <c r="C68" s="188">
        <f>1000000*C20/SER_summary!C$8</f>
        <v>442.59037659514348</v>
      </c>
      <c r="D68" s="188">
        <f>1000000*D20/SER_summary!D$8</f>
        <v>452.49379666710962</v>
      </c>
      <c r="E68" s="188">
        <f>1000000*E20/SER_summary!E$8</f>
        <v>462.62611563891943</v>
      </c>
      <c r="F68" s="188">
        <f>1000000*F20/SER_summary!F$8</f>
        <v>472.95454020572032</v>
      </c>
      <c r="G68" s="188">
        <f>1000000*G20/SER_summary!G$8</f>
        <v>482.64161712748285</v>
      </c>
      <c r="H68" s="188">
        <f>1000000*H20/SER_summary!H$8</f>
        <v>492.7194888109608</v>
      </c>
      <c r="I68" s="188">
        <f>1000000*I20/SER_summary!I$8</f>
        <v>502.20439029151123</v>
      </c>
      <c r="J68" s="188">
        <f>1000000*J20/SER_summary!J$8</f>
        <v>511.41002032704256</v>
      </c>
      <c r="K68" s="188">
        <f>1000000*K20/SER_summary!K$8</f>
        <v>522.17669935064066</v>
      </c>
      <c r="L68" s="188">
        <f>1000000*L20/SER_summary!L$8</f>
        <v>531.64904948278172</v>
      </c>
      <c r="M68" s="188">
        <f>1000000*M20/SER_summary!M$8</f>
        <v>540.04097634717129</v>
      </c>
      <c r="N68" s="188">
        <f>1000000*N20/SER_summary!N$8</f>
        <v>550.26467241949274</v>
      </c>
      <c r="O68" s="188">
        <f>1000000*O20/SER_summary!O$8</f>
        <v>561.35023692476341</v>
      </c>
      <c r="P68" s="188">
        <f>1000000*P20/SER_summary!P$8</f>
        <v>573.25860040958025</v>
      </c>
      <c r="Q68" s="188">
        <f>1000000*Q20/SER_summary!Q$8</f>
        <v>586.35000635250458</v>
      </c>
      <c r="R68" s="188">
        <f>1000000*R20/SER_summary!R$8</f>
        <v>594.44255597151243</v>
      </c>
      <c r="S68" s="188">
        <f>1000000*S20/SER_summary!S$8</f>
        <v>602.54886611581128</v>
      </c>
      <c r="T68" s="188">
        <f>1000000*T20/SER_summary!T$8</f>
        <v>610.5961611314433</v>
      </c>
      <c r="U68" s="188">
        <f>1000000*U20/SER_summary!U$8</f>
        <v>618.54030157698219</v>
      </c>
      <c r="V68" s="188">
        <f>1000000*V20/SER_summary!V$8</f>
        <v>626.29912813456258</v>
      </c>
      <c r="W68" s="188">
        <f>1000000*W20/SER_summary!W$8</f>
        <v>633.77740469646847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6.3831248862143669E-2</v>
      </c>
      <c r="C69" s="188">
        <f>1000*C21/SER_summary!C$3</f>
        <v>6.5865879237933259E-2</v>
      </c>
      <c r="D69" s="188">
        <f>1000*D21/SER_summary!D$3</f>
        <v>6.8293859786995648E-2</v>
      </c>
      <c r="E69" s="188">
        <f>1000*E21/SER_summary!E$3</f>
        <v>7.0964609640060669E-2</v>
      </c>
      <c r="F69" s="188">
        <f>1000*F21/SER_summary!F$3</f>
        <v>7.3384809453142699E-2</v>
      </c>
      <c r="G69" s="188">
        <f>1000*G21/SER_summary!G$3</f>
        <v>7.5753509005679329E-2</v>
      </c>
      <c r="H69" s="188">
        <f>1000*H21/SER_summary!H$3</f>
        <v>7.8644721764331016E-2</v>
      </c>
      <c r="I69" s="188">
        <f>1000*I21/SER_summary!I$3</f>
        <v>8.1129265913777934E-2</v>
      </c>
      <c r="J69" s="188">
        <f>1000*J21/SER_summary!J$3</f>
        <v>8.3813840285187013E-2</v>
      </c>
      <c r="K69" s="188">
        <f>1000*K21/SER_summary!K$3</f>
        <v>8.6686790917871737E-2</v>
      </c>
      <c r="L69" s="188">
        <f>1000*L21/SER_summary!L$3</f>
        <v>9.0365120816792655E-2</v>
      </c>
      <c r="M69" s="188">
        <f>1000*M21/SER_summary!M$3</f>
        <v>9.434846314192917E-2</v>
      </c>
      <c r="N69" s="188">
        <f>1000*N21/SER_summary!N$3</f>
        <v>9.990470398758923E-2</v>
      </c>
      <c r="O69" s="188">
        <f>1000*O21/SER_summary!O$3</f>
        <v>0.10654718836111528</v>
      </c>
      <c r="P69" s="188">
        <f>1000*P21/SER_summary!P$3</f>
        <v>0.11470780756836672</v>
      </c>
      <c r="Q69" s="188">
        <f>1000*Q21/SER_summary!Q$3</f>
        <v>0.1232070898429462</v>
      </c>
      <c r="R69" s="188">
        <f>1000*R21/SER_summary!R$3</f>
        <v>0.12901604576548281</v>
      </c>
      <c r="S69" s="188">
        <f>1000*S21/SER_summary!S$3</f>
        <v>0.13482639940344379</v>
      </c>
      <c r="T69" s="188">
        <f>1000*T21/SER_summary!T$3</f>
        <v>0.14053940677186785</v>
      </c>
      <c r="U69" s="188">
        <f>1000*U21/SER_summary!U$3</f>
        <v>0.14596551484071749</v>
      </c>
      <c r="V69" s="188">
        <f>1000*V21/SER_summary!V$3</f>
        <v>0.1509170435321347</v>
      </c>
      <c r="W69" s="188">
        <f>1000*W21/SER_summary!W$3</f>
        <v>0.15559661762261573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165.92730266961479</v>
      </c>
      <c r="C70" s="188">
        <f>1000000*C22/SER_summary!C$8</f>
        <v>167.30779379955521</v>
      </c>
      <c r="D70" s="188">
        <f>1000000*D22/SER_summary!D$8</f>
        <v>169.40475579753561</v>
      </c>
      <c r="E70" s="188">
        <f>1000000*E22/SER_summary!E$8</f>
        <v>171.64194820932951</v>
      </c>
      <c r="F70" s="188">
        <f>1000000*F22/SER_summary!F$8</f>
        <v>174.77938030484643</v>
      </c>
      <c r="G70" s="188">
        <f>1000000*G22/SER_summary!G$8</f>
        <v>177.3856714906477</v>
      </c>
      <c r="H70" s="188">
        <f>1000000*H22/SER_summary!H$8</f>
        <v>180.04972101297378</v>
      </c>
      <c r="I70" s="188">
        <f>1000000*I22/SER_summary!I$8</f>
        <v>182.81869521557252</v>
      </c>
      <c r="J70" s="188">
        <f>1000000*J22/SER_summary!J$8</f>
        <v>186.42048196316279</v>
      </c>
      <c r="K70" s="188">
        <f>1000000*K22/SER_summary!K$8</f>
        <v>190.28580589457403</v>
      </c>
      <c r="L70" s="188">
        <f>1000000*L22/SER_summary!L$8</f>
        <v>195.90078171283906</v>
      </c>
      <c r="M70" s="188">
        <f>1000000*M22/SER_summary!M$8</f>
        <v>202.63473545528782</v>
      </c>
      <c r="N70" s="188">
        <f>1000000*N22/SER_summary!N$8</f>
        <v>210.16455983939903</v>
      </c>
      <c r="O70" s="188">
        <f>1000000*O22/SER_summary!O$8</f>
        <v>219.54159381280022</v>
      </c>
      <c r="P70" s="188">
        <f>1000000*P22/SER_summary!P$8</f>
        <v>230.59811978078011</v>
      </c>
      <c r="Q70" s="188">
        <f>1000000*Q22/SER_summary!Q$8</f>
        <v>245.42498266838538</v>
      </c>
      <c r="R70" s="188">
        <f>1000000*R22/SER_summary!R$8</f>
        <v>253.32893202713876</v>
      </c>
      <c r="S70" s="188">
        <f>1000000*S22/SER_summary!S$8</f>
        <v>261.35746835469968</v>
      </c>
      <c r="T70" s="188">
        <f>1000000*T22/SER_summary!T$8</f>
        <v>268.97387375117711</v>
      </c>
      <c r="U70" s="188">
        <f>1000000*U22/SER_summary!U$8</f>
        <v>275.84991652158135</v>
      </c>
      <c r="V70" s="188">
        <f>1000000*V22/SER_summary!V$8</f>
        <v>281.37389792646411</v>
      </c>
      <c r="W70" s="188">
        <f>1000000*W22/SER_summary!W$8</f>
        <v>284.3358788275396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1.1557544832604807E-2</v>
      </c>
      <c r="C71" s="188">
        <f>1000*C23/SER_summary!C$3</f>
        <v>1.2333476648876405E-2</v>
      </c>
      <c r="D71" s="188">
        <f>1000*D23/SER_summary!D$3</f>
        <v>1.3047981760325763E-2</v>
      </c>
      <c r="E71" s="188">
        <f>1000*E23/SER_summary!E$3</f>
        <v>1.3841254525594681E-2</v>
      </c>
      <c r="F71" s="188">
        <f>1000*F23/SER_summary!F$3</f>
        <v>1.4922932022883119E-2</v>
      </c>
      <c r="G71" s="188">
        <f>1000*G23/SER_summary!G$3</f>
        <v>1.6132873978889274E-2</v>
      </c>
      <c r="H71" s="188">
        <f>1000*H23/SER_summary!H$3</f>
        <v>1.7368295572616047E-2</v>
      </c>
      <c r="I71" s="188">
        <f>1000*I23/SER_summary!I$3</f>
        <v>1.8491448540344683E-2</v>
      </c>
      <c r="J71" s="188">
        <f>1000*J23/SER_summary!J$3</f>
        <v>1.9269571575004661E-2</v>
      </c>
      <c r="K71" s="188">
        <f>1000*K23/SER_summary!K$3</f>
        <v>1.994312866164737E-2</v>
      </c>
      <c r="L71" s="188">
        <f>1000*L23/SER_summary!L$3</f>
        <v>2.0587316978691123E-2</v>
      </c>
      <c r="M71" s="188">
        <f>1000*M23/SER_summary!M$3</f>
        <v>2.1025279595273502E-2</v>
      </c>
      <c r="N71" s="188">
        <f>1000*N23/SER_summary!N$3</f>
        <v>2.1501328090453395E-2</v>
      </c>
      <c r="O71" s="188">
        <f>1000*O23/SER_summary!O$3</f>
        <v>2.2090067388711363E-2</v>
      </c>
      <c r="P71" s="188">
        <f>1000*P23/SER_summary!P$3</f>
        <v>2.2884795923183116E-2</v>
      </c>
      <c r="Q71" s="188">
        <f>1000*Q23/SER_summary!Q$3</f>
        <v>2.3902927290959917E-2</v>
      </c>
      <c r="R71" s="188">
        <f>1000*R23/SER_summary!R$3</f>
        <v>2.4758635323619573E-2</v>
      </c>
      <c r="S71" s="188">
        <f>1000*S23/SER_summary!S$3</f>
        <v>2.5620803776771013E-2</v>
      </c>
      <c r="T71" s="188">
        <f>1000*T23/SER_summary!T$3</f>
        <v>2.6487732760931592E-2</v>
      </c>
      <c r="U71" s="188">
        <f>1000*U23/SER_summary!U$3</f>
        <v>2.7333481885791766E-2</v>
      </c>
      <c r="V71" s="188">
        <f>1000*V23/SER_summary!V$3</f>
        <v>2.8140992050641765E-2</v>
      </c>
      <c r="W71" s="188">
        <f>1000*W23/SER_summary!W$3</f>
        <v>2.8977053813171304E-2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63.086282378635914</v>
      </c>
      <c r="C72" s="188">
        <f>1000000*C24/SER_summary!C$8</f>
        <v>67.563679598874671</v>
      </c>
      <c r="D72" s="188">
        <f>1000000*D24/SER_summary!D$8</f>
        <v>71.42696170350257</v>
      </c>
      <c r="E72" s="188">
        <f>1000000*E24/SER_summary!E$8</f>
        <v>76.655252423534719</v>
      </c>
      <c r="F72" s="188">
        <f>1000000*F24/SER_summary!F$8</f>
        <v>82.787250530891384</v>
      </c>
      <c r="G72" s="188">
        <f>1000000*G24/SER_summary!G$8</f>
        <v>90.36284879486638</v>
      </c>
      <c r="H72" s="188">
        <f>1000000*H24/SER_summary!H$8</f>
        <v>96.819239042149363</v>
      </c>
      <c r="I72" s="188">
        <f>1000000*I24/SER_summary!I$8</f>
        <v>103.28362863615801</v>
      </c>
      <c r="J72" s="188">
        <f>1000000*J24/SER_summary!J$8</f>
        <v>108.91557065810133</v>
      </c>
      <c r="K72" s="188">
        <f>1000000*K24/SER_summary!K$8</f>
        <v>113.98732153036936</v>
      </c>
      <c r="L72" s="188">
        <f>1000000*L24/SER_summary!L$8</f>
        <v>119.29409282860591</v>
      </c>
      <c r="M72" s="188">
        <f>1000000*M24/SER_summary!M$8</f>
        <v>123.56278005578362</v>
      </c>
      <c r="N72" s="188">
        <f>1000000*N24/SER_summary!N$8</f>
        <v>127.02974150476417</v>
      </c>
      <c r="O72" s="188">
        <f>1000000*O24/SER_summary!O$8</f>
        <v>130.70777041465882</v>
      </c>
      <c r="P72" s="188">
        <f>1000000*P24/SER_summary!P$8</f>
        <v>134.24324149143567</v>
      </c>
      <c r="Q72" s="188">
        <f>1000000*Q24/SER_summary!Q$8</f>
        <v>138.16700784909727</v>
      </c>
      <c r="R72" s="188">
        <f>1000000*R24/SER_summary!R$8</f>
        <v>145.4566936965067</v>
      </c>
      <c r="S72" s="188">
        <f>1000000*S24/SER_summary!S$8</f>
        <v>152.81155325239874</v>
      </c>
      <c r="T72" s="188">
        <f>1000000*T24/SER_summary!T$8</f>
        <v>160.11167662137277</v>
      </c>
      <c r="U72" s="188">
        <f>1000000*U24/SER_summary!U$8</f>
        <v>167.28319196921098</v>
      </c>
      <c r="V72" s="188">
        <f>1000000*V24/SER_summary!V$8</f>
        <v>174.18811749634281</v>
      </c>
      <c r="W72" s="188">
        <f>1000000*W24/SER_summary!W$8</f>
        <v>180.68027299554612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5.7479180738384199E-2</v>
      </c>
      <c r="C73" s="52">
        <f>1000*C25/SER_summary!C$3</f>
        <v>6.8406420205096255E-2</v>
      </c>
      <c r="D73" s="52">
        <f>1000*D25/SER_summary!D$3</f>
        <v>8.1964756081331178E-2</v>
      </c>
      <c r="E73" s="52">
        <f>1000*E25/SER_summary!E$3</f>
        <v>9.5665184473875522E-2</v>
      </c>
      <c r="F73" s="52">
        <f>1000*F25/SER_summary!F$3</f>
        <v>0.11576549346376573</v>
      </c>
      <c r="G73" s="52">
        <f>1000*G25/SER_summary!G$3</f>
        <v>0.13757528482405956</v>
      </c>
      <c r="H73" s="52">
        <f>1000*H25/SER_summary!H$3</f>
        <v>0.16386959177243451</v>
      </c>
      <c r="I73" s="52">
        <f>1000*I25/SER_summary!I$3</f>
        <v>0.18766258684647968</v>
      </c>
      <c r="J73" s="52">
        <f>1000*J25/SER_summary!J$3</f>
        <v>0.22078211961513267</v>
      </c>
      <c r="K73" s="52">
        <f>1000*K25/SER_summary!K$3</f>
        <v>0.24994402978076435</v>
      </c>
      <c r="L73" s="52">
        <f>1000*L25/SER_summary!L$3</f>
        <v>0.27750740245186195</v>
      </c>
      <c r="M73" s="52">
        <f>1000*M25/SER_summary!M$3</f>
        <v>0.31603586176548742</v>
      </c>
      <c r="N73" s="52">
        <f>1000*N25/SER_summary!N$3</f>
        <v>0.35990317311325831</v>
      </c>
      <c r="O73" s="52">
        <f>1000*O25/SER_summary!O$3</f>
        <v>0.39249657174194191</v>
      </c>
      <c r="P73" s="52">
        <f>1000*P25/SER_summary!P$3</f>
        <v>0.45285825030251381</v>
      </c>
      <c r="Q73" s="52">
        <f>1000*Q25/SER_summary!Q$3</f>
        <v>0.500123459061246</v>
      </c>
      <c r="R73" s="52">
        <f>1000*R25/SER_summary!R$3</f>
        <v>0.51601635779181032</v>
      </c>
      <c r="S73" s="52">
        <f>1000*S25/SER_summary!S$3</f>
        <v>0.53231032890199137</v>
      </c>
      <c r="T73" s="52">
        <f>1000*T25/SER_summary!T$3</f>
        <v>0.56053504275361454</v>
      </c>
      <c r="U73" s="52">
        <f>1000*U25/SER_summary!U$3</f>
        <v>0.57514463775149227</v>
      </c>
      <c r="V73" s="52">
        <f>1000*V25/SER_summary!V$3</f>
        <v>0.59319752468437947</v>
      </c>
      <c r="W73" s="52">
        <f>1000*W25/SER_summary!W$3</f>
        <v>0.60949822949695076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79.81119862451267</v>
      </c>
      <c r="C3" s="199">
        <f>'SER_se-appl'!C4</f>
        <v>80.809405948878421</v>
      </c>
      <c r="D3" s="199">
        <f>'SER_se-appl'!D4</f>
        <v>82.21182880578985</v>
      </c>
      <c r="E3" s="199">
        <f>'SER_se-appl'!E4</f>
        <v>84.688575961133338</v>
      </c>
      <c r="F3" s="199">
        <f>'SER_se-appl'!F4</f>
        <v>87.998784561851821</v>
      </c>
      <c r="G3" s="199">
        <f>'SER_se-appl'!G4</f>
        <v>90.771887138481262</v>
      </c>
      <c r="H3" s="199">
        <f>'SER_se-appl'!H4</f>
        <v>94.909168966144051</v>
      </c>
      <c r="I3" s="199">
        <f>'SER_se-appl'!I4</f>
        <v>99.276483546199103</v>
      </c>
      <c r="J3" s="199">
        <f>'SER_se-appl'!J4</f>
        <v>103.44535208592451</v>
      </c>
      <c r="K3" s="199">
        <f>'SER_se-appl'!K4</f>
        <v>107.2392736968421</v>
      </c>
      <c r="L3" s="199">
        <f>'SER_se-appl'!L4</f>
        <v>108.09891821998029</v>
      </c>
      <c r="M3" s="199">
        <f>'SER_se-appl'!M4</f>
        <v>110.93050576207217</v>
      </c>
      <c r="N3" s="199">
        <f>'SER_se-appl'!N4</f>
        <v>113.46853320990529</v>
      </c>
      <c r="O3" s="199">
        <f>'SER_se-appl'!O4</f>
        <v>114.70143553960264</v>
      </c>
      <c r="P3" s="199">
        <f>'SER_se-appl'!P4</f>
        <v>117.43727794036531</v>
      </c>
      <c r="Q3" s="199">
        <f>'SER_se-appl'!Q4</f>
        <v>119.28289746169062</v>
      </c>
      <c r="R3" s="199">
        <f>'SER_se-appl'!R4</f>
        <v>120.54918067934875</v>
      </c>
      <c r="S3" s="199">
        <f>'SER_se-appl'!S4</f>
        <v>122.26137829459401</v>
      </c>
      <c r="T3" s="199">
        <f>'SER_se-appl'!T4</f>
        <v>123.87895805751188</v>
      </c>
      <c r="U3" s="199">
        <f>'SER_se-appl'!U4</f>
        <v>126.01220058091836</v>
      </c>
      <c r="V3" s="199">
        <f>'SER_se-appl'!V4</f>
        <v>127.81924877098847</v>
      </c>
      <c r="W3" s="199">
        <f>'SER_se-appl'!W4</f>
        <v>129.246568487156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105.95938812820579</v>
      </c>
      <c r="C5" s="59">
        <f>'SER_se-appl'!C12</f>
        <v>107.28463369696985</v>
      </c>
      <c r="D5" s="59">
        <f>'SER_se-appl'!D12</f>
        <v>109.14652614284655</v>
      </c>
      <c r="E5" s="59">
        <f>'SER_se-appl'!E12</f>
        <v>112.43471899862793</v>
      </c>
      <c r="F5" s="59">
        <f>'SER_se-appl'!F12</f>
        <v>116.82943658154528</v>
      </c>
      <c r="G5" s="59">
        <f>'SER_se-appl'!G12</f>
        <v>120.51107847266407</v>
      </c>
      <c r="H5" s="59">
        <f>'SER_se-appl'!H12</f>
        <v>126.00383962057712</v>
      </c>
      <c r="I5" s="59">
        <f>'SER_se-appl'!I12</f>
        <v>131.80199813268212</v>
      </c>
      <c r="J5" s="59">
        <f>'SER_se-appl'!J12</f>
        <v>137.33669460722626</v>
      </c>
      <c r="K5" s="59">
        <f>'SER_se-appl'!K12</f>
        <v>142.37360195140116</v>
      </c>
      <c r="L5" s="59">
        <f>'SER_se-appl'!L12</f>
        <v>143.51488800209717</v>
      </c>
      <c r="M5" s="59">
        <f>'SER_se-appl'!M12</f>
        <v>147.27417602886982</v>
      </c>
      <c r="N5" s="59">
        <f>'SER_se-appl'!N12</f>
        <v>150.64372616794503</v>
      </c>
      <c r="O5" s="59">
        <f>'SER_se-appl'!O12</f>
        <v>152.28055882712087</v>
      </c>
      <c r="P5" s="59">
        <f>'SER_se-appl'!P12</f>
        <v>155.91273315598727</v>
      </c>
      <c r="Q5" s="59">
        <f>'SER_se-appl'!Q12</f>
        <v>158.36302482642259</v>
      </c>
      <c r="R5" s="59">
        <f>'SER_se-appl'!R12</f>
        <v>160.04417480603038</v>
      </c>
      <c r="S5" s="59">
        <f>'SER_se-appl'!S12</f>
        <v>162.3173321422521</v>
      </c>
      <c r="T5" s="59">
        <f>'SER_se-appl'!T12</f>
        <v>164.46487239827201</v>
      </c>
      <c r="U5" s="59">
        <f>'SER_se-appl'!U12</f>
        <v>167.29701972101378</v>
      </c>
      <c r="V5" s="59">
        <f>'SER_se-appl'!V12</f>
        <v>169.69610310577582</v>
      </c>
      <c r="W5" s="59">
        <f>'SER_se-appl'!W12</f>
        <v>171.59104925863295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433.33584967285879</v>
      </c>
      <c r="C6" s="202">
        <f>'SER_se-appl'!C68</f>
        <v>442.59037659514348</v>
      </c>
      <c r="D6" s="202">
        <f>'SER_se-appl'!D68</f>
        <v>452.49379666710962</v>
      </c>
      <c r="E6" s="202">
        <f>'SER_se-appl'!E68</f>
        <v>462.62611563891943</v>
      </c>
      <c r="F6" s="202">
        <f>'SER_se-appl'!F68</f>
        <v>472.95454020572032</v>
      </c>
      <c r="G6" s="202">
        <f>'SER_se-appl'!G68</f>
        <v>482.64161712748285</v>
      </c>
      <c r="H6" s="202">
        <f>'SER_se-appl'!H68</f>
        <v>492.7194888109608</v>
      </c>
      <c r="I6" s="202">
        <f>'SER_se-appl'!I68</f>
        <v>502.20439029151123</v>
      </c>
      <c r="J6" s="202">
        <f>'SER_se-appl'!J68</f>
        <v>511.41002032704256</v>
      </c>
      <c r="K6" s="202">
        <f>'SER_se-appl'!K68</f>
        <v>522.17669935064066</v>
      </c>
      <c r="L6" s="202">
        <f>'SER_se-appl'!L68</f>
        <v>531.64904948278172</v>
      </c>
      <c r="M6" s="202">
        <f>'SER_se-appl'!M68</f>
        <v>540.04097634717129</v>
      </c>
      <c r="N6" s="202">
        <f>'SER_se-appl'!N68</f>
        <v>550.26467241949274</v>
      </c>
      <c r="O6" s="202">
        <f>'SER_se-appl'!O68</f>
        <v>561.35023692476341</v>
      </c>
      <c r="P6" s="202">
        <f>'SER_se-appl'!P68</f>
        <v>573.25860040958025</v>
      </c>
      <c r="Q6" s="202">
        <f>'SER_se-appl'!Q68</f>
        <v>586.35000635250458</v>
      </c>
      <c r="R6" s="202">
        <f>'SER_se-appl'!R68</f>
        <v>594.44255597151243</v>
      </c>
      <c r="S6" s="202">
        <f>'SER_se-appl'!S68</f>
        <v>602.54886611581128</v>
      </c>
      <c r="T6" s="202">
        <f>'SER_se-appl'!T68</f>
        <v>610.5961611314433</v>
      </c>
      <c r="U6" s="202">
        <f>'SER_se-appl'!U68</f>
        <v>618.54030157698219</v>
      </c>
      <c r="V6" s="202">
        <f>'SER_se-appl'!V68</f>
        <v>626.29912813456258</v>
      </c>
      <c r="W6" s="202">
        <f>'SER_se-appl'!W68</f>
        <v>633.77740469646847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137.36701284295546</v>
      </c>
      <c r="C8" s="34">
        <f>'SER_se-appl'!C20</f>
        <v>139.99133962331979</v>
      </c>
      <c r="D8" s="34">
        <f>'SER_se-appl'!D20</f>
        <v>143.52553211920747</v>
      </c>
      <c r="E8" s="34">
        <f>'SER_se-appl'!E20</f>
        <v>149.31157957998749</v>
      </c>
      <c r="F8" s="34">
        <f>'SER_se-appl'!F20</f>
        <v>156.95699262034665</v>
      </c>
      <c r="G8" s="34">
        <f>'SER_se-appl'!G20</f>
        <v>163.73156428759214</v>
      </c>
      <c r="H8" s="34">
        <f>'SER_se-appl'!H20</f>
        <v>173.568704866026</v>
      </c>
      <c r="I8" s="34">
        <f>'SER_se-appl'!I20</f>
        <v>184.20176643216692</v>
      </c>
      <c r="J8" s="34">
        <f>'SER_se-appl'!J20</f>
        <v>194.74069588803391</v>
      </c>
      <c r="K8" s="34">
        <f>'SER_se-appl'!K20</f>
        <v>204.83605050840688</v>
      </c>
      <c r="L8" s="34">
        <f>'SER_se-appl'!L20</f>
        <v>208.86106480325694</v>
      </c>
      <c r="M8" s="34">
        <f>'SER_se-appl'!M20</f>
        <v>217.62438768333922</v>
      </c>
      <c r="N8" s="34">
        <f>'SER_se-appl'!N20</f>
        <v>226.21531360310084</v>
      </c>
      <c r="O8" s="34">
        <f>'SER_se-appl'!O20</f>
        <v>232.20578809934094</v>
      </c>
      <c r="P8" s="34">
        <f>'SER_se-appl'!P20</f>
        <v>242.35106341541783</v>
      </c>
      <c r="Q8" s="34">
        <f>'SER_se-appl'!Q20</f>
        <v>250.94995282050567</v>
      </c>
      <c r="R8" s="34">
        <f>'SER_se-appl'!R20</f>
        <v>258.31777285545257</v>
      </c>
      <c r="S8" s="34">
        <f>'SER_se-appl'!S20</f>
        <v>267.09508957355234</v>
      </c>
      <c r="T8" s="34">
        <f>'SER_se-appl'!T20</f>
        <v>275.922447245775</v>
      </c>
      <c r="U8" s="34">
        <f>'SER_se-appl'!U20</f>
        <v>284.38161786584237</v>
      </c>
      <c r="V8" s="34">
        <f>'SER_se-appl'!V20</f>
        <v>292.36549556159787</v>
      </c>
      <c r="W8" s="34">
        <f>'SER_se-appl'!W20</f>
        <v>300.06577558266912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8.5823911675043405</v>
      </c>
      <c r="D9" s="36">
        <f>'SER_se-appl'!D28</f>
        <v>9.6607842750830457</v>
      </c>
      <c r="E9" s="36">
        <f>'SER_se-appl'!E28</f>
        <v>12.085933529470481</v>
      </c>
      <c r="F9" s="36">
        <f>'SER_se-appl'!F28</f>
        <v>14.123495130511515</v>
      </c>
      <c r="G9" s="36">
        <f>'SER_se-appl'!G28</f>
        <v>13.435890159228308</v>
      </c>
      <c r="H9" s="36">
        <f>'SER_se-appl'!H28</f>
        <v>16.686878422769951</v>
      </c>
      <c r="I9" s="36">
        <f>'SER_se-appl'!I28</f>
        <v>17.676548316188814</v>
      </c>
      <c r="J9" s="36">
        <f>'SER_se-appl'!J28</f>
        <v>17.781645414569283</v>
      </c>
      <c r="K9" s="36">
        <f>'SER_se-appl'!K28</f>
        <v>17.542935104297982</v>
      </c>
      <c r="L9" s="36">
        <f>'SER_se-appl'!L28</f>
        <v>11.683254018844252</v>
      </c>
      <c r="M9" s="36">
        <f>'SER_se-appl'!M28</f>
        <v>16.638180465945368</v>
      </c>
      <c r="N9" s="36">
        <f>'SER_se-appl'!N28</f>
        <v>16.688528532452068</v>
      </c>
      <c r="O9" s="36">
        <f>'SER_se-appl'!O28</f>
        <v>14.31712261121865</v>
      </c>
      <c r="P9" s="36">
        <f>'SER_se-appl'!P28</f>
        <v>18.70744762149701</v>
      </c>
      <c r="Q9" s="36">
        <f>'SER_se-appl'!Q28</f>
        <v>17.403247842647716</v>
      </c>
      <c r="R9" s="36">
        <f>'SER_se-appl'!R28</f>
        <v>16.421214983324774</v>
      </c>
      <c r="S9" s="36">
        <f>'SER_se-appl'!S28</f>
        <v>18.086792323006023</v>
      </c>
      <c r="T9" s="36">
        <f>'SER_se-appl'!T28</f>
        <v>18.400157327215425</v>
      </c>
      <c r="U9" s="36">
        <f>'SER_se-appl'!U28</f>
        <v>17.041561787571709</v>
      </c>
      <c r="V9" s="36">
        <f>'SER_se-appl'!V28</f>
        <v>17.64466197083857</v>
      </c>
      <c r="W9" s="36">
        <f>'SER_se-appl'!W28</f>
        <v>19.786213550541731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5.9580643871400127</v>
      </c>
      <c r="D10" s="38">
        <f>'SER_se-appl'!D36</f>
        <v>6.1265917791953655</v>
      </c>
      <c r="E10" s="38">
        <f>'SER_se-appl'!E36</f>
        <v>6.299886068690455</v>
      </c>
      <c r="F10" s="38">
        <f>'SER_se-appl'!F36</f>
        <v>6.4780820901523555</v>
      </c>
      <c r="G10" s="38">
        <f>'SER_se-appl'!G36</f>
        <v>6.6613184919828257</v>
      </c>
      <c r="H10" s="38">
        <f>'SER_se-appl'!H36</f>
        <v>6.8497378443360901</v>
      </c>
      <c r="I10" s="38">
        <f>'SER_se-appl'!I36</f>
        <v>7.0434867500478902</v>
      </c>
      <c r="J10" s="38">
        <f>'SER_se-appl'!J36</f>
        <v>7.2427159587022913</v>
      </c>
      <c r="K10" s="38">
        <f>'SER_se-appl'!K36</f>
        <v>7.4475804839250088</v>
      </c>
      <c r="L10" s="38">
        <f>'SER_se-appl'!L36</f>
        <v>7.6582397239941997</v>
      </c>
      <c r="M10" s="38">
        <f>'SER_se-appl'!M36</f>
        <v>7.8748575858630829</v>
      </c>
      <c r="N10" s="38">
        <f>'SER_se-appl'!N36</f>
        <v>8.0976026126904515</v>
      </c>
      <c r="O10" s="38">
        <f>'SER_se-appl'!O36</f>
        <v>8.3266481149785534</v>
      </c>
      <c r="P10" s="38">
        <f>'SER_se-appl'!P36</f>
        <v>8.5621723054201198</v>
      </c>
      <c r="Q10" s="38">
        <f>'SER_se-appl'!Q36</f>
        <v>8.8043584375598414</v>
      </c>
      <c r="R10" s="38">
        <f>'SER_se-appl'!R36</f>
        <v>9.0533949483778429</v>
      </c>
      <c r="S10" s="38">
        <f>'SER_se-appl'!S36</f>
        <v>9.3094756049062539</v>
      </c>
      <c r="T10" s="38">
        <f>'SER_se-appl'!T36</f>
        <v>9.5727996549927639</v>
      </c>
      <c r="U10" s="38">
        <f>'SER_se-appl'!U36</f>
        <v>8.5823911675043405</v>
      </c>
      <c r="V10" s="38">
        <f>'SER_se-appl'!V36</f>
        <v>9.6607842750830741</v>
      </c>
      <c r="W10" s="38">
        <f>'SER_se-appl'!W36</f>
        <v>12.085933529470481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8759.9999999999964</v>
      </c>
      <c r="C12" s="205">
        <f>'SER_se-appl'!C44</f>
        <v>8760.0000000000018</v>
      </c>
      <c r="D12" s="205">
        <f>'SER_se-appl'!D44</f>
        <v>8760.0000000000018</v>
      </c>
      <c r="E12" s="205">
        <f>'SER_se-appl'!E44</f>
        <v>8760</v>
      </c>
      <c r="F12" s="205">
        <f>'SER_se-appl'!F44</f>
        <v>8760</v>
      </c>
      <c r="G12" s="205">
        <f>'SER_se-appl'!G44</f>
        <v>8759.9999999999982</v>
      </c>
      <c r="H12" s="205">
        <f>'SER_se-appl'!H44</f>
        <v>8759.9999999999982</v>
      </c>
      <c r="I12" s="205">
        <f>'SER_se-appl'!I44</f>
        <v>8760.0000000000018</v>
      </c>
      <c r="J12" s="205">
        <f>'SER_se-appl'!J44</f>
        <v>8760</v>
      </c>
      <c r="K12" s="205">
        <f>'SER_se-appl'!K44</f>
        <v>8759.9999999999964</v>
      </c>
      <c r="L12" s="205">
        <f>'SER_se-appl'!L44</f>
        <v>8759.9999999999982</v>
      </c>
      <c r="M12" s="205">
        <f>'SER_se-appl'!M44</f>
        <v>8759.9999999999982</v>
      </c>
      <c r="N12" s="205">
        <f>'SER_se-appl'!N44</f>
        <v>8760</v>
      </c>
      <c r="O12" s="205">
        <f>'SER_se-appl'!O44</f>
        <v>8760</v>
      </c>
      <c r="P12" s="205">
        <f>'SER_se-appl'!P44</f>
        <v>8760</v>
      </c>
      <c r="Q12" s="205">
        <f>'SER_se-appl'!Q44</f>
        <v>8760</v>
      </c>
      <c r="R12" s="205">
        <f>'SER_se-appl'!R44</f>
        <v>8759.9999999999982</v>
      </c>
      <c r="S12" s="205">
        <f>'SER_se-appl'!S44</f>
        <v>8760</v>
      </c>
      <c r="T12" s="205">
        <f>'SER_se-appl'!T44</f>
        <v>8760.0000000000018</v>
      </c>
      <c r="U12" s="205">
        <f>'SER_se-appl'!U44</f>
        <v>8759.9999999999982</v>
      </c>
      <c r="V12" s="205">
        <f>'SER_se-appl'!V44</f>
        <v>8759.9999999999982</v>
      </c>
      <c r="W12" s="205">
        <f>'SER_se-appl'!W44</f>
        <v>8759.9999999999982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0.77135977506727638</v>
      </c>
      <c r="C14" s="59">
        <f>'SER_se-appl'!C52</f>
        <v>0.76636621940789218</v>
      </c>
      <c r="D14" s="59">
        <f>'SER_se-appl'!D52</f>
        <v>0.76046766405431698</v>
      </c>
      <c r="E14" s="59">
        <f>'SER_se-appl'!E52</f>
        <v>0.7530207591059318</v>
      </c>
      <c r="F14" s="59">
        <f>'SER_se-appl'!F52</f>
        <v>0.74434043766458124</v>
      </c>
      <c r="G14" s="59">
        <f>'SER_se-appl'!G52</f>
        <v>0.73602838278017113</v>
      </c>
      <c r="H14" s="59">
        <f>'SER_se-appl'!H52</f>
        <v>0.72595943904655402</v>
      </c>
      <c r="I14" s="59">
        <f>'SER_se-appl'!I52</f>
        <v>0.71553058738564679</v>
      </c>
      <c r="J14" s="59">
        <f>'SER_se-appl'!J52</f>
        <v>0.70522852956316817</v>
      </c>
      <c r="K14" s="59">
        <f>'SER_se-appl'!K52</f>
        <v>0.6950612531242778</v>
      </c>
      <c r="L14" s="59">
        <f>'SER_se-appl'!L52</f>
        <v>0.68713088357222252</v>
      </c>
      <c r="M14" s="59">
        <f>'SER_se-appl'!M52</f>
        <v>0.67673562506774487</v>
      </c>
      <c r="N14" s="59">
        <f>'SER_se-appl'!N52</f>
        <v>0.66593071781273117</v>
      </c>
      <c r="O14" s="59">
        <f>'SER_se-appl'!O52</f>
        <v>0.65580001288328382</v>
      </c>
      <c r="P14" s="59">
        <f>'SER_se-appl'!P52</f>
        <v>0.6433342233317737</v>
      </c>
      <c r="Q14" s="59">
        <f>'SER_se-appl'!Q52</f>
        <v>0.63105421238988335</v>
      </c>
      <c r="R14" s="59">
        <f>'SER_se-appl'!R52</f>
        <v>0.61956315679288021</v>
      </c>
      <c r="S14" s="59">
        <f>'SER_se-appl'!S52</f>
        <v>0.60771365134945077</v>
      </c>
      <c r="T14" s="59">
        <f>'SER_se-appl'!T52</f>
        <v>0.59605470319628129</v>
      </c>
      <c r="U14" s="59">
        <f>'SER_se-appl'!U52</f>
        <v>0.58828352189745436</v>
      </c>
      <c r="V14" s="59">
        <f>'SER_se-appl'!V52</f>
        <v>0.5804245223254223</v>
      </c>
      <c r="W14" s="59">
        <f>'SER_se-appl'!W52</f>
        <v>0.57184478611543299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0.68990758620787596</v>
      </c>
      <c r="D15" s="63">
        <f>'SER_se-appl'!D60</f>
        <v>0.68190104602550461</v>
      </c>
      <c r="E15" s="63">
        <f>'SER_se-appl'!E60</f>
        <v>0.67414499151501672</v>
      </c>
      <c r="F15" s="63">
        <f>'SER_se-appl'!F60</f>
        <v>0.66496638686521026</v>
      </c>
      <c r="G15" s="63">
        <f>'SER_se-appl'!G60</f>
        <v>0.65644441270519693</v>
      </c>
      <c r="H15" s="63">
        <f>'SER_se-appl'!H60</f>
        <v>0.64579923924447857</v>
      </c>
      <c r="I15" s="63">
        <f>'SER_se-appl'!I60</f>
        <v>0.63537409376610754</v>
      </c>
      <c r="J15" s="63">
        <f>'SER_se-appl'!J60</f>
        <v>0.62544471943033342</v>
      </c>
      <c r="K15" s="63">
        <f>'SER_se-appl'!K60</f>
        <v>0.61458765519854208</v>
      </c>
      <c r="L15" s="63">
        <f>'SER_se-appl'!L60</f>
        <v>0.60330316453264166</v>
      </c>
      <c r="M15" s="63">
        <f>'SER_se-appl'!M60</f>
        <v>0.59102835331171399</v>
      </c>
      <c r="N15" s="63">
        <f>'SER_se-appl'!N60</f>
        <v>0.57618711261965794</v>
      </c>
      <c r="O15" s="63">
        <f>'SER_se-appl'!O60</f>
        <v>0.56293951620520588</v>
      </c>
      <c r="P15" s="63">
        <f>'SER_se-appl'!P60</f>
        <v>0.5471986258937539</v>
      </c>
      <c r="Q15" s="63">
        <f>'SER_se-appl'!Q60</f>
        <v>0.53102844354121226</v>
      </c>
      <c r="R15" s="63">
        <f>'SER_se-appl'!R60</f>
        <v>0.52764516385555604</v>
      </c>
      <c r="S15" s="63">
        <f>'SER_se-appl'!S60</f>
        <v>0.52270807205493774</v>
      </c>
      <c r="T15" s="63">
        <f>'SER_se-appl'!T60</f>
        <v>0.51801800795263186</v>
      </c>
      <c r="U15" s="63">
        <f>'SER_se-appl'!U60</f>
        <v>0.51363860930810756</v>
      </c>
      <c r="V15" s="63">
        <f>'SER_se-appl'!V60</f>
        <v>0.50932017299171839</v>
      </c>
      <c r="W15" s="63">
        <f>'SER_se-appl'!W60</f>
        <v>0.5075563186397587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163.87288906536338</v>
      </c>
      <c r="C3" s="199">
        <f>'SER_se-appl'!C5</f>
        <v>167.39767440776802</v>
      </c>
      <c r="D3" s="199">
        <f>'SER_se-appl'!D5</f>
        <v>171.42913512921928</v>
      </c>
      <c r="E3" s="199">
        <f>'SER_se-appl'!E5</f>
        <v>175.60993266401334</v>
      </c>
      <c r="F3" s="199">
        <f>'SER_se-appl'!F5</f>
        <v>178.81225160334048</v>
      </c>
      <c r="G3" s="199">
        <f>'SER_se-appl'!G5</f>
        <v>181.55389477564603</v>
      </c>
      <c r="H3" s="199">
        <f>'SER_se-appl'!H5</f>
        <v>184.70482163099174</v>
      </c>
      <c r="I3" s="199">
        <f>'SER_se-appl'!I5</f>
        <v>186.46463947479955</v>
      </c>
      <c r="J3" s="199">
        <f>'SER_se-appl'!J5</f>
        <v>190.02398642676013</v>
      </c>
      <c r="K3" s="199">
        <f>'SER_se-appl'!K5</f>
        <v>193.63112259624347</v>
      </c>
      <c r="L3" s="199">
        <f>'SER_se-appl'!L5</f>
        <v>197.93162788990531</v>
      </c>
      <c r="M3" s="199">
        <f>'SER_se-appl'!M5</f>
        <v>202.72254333800106</v>
      </c>
      <c r="N3" s="199">
        <f>'SER_se-appl'!N5</f>
        <v>209.89132646813789</v>
      </c>
      <c r="O3" s="199">
        <f>'SER_se-appl'!O5</f>
        <v>217.58380254545818</v>
      </c>
      <c r="P3" s="199">
        <f>'SER_se-appl'!P5</f>
        <v>226.11427346600442</v>
      </c>
      <c r="Q3" s="199">
        <f>'SER_se-appl'!Q5</f>
        <v>233.49323621206767</v>
      </c>
      <c r="R3" s="199">
        <f>'SER_se-appl'!R5</f>
        <v>239.79353047948214</v>
      </c>
      <c r="S3" s="199">
        <f>'SER_se-appl'!S5</f>
        <v>237.00640615632113</v>
      </c>
      <c r="T3" s="199">
        <f>'SER_se-appl'!T5</f>
        <v>233.29739606770087</v>
      </c>
      <c r="U3" s="199">
        <f>'SER_se-appl'!U5</f>
        <v>226.22599865218007</v>
      </c>
      <c r="V3" s="199">
        <f>'SER_se-appl'!V5</f>
        <v>218.93538038670974</v>
      </c>
      <c r="W3" s="199">
        <f>'SER_se-appl'!W5</f>
        <v>213.70320027637229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480.95638916554429</v>
      </c>
      <c r="C5" s="59">
        <f>'SER_se-appl'!C13</f>
        <v>491.07549537933795</v>
      </c>
      <c r="D5" s="59">
        <f>'SER_se-appl'!D13</f>
        <v>502.76479439170527</v>
      </c>
      <c r="E5" s="59">
        <f>'SER_se-appl'!E13</f>
        <v>514.63713557312985</v>
      </c>
      <c r="F5" s="59">
        <f>'SER_se-appl'!F13</f>
        <v>523.38546938151046</v>
      </c>
      <c r="G5" s="59">
        <f>'SER_se-appl'!G13</f>
        <v>530.18242885828067</v>
      </c>
      <c r="H5" s="59">
        <f>'SER_se-appl'!H13</f>
        <v>538.70822347138233</v>
      </c>
      <c r="I5" s="59">
        <f>'SER_se-appl'!I13</f>
        <v>542.62286335807801</v>
      </c>
      <c r="J5" s="59">
        <f>'SER_se-appl'!J13</f>
        <v>552.18767553466807</v>
      </c>
      <c r="K5" s="59">
        <f>'SER_se-appl'!K13</f>
        <v>562.20008373666394</v>
      </c>
      <c r="L5" s="59">
        <f>'SER_se-appl'!L13</f>
        <v>573.79869852992999</v>
      </c>
      <c r="M5" s="59">
        <f>'SER_se-appl'!M13</f>
        <v>588.00892899076155</v>
      </c>
      <c r="N5" s="59">
        <f>'SER_se-appl'!N13</f>
        <v>608.88016429058337</v>
      </c>
      <c r="O5" s="59">
        <f>'SER_se-appl'!O13</f>
        <v>631.80157844501457</v>
      </c>
      <c r="P5" s="59">
        <f>'SER_se-appl'!P13</f>
        <v>658.46728906787496</v>
      </c>
      <c r="Q5" s="59">
        <f>'SER_se-appl'!Q13</f>
        <v>682.29335666891848</v>
      </c>
      <c r="R5" s="59">
        <f>'SER_se-appl'!R13</f>
        <v>687.41239811881837</v>
      </c>
      <c r="S5" s="59">
        <f>'SER_se-appl'!S13</f>
        <v>689.33424394684073</v>
      </c>
      <c r="T5" s="59">
        <f>'SER_se-appl'!T13</f>
        <v>687.36725770222802</v>
      </c>
      <c r="U5" s="59">
        <f>'SER_se-appl'!U13</f>
        <v>679.26651931678634</v>
      </c>
      <c r="V5" s="59">
        <f>'SER_se-appl'!V13</f>
        <v>665.06426797973052</v>
      </c>
      <c r="W5" s="59">
        <f>'SER_se-appl'!W13</f>
        <v>649.03540865444722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6.3831248862143669E-2</v>
      </c>
      <c r="C6" s="202">
        <f>'SER_se-appl'!C69</f>
        <v>6.5865879237933259E-2</v>
      </c>
      <c r="D6" s="202">
        <f>'SER_se-appl'!D69</f>
        <v>6.8293859786995648E-2</v>
      </c>
      <c r="E6" s="202">
        <f>'SER_se-appl'!E69</f>
        <v>7.0964609640060669E-2</v>
      </c>
      <c r="F6" s="202">
        <f>'SER_se-appl'!F69</f>
        <v>7.3384809453142699E-2</v>
      </c>
      <c r="G6" s="202">
        <f>'SER_se-appl'!G69</f>
        <v>7.5753509005679329E-2</v>
      </c>
      <c r="H6" s="202">
        <f>'SER_se-appl'!H69</f>
        <v>7.8644721764331016E-2</v>
      </c>
      <c r="I6" s="202">
        <f>'SER_se-appl'!I69</f>
        <v>8.1129265913777934E-2</v>
      </c>
      <c r="J6" s="202">
        <f>'SER_se-appl'!J69</f>
        <v>8.3813840285187013E-2</v>
      </c>
      <c r="K6" s="202">
        <f>'SER_se-appl'!K69</f>
        <v>8.6686790917871737E-2</v>
      </c>
      <c r="L6" s="202">
        <f>'SER_se-appl'!L69</f>
        <v>9.0365120816792655E-2</v>
      </c>
      <c r="M6" s="202">
        <f>'SER_se-appl'!M69</f>
        <v>9.434846314192917E-2</v>
      </c>
      <c r="N6" s="202">
        <f>'SER_se-appl'!N69</f>
        <v>9.990470398758923E-2</v>
      </c>
      <c r="O6" s="202">
        <f>'SER_se-appl'!O69</f>
        <v>0.10654718836111528</v>
      </c>
      <c r="P6" s="202">
        <f>'SER_se-appl'!P69</f>
        <v>0.11470780756836672</v>
      </c>
      <c r="Q6" s="202">
        <f>'SER_se-appl'!Q69</f>
        <v>0.1232070898429462</v>
      </c>
      <c r="R6" s="202">
        <f>'SER_se-appl'!R69</f>
        <v>0.12901604576548281</v>
      </c>
      <c r="S6" s="202">
        <f>'SER_se-appl'!S69</f>
        <v>0.13482639940344379</v>
      </c>
      <c r="T6" s="202">
        <f>'SER_se-appl'!T69</f>
        <v>0.14053940677186785</v>
      </c>
      <c r="U6" s="202">
        <f>'SER_se-appl'!U69</f>
        <v>0.14596551484071749</v>
      </c>
      <c r="V6" s="202">
        <f>'SER_se-appl'!V69</f>
        <v>0.1509170435321347</v>
      </c>
      <c r="W6" s="202">
        <f>'SER_se-appl'!W69</f>
        <v>0.15559661762261573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2442.3944160806086</v>
      </c>
      <c r="C8" s="34">
        <f>'SER_se-appl'!C21</f>
        <v>2519.6303804033332</v>
      </c>
      <c r="D8" s="34">
        <f>'SER_se-appl'!D21</f>
        <v>2611.7072398646656</v>
      </c>
      <c r="E8" s="34">
        <f>'SER_se-appl'!E21</f>
        <v>2712.1631334315575</v>
      </c>
      <c r="F8" s="34">
        <f>'SER_se-appl'!F21</f>
        <v>2802.6104909796672</v>
      </c>
      <c r="G8" s="34">
        <f>'SER_se-appl'!G21</f>
        <v>2891.8019534538171</v>
      </c>
      <c r="H8" s="34">
        <f>'SER_se-appl'!H21</f>
        <v>3000.8509738212756</v>
      </c>
      <c r="I8" s="34">
        <f>'SER_se-appl'!I21</f>
        <v>3093.0921238811566</v>
      </c>
      <c r="J8" s="34">
        <f>'SER_se-appl'!J21</f>
        <v>3194.6182471415259</v>
      </c>
      <c r="K8" s="34">
        <f>'SER_se-appl'!K21</f>
        <v>3305.8767092818825</v>
      </c>
      <c r="L8" s="34">
        <f>'SER_se-appl'!L21</f>
        <v>3435.9411509860802</v>
      </c>
      <c r="M8" s="34">
        <f>'SER_se-appl'!M21</f>
        <v>3591.1589463046439</v>
      </c>
      <c r="N8" s="34">
        <f>'SER_se-appl'!N21</f>
        <v>3802.751872405167</v>
      </c>
      <c r="O8" s="34">
        <f>'SER_se-appl'!O21</f>
        <v>4055.4560861465429</v>
      </c>
      <c r="P8" s="34">
        <f>'SER_se-appl'!P21</f>
        <v>4360.9449102098761</v>
      </c>
      <c r="Q8" s="34">
        <f>'SER_se-appl'!Q21</f>
        <v>4682.5610986343345</v>
      </c>
      <c r="R8" s="34">
        <f>'SER_se-appl'!R21</f>
        <v>4898.3791739316512</v>
      </c>
      <c r="S8" s="34">
        <f>'SER_se-appl'!S21</f>
        <v>5119.7580107965923</v>
      </c>
      <c r="T8" s="34">
        <f>'SER_se-appl'!T21</f>
        <v>5337.2210621409058</v>
      </c>
      <c r="U8" s="34">
        <f>'SER_se-appl'!U21</f>
        <v>5542.7210535297745</v>
      </c>
      <c r="V8" s="34">
        <f>'SER_se-appl'!V21</f>
        <v>5728.5299649447761</v>
      </c>
      <c r="W8" s="34">
        <f>'SER_se-appl'!W21</f>
        <v>5887.7761664363961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383.62073860370492</v>
      </c>
      <c r="D9" s="36">
        <f>'SER_se-appl'!D29</f>
        <v>411.64993004789903</v>
      </c>
      <c r="E9" s="36">
        <f>'SER_se-appl'!E29</f>
        <v>433.78494911084681</v>
      </c>
      <c r="F9" s="36">
        <f>'SER_se-appl'!F29</f>
        <v>438.12452279200488</v>
      </c>
      <c r="G9" s="36">
        <f>'SER_se-appl'!G29</f>
        <v>451.83435009992127</v>
      </c>
      <c r="H9" s="36">
        <f>'SER_se-appl'!H29</f>
        <v>487.30182812175462</v>
      </c>
      <c r="I9" s="36">
        <f>'SER_se-appl'!I29</f>
        <v>486.77580510502503</v>
      </c>
      <c r="J9" s="36">
        <f>'SER_se-appl'!J29</f>
        <v>485.14686186407425</v>
      </c>
      <c r="K9" s="36">
        <f>'SER_se-appl'!K29</f>
        <v>522.90839218825568</v>
      </c>
      <c r="L9" s="36">
        <f>'SER_se-appl'!L29</f>
        <v>563.84939081504444</v>
      </c>
      <c r="M9" s="36">
        <f>'SER_se-appl'!M29</f>
        <v>593.34231811056861</v>
      </c>
      <c r="N9" s="36">
        <f>'SER_se-appl'!N29</f>
        <v>663.42727620044434</v>
      </c>
      <c r="O9" s="36">
        <f>'SER_se-appl'!O29</f>
        <v>740.00604186313058</v>
      </c>
      <c r="P9" s="36">
        <f>'SER_se-appl'!P29</f>
        <v>792.26462916835817</v>
      </c>
      <c r="Q9" s="36">
        <f>'SER_se-appl'!Q29</f>
        <v>806.76305028853267</v>
      </c>
      <c r="R9" s="36">
        <f>'SER_se-appl'!R29</f>
        <v>738.72646748557236</v>
      </c>
      <c r="S9" s="36">
        <f>'SER_se-appl'!S29</f>
        <v>785.22822767998605</v>
      </c>
      <c r="T9" s="36">
        <f>'SER_se-appl'!T29</f>
        <v>810.80536945488257</v>
      </c>
      <c r="U9" s="36">
        <f>'SER_se-appl'!U29</f>
        <v>868.92726758931349</v>
      </c>
      <c r="V9" s="36">
        <f>'SER_se-appl'!V29</f>
        <v>925.81495327813263</v>
      </c>
      <c r="W9" s="36">
        <f>'SER_se-appl'!W29</f>
        <v>951.51083065997864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306.38477428098031</v>
      </c>
      <c r="D10" s="38">
        <f>'SER_se-appl'!D37</f>
        <v>319.5730705865667</v>
      </c>
      <c r="E10" s="38">
        <f>'SER_se-appl'!E37</f>
        <v>333.32905554395484</v>
      </c>
      <c r="F10" s="38">
        <f>'SER_se-appl'!F37</f>
        <v>347.67716524389516</v>
      </c>
      <c r="G10" s="38">
        <f>'SER_se-appl'!G37</f>
        <v>362.64288762577144</v>
      </c>
      <c r="H10" s="38">
        <f>'SER_se-appl'!H37</f>
        <v>378.2528077542961</v>
      </c>
      <c r="I10" s="38">
        <f>'SER_se-appl'!I37</f>
        <v>394.53465504514406</v>
      </c>
      <c r="J10" s="38">
        <f>'SER_se-appl'!J37</f>
        <v>383.62073860370492</v>
      </c>
      <c r="K10" s="38">
        <f>'SER_se-appl'!K37</f>
        <v>411.64993004789903</v>
      </c>
      <c r="L10" s="38">
        <f>'SER_se-appl'!L37</f>
        <v>433.78494911084681</v>
      </c>
      <c r="M10" s="38">
        <f>'SER_se-appl'!M37</f>
        <v>438.12452279200488</v>
      </c>
      <c r="N10" s="38">
        <f>'SER_se-appl'!N37</f>
        <v>451.83435009992081</v>
      </c>
      <c r="O10" s="38">
        <f>'SER_se-appl'!O37</f>
        <v>487.30182812175417</v>
      </c>
      <c r="P10" s="38">
        <f>'SER_se-appl'!P37</f>
        <v>486.77580510502503</v>
      </c>
      <c r="Q10" s="38">
        <f>'SER_se-appl'!Q37</f>
        <v>485.1468618640738</v>
      </c>
      <c r="R10" s="38">
        <f>'SER_se-appl'!R37</f>
        <v>522.90839218825568</v>
      </c>
      <c r="S10" s="38">
        <f>'SER_se-appl'!S37</f>
        <v>563.8493908150449</v>
      </c>
      <c r="T10" s="38">
        <f>'SER_se-appl'!T37</f>
        <v>593.34231811056907</v>
      </c>
      <c r="U10" s="38">
        <f>'SER_se-appl'!U37</f>
        <v>663.42727620044479</v>
      </c>
      <c r="V10" s="38">
        <f>'SER_se-appl'!V37</f>
        <v>740.00604186313103</v>
      </c>
      <c r="W10" s="38">
        <f>'SER_se-appl'!W37</f>
        <v>792.26462916835862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3962.608134048904</v>
      </c>
      <c r="C12" s="205">
        <f>'SER_se-appl'!C45</f>
        <v>3964.4310735938534</v>
      </c>
      <c r="D12" s="205">
        <f>'SER_se-appl'!D45</f>
        <v>3965.514021253261</v>
      </c>
      <c r="E12" s="205">
        <f>'SER_se-appl'!E45</f>
        <v>3968.5117448976989</v>
      </c>
      <c r="F12" s="205">
        <f>'SER_se-appl'!F45</f>
        <v>3973.3363033641663</v>
      </c>
      <c r="G12" s="205">
        <f>'SER_se-appl'!G45</f>
        <v>3982.5382383714682</v>
      </c>
      <c r="H12" s="205">
        <f>'SER_se-appl'!H45</f>
        <v>3987.5334772619221</v>
      </c>
      <c r="I12" s="205">
        <f>'SER_se-appl'!I45</f>
        <v>3996.4843052712758</v>
      </c>
      <c r="J12" s="205">
        <f>'SER_se-appl'!J45</f>
        <v>4002.2243524420546</v>
      </c>
      <c r="K12" s="205">
        <f>'SER_se-appl'!K45</f>
        <v>4005.5667384943358</v>
      </c>
      <c r="L12" s="205">
        <f>'SER_se-appl'!L45</f>
        <v>4011.7637740503292</v>
      </c>
      <c r="M12" s="205">
        <f>'SER_se-appl'!M45</f>
        <v>4009.5703700751023</v>
      </c>
      <c r="N12" s="205">
        <f>'SER_se-appl'!N45</f>
        <v>4009.0583828897375</v>
      </c>
      <c r="O12" s="205">
        <f>'SER_se-appl'!O45</f>
        <v>4005.2125697940264</v>
      </c>
      <c r="P12" s="205">
        <f>'SER_se-appl'!P45</f>
        <v>3993.6820614616145</v>
      </c>
      <c r="Q12" s="205">
        <f>'SER_se-appl'!Q45</f>
        <v>3979.9982084012154</v>
      </c>
      <c r="R12" s="205">
        <f>'SER_se-appl'!R45</f>
        <v>4056.9514997230772</v>
      </c>
      <c r="S12" s="205">
        <f>'SER_se-appl'!S45</f>
        <v>3998.6182723436245</v>
      </c>
      <c r="T12" s="205">
        <f>'SER_se-appl'!T45</f>
        <v>3947.3057319276013</v>
      </c>
      <c r="U12" s="205">
        <f>'SER_se-appl'!U45</f>
        <v>3873.30788358471</v>
      </c>
      <c r="V12" s="205">
        <f>'SER_se-appl'!V45</f>
        <v>3828.529957912333</v>
      </c>
      <c r="W12" s="205">
        <f>'SER_se-appl'!W45</f>
        <v>3829.3260830973309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196.92003306220744</v>
      </c>
      <c r="C14" s="59">
        <f>'SER_se-appl'!C53</f>
        <v>194.8998151469853</v>
      </c>
      <c r="D14" s="59">
        <f>'SER_se-appl'!D53</f>
        <v>192.50426951290211</v>
      </c>
      <c r="E14" s="59">
        <f>'SER_se-appl'!E53</f>
        <v>189.75154157559339</v>
      </c>
      <c r="F14" s="59">
        <f>'SER_se-appl'!F53</f>
        <v>186.74927217537046</v>
      </c>
      <c r="G14" s="59">
        <f>'SER_se-appl'!G53</f>
        <v>183.3398128198435</v>
      </c>
      <c r="H14" s="59">
        <f>'SER_se-appl'!H53</f>
        <v>179.51848597979281</v>
      </c>
      <c r="I14" s="59">
        <f>'SER_se-appl'!I53</f>
        <v>175.4305535126463</v>
      </c>
      <c r="J14" s="59">
        <f>'SER_se-appl'!J53</f>
        <v>172.8493462493534</v>
      </c>
      <c r="K14" s="59">
        <f>'SER_se-appl'!K53</f>
        <v>170.06081387069864</v>
      </c>
      <c r="L14" s="59">
        <f>'SER_se-appl'!L53</f>
        <v>166.99898901506376</v>
      </c>
      <c r="M14" s="59">
        <f>'SER_se-appl'!M53</f>
        <v>163.73792911500936</v>
      </c>
      <c r="N14" s="59">
        <f>'SER_se-appl'!N53</f>
        <v>160.11567010431276</v>
      </c>
      <c r="O14" s="59">
        <f>'SER_se-appl'!O53</f>
        <v>155.7905116031836</v>
      </c>
      <c r="P14" s="59">
        <f>'SER_se-appl'!P53</f>
        <v>150.99188424193724</v>
      </c>
      <c r="Q14" s="59">
        <f>'SER_se-appl'!Q53</f>
        <v>145.70944026078141</v>
      </c>
      <c r="R14" s="59">
        <f>'SER_se-appl'!R53</f>
        <v>140.33466453089451</v>
      </c>
      <c r="S14" s="59">
        <f>'SER_se-appl'!S53</f>
        <v>134.64195817325086</v>
      </c>
      <c r="T14" s="59">
        <f>'SER_se-appl'!T53</f>
        <v>128.78748129396502</v>
      </c>
      <c r="U14" s="59">
        <f>'SER_se-appl'!U53</f>
        <v>122.55109228060621</v>
      </c>
      <c r="V14" s="59">
        <f>'SER_se-appl'!V53</f>
        <v>116.09684719282808</v>
      </c>
      <c r="W14" s="59">
        <f>'SER_se-appl'!W53</f>
        <v>110.23438906429742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183.65119245479931</v>
      </c>
      <c r="D15" s="63">
        <f>'SER_se-appl'!D61</f>
        <v>181.26964974677028</v>
      </c>
      <c r="E15" s="63">
        <f>'SER_se-appl'!E61</f>
        <v>178.68648965026148</v>
      </c>
      <c r="F15" s="63">
        <f>'SER_se-appl'!F61</f>
        <v>176.23513103337325</v>
      </c>
      <c r="G15" s="63">
        <f>'SER_se-appl'!G61</f>
        <v>173.09133066247807</v>
      </c>
      <c r="H15" s="63">
        <f>'SER_se-appl'!H61</f>
        <v>170.34894029006128</v>
      </c>
      <c r="I15" s="63">
        <f>'SER_se-appl'!I61</f>
        <v>167.6468229244982</v>
      </c>
      <c r="J15" s="63">
        <f>'SER_se-appl'!J61</f>
        <v>164.93401186622566</v>
      </c>
      <c r="K15" s="63">
        <f>'SER_se-appl'!K61</f>
        <v>161.84870639749096</v>
      </c>
      <c r="L15" s="63">
        <f>'SER_se-appl'!L61</f>
        <v>158.03887716220086</v>
      </c>
      <c r="M15" s="63">
        <f>'SER_se-appl'!M61</f>
        <v>154.08164958660169</v>
      </c>
      <c r="N15" s="63">
        <f>'SER_se-appl'!N61</f>
        <v>149.34544863014915</v>
      </c>
      <c r="O15" s="63">
        <f>'SER_se-appl'!O61</f>
        <v>143.15121523828685</v>
      </c>
      <c r="P15" s="63">
        <f>'SER_se-appl'!P61</f>
        <v>136.66156968144111</v>
      </c>
      <c r="Q15" s="63">
        <f>'SER_se-appl'!Q61</f>
        <v>128.71596664653401</v>
      </c>
      <c r="R15" s="63">
        <f>'SER_se-appl'!R61</f>
        <v>121.49434498461909</v>
      </c>
      <c r="S15" s="63">
        <f>'SER_se-appl'!S61</f>
        <v>115.93058837171913</v>
      </c>
      <c r="T15" s="63">
        <f>'SER_se-appl'!T61</f>
        <v>110.33002526801783</v>
      </c>
      <c r="U15" s="63">
        <f>'SER_se-appl'!U61</f>
        <v>104.70278607391052</v>
      </c>
      <c r="V15" s="63">
        <f>'SER_se-appl'!V61</f>
        <v>99.080828749336789</v>
      </c>
      <c r="W15" s="63">
        <f>'SER_se-appl'!W61</f>
        <v>96.94400266150241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502.29287376697613</v>
      </c>
      <c r="C3" s="199">
        <f>'SER_se-appl'!C6</f>
        <v>504.2168756820214</v>
      </c>
      <c r="D3" s="199">
        <f>'SER_se-appl'!D6</f>
        <v>507.51780574622421</v>
      </c>
      <c r="E3" s="199">
        <f>'SER_se-appl'!E6</f>
        <v>516.16471388896571</v>
      </c>
      <c r="F3" s="199">
        <f>'SER_se-appl'!F6</f>
        <v>531.61816890113266</v>
      </c>
      <c r="G3" s="199">
        <f>'SER_se-appl'!G6</f>
        <v>540.27634036005747</v>
      </c>
      <c r="H3" s="199">
        <f>'SER_se-appl'!H6</f>
        <v>556.95217822203097</v>
      </c>
      <c r="I3" s="199">
        <f>'SER_se-appl'!I6</f>
        <v>579.99401625490123</v>
      </c>
      <c r="J3" s="199">
        <f>'SER_se-appl'!J6</f>
        <v>603.15771459544112</v>
      </c>
      <c r="K3" s="199">
        <f>'SER_se-appl'!K6</f>
        <v>620.73327093963121</v>
      </c>
      <c r="L3" s="199">
        <f>'SER_se-appl'!L6</f>
        <v>624.93928046431631</v>
      </c>
      <c r="M3" s="199">
        <f>'SER_se-appl'!M6</f>
        <v>643.67744790252755</v>
      </c>
      <c r="N3" s="199">
        <f>'SER_se-appl'!N6</f>
        <v>655.01964979691729</v>
      </c>
      <c r="O3" s="199">
        <f>'SER_se-appl'!O6</f>
        <v>659.58801960856533</v>
      </c>
      <c r="P3" s="199">
        <f>'SER_se-appl'!P6</f>
        <v>673.15168785256867</v>
      </c>
      <c r="Q3" s="199">
        <f>'SER_se-appl'!Q6</f>
        <v>683.10442300964166</v>
      </c>
      <c r="R3" s="199">
        <f>'SER_se-appl'!R6</f>
        <v>685.19392150698968</v>
      </c>
      <c r="S3" s="199">
        <f>'SER_se-appl'!S6</f>
        <v>666.26660063421957</v>
      </c>
      <c r="T3" s="199">
        <f>'SER_se-appl'!T6</f>
        <v>629.93162622369061</v>
      </c>
      <c r="U3" s="199">
        <f>'SER_se-appl'!U6</f>
        <v>589.0843665369182</v>
      </c>
      <c r="V3" s="199">
        <f>'SER_se-appl'!V6</f>
        <v>543.91368319415528</v>
      </c>
      <c r="W3" s="199">
        <f>'SER_se-appl'!W6</f>
        <v>544.8965012799697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2604.0116968551961</v>
      </c>
      <c r="C5" s="59">
        <f>'SER_se-appl'!C14</f>
        <v>2598.0789577751211</v>
      </c>
      <c r="D5" s="59">
        <f>'SER_se-appl'!D14</f>
        <v>2598.6917784840821</v>
      </c>
      <c r="E5" s="59">
        <f>'SER_se-appl'!E14</f>
        <v>2623.6897229469851</v>
      </c>
      <c r="F5" s="59">
        <f>'SER_se-appl'!F14</f>
        <v>2677.939097321289</v>
      </c>
      <c r="G5" s="59">
        <f>'SER_se-appl'!G14</f>
        <v>2703.237724279365</v>
      </c>
      <c r="H5" s="59">
        <f>'SER_se-appl'!H14</f>
        <v>2761.1604904874043</v>
      </c>
      <c r="I5" s="59">
        <f>'SER_se-appl'!I14</f>
        <v>2849.5405822948278</v>
      </c>
      <c r="J5" s="59">
        <f>'SER_se-appl'!J14</f>
        <v>2940.3615290348184</v>
      </c>
      <c r="K5" s="59">
        <f>'SER_se-appl'!K14</f>
        <v>3008.6942110391492</v>
      </c>
      <c r="L5" s="59">
        <f>'SER_se-appl'!L14</f>
        <v>3011.044151141004</v>
      </c>
      <c r="M5" s="59">
        <f>'SER_se-appl'!M14</f>
        <v>3080.4093690034351</v>
      </c>
      <c r="N5" s="59">
        <f>'SER_se-appl'!N14</f>
        <v>3118.8547853407044</v>
      </c>
      <c r="O5" s="59">
        <f>'SER_se-appl'!O14</f>
        <v>3128.2790092736655</v>
      </c>
      <c r="P5" s="59">
        <f>'SER_se-appl'!P14</f>
        <v>3174.8463340211979</v>
      </c>
      <c r="Q5" s="59">
        <f>'SER_se-appl'!Q14</f>
        <v>3202.4175212364694</v>
      </c>
      <c r="R5" s="59">
        <f>'SER_se-appl'!R14</f>
        <v>3132.8959282779747</v>
      </c>
      <c r="S5" s="59">
        <f>'SER_se-appl'!S14</f>
        <v>3052.0040272562378</v>
      </c>
      <c r="T5" s="59">
        <f>'SER_se-appl'!T14</f>
        <v>2938.1567212763421</v>
      </c>
      <c r="U5" s="59">
        <f>'SER_se-appl'!U14</f>
        <v>2826.1010594991048</v>
      </c>
      <c r="V5" s="59">
        <f>'SER_se-appl'!V14</f>
        <v>2669.2445866895919</v>
      </c>
      <c r="W5" s="59">
        <f>'SER_se-appl'!W14</f>
        <v>2488.6534528926604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165.92730266961479</v>
      </c>
      <c r="C6" s="202">
        <f>'SER_se-appl'!C70</f>
        <v>167.30779379955521</v>
      </c>
      <c r="D6" s="202">
        <f>'SER_se-appl'!D70</f>
        <v>169.40475579753561</v>
      </c>
      <c r="E6" s="202">
        <f>'SER_se-appl'!E70</f>
        <v>171.64194820932951</v>
      </c>
      <c r="F6" s="202">
        <f>'SER_se-appl'!F70</f>
        <v>174.77938030484643</v>
      </c>
      <c r="G6" s="202">
        <f>'SER_se-appl'!G70</f>
        <v>177.3856714906477</v>
      </c>
      <c r="H6" s="202">
        <f>'SER_se-appl'!H70</f>
        <v>180.04972101297378</v>
      </c>
      <c r="I6" s="202">
        <f>'SER_se-appl'!I70</f>
        <v>182.81869521557252</v>
      </c>
      <c r="J6" s="202">
        <f>'SER_se-appl'!J70</f>
        <v>186.42048196316279</v>
      </c>
      <c r="K6" s="202">
        <f>'SER_se-appl'!K70</f>
        <v>190.28580589457403</v>
      </c>
      <c r="L6" s="202">
        <f>'SER_se-appl'!L70</f>
        <v>195.90078171283906</v>
      </c>
      <c r="M6" s="202">
        <f>'SER_se-appl'!M70</f>
        <v>202.63473545528782</v>
      </c>
      <c r="N6" s="202">
        <f>'SER_se-appl'!N70</f>
        <v>210.16455983939903</v>
      </c>
      <c r="O6" s="202">
        <f>'SER_se-appl'!O70</f>
        <v>219.54159381280022</v>
      </c>
      <c r="P6" s="202">
        <f>'SER_se-appl'!P70</f>
        <v>230.59811978078011</v>
      </c>
      <c r="Q6" s="202">
        <f>'SER_se-appl'!Q70</f>
        <v>245.42498266838538</v>
      </c>
      <c r="R6" s="202">
        <f>'SER_se-appl'!R70</f>
        <v>253.32893202713876</v>
      </c>
      <c r="S6" s="202">
        <f>'SER_se-appl'!S70</f>
        <v>261.35746835469968</v>
      </c>
      <c r="T6" s="202">
        <f>'SER_se-appl'!T70</f>
        <v>268.97387375117711</v>
      </c>
      <c r="U6" s="202">
        <f>'SER_se-appl'!U70</f>
        <v>275.84991652158135</v>
      </c>
      <c r="V6" s="202">
        <f>'SER_se-appl'!V70</f>
        <v>281.37389792646411</v>
      </c>
      <c r="W6" s="202">
        <f>'SER_se-appl'!W70</f>
        <v>284.3358788275396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52.598782062506864</v>
      </c>
      <c r="C8" s="34">
        <f>'SER_se-appl'!C22</f>
        <v>52.919456504239974</v>
      </c>
      <c r="D8" s="34">
        <f>'SER_se-appl'!D22</f>
        <v>53.73312937868392</v>
      </c>
      <c r="E8" s="34">
        <f>'SER_se-appl'!E22</f>
        <v>55.397068049059726</v>
      </c>
      <c r="F8" s="34">
        <f>'SER_se-appl'!F22</f>
        <v>58.003134704583061</v>
      </c>
      <c r="G8" s="34">
        <f>'SER_se-appl'!G22</f>
        <v>60.176396822608083</v>
      </c>
      <c r="H8" s="34">
        <f>'SER_se-appl'!H22</f>
        <v>63.425534401179483</v>
      </c>
      <c r="I8" s="34">
        <f>'SER_se-appl'!I22</f>
        <v>67.055420554935807</v>
      </c>
      <c r="J8" s="34">
        <f>'SER_se-appl'!J22</f>
        <v>70.987374009748791</v>
      </c>
      <c r="K8" s="34">
        <f>'SER_se-appl'!K22</f>
        <v>74.64406779491442</v>
      </c>
      <c r="L8" s="34">
        <f>'SER_se-appl'!L22</f>
        <v>76.960630145279879</v>
      </c>
      <c r="M8" s="34">
        <f>'SER_se-appl'!M22</f>
        <v>81.657248539013423</v>
      </c>
      <c r="N8" s="34">
        <f>'SER_se-appl'!N22</f>
        <v>86.399226036599813</v>
      </c>
      <c r="O8" s="34">
        <f>'SER_se-appl'!O22</f>
        <v>90.81465626729441</v>
      </c>
      <c r="P8" s="34">
        <f>'SER_se-appl'!P22</f>
        <v>97.487764702594774</v>
      </c>
      <c r="Q8" s="34">
        <f>'SER_se-appl'!Q22</f>
        <v>105.03860689749553</v>
      </c>
      <c r="R8" s="34">
        <f>'SER_se-appl'!R22</f>
        <v>110.08526368734086</v>
      </c>
      <c r="S8" s="34">
        <f>'SER_se-appl'!S22</f>
        <v>115.8533362960445</v>
      </c>
      <c r="T8" s="34">
        <f>'SER_se-appl'!T22</f>
        <v>121.54666900145217</v>
      </c>
      <c r="U8" s="34">
        <f>'SER_se-appl'!U22</f>
        <v>126.8254394233705</v>
      </c>
      <c r="V8" s="34">
        <f>'SER_se-appl'!V22</f>
        <v>131.34940703237643</v>
      </c>
      <c r="W8" s="34">
        <f>'SER_se-appl'!W22</f>
        <v>134.62055506258869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8.5348209560689128</v>
      </c>
      <c r="D9" s="36">
        <f>'SER_se-appl'!D30</f>
        <v>9.2412093790082039</v>
      </c>
      <c r="E9" s="36">
        <f>'SER_se-appl'!E30</f>
        <v>10.310408685466129</v>
      </c>
      <c r="F9" s="36">
        <f>'SER_se-appl'!F30</f>
        <v>11.477157712959396</v>
      </c>
      <c r="G9" s="36">
        <f>'SER_se-appl'!G30</f>
        <v>11.274809502330626</v>
      </c>
      <c r="H9" s="36">
        <f>'SER_se-appl'!H30</f>
        <v>12.587128165346208</v>
      </c>
      <c r="I9" s="36">
        <f>'SER_se-appl'!I30</f>
        <v>12.164707109825237</v>
      </c>
      <c r="J9" s="36">
        <f>'SER_se-appl'!J30</f>
        <v>13.173162833821188</v>
      </c>
      <c r="K9" s="36">
        <f>'SER_se-appl'!K30</f>
        <v>13.967102470631758</v>
      </c>
      <c r="L9" s="36">
        <f>'SER_se-appl'!L30</f>
        <v>13.793720063324855</v>
      </c>
      <c r="M9" s="36">
        <f>'SER_se-appl'!M30</f>
        <v>15.971427896064171</v>
      </c>
      <c r="N9" s="36">
        <f>'SER_se-appl'!N30</f>
        <v>17.329105662932605</v>
      </c>
      <c r="O9" s="36">
        <f>'SER_se-appl'!O30</f>
        <v>16.58013734051984</v>
      </c>
      <c r="P9" s="36">
        <f>'SER_se-appl'!P30</f>
        <v>19.846271269121559</v>
      </c>
      <c r="Q9" s="36">
        <f>'SER_se-appl'!Q30</f>
        <v>21.517944665532511</v>
      </c>
      <c r="R9" s="36">
        <f>'SER_se-appl'!R30</f>
        <v>18.840376853170184</v>
      </c>
      <c r="S9" s="36">
        <f>'SER_se-appl'!S30</f>
        <v>21.739500504767818</v>
      </c>
      <c r="T9" s="36">
        <f>'SER_se-appl'!T30</f>
        <v>23.022438368340275</v>
      </c>
      <c r="U9" s="36">
        <f>'SER_se-appl'!U30</f>
        <v>21.858907762438164</v>
      </c>
      <c r="V9" s="36">
        <f>'SER_se-appl'!V30</f>
        <v>24.370238878127495</v>
      </c>
      <c r="W9" s="36">
        <f>'SER_se-appl'!W30</f>
        <v>24.78909269574477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8.2141465143358019</v>
      </c>
      <c r="D10" s="38">
        <f>'SER_se-appl'!D38</f>
        <v>8.4275365045642587</v>
      </c>
      <c r="E10" s="38">
        <f>'SER_se-appl'!E38</f>
        <v>8.6464700150903298</v>
      </c>
      <c r="F10" s="38">
        <f>'SER_se-appl'!F38</f>
        <v>8.8710910574360611</v>
      </c>
      <c r="G10" s="38">
        <f>'SER_se-appl'!G38</f>
        <v>9.1015473843056043</v>
      </c>
      <c r="H10" s="38">
        <f>'SER_se-appl'!H38</f>
        <v>9.337990586774815</v>
      </c>
      <c r="I10" s="38">
        <f>'SER_se-appl'!I38</f>
        <v>8.5348209560689128</v>
      </c>
      <c r="J10" s="38">
        <f>'SER_se-appl'!J38</f>
        <v>9.2412093790081968</v>
      </c>
      <c r="K10" s="38">
        <f>'SER_se-appl'!K38</f>
        <v>10.310408685466129</v>
      </c>
      <c r="L10" s="38">
        <f>'SER_se-appl'!L38</f>
        <v>11.477157712959396</v>
      </c>
      <c r="M10" s="38">
        <f>'SER_se-appl'!M38</f>
        <v>11.274809502330626</v>
      </c>
      <c r="N10" s="38">
        <f>'SER_se-appl'!N38</f>
        <v>12.587128165346215</v>
      </c>
      <c r="O10" s="38">
        <f>'SER_se-appl'!O38</f>
        <v>12.164707109825244</v>
      </c>
      <c r="P10" s="38">
        <f>'SER_se-appl'!P38</f>
        <v>13.173162833821195</v>
      </c>
      <c r="Q10" s="38">
        <f>'SER_se-appl'!Q38</f>
        <v>13.967102470631758</v>
      </c>
      <c r="R10" s="38">
        <f>'SER_se-appl'!R38</f>
        <v>13.793720063324855</v>
      </c>
      <c r="S10" s="38">
        <f>'SER_se-appl'!S38</f>
        <v>15.971427896064156</v>
      </c>
      <c r="T10" s="38">
        <f>'SER_se-appl'!T38</f>
        <v>17.329105662932605</v>
      </c>
      <c r="U10" s="38">
        <f>'SER_se-appl'!U38</f>
        <v>16.58013734051984</v>
      </c>
      <c r="V10" s="38">
        <f>'SER_se-appl'!V38</f>
        <v>19.846271269121559</v>
      </c>
      <c r="W10" s="38">
        <f>'SER_se-appl'!W38</f>
        <v>21.517944665532497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2243.3332880051098</v>
      </c>
      <c r="C12" s="205">
        <f>'SER_se-appl'!C46</f>
        <v>2257.0685338999911</v>
      </c>
      <c r="D12" s="205">
        <f>'SER_se-appl'!D46</f>
        <v>2271.3090215999782</v>
      </c>
      <c r="E12" s="205">
        <f>'SER_se-appl'!E46</f>
        <v>2287.9975364563979</v>
      </c>
      <c r="F12" s="205">
        <f>'SER_se-appl'!F46</f>
        <v>2308.7602367449936</v>
      </c>
      <c r="G12" s="205">
        <f>'SER_se-appl'!G46</f>
        <v>2324.4029860757119</v>
      </c>
      <c r="H12" s="205">
        <f>'SER_se-appl'!H46</f>
        <v>2345.8809638330104</v>
      </c>
      <c r="I12" s="205">
        <f>'SER_se-appl'!I46</f>
        <v>2367.1641846252519</v>
      </c>
      <c r="J12" s="205">
        <f>'SER_se-appl'!J46</f>
        <v>2385.667256042349</v>
      </c>
      <c r="K12" s="205">
        <f>'SER_se-appl'!K46</f>
        <v>2399.4222857678024</v>
      </c>
      <c r="L12" s="205">
        <f>'SER_se-appl'!L46</f>
        <v>2413.7951710358843</v>
      </c>
      <c r="M12" s="205">
        <f>'SER_se-appl'!M46</f>
        <v>2430.1863234263028</v>
      </c>
      <c r="N12" s="205">
        <f>'SER_se-appl'!N46</f>
        <v>2442.5242762003004</v>
      </c>
      <c r="O12" s="205">
        <f>'SER_se-appl'!O46</f>
        <v>2452.1497747826197</v>
      </c>
      <c r="P12" s="205">
        <f>'SER_se-appl'!P46</f>
        <v>2465.8686771178709</v>
      </c>
      <c r="Q12" s="205">
        <f>'SER_se-appl'!Q46</f>
        <v>2480.7834665277246</v>
      </c>
      <c r="R12" s="205">
        <f>'SER_se-appl'!R46</f>
        <v>2543.5908148747276</v>
      </c>
      <c r="S12" s="205">
        <f>'SER_se-appl'!S46</f>
        <v>2538.8828114824159</v>
      </c>
      <c r="T12" s="205">
        <f>'SER_se-appl'!T46</f>
        <v>2493.4356836482993</v>
      </c>
      <c r="U12" s="205">
        <f>'SER_se-appl'!U46</f>
        <v>2424.2060133683372</v>
      </c>
      <c r="V12" s="205">
        <f>'SER_se-appl'!V46</f>
        <v>2369.8525669366272</v>
      </c>
      <c r="W12" s="205">
        <f>'SER_se-appl'!W46</f>
        <v>2546.4157343884626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49.507072117385995</v>
      </c>
      <c r="C14" s="59">
        <f>'SER_se-appl'!C54</f>
        <v>49.094966755128326</v>
      </c>
      <c r="D14" s="59">
        <f>'SER_se-appl'!D54</f>
        <v>48.362933790247297</v>
      </c>
      <c r="E14" s="59">
        <f>'SER_se-appl'!E54</f>
        <v>47.361526798195193</v>
      </c>
      <c r="F14" s="59">
        <f>'SER_se-appl'!F54</f>
        <v>46.168868475132506</v>
      </c>
      <c r="G14" s="59">
        <f>'SER_se-appl'!G54</f>
        <v>44.921894081630477</v>
      </c>
      <c r="H14" s="59">
        <f>'SER_se-appl'!H54</f>
        <v>43.533893983809413</v>
      </c>
      <c r="I14" s="59">
        <f>'SER_se-appl'!I54</f>
        <v>42.49530550569456</v>
      </c>
      <c r="J14" s="59">
        <f>'SER_se-appl'!J54</f>
        <v>41.420908577784758</v>
      </c>
      <c r="K14" s="59">
        <f>'SER_se-appl'!K54</f>
        <v>40.307211275055067</v>
      </c>
      <c r="L14" s="59">
        <f>'SER_se-appl'!L54</f>
        <v>39.124473714118572</v>
      </c>
      <c r="M14" s="59">
        <f>'SER_se-appl'!M54</f>
        <v>37.723648838494803</v>
      </c>
      <c r="N14" s="59">
        <f>'SER_se-appl'!N54</f>
        <v>36.09817967604846</v>
      </c>
      <c r="O14" s="59">
        <f>'SER_se-appl'!O54</f>
        <v>34.446851839269364</v>
      </c>
      <c r="P14" s="59">
        <f>'SER_se-appl'!P54</f>
        <v>32.566613294567567</v>
      </c>
      <c r="Q14" s="59">
        <f>'SER_se-appl'!Q54</f>
        <v>30.488004514012893</v>
      </c>
      <c r="R14" s="59">
        <f>'SER_se-appl'!R54</f>
        <v>28.45881295407424</v>
      </c>
      <c r="S14" s="59">
        <f>'SER_se-appl'!S54</f>
        <v>26.343686982456283</v>
      </c>
      <c r="T14" s="59">
        <f>'SER_se-appl'!T54</f>
        <v>24.173074798464764</v>
      </c>
      <c r="U14" s="59">
        <f>'SER_se-appl'!U54</f>
        <v>22.283392609151338</v>
      </c>
      <c r="V14" s="59">
        <f>'SER_se-appl'!V54</f>
        <v>20.321710215499088</v>
      </c>
      <c r="W14" s="59">
        <f>'SER_se-appl'!W54</f>
        <v>18.486429889816002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46.95184665859631</v>
      </c>
      <c r="D15" s="63">
        <f>'SER_se-appl'!D62</f>
        <v>45.21437195887566</v>
      </c>
      <c r="E15" s="63">
        <f>'SER_se-appl'!E62</f>
        <v>43.941939925178851</v>
      </c>
      <c r="F15" s="63">
        <f>'SER_se-appl'!F62</f>
        <v>42.992449128544528</v>
      </c>
      <c r="G15" s="63">
        <f>'SER_se-appl'!G62</f>
        <v>42.208215544069994</v>
      </c>
      <c r="H15" s="63">
        <f>'SER_se-appl'!H62</f>
        <v>41.329470295789477</v>
      </c>
      <c r="I15" s="63">
        <f>'SER_se-appl'!I62</f>
        <v>40.206943922250531</v>
      </c>
      <c r="J15" s="63">
        <f>'SER_se-appl'!J62</f>
        <v>38.613082626320953</v>
      </c>
      <c r="K15" s="63">
        <f>'SER_se-appl'!K62</f>
        <v>37.330007577551783</v>
      </c>
      <c r="L15" s="63">
        <f>'SER_se-appl'!L62</f>
        <v>35.942519997541538</v>
      </c>
      <c r="M15" s="63">
        <f>'SER_se-appl'!M62</f>
        <v>34.139390109853437</v>
      </c>
      <c r="N15" s="63">
        <f>'SER_se-appl'!N62</f>
        <v>32.238522103955923</v>
      </c>
      <c r="O15" s="63">
        <f>'SER_se-appl'!O62</f>
        <v>30.067900542051625</v>
      </c>
      <c r="P15" s="63">
        <f>'SER_se-appl'!P62</f>
        <v>27.976224962908393</v>
      </c>
      <c r="Q15" s="63">
        <f>'SER_se-appl'!Q62</f>
        <v>25.511880284724761</v>
      </c>
      <c r="R15" s="63">
        <f>'SER_se-appl'!R62</f>
        <v>22.624784502987481</v>
      </c>
      <c r="S15" s="63">
        <f>'SER_se-appl'!S62</f>
        <v>21.360330078952419</v>
      </c>
      <c r="T15" s="63">
        <f>'SER_se-appl'!T62</f>
        <v>19.321039885507695</v>
      </c>
      <c r="U15" s="63">
        <f>'SER_se-appl'!U62</f>
        <v>17.680401187070213</v>
      </c>
      <c r="V15" s="63">
        <f>'SER_se-appl'!V62</f>
        <v>16.34646582179689</v>
      </c>
      <c r="W15" s="63">
        <f>'SER_se-appl'!W62</f>
        <v>14.860249183169966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234.49825604471198</v>
      </c>
      <c r="C3" s="199">
        <f>'SER_se-appl'!C7</f>
        <v>246.48191338614362</v>
      </c>
      <c r="D3" s="199">
        <f>'SER_se-appl'!D7</f>
        <v>256.59520197846962</v>
      </c>
      <c r="E3" s="199">
        <f>'SER_se-appl'!E7</f>
        <v>267.62288896336571</v>
      </c>
      <c r="F3" s="199">
        <f>'SER_se-appl'!F7</f>
        <v>283.02614267857916</v>
      </c>
      <c r="G3" s="199">
        <f>'SER_se-appl'!G7</f>
        <v>300.04174270086776</v>
      </c>
      <c r="H3" s="199">
        <f>'SER_se-appl'!H7</f>
        <v>316.41945701026026</v>
      </c>
      <c r="I3" s="199">
        <f>'SER_se-appl'!I7</f>
        <v>329.92633103242991</v>
      </c>
      <c r="J3" s="199">
        <f>'SER_se-appl'!J7</f>
        <v>337.07727889426457</v>
      </c>
      <c r="K3" s="199">
        <f>'SER_se-appl'!K7</f>
        <v>342.0214238125775</v>
      </c>
      <c r="L3" s="199">
        <f>'SER_se-appl'!L7</f>
        <v>344.50846486059419</v>
      </c>
      <c r="M3" s="199">
        <f>'SER_se-appl'!M7</f>
        <v>344.71221982143595</v>
      </c>
      <c r="N3" s="199">
        <f>'SER_se-appl'!N7</f>
        <v>345.41337440000274</v>
      </c>
      <c r="O3" s="199">
        <f>'SER_se-appl'!O7</f>
        <v>347.01162472576647</v>
      </c>
      <c r="P3" s="199">
        <f>'SER_se-appl'!P7</f>
        <v>349.47674409384643</v>
      </c>
      <c r="Q3" s="199">
        <f>'SER_se-appl'!Q7</f>
        <v>354.53854364062386</v>
      </c>
      <c r="R3" s="199">
        <f>'SER_se-appl'!R7</f>
        <v>357.36256269415099</v>
      </c>
      <c r="S3" s="199">
        <f>'SER_se-appl'!S7</f>
        <v>361.0086961788337</v>
      </c>
      <c r="T3" s="199">
        <f>'SER_se-appl'!T7</f>
        <v>365.86154689574693</v>
      </c>
      <c r="U3" s="199">
        <f>'SER_se-appl'!U7</f>
        <v>370.65308443416143</v>
      </c>
      <c r="V3" s="199">
        <f>'SER_se-appl'!V7</f>
        <v>375.28530620338051</v>
      </c>
      <c r="W3" s="199">
        <f>'SER_se-appl'!W7</f>
        <v>378.51936153411913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311.32588102739737</v>
      </c>
      <c r="C5" s="59">
        <f>'SER_se-appl'!C15</f>
        <v>327.23569094530251</v>
      </c>
      <c r="D5" s="59">
        <f>'SER_se-appl'!D15</f>
        <v>340.6623514851143</v>
      </c>
      <c r="E5" s="59">
        <f>'SER_se-appl'!E15</f>
        <v>355.30299071277892</v>
      </c>
      <c r="F5" s="59">
        <f>'SER_se-appl'!F15</f>
        <v>375.75274421825071</v>
      </c>
      <c r="G5" s="59">
        <f>'SER_se-appl'!G15</f>
        <v>398.34308990994202</v>
      </c>
      <c r="H5" s="59">
        <f>'SER_se-appl'!H15</f>
        <v>420.08656221795957</v>
      </c>
      <c r="I5" s="59">
        <f>'SER_se-appl'!I15</f>
        <v>438.0186335510457</v>
      </c>
      <c r="J5" s="59">
        <f>'SER_se-appl'!J15</f>
        <v>447.51241478770515</v>
      </c>
      <c r="K5" s="59">
        <f>'SER_se-appl'!K15</f>
        <v>454.07638800688102</v>
      </c>
      <c r="L5" s="59">
        <f>'SER_se-appl'!L15</f>
        <v>457.37824729779805</v>
      </c>
      <c r="M5" s="59">
        <f>'SER_se-appl'!M15</f>
        <v>457.64875759398416</v>
      </c>
      <c r="N5" s="59">
        <f>'SER_se-appl'!N15</f>
        <v>458.57962834155614</v>
      </c>
      <c r="O5" s="59">
        <f>'SER_se-appl'!O15</f>
        <v>460.70150634254162</v>
      </c>
      <c r="P5" s="59">
        <f>'SER_se-appl'!P15</f>
        <v>463.97426185062034</v>
      </c>
      <c r="Q5" s="59">
        <f>'SER_se-appl'!Q15</f>
        <v>470.69443636306596</v>
      </c>
      <c r="R5" s="59">
        <f>'SER_se-appl'!R15</f>
        <v>474.44367627088786</v>
      </c>
      <c r="S5" s="59">
        <f>'SER_se-appl'!S15</f>
        <v>479.284376319616</v>
      </c>
      <c r="T5" s="59">
        <f>'SER_se-appl'!T15</f>
        <v>485.72714502255002</v>
      </c>
      <c r="U5" s="59">
        <f>'SER_se-appl'!U15</f>
        <v>492.08851278188337</v>
      </c>
      <c r="V5" s="59">
        <f>'SER_se-appl'!V15</f>
        <v>498.2383688522051</v>
      </c>
      <c r="W5" s="59">
        <f>'SER_se-appl'!W15</f>
        <v>502.53198340659884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1.1557544832604807E-2</v>
      </c>
      <c r="C6" s="202">
        <f>'SER_se-appl'!C71</f>
        <v>1.2333476648876405E-2</v>
      </c>
      <c r="D6" s="202">
        <f>'SER_se-appl'!D71</f>
        <v>1.3047981760325763E-2</v>
      </c>
      <c r="E6" s="202">
        <f>'SER_se-appl'!E71</f>
        <v>1.3841254525594681E-2</v>
      </c>
      <c r="F6" s="202">
        <f>'SER_se-appl'!F71</f>
        <v>1.4922932022883119E-2</v>
      </c>
      <c r="G6" s="202">
        <f>'SER_se-appl'!G71</f>
        <v>1.6132873978889274E-2</v>
      </c>
      <c r="H6" s="202">
        <f>'SER_se-appl'!H71</f>
        <v>1.7368295572616047E-2</v>
      </c>
      <c r="I6" s="202">
        <f>'SER_se-appl'!I71</f>
        <v>1.8491448540344683E-2</v>
      </c>
      <c r="J6" s="202">
        <f>'SER_se-appl'!J71</f>
        <v>1.9269571575004661E-2</v>
      </c>
      <c r="K6" s="202">
        <f>'SER_se-appl'!K71</f>
        <v>1.994312866164737E-2</v>
      </c>
      <c r="L6" s="202">
        <f>'SER_se-appl'!L71</f>
        <v>2.0587316978691123E-2</v>
      </c>
      <c r="M6" s="202">
        <f>'SER_se-appl'!M71</f>
        <v>2.1025279595273502E-2</v>
      </c>
      <c r="N6" s="202">
        <f>'SER_se-appl'!N71</f>
        <v>2.1501328090453395E-2</v>
      </c>
      <c r="O6" s="202">
        <f>'SER_se-appl'!O71</f>
        <v>2.2090067388711363E-2</v>
      </c>
      <c r="P6" s="202">
        <f>'SER_se-appl'!P71</f>
        <v>2.2884795923183116E-2</v>
      </c>
      <c r="Q6" s="202">
        <f>'SER_se-appl'!Q71</f>
        <v>2.3902927290959917E-2</v>
      </c>
      <c r="R6" s="202">
        <f>'SER_se-appl'!R71</f>
        <v>2.4758635323619573E-2</v>
      </c>
      <c r="S6" s="202">
        <f>'SER_se-appl'!S71</f>
        <v>2.5620803776771013E-2</v>
      </c>
      <c r="T6" s="202">
        <f>'SER_se-appl'!T71</f>
        <v>2.6487732760931592E-2</v>
      </c>
      <c r="U6" s="202">
        <f>'SER_se-appl'!U71</f>
        <v>2.7333481885791766E-2</v>
      </c>
      <c r="V6" s="202">
        <f>'SER_se-appl'!V71</f>
        <v>2.8140992050641765E-2</v>
      </c>
      <c r="W6" s="202">
        <f>'SER_se-appl'!W71</f>
        <v>2.8977053813171304E-2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442.22983986604203</v>
      </c>
      <c r="C8" s="34">
        <f>'SER_se-appl'!C23</f>
        <v>471.80426071966883</v>
      </c>
      <c r="D8" s="34">
        <f>'SER_se-appl'!D23</f>
        <v>498.98348893078457</v>
      </c>
      <c r="E8" s="34">
        <f>'SER_se-appl'!E23</f>
        <v>528.99241516533061</v>
      </c>
      <c r="F8" s="34">
        <f>'SER_se-appl'!F23</f>
        <v>569.91584709657627</v>
      </c>
      <c r="G8" s="34">
        <f>'SER_se-appl'!G23</f>
        <v>615.85366934591264</v>
      </c>
      <c r="H8" s="34">
        <f>'SER_se-appl'!H23</f>
        <v>662.723009420567</v>
      </c>
      <c r="I8" s="34">
        <f>'SER_se-appl'!I23</f>
        <v>704.99533300449184</v>
      </c>
      <c r="J8" s="34">
        <f>'SER_se-appl'!J23</f>
        <v>734.47207237668215</v>
      </c>
      <c r="K8" s="34">
        <f>'SER_se-appl'!K23</f>
        <v>760.54868169263</v>
      </c>
      <c r="L8" s="34">
        <f>'SER_se-appl'!L23</f>
        <v>782.78885654224837</v>
      </c>
      <c r="M8" s="34">
        <f>'SER_se-appl'!M23</f>
        <v>800.27928810604942</v>
      </c>
      <c r="N8" s="34">
        <f>'SER_se-appl'!N23</f>
        <v>818.4220801587752</v>
      </c>
      <c r="O8" s="34">
        <f>'SER_se-appl'!O23</f>
        <v>840.80396313518486</v>
      </c>
      <c r="P8" s="34">
        <f>'SER_se-appl'!P23</f>
        <v>870.03087599696278</v>
      </c>
      <c r="Q8" s="34">
        <f>'SER_se-appl'!Q23</f>
        <v>908.44542809028826</v>
      </c>
      <c r="R8" s="34">
        <f>'SER_se-appl'!R23</f>
        <v>940.01628188664699</v>
      </c>
      <c r="S8" s="34">
        <f>'SER_se-appl'!S23</f>
        <v>972.89785946638972</v>
      </c>
      <c r="T8" s="34">
        <f>'SER_se-appl'!T23</f>
        <v>1005.9163364015449</v>
      </c>
      <c r="U8" s="34">
        <f>'SER_se-appl'!U23</f>
        <v>1037.9291689545762</v>
      </c>
      <c r="V8" s="34">
        <f>'SER_se-appl'!V23</f>
        <v>1068.1796597151631</v>
      </c>
      <c r="W8" s="34">
        <f>'SER_se-appl'!W23</f>
        <v>1096.4917452674558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69.765640665993942</v>
      </c>
      <c r="D9" s="36">
        <f>'SER_se-appl'!D31</f>
        <v>68.217043320773257</v>
      </c>
      <c r="E9" s="36">
        <f>'SER_se-appl'!E31</f>
        <v>71.911169481620163</v>
      </c>
      <c r="F9" s="36">
        <f>'SER_se-appl'!F31</f>
        <v>83.708311790109633</v>
      </c>
      <c r="G9" s="36">
        <f>'SER_se-appl'!G31</f>
        <v>89.623930741039771</v>
      </c>
      <c r="H9" s="36">
        <f>'SER_se-appl'!H31</f>
        <v>91.475660846021128</v>
      </c>
      <c r="I9" s="36">
        <f>'SER_se-appl'!I31</f>
        <v>87.818240156831507</v>
      </c>
      <c r="J9" s="36">
        <f>'SER_se-appl'!J31</f>
        <v>75.982043566607672</v>
      </c>
      <c r="K9" s="36">
        <f>'SER_se-appl'!K31</f>
        <v>73.561509850408015</v>
      </c>
      <c r="L9" s="36">
        <f>'SER_se-appl'!L31</f>
        <v>70.725306122843108</v>
      </c>
      <c r="M9" s="36">
        <f>'SER_se-appl'!M31</f>
        <v>87.256072229794995</v>
      </c>
      <c r="N9" s="36">
        <f>'SER_se-appl'!N31</f>
        <v>86.359835373499095</v>
      </c>
      <c r="O9" s="36">
        <f>'SER_se-appl'!O31</f>
        <v>94.29305245802982</v>
      </c>
      <c r="P9" s="36">
        <f>'SER_se-appl'!P31</f>
        <v>112.93522465188755</v>
      </c>
      <c r="Q9" s="36">
        <f>'SER_se-appl'!Q31</f>
        <v>128.03848283436525</v>
      </c>
      <c r="R9" s="36">
        <f>'SER_se-appl'!R31</f>
        <v>123.04651464237986</v>
      </c>
      <c r="S9" s="36">
        <f>'SER_se-appl'!S31</f>
        <v>120.69981773657423</v>
      </c>
      <c r="T9" s="36">
        <f>'SER_se-appl'!T31</f>
        <v>109.00052050176282</v>
      </c>
      <c r="U9" s="36">
        <f>'SER_se-appl'!U31</f>
        <v>105.57434240343935</v>
      </c>
      <c r="V9" s="36">
        <f>'SER_se-appl'!V31</f>
        <v>100.97579688343001</v>
      </c>
      <c r="W9" s="36">
        <f>'SER_se-appl'!W31</f>
        <v>115.56815778208772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40.191219812367137</v>
      </c>
      <c r="D10" s="38">
        <f>'SER_se-appl'!D39</f>
        <v>41.037815109657572</v>
      </c>
      <c r="E10" s="38">
        <f>'SER_se-appl'!E39</f>
        <v>41.902243247074125</v>
      </c>
      <c r="F10" s="38">
        <f>'SER_se-appl'!F39</f>
        <v>42.784879858863974</v>
      </c>
      <c r="G10" s="38">
        <f>'SER_se-appl'!G39</f>
        <v>43.686108491703408</v>
      </c>
      <c r="H10" s="38">
        <f>'SER_se-appl'!H39</f>
        <v>44.606320771366768</v>
      </c>
      <c r="I10" s="38">
        <f>'SER_se-appl'!I39</f>
        <v>45.545916572906663</v>
      </c>
      <c r="J10" s="38">
        <f>'SER_se-appl'!J39</f>
        <v>46.505304194417363</v>
      </c>
      <c r="K10" s="38">
        <f>'SER_se-appl'!K39</f>
        <v>47.484900534460166</v>
      </c>
      <c r="L10" s="38">
        <f>'SER_se-appl'!L39</f>
        <v>48.485131273224738</v>
      </c>
      <c r="M10" s="38">
        <f>'SER_se-appl'!M39</f>
        <v>69.765640665993942</v>
      </c>
      <c r="N10" s="38">
        <f>'SER_se-appl'!N39</f>
        <v>68.217043320773314</v>
      </c>
      <c r="O10" s="38">
        <f>'SER_se-appl'!O39</f>
        <v>71.911169481620163</v>
      </c>
      <c r="P10" s="38">
        <f>'SER_se-appl'!P39</f>
        <v>83.708311790109633</v>
      </c>
      <c r="Q10" s="38">
        <f>'SER_se-appl'!Q39</f>
        <v>89.623930741039771</v>
      </c>
      <c r="R10" s="38">
        <f>'SER_se-appl'!R39</f>
        <v>91.475660846021128</v>
      </c>
      <c r="S10" s="38">
        <f>'SER_se-appl'!S39</f>
        <v>87.818240156831507</v>
      </c>
      <c r="T10" s="38">
        <f>'SER_se-appl'!T39</f>
        <v>75.982043566607672</v>
      </c>
      <c r="U10" s="38">
        <f>'SER_se-appl'!U39</f>
        <v>73.561509850408129</v>
      </c>
      <c r="V10" s="38">
        <f>'SER_se-appl'!V39</f>
        <v>70.725306122843222</v>
      </c>
      <c r="W10" s="38">
        <f>'SER_se-appl'!W39</f>
        <v>87.256072229794881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8760</v>
      </c>
      <c r="E12" s="205">
        <f>'SER_se-appl'!E47</f>
        <v>8760</v>
      </c>
      <c r="F12" s="205">
        <f>'SER_se-appl'!F47</f>
        <v>8759.9999999999982</v>
      </c>
      <c r="G12" s="205">
        <f>'SER_se-appl'!G47</f>
        <v>8760</v>
      </c>
      <c r="H12" s="205">
        <f>'SER_se-appl'!H47</f>
        <v>8760.0000000000018</v>
      </c>
      <c r="I12" s="205">
        <f>'SER_se-appl'!I47</f>
        <v>8760</v>
      </c>
      <c r="J12" s="205">
        <f>'SER_se-appl'!J47</f>
        <v>8760</v>
      </c>
      <c r="K12" s="205">
        <f>'SER_se-appl'!K47</f>
        <v>8759.9999999999964</v>
      </c>
      <c r="L12" s="205">
        <f>'SER_se-appl'!L47</f>
        <v>8759.9999999999982</v>
      </c>
      <c r="M12" s="205">
        <f>'SER_se-appl'!M47</f>
        <v>8759.9999999999982</v>
      </c>
      <c r="N12" s="205">
        <f>'SER_se-appl'!N47</f>
        <v>8760</v>
      </c>
      <c r="O12" s="205">
        <f>'SER_se-appl'!O47</f>
        <v>8759.9999999999982</v>
      </c>
      <c r="P12" s="205">
        <f>'SER_se-appl'!P47</f>
        <v>8760</v>
      </c>
      <c r="Q12" s="205">
        <f>'SER_se-appl'!Q47</f>
        <v>8759.9999999999945</v>
      </c>
      <c r="R12" s="205">
        <f>'SER_se-appl'!R47</f>
        <v>8759.9999999999964</v>
      </c>
      <c r="S12" s="205">
        <f>'SER_se-appl'!S47</f>
        <v>8759.9999999999982</v>
      </c>
      <c r="T12" s="205">
        <f>'SER_se-appl'!T47</f>
        <v>8759.9999999999982</v>
      </c>
      <c r="U12" s="205">
        <f>'SER_se-appl'!U47</f>
        <v>8759.9999999999982</v>
      </c>
      <c r="V12" s="205">
        <f>'SER_se-appl'!V47</f>
        <v>8759.9999999999982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703.99112172462753</v>
      </c>
      <c r="C14" s="59">
        <f>'SER_se-appl'!C55</f>
        <v>693.58358579922958</v>
      </c>
      <c r="D14" s="59">
        <f>'SER_se-appl'!D55</f>
        <v>682.71267294852032</v>
      </c>
      <c r="E14" s="59">
        <f>'SER_se-appl'!E55</f>
        <v>671.65989629876447</v>
      </c>
      <c r="F14" s="59">
        <f>'SER_se-appl'!F55</f>
        <v>659.31267946402056</v>
      </c>
      <c r="G14" s="59">
        <f>'SER_se-appl'!G55</f>
        <v>646.81451087725952</v>
      </c>
      <c r="H14" s="59">
        <f>'SER_se-appl'!H55</f>
        <v>633.87954884085025</v>
      </c>
      <c r="I14" s="59">
        <f>'SER_se-appl'!I55</f>
        <v>621.3071392747147</v>
      </c>
      <c r="J14" s="59">
        <f>'SER_se-appl'!J55</f>
        <v>609.29806812068068</v>
      </c>
      <c r="K14" s="59">
        <f>'SER_se-appl'!K55</f>
        <v>597.03790031732979</v>
      </c>
      <c r="L14" s="59">
        <f>'SER_se-appl'!L55</f>
        <v>584.29325286787935</v>
      </c>
      <c r="M14" s="59">
        <f>'SER_se-appl'!M55</f>
        <v>571.86130441668831</v>
      </c>
      <c r="N14" s="59">
        <f>'SER_se-appl'!N55</f>
        <v>560.3216719820058</v>
      </c>
      <c r="O14" s="59">
        <f>'SER_se-appl'!O55</f>
        <v>547.92975121653865</v>
      </c>
      <c r="P14" s="59">
        <f>'SER_se-appl'!P55</f>
        <v>533.28482316096563</v>
      </c>
      <c r="Q14" s="59">
        <f>'SER_se-appl'!Q55</f>
        <v>518.13176863309036</v>
      </c>
      <c r="R14" s="59">
        <f>'SER_se-appl'!R55</f>
        <v>504.71857287265499</v>
      </c>
      <c r="S14" s="59">
        <f>'SER_se-appl'!S55</f>
        <v>492.63586270247481</v>
      </c>
      <c r="T14" s="59">
        <f>'SER_se-appl'!T55</f>
        <v>482.87032176069158</v>
      </c>
      <c r="U14" s="59">
        <f>'SER_se-appl'!U55</f>
        <v>474.10606378614943</v>
      </c>
      <c r="V14" s="59">
        <f>'SER_se-appl'!V55</f>
        <v>466.43686230185619</v>
      </c>
      <c r="W14" s="59">
        <f>'SER_se-appl'!W55</f>
        <v>458.30895268985489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633.60805426733634</v>
      </c>
      <c r="D15" s="63">
        <f>'SER_se-appl'!D63</f>
        <v>620.32764793107469</v>
      </c>
      <c r="E15" s="63">
        <f>'SER_se-appl'!E63</f>
        <v>613.80515394388271</v>
      </c>
      <c r="F15" s="63">
        <f>'SER_se-appl'!F63</f>
        <v>604.12076159134642</v>
      </c>
      <c r="G15" s="63">
        <f>'SER_se-appl'!G63</f>
        <v>595.20908948620865</v>
      </c>
      <c r="H15" s="63">
        <f>'SER_se-appl'!H63</f>
        <v>580.98433629596707</v>
      </c>
      <c r="I15" s="63">
        <f>'SER_se-appl'!I63</f>
        <v>569.31216273449547</v>
      </c>
      <c r="J15" s="63">
        <f>'SER_se-appl'!J63</f>
        <v>555.83004247062354</v>
      </c>
      <c r="K15" s="63">
        <f>'SER_se-appl'!K63</f>
        <v>543.66640506347801</v>
      </c>
      <c r="L15" s="63">
        <f>'SER_se-appl'!L63</f>
        <v>529.30080186431906</v>
      </c>
      <c r="M15" s="63">
        <f>'SER_se-appl'!M63</f>
        <v>509.70185795383549</v>
      </c>
      <c r="N15" s="63">
        <f>'SER_se-appl'!N63</f>
        <v>500.78591040055113</v>
      </c>
      <c r="O15" s="63">
        <f>'SER_se-appl'!O63</f>
        <v>490.61222697745512</v>
      </c>
      <c r="P15" s="63">
        <f>'SER_se-appl'!P63</f>
        <v>476.75722737711567</v>
      </c>
      <c r="Q15" s="63">
        <f>'SER_se-appl'!Q63</f>
        <v>469.11796668738418</v>
      </c>
      <c r="R15" s="63">
        <f>'SER_se-appl'!R63</f>
        <v>462.38746523655374</v>
      </c>
      <c r="S15" s="63">
        <f>'SER_se-appl'!S63</f>
        <v>454.32290875228625</v>
      </c>
      <c r="T15" s="63">
        <f>'SER_se-appl'!T63</f>
        <v>446.56549327926501</v>
      </c>
      <c r="U15" s="63">
        <f>'SER_se-appl'!U63</f>
        <v>439.06775373138555</v>
      </c>
      <c r="V15" s="63">
        <f>'SER_se-appl'!V63</f>
        <v>431.63627976670381</v>
      </c>
      <c r="W15" s="63">
        <f>'SER_se-appl'!W63</f>
        <v>421.98645045143206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76.024962422115678</v>
      </c>
      <c r="C3" s="199">
        <f>'SER_se-appl'!C8</f>
        <v>81.173205209957842</v>
      </c>
      <c r="D3" s="199">
        <f>'SER_se-appl'!D8</f>
        <v>85.933603208904572</v>
      </c>
      <c r="E3" s="199">
        <f>'SER_se-appl'!E8</f>
        <v>93.416537485428165</v>
      </c>
      <c r="F3" s="199">
        <f>'SER_se-appl'!F8</f>
        <v>103.03338053602157</v>
      </c>
      <c r="G3" s="199">
        <f>'SER_se-appl'!G8</f>
        <v>114.01143926274506</v>
      </c>
      <c r="H3" s="199">
        <f>'SER_se-appl'!H8</f>
        <v>125.63063469479739</v>
      </c>
      <c r="I3" s="199">
        <f>'SER_se-appl'!I8</f>
        <v>138.04591565775075</v>
      </c>
      <c r="J3" s="199">
        <f>'SER_se-appl'!J8</f>
        <v>149.48191163055935</v>
      </c>
      <c r="K3" s="199">
        <f>'SER_se-appl'!K8</f>
        <v>159.3992000140961</v>
      </c>
      <c r="L3" s="199">
        <f>'SER_se-appl'!L8</f>
        <v>165.42088130855493</v>
      </c>
      <c r="M3" s="199">
        <f>'SER_se-appl'!M8</f>
        <v>173.16625890835286</v>
      </c>
      <c r="N3" s="199">
        <f>'SER_se-appl'!N8</f>
        <v>178.81591578341224</v>
      </c>
      <c r="O3" s="199">
        <f>'SER_se-appl'!O8</f>
        <v>182.17990590883826</v>
      </c>
      <c r="P3" s="199">
        <f>'SER_se-appl'!P8</f>
        <v>187.27991569806863</v>
      </c>
      <c r="Q3" s="199">
        <f>'SER_se-appl'!Q8</f>
        <v>190.8285517460607</v>
      </c>
      <c r="R3" s="199">
        <f>'SER_se-appl'!R8</f>
        <v>204.37701767569149</v>
      </c>
      <c r="S3" s="199">
        <f>'SER_se-appl'!S8</f>
        <v>212.96049951494155</v>
      </c>
      <c r="T3" s="199">
        <f>'SER_se-appl'!T8</f>
        <v>220.33971086985517</v>
      </c>
      <c r="U3" s="199">
        <f>'SER_se-appl'!U8</f>
        <v>224.17548340598958</v>
      </c>
      <c r="V3" s="199">
        <f>'SER_se-appl'!V8</f>
        <v>225.9923562793673</v>
      </c>
      <c r="W3" s="199">
        <f>'SER_se-appl'!W8</f>
        <v>249.50134135119512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1065.9918230769586</v>
      </c>
      <c r="C5" s="59">
        <f>'SER_se-appl'!C16</f>
        <v>1132.7673423436688</v>
      </c>
      <c r="D5" s="59">
        <f>'SER_se-appl'!D16</f>
        <v>1193.9925558142777</v>
      </c>
      <c r="E5" s="59">
        <f>'SER_se-appl'!E16</f>
        <v>1292.7789071055636</v>
      </c>
      <c r="F5" s="59">
        <f>'SER_se-appl'!F16</f>
        <v>1420.5914834747639</v>
      </c>
      <c r="G5" s="59">
        <f>'SER_se-appl'!G16</f>
        <v>1566.5401291207877</v>
      </c>
      <c r="H5" s="59">
        <f>'SER_se-appl'!H16</f>
        <v>1720.6289032371224</v>
      </c>
      <c r="I5" s="59">
        <f>'SER_se-appl'!I16</f>
        <v>1884.9454004399668</v>
      </c>
      <c r="J5" s="59">
        <f>'SER_se-appl'!J16</f>
        <v>2035.2730272142569</v>
      </c>
      <c r="K5" s="59">
        <f>'SER_se-appl'!K16</f>
        <v>2164.4428172141061</v>
      </c>
      <c r="L5" s="59">
        <f>'SER_se-appl'!L16</f>
        <v>2240.4563632252521</v>
      </c>
      <c r="M5" s="59">
        <f>'SER_se-appl'!M16</f>
        <v>2341.5483184093964</v>
      </c>
      <c r="N5" s="59">
        <f>'SER_se-appl'!N16</f>
        <v>2414.1962693270193</v>
      </c>
      <c r="O5" s="59">
        <f>'SER_se-appl'!O16</f>
        <v>2455.9717755454008</v>
      </c>
      <c r="P5" s="59">
        <f>'SER_se-appl'!P16</f>
        <v>2521.1459609450726</v>
      </c>
      <c r="Q5" s="59">
        <f>'SER_se-appl'!Q16</f>
        <v>2565.4241574074681</v>
      </c>
      <c r="R5" s="59">
        <f>'SER_se-appl'!R16</f>
        <v>2685.1646846867843</v>
      </c>
      <c r="S5" s="59">
        <f>'SER_se-appl'!S16</f>
        <v>2819.1209444265196</v>
      </c>
      <c r="T5" s="59">
        <f>'SER_se-appl'!T16</f>
        <v>2941.9571306720327</v>
      </c>
      <c r="U5" s="59">
        <f>'SER_se-appl'!U16</f>
        <v>3051.0573568013092</v>
      </c>
      <c r="V5" s="59">
        <f>'SER_se-appl'!V16</f>
        <v>3146.3295054520868</v>
      </c>
      <c r="W5" s="59">
        <f>'SER_se-appl'!W16</f>
        <v>3232.7740918363088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63.086282378635914</v>
      </c>
      <c r="C6" s="202">
        <f>'SER_se-appl'!C72</f>
        <v>67.563679598874671</v>
      </c>
      <c r="D6" s="202">
        <f>'SER_se-appl'!D72</f>
        <v>71.42696170350257</v>
      </c>
      <c r="E6" s="202">
        <f>'SER_se-appl'!E72</f>
        <v>76.655252423534719</v>
      </c>
      <c r="F6" s="202">
        <f>'SER_se-appl'!F72</f>
        <v>82.787250530891384</v>
      </c>
      <c r="G6" s="202">
        <f>'SER_se-appl'!G72</f>
        <v>90.36284879486638</v>
      </c>
      <c r="H6" s="202">
        <f>'SER_se-appl'!H72</f>
        <v>96.819239042149363</v>
      </c>
      <c r="I6" s="202">
        <f>'SER_se-appl'!I72</f>
        <v>103.28362863615801</v>
      </c>
      <c r="J6" s="202">
        <f>'SER_se-appl'!J72</f>
        <v>108.91557065810133</v>
      </c>
      <c r="K6" s="202">
        <f>'SER_se-appl'!K72</f>
        <v>113.98732153036936</v>
      </c>
      <c r="L6" s="202">
        <f>'SER_se-appl'!L72</f>
        <v>119.29409282860591</v>
      </c>
      <c r="M6" s="202">
        <f>'SER_se-appl'!M72</f>
        <v>123.56278005578362</v>
      </c>
      <c r="N6" s="202">
        <f>'SER_se-appl'!N72</f>
        <v>127.02974150476417</v>
      </c>
      <c r="O6" s="202">
        <f>'SER_se-appl'!O72</f>
        <v>130.70777041465882</v>
      </c>
      <c r="P6" s="202">
        <f>'SER_se-appl'!P72</f>
        <v>134.24324149143567</v>
      </c>
      <c r="Q6" s="202">
        <f>'SER_se-appl'!Q72</f>
        <v>138.16700784909727</v>
      </c>
      <c r="R6" s="202">
        <f>'SER_se-appl'!R72</f>
        <v>145.4566936965067</v>
      </c>
      <c r="S6" s="202">
        <f>'SER_se-appl'!S72</f>
        <v>152.81155325239874</v>
      </c>
      <c r="T6" s="202">
        <f>'SER_se-appl'!T72</f>
        <v>160.11167662137277</v>
      </c>
      <c r="U6" s="202">
        <f>'SER_se-appl'!U72</f>
        <v>167.28319196921098</v>
      </c>
      <c r="V6" s="202">
        <f>'SER_se-appl'!V72</f>
        <v>174.18811749634281</v>
      </c>
      <c r="W6" s="202">
        <f>'SER_se-appl'!W72</f>
        <v>180.68027299554612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19.998285782869473</v>
      </c>
      <c r="C8" s="34">
        <f>'SER_se-appl'!C24</f>
        <v>21.370392392374967</v>
      </c>
      <c r="D8" s="34">
        <f>'SER_se-appl'!D24</f>
        <v>22.655764038452322</v>
      </c>
      <c r="E8" s="34">
        <f>'SER_se-appl'!E24</f>
        <v>24.740317149310872</v>
      </c>
      <c r="F8" s="34">
        <f>'SER_se-appl'!F24</f>
        <v>27.474179368240996</v>
      </c>
      <c r="G8" s="34">
        <f>'SER_se-appl'!G24</f>
        <v>30.654734406707163</v>
      </c>
      <c r="H8" s="34">
        <f>'SER_se-appl'!H24</f>
        <v>34.106201009449926</v>
      </c>
      <c r="I8" s="34">
        <f>'SER_se-appl'!I24</f>
        <v>37.883035684456914</v>
      </c>
      <c r="J8" s="34">
        <f>'SER_se-appl'!J24</f>
        <v>41.474146340420106</v>
      </c>
      <c r="K8" s="34">
        <f>'SER_se-appl'!K24</f>
        <v>44.714198813061422</v>
      </c>
      <c r="L8" s="34">
        <f>'SER_se-appl'!L24</f>
        <v>46.865298220998973</v>
      </c>
      <c r="M8" s="34">
        <f>'SER_se-appl'!M24</f>
        <v>49.79302595143136</v>
      </c>
      <c r="N8" s="34">
        <f>'SER_se-appl'!N24</f>
        <v>52.222274573923947</v>
      </c>
      <c r="O8" s="34">
        <f>'SER_se-appl'!O24</f>
        <v>54.068028912066652</v>
      </c>
      <c r="P8" s="34">
        <f>'SER_se-appl'!P24</f>
        <v>56.752733074632246</v>
      </c>
      <c r="Q8" s="34">
        <f>'SER_se-appl'!Q24</f>
        <v>59.133629616158849</v>
      </c>
      <c r="R8" s="34">
        <f>'SER_se-appl'!R24</f>
        <v>63.208881640701421</v>
      </c>
      <c r="S8" s="34">
        <f>'SER_se-appl'!S24</f>
        <v>67.737602373943105</v>
      </c>
      <c r="T8" s="34">
        <f>'SER_se-appl'!T24</f>
        <v>72.352904355196245</v>
      </c>
      <c r="U8" s="34">
        <f>'SER_se-appl'!U24</f>
        <v>76.910533804636444</v>
      </c>
      <c r="V8" s="34">
        <f>'SER_se-appl'!V24</f>
        <v>81.313533749352985</v>
      </c>
      <c r="W8" s="34">
        <f>'SER_se-appl'!W24</f>
        <v>85.544176625959537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1.9417068752941589</v>
      </c>
      <c r="D9" s="36">
        <f>'SER_se-appl'!D32</f>
        <v>1.9190698705601683</v>
      </c>
      <c r="E9" s="36">
        <f>'SER_se-appl'!E32</f>
        <v>2.7895623319421397</v>
      </c>
      <c r="F9" s="36">
        <f>'SER_se-appl'!F32</f>
        <v>3.5182071683238831</v>
      </c>
      <c r="G9" s="36">
        <f>'SER_se-appl'!G32</f>
        <v>4.0531634827840328</v>
      </c>
      <c r="H9" s="36">
        <f>'SER_se-appl'!H32</f>
        <v>4.4222709633539736</v>
      </c>
      <c r="I9" s="36">
        <f>'SER_se-appl'!I32</f>
        <v>4.8568850833186872</v>
      </c>
      <c r="J9" s="36">
        <f>'SER_se-appl'!J32</f>
        <v>4.7927007309808189</v>
      </c>
      <c r="K9" s="36">
        <f>'SER_se-appl'!K32</f>
        <v>4.5768592524635636</v>
      </c>
      <c r="L9" s="36">
        <f>'SER_se-appl'!L32</f>
        <v>3.6383390279489873</v>
      </c>
      <c r="M9" s="36">
        <f>'SER_se-appl'!M32</f>
        <v>4.5823286201928894</v>
      </c>
      <c r="N9" s="36">
        <f>'SER_se-appl'!N32</f>
        <v>4.270044192728399</v>
      </c>
      <c r="O9" s="36">
        <f>'SER_se-appl'!O32</f>
        <v>3.893697351089024</v>
      </c>
      <c r="P9" s="36">
        <f>'SER_se-appl'!P32</f>
        <v>4.9631052257202555</v>
      </c>
      <c r="Q9" s="36">
        <f>'SER_se-appl'!Q32</f>
        <v>4.9156894394578643</v>
      </c>
      <c r="R9" s="36">
        <f>'SER_se-appl'!R32</f>
        <v>6.0169588998367303</v>
      </c>
      <c r="S9" s="36">
        <f>'SER_se-appl'!S32</f>
        <v>6.4477906038018489</v>
      </c>
      <c r="T9" s="36">
        <f>'SER_se-appl'!T32</f>
        <v>7.4048643131952758</v>
      </c>
      <c r="U9" s="36">
        <f>'SER_se-appl'!U32</f>
        <v>8.0758366177640823</v>
      </c>
      <c r="V9" s="36">
        <f>'SER_se-appl'!V32</f>
        <v>8.4561634275005702</v>
      </c>
      <c r="W9" s="36">
        <f>'SER_se-appl'!W32</f>
        <v>8.652913839960533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0.56960026578866518</v>
      </c>
      <c r="D10" s="38">
        <f>'SER_se-appl'!D40</f>
        <v>0.63369822448281354</v>
      </c>
      <c r="E10" s="38">
        <f>'SER_se-appl'!E40</f>
        <v>0.70500922108358921</v>
      </c>
      <c r="F10" s="38">
        <f>'SER_se-appl'!F40</f>
        <v>0.78434494939375909</v>
      </c>
      <c r="G10" s="38">
        <f>'SER_se-appl'!G40</f>
        <v>0.87260844431786566</v>
      </c>
      <c r="H10" s="38">
        <f>'SER_se-appl'!H40</f>
        <v>0.97080436061121134</v>
      </c>
      <c r="I10" s="38">
        <f>'SER_se-appl'!I40</f>
        <v>1.0800504083116991</v>
      </c>
      <c r="J10" s="38">
        <f>'SER_se-appl'!J40</f>
        <v>1.2015900750176272</v>
      </c>
      <c r="K10" s="38">
        <f>'SER_se-appl'!K40</f>
        <v>1.3368067798222469</v>
      </c>
      <c r="L10" s="38">
        <f>'SER_se-appl'!L40</f>
        <v>1.4872396200114366</v>
      </c>
      <c r="M10" s="38">
        <f>'SER_se-appl'!M40</f>
        <v>1.654600889760502</v>
      </c>
      <c r="N10" s="38">
        <f>'SER_se-appl'!N40</f>
        <v>1.8407955702358123</v>
      </c>
      <c r="O10" s="38">
        <f>'SER_se-appl'!O40</f>
        <v>2.0479430129463196</v>
      </c>
      <c r="P10" s="38">
        <f>'SER_se-appl'!P40</f>
        <v>2.2784010631546607</v>
      </c>
      <c r="Q10" s="38">
        <f>'SER_se-appl'!Q40</f>
        <v>2.5347928979312613</v>
      </c>
      <c r="R10" s="38">
        <f>'SER_se-appl'!R40</f>
        <v>1.9417068752941589</v>
      </c>
      <c r="S10" s="38">
        <f>'SER_se-appl'!S40</f>
        <v>1.9190698705601648</v>
      </c>
      <c r="T10" s="38">
        <f>'SER_se-appl'!T40</f>
        <v>2.7895623319421361</v>
      </c>
      <c r="U10" s="38">
        <f>'SER_se-appl'!U40</f>
        <v>3.5182071683238831</v>
      </c>
      <c r="V10" s="38">
        <f>'SER_se-appl'!V40</f>
        <v>4.0531634827840293</v>
      </c>
      <c r="W10" s="38">
        <f>'SER_se-appl'!W40</f>
        <v>4.4222709633539807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829.43442325577132</v>
      </c>
      <c r="C12" s="205">
        <f>'SER_se-appl'!C48</f>
        <v>833.39653369473399</v>
      </c>
      <c r="D12" s="205">
        <f>'SER_se-appl'!D48</f>
        <v>837.03018117896488</v>
      </c>
      <c r="E12" s="205">
        <f>'SER_se-appl'!E48</f>
        <v>840.38680162873004</v>
      </c>
      <c r="F12" s="205">
        <f>'SER_se-appl'!F48</f>
        <v>843.50654609229719</v>
      </c>
      <c r="G12" s="205">
        <f>'SER_se-appl'!G48</f>
        <v>846.42136768619469</v>
      </c>
      <c r="H12" s="205">
        <f>'SER_se-appl'!H48</f>
        <v>849.15711851153276</v>
      </c>
      <c r="I12" s="205">
        <f>'SER_se-appl'!I48</f>
        <v>851.7350150964088</v>
      </c>
      <c r="J12" s="205">
        <f>'SER_se-appl'!J48</f>
        <v>854.17268789873901</v>
      </c>
      <c r="K12" s="205">
        <f>'SER_se-appl'!K48</f>
        <v>856.48494911499392</v>
      </c>
      <c r="L12" s="205">
        <f>'SER_se-appl'!L48</f>
        <v>858.6843650233028</v>
      </c>
      <c r="M12" s="205">
        <f>'SER_se-appl'!M48</f>
        <v>860.08201294440653</v>
      </c>
      <c r="N12" s="205">
        <f>'SER_se-appl'!N48</f>
        <v>861.41674849858043</v>
      </c>
      <c r="O12" s="205">
        <f>'SER_se-appl'!O48</f>
        <v>862.69407768306905</v>
      </c>
      <c r="P12" s="205">
        <f>'SER_se-appl'!P48</f>
        <v>863.918810457159</v>
      </c>
      <c r="Q12" s="205">
        <f>'SER_se-appl'!Q48</f>
        <v>865.09517359868971</v>
      </c>
      <c r="R12" s="205">
        <f>'SER_se-appl'!R48</f>
        <v>885.19885916999169</v>
      </c>
      <c r="S12" s="205">
        <f>'SER_se-appl'!S48</f>
        <v>878.54712805257088</v>
      </c>
      <c r="T12" s="205">
        <f>'SER_se-appl'!T48</f>
        <v>871.03609046507449</v>
      </c>
      <c r="U12" s="205">
        <f>'SER_se-appl'!U48</f>
        <v>854.5106063640095</v>
      </c>
      <c r="V12" s="205">
        <f>'SER_se-appl'!V48</f>
        <v>835.35151006105139</v>
      </c>
      <c r="W12" s="205">
        <f>'SER_se-appl'!W48</f>
        <v>897.58842328080834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53.304159899049289</v>
      </c>
      <c r="C14" s="59">
        <f>'SER_se-appl'!C56</f>
        <v>53.006389473121907</v>
      </c>
      <c r="D14" s="59">
        <f>'SER_se-appl'!D56</f>
        <v>52.701491496282493</v>
      </c>
      <c r="E14" s="59">
        <f>'SER_se-appl'!E56</f>
        <v>52.253934309066572</v>
      </c>
      <c r="F14" s="59">
        <f>'SER_se-appl'!F56</f>
        <v>51.706420942891135</v>
      </c>
      <c r="G14" s="59">
        <f>'SER_se-appl'!G56</f>
        <v>51.102714130122536</v>
      </c>
      <c r="H14" s="59">
        <f>'SER_se-appl'!H56</f>
        <v>50.449151541691251</v>
      </c>
      <c r="I14" s="59">
        <f>'SER_se-appl'!I56</f>
        <v>49.756978721041193</v>
      </c>
      <c r="J14" s="59">
        <f>'SER_se-appl'!J56</f>
        <v>49.073295216463784</v>
      </c>
      <c r="K14" s="59">
        <f>'SER_se-appl'!K56</f>
        <v>48.40616347087164</v>
      </c>
      <c r="L14" s="59">
        <f>'SER_se-appl'!L56</f>
        <v>47.806296946199069</v>
      </c>
      <c r="M14" s="59">
        <f>'SER_se-appl'!M56</f>
        <v>47.025628060712101</v>
      </c>
      <c r="N14" s="59">
        <f>'SER_se-appl'!N56</f>
        <v>46.229243919844414</v>
      </c>
      <c r="O14" s="59">
        <f>'SER_se-appl'!O56</f>
        <v>45.423734228219452</v>
      </c>
      <c r="P14" s="59">
        <f>'SER_se-appl'!P56</f>
        <v>44.423340064163234</v>
      </c>
      <c r="Q14" s="59">
        <f>'SER_se-appl'!Q56</f>
        <v>43.383505698193105</v>
      </c>
      <c r="R14" s="59">
        <f>'SER_se-appl'!R56</f>
        <v>42.48081305962792</v>
      </c>
      <c r="S14" s="59">
        <f>'SER_se-appl'!S56</f>
        <v>41.618257003896588</v>
      </c>
      <c r="T14" s="59">
        <f>'SER_se-appl'!T56</f>
        <v>40.661216807957302</v>
      </c>
      <c r="U14" s="59">
        <f>'SER_se-appl'!U56</f>
        <v>39.670214284969383</v>
      </c>
      <c r="V14" s="59">
        <f>'SER_se-appl'!V56</f>
        <v>38.693798687320268</v>
      </c>
      <c r="W14" s="59">
        <f>'SER_se-appl'!W56</f>
        <v>37.790697384014329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50.026903725174542</v>
      </c>
      <c r="D15" s="63">
        <f>'SER_se-appl'!D64</f>
        <v>49.505214173600301</v>
      </c>
      <c r="E15" s="63">
        <f>'SER_se-appl'!E64</f>
        <v>48.884469789670874</v>
      </c>
      <c r="F15" s="63">
        <f>'SER_se-appl'!F64</f>
        <v>48.212460737071027</v>
      </c>
      <c r="G15" s="63">
        <f>'SER_se-appl'!G64</f>
        <v>47.484466518238101</v>
      </c>
      <c r="H15" s="63">
        <f>'SER_se-appl'!H64</f>
        <v>46.545471023995539</v>
      </c>
      <c r="I15" s="63">
        <f>'SER_se-appl'!I64</f>
        <v>45.685181563923237</v>
      </c>
      <c r="J15" s="63">
        <f>'SER_se-appl'!J64</f>
        <v>44.729973411519055</v>
      </c>
      <c r="K15" s="63">
        <f>'SER_se-appl'!K64</f>
        <v>43.791417059142603</v>
      </c>
      <c r="L15" s="63">
        <f>'SER_se-appl'!L64</f>
        <v>42.681455282625713</v>
      </c>
      <c r="M15" s="63">
        <f>'SER_se-appl'!M64</f>
        <v>41.308487729777823</v>
      </c>
      <c r="N15" s="63">
        <f>'SER_se-appl'!N64</f>
        <v>39.992563221182678</v>
      </c>
      <c r="O15" s="63">
        <f>'SER_se-appl'!O64</f>
        <v>38.765053992292671</v>
      </c>
      <c r="P15" s="63">
        <f>'SER_se-appl'!P64</f>
        <v>37.6019510964829</v>
      </c>
      <c r="Q15" s="63">
        <f>'SER_se-appl'!Q64</f>
        <v>36.494006509996737</v>
      </c>
      <c r="R15" s="63">
        <f>'SER_se-appl'!R64</f>
        <v>36.044472598616515</v>
      </c>
      <c r="S15" s="63">
        <f>'SER_se-appl'!S64</f>
        <v>35.509872879698825</v>
      </c>
      <c r="T15" s="63">
        <f>'SER_se-appl'!T64</f>
        <v>35.004349954914019</v>
      </c>
      <c r="U15" s="63">
        <f>'SER_se-appl'!U64</f>
        <v>34.513037384124573</v>
      </c>
      <c r="V15" s="63">
        <f>'SER_se-appl'!V64</f>
        <v>34.026595726169454</v>
      </c>
      <c r="W15" s="63">
        <f>'SER_se-appl'!W64</f>
        <v>33.77836377145811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116.94067242021451</v>
      </c>
      <c r="C3" s="199">
        <f>'SER_se-appl'!C9</f>
        <v>136.92493866115092</v>
      </c>
      <c r="D3" s="199">
        <f>'SER_se-appl'!D9</f>
        <v>161.93562502436964</v>
      </c>
      <c r="E3" s="199">
        <f>'SER_se-appl'!E9</f>
        <v>186.16330581517903</v>
      </c>
      <c r="F3" s="199">
        <f>'SER_se-appl'!F9</f>
        <v>220.53721192108031</v>
      </c>
      <c r="G3" s="199">
        <f>'SER_se-appl'!G9</f>
        <v>256.20178129238604</v>
      </c>
      <c r="H3" s="199">
        <f>'SER_se-appl'!H9</f>
        <v>294.28517831586214</v>
      </c>
      <c r="I3" s="199">
        <f>'SER_se-appl'!I9</f>
        <v>324.35906502377998</v>
      </c>
      <c r="J3" s="199">
        <f>'SER_se-appl'!J9</f>
        <v>364.02918937397351</v>
      </c>
      <c r="K3" s="199">
        <f>'SER_se-appl'!K9</f>
        <v>390.33200544293823</v>
      </c>
      <c r="L3" s="199">
        <f>'SER_se-appl'!L9</f>
        <v>408.44706009693408</v>
      </c>
      <c r="M3" s="199">
        <f>'SER_se-appl'!M9</f>
        <v>431.4315741459933</v>
      </c>
      <c r="N3" s="199">
        <f>'SER_se-appl'!N9</f>
        <v>460.00903488446255</v>
      </c>
      <c r="O3" s="199">
        <f>'SER_se-appl'!O9</f>
        <v>475.33558378882549</v>
      </c>
      <c r="P3" s="199">
        <f>'SER_se-appl'!P9</f>
        <v>524.95912391206014</v>
      </c>
      <c r="Q3" s="199">
        <f>'SER_se-appl'!Q9</f>
        <v>568.73959740898204</v>
      </c>
      <c r="R3" s="199">
        <f>'SER_se-appl'!R9</f>
        <v>590.26748200353586</v>
      </c>
      <c r="S3" s="199">
        <f>'SER_se-appl'!S9</f>
        <v>595.48230319568404</v>
      </c>
      <c r="T3" s="199">
        <f>'SER_se-appl'!T9</f>
        <v>614.4037877010162</v>
      </c>
      <c r="U3" s="199">
        <f>'SER_se-appl'!U9</f>
        <v>610.55184468309301</v>
      </c>
      <c r="V3" s="199">
        <f>'SER_se-appl'!V9</f>
        <v>605.84023151017379</v>
      </c>
      <c r="W3" s="199">
        <f>'SER_se-appl'!W9</f>
        <v>652.42628528930391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851.45175949045199</v>
      </c>
      <c r="C5" s="59">
        <f>'SER_se-appl'!C17</f>
        <v>987.08719434687612</v>
      </c>
      <c r="D5" s="59">
        <f>'SER_se-appl'!D17</f>
        <v>1145.7889396094861</v>
      </c>
      <c r="E5" s="59">
        <f>'SER_se-appl'!E17</f>
        <v>1294.8702346845241</v>
      </c>
      <c r="F5" s="59">
        <f>'SER_se-appl'!F17</f>
        <v>1508.5001204510024</v>
      </c>
      <c r="G5" s="59">
        <f>'SER_se-appl'!G17</f>
        <v>1725.4708194348188</v>
      </c>
      <c r="H5" s="59">
        <f>'SER_se-appl'!H17</f>
        <v>1954.0912406064967</v>
      </c>
      <c r="I5" s="59">
        <f>'SER_se-appl'!I17</f>
        <v>2124.2181973177835</v>
      </c>
      <c r="J5" s="59">
        <f>'SER_se-appl'!J17</f>
        <v>2355.9597006779541</v>
      </c>
      <c r="K5" s="59">
        <f>'SER_se-appl'!K17</f>
        <v>2504.9487690195137</v>
      </c>
      <c r="L5" s="59">
        <f>'SER_se-appl'!L17</f>
        <v>2588.9534146400601</v>
      </c>
      <c r="M5" s="59">
        <f>'SER_se-appl'!M17</f>
        <v>2696.8669737316309</v>
      </c>
      <c r="N5" s="59">
        <f>'SER_se-appl'!N17</f>
        <v>2844.1288750887961</v>
      </c>
      <c r="O5" s="59">
        <f>'SER_se-appl'!O17</f>
        <v>2906.5779138584317</v>
      </c>
      <c r="P5" s="59">
        <f>'SER_se-appl'!P17</f>
        <v>3171.5596537343945</v>
      </c>
      <c r="Q5" s="59">
        <f>'SER_se-appl'!Q17</f>
        <v>3393.8977413695907</v>
      </c>
      <c r="R5" s="59">
        <f>'SER_se-appl'!R17</f>
        <v>3403.2076674912378</v>
      </c>
      <c r="S5" s="59">
        <f>'SER_se-appl'!S17</f>
        <v>3429.6396361852844</v>
      </c>
      <c r="T5" s="59">
        <f>'SER_se-appl'!T17</f>
        <v>3532.699344042433</v>
      </c>
      <c r="U5" s="59">
        <f>'SER_se-appl'!U17</f>
        <v>3528.2185533369043</v>
      </c>
      <c r="V5" s="59">
        <f>'SER_se-appl'!V17</f>
        <v>3548.7313269295373</v>
      </c>
      <c r="W5" s="59">
        <f>'SER_se-appl'!W17</f>
        <v>3555.1331477316971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5.7479180738384199E-2</v>
      </c>
      <c r="C6" s="202">
        <f>'SER_se-appl'!C73</f>
        <v>6.8406420205096255E-2</v>
      </c>
      <c r="D6" s="202">
        <f>'SER_se-appl'!D73</f>
        <v>8.1964756081331178E-2</v>
      </c>
      <c r="E6" s="202">
        <f>'SER_se-appl'!E73</f>
        <v>9.5665184473875522E-2</v>
      </c>
      <c r="F6" s="202">
        <f>'SER_se-appl'!F73</f>
        <v>0.11576549346376573</v>
      </c>
      <c r="G6" s="202">
        <f>'SER_se-appl'!G73</f>
        <v>0.13757528482405956</v>
      </c>
      <c r="H6" s="202">
        <f>'SER_se-appl'!H73</f>
        <v>0.16386959177243451</v>
      </c>
      <c r="I6" s="202">
        <f>'SER_se-appl'!I73</f>
        <v>0.18766258684647968</v>
      </c>
      <c r="J6" s="202">
        <f>'SER_se-appl'!J73</f>
        <v>0.22078211961513267</v>
      </c>
      <c r="K6" s="202">
        <f>'SER_se-appl'!K73</f>
        <v>0.24994402978076435</v>
      </c>
      <c r="L6" s="202">
        <f>'SER_se-appl'!L73</f>
        <v>0.27750740245186195</v>
      </c>
      <c r="M6" s="202">
        <f>'SER_se-appl'!M73</f>
        <v>0.31603586176548742</v>
      </c>
      <c r="N6" s="202">
        <f>'SER_se-appl'!N73</f>
        <v>0.35990317311325831</v>
      </c>
      <c r="O6" s="202">
        <f>'SER_se-appl'!O73</f>
        <v>0.39249657174194191</v>
      </c>
      <c r="P6" s="202">
        <f>'SER_se-appl'!P73</f>
        <v>0.45285825030251381</v>
      </c>
      <c r="Q6" s="202">
        <f>'SER_se-appl'!Q73</f>
        <v>0.500123459061246</v>
      </c>
      <c r="R6" s="202">
        <f>'SER_se-appl'!R73</f>
        <v>0.51601635779181032</v>
      </c>
      <c r="S6" s="202">
        <f>'SER_se-appl'!S73</f>
        <v>0.53231032890199137</v>
      </c>
      <c r="T6" s="202">
        <f>'SER_se-appl'!T73</f>
        <v>0.56053504275361454</v>
      </c>
      <c r="U6" s="202">
        <f>'SER_se-appl'!U73</f>
        <v>0.57514463775149227</v>
      </c>
      <c r="V6" s="202">
        <f>'SER_se-appl'!V73</f>
        <v>0.59319752468437947</v>
      </c>
      <c r="W6" s="202">
        <f>'SER_se-appl'!W73</f>
        <v>0.60949822949695076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2199.3433087845583</v>
      </c>
      <c r="C8" s="34">
        <f>'SER_se-appl'!C25</f>
        <v>2616.8161202368428</v>
      </c>
      <c r="D8" s="34">
        <f>'SER_se-appl'!D25</f>
        <v>3134.5123491192148</v>
      </c>
      <c r="E8" s="34">
        <f>'SER_se-appl'!E25</f>
        <v>3656.18281843553</v>
      </c>
      <c r="F8" s="34">
        <f>'SER_se-appl'!F25</f>
        <v>4421.1545808012388</v>
      </c>
      <c r="G8" s="34">
        <f>'SER_se-appl'!G25</f>
        <v>5251.7762229516538</v>
      </c>
      <c r="H8" s="34">
        <f>'SER_se-appl'!H25</f>
        <v>6252.7810260883307</v>
      </c>
      <c r="I8" s="34">
        <f>'SER_se-appl'!I25</f>
        <v>7154.7260139011378</v>
      </c>
      <c r="J8" s="34">
        <f>'SER_se-appl'!J25</f>
        <v>8415.2520104694559</v>
      </c>
      <c r="K8" s="34">
        <f>'SER_se-appl'!K25</f>
        <v>9531.834526659537</v>
      </c>
      <c r="L8" s="34">
        <f>'SER_se-appl'!L25</f>
        <v>10551.627609957426</v>
      </c>
      <c r="M8" s="34">
        <f>'SER_se-appl'!M25</f>
        <v>12029.183884266731</v>
      </c>
      <c r="N8" s="34">
        <f>'SER_se-appl'!N25</f>
        <v>13699.279521523056</v>
      </c>
      <c r="O8" s="34">
        <f>'SER_se-appl'!O25</f>
        <v>14939.414499307675</v>
      </c>
      <c r="P8" s="34">
        <f>'SER_se-appl'!P25</f>
        <v>17216.699748412924</v>
      </c>
      <c r="Q8" s="34">
        <f>'SER_se-appl'!Q25</f>
        <v>19007.499137426519</v>
      </c>
      <c r="R8" s="34">
        <f>'SER_se-appl'!R25</f>
        <v>19591.700903700443</v>
      </c>
      <c r="S8" s="34">
        <f>'SER_se-appl'!S25</f>
        <v>20213.400956223475</v>
      </c>
      <c r="T8" s="34">
        <f>'SER_se-appl'!T25</f>
        <v>21287.263871185638</v>
      </c>
      <c r="U8" s="34">
        <f>'SER_se-appl'!U25</f>
        <v>21839.859202145522</v>
      </c>
      <c r="V8" s="34">
        <f>'SER_se-appl'!V25</f>
        <v>22516.673503228085</v>
      </c>
      <c r="W8" s="34">
        <f>'SER_se-appl'!W25</f>
        <v>23063.413613662848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857.34147320919624</v>
      </c>
      <c r="D9" s="36">
        <f>'SER_se-appl'!D33</f>
        <v>957.56489063928393</v>
      </c>
      <c r="E9" s="36">
        <f>'SER_se-appl'!E33</f>
        <v>961.5391310732266</v>
      </c>
      <c r="F9" s="36">
        <f>'SER_se-appl'!F33</f>
        <v>1204.8404241226208</v>
      </c>
      <c r="G9" s="36">
        <f>'SER_se-appl'!G33</f>
        <v>1270.490303907327</v>
      </c>
      <c r="H9" s="36">
        <f>'SER_se-appl'!H33</f>
        <v>1858.3462763458729</v>
      </c>
      <c r="I9" s="36">
        <f>'SER_se-appl'!I33</f>
        <v>1859.5098784520906</v>
      </c>
      <c r="J9" s="36">
        <f>'SER_se-appl'!J33</f>
        <v>2222.0651276415447</v>
      </c>
      <c r="K9" s="36">
        <f>'SER_se-appl'!K33</f>
        <v>2321.4229403127019</v>
      </c>
      <c r="L9" s="36">
        <f>'SER_se-appl'!L33</f>
        <v>2290.2833872052161</v>
      </c>
      <c r="M9" s="36">
        <f>'SER_se-appl'!M33</f>
        <v>3335.902550655177</v>
      </c>
      <c r="N9" s="36">
        <f>'SER_se-appl'!N33</f>
        <v>3529.6055157084156</v>
      </c>
      <c r="O9" s="36">
        <f>'SER_se-appl'!O33</f>
        <v>3462.2001054261636</v>
      </c>
      <c r="P9" s="36">
        <f>'SER_se-appl'!P33</f>
        <v>4598.7081894179501</v>
      </c>
      <c r="Q9" s="36">
        <f>'SER_se-appl'!Q33</f>
        <v>4081.082776218811</v>
      </c>
      <c r="R9" s="36">
        <f>'SER_se-appl'!R33</f>
        <v>3920.1043169291006</v>
      </c>
      <c r="S9" s="36">
        <f>'SER_se-appl'!S33</f>
        <v>4151.305568231448</v>
      </c>
      <c r="T9" s="36">
        <f>'SER_se-appl'!T33</f>
        <v>4536.0630203883265</v>
      </c>
      <c r="U9" s="36">
        <f>'SER_se-appl'!U33</f>
        <v>5151.3035203778345</v>
      </c>
      <c r="V9" s="36">
        <f>'SER_se-appl'!V33</f>
        <v>4757.8970773013716</v>
      </c>
      <c r="W9" s="36">
        <f>'SER_se-appl'!W33</f>
        <v>4466.8444273638634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439.86866175691193</v>
      </c>
      <c r="D10" s="38">
        <f>'SER_se-appl'!D41</f>
        <v>439.86866175691193</v>
      </c>
      <c r="E10" s="38">
        <f>'SER_se-appl'!E41</f>
        <v>439.86866175691193</v>
      </c>
      <c r="F10" s="38">
        <f>'SER_se-appl'!F41</f>
        <v>439.86866175691193</v>
      </c>
      <c r="G10" s="38">
        <f>'SER_se-appl'!G41</f>
        <v>439.86866175691193</v>
      </c>
      <c r="H10" s="38">
        <f>'SER_se-appl'!H41</f>
        <v>857.34147320919601</v>
      </c>
      <c r="I10" s="38">
        <f>'SER_se-appl'!I41</f>
        <v>957.56489063928348</v>
      </c>
      <c r="J10" s="38">
        <f>'SER_se-appl'!J41</f>
        <v>961.5391310732266</v>
      </c>
      <c r="K10" s="38">
        <f>'SER_se-appl'!K41</f>
        <v>1204.8404241226217</v>
      </c>
      <c r="L10" s="38">
        <f>'SER_se-appl'!L41</f>
        <v>1270.490303907327</v>
      </c>
      <c r="M10" s="38">
        <f>'SER_se-appl'!M41</f>
        <v>1858.346276345872</v>
      </c>
      <c r="N10" s="38">
        <f>'SER_se-appl'!N41</f>
        <v>1859.5098784520906</v>
      </c>
      <c r="O10" s="38">
        <f>'SER_se-appl'!O41</f>
        <v>2222.0651276415465</v>
      </c>
      <c r="P10" s="38">
        <f>'SER_se-appl'!P41</f>
        <v>2321.4229403127028</v>
      </c>
      <c r="Q10" s="38">
        <f>'SER_se-appl'!Q41</f>
        <v>2290.2833872052179</v>
      </c>
      <c r="R10" s="38">
        <f>'SER_se-appl'!R41</f>
        <v>3335.902550655177</v>
      </c>
      <c r="S10" s="38">
        <f>'SER_se-appl'!S41</f>
        <v>3529.6055157084156</v>
      </c>
      <c r="T10" s="38">
        <f>'SER_se-appl'!T41</f>
        <v>3462.2001054261636</v>
      </c>
      <c r="U10" s="38">
        <f>'SER_se-appl'!U41</f>
        <v>4598.7081894179501</v>
      </c>
      <c r="V10" s="38">
        <f>'SER_se-appl'!V41</f>
        <v>4081.0827762188092</v>
      </c>
      <c r="W10" s="38">
        <f>'SER_se-appl'!W41</f>
        <v>3920.1043169291006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1597.2954487298182</v>
      </c>
      <c r="C12" s="205">
        <f>'SER_se-appl'!C49</f>
        <v>1613.2688639354194</v>
      </c>
      <c r="D12" s="205">
        <f>'SER_se-appl'!D49</f>
        <v>1643.6808332914256</v>
      </c>
      <c r="E12" s="205">
        <f>'SER_se-appl'!E49</f>
        <v>1672.0434130281956</v>
      </c>
      <c r="F12" s="205">
        <f>'SER_se-appl'!F49</f>
        <v>1700.2635530949385</v>
      </c>
      <c r="G12" s="205">
        <f>'SER_se-appl'!G49</f>
        <v>1726.8485116464803</v>
      </c>
      <c r="H12" s="205">
        <f>'SER_se-appl'!H49</f>
        <v>1751.4722714540262</v>
      </c>
      <c r="I12" s="205">
        <f>'SER_se-appl'!I49</f>
        <v>1775.851431359443</v>
      </c>
      <c r="J12" s="205">
        <f>'SER_se-appl'!J49</f>
        <v>1796.9999534376709</v>
      </c>
      <c r="K12" s="205">
        <f>'SER_se-appl'!K49</f>
        <v>1812.2371520908371</v>
      </c>
      <c r="L12" s="205">
        <f>'SER_se-appl'!L49</f>
        <v>1834.810654400193</v>
      </c>
      <c r="M12" s="205">
        <f>'SER_se-appl'!M49</f>
        <v>1860.5104575755784</v>
      </c>
      <c r="N12" s="205">
        <f>'SER_se-appl'!N49</f>
        <v>1881.0346895898911</v>
      </c>
      <c r="O12" s="205">
        <f>'SER_se-appl'!O49</f>
        <v>1901.9455191983873</v>
      </c>
      <c r="P12" s="205">
        <f>'SER_se-appl'!P49</f>
        <v>1925.0070241966043</v>
      </c>
      <c r="Q12" s="205">
        <f>'SER_se-appl'!Q49</f>
        <v>1948.9218656297037</v>
      </c>
      <c r="R12" s="205">
        <f>'SER_se-appl'!R49</f>
        <v>2017.1589530890117</v>
      </c>
      <c r="S12" s="205">
        <f>'SER_se-appl'!S49</f>
        <v>2019.2964628402906</v>
      </c>
      <c r="T12" s="205">
        <f>'SER_se-appl'!T49</f>
        <v>2022.6787946200582</v>
      </c>
      <c r="U12" s="205">
        <f>'SER_se-appl'!U49</f>
        <v>2012.5504830047116</v>
      </c>
      <c r="V12" s="205">
        <f>'SER_se-appl'!V49</f>
        <v>1985.4762852840856</v>
      </c>
      <c r="W12" s="205">
        <f>'SER_se-appl'!W49</f>
        <v>2134.2991619753657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387.13908651259953</v>
      </c>
      <c r="C14" s="59">
        <f>'SER_se-appl'!C57</f>
        <v>377.20923022192972</v>
      </c>
      <c r="D14" s="59">
        <f>'SER_se-appl'!D57</f>
        <v>365.53977524811734</v>
      </c>
      <c r="E14" s="59">
        <f>'SER_se-appl'!E57</f>
        <v>354.15905029568387</v>
      </c>
      <c r="F14" s="59">
        <f>'SER_se-appl'!F57</f>
        <v>341.20049251424712</v>
      </c>
      <c r="G14" s="59">
        <f>'SER_se-appl'!G57</f>
        <v>328.54995075648009</v>
      </c>
      <c r="H14" s="59">
        <f>'SER_se-appl'!H57</f>
        <v>312.51554027775609</v>
      </c>
      <c r="I14" s="59">
        <f>'SER_se-appl'!I57</f>
        <v>296.89721076538427</v>
      </c>
      <c r="J14" s="59">
        <f>'SER_se-appl'!J57</f>
        <v>279.96305966201527</v>
      </c>
      <c r="K14" s="59">
        <f>'SER_se-appl'!K57</f>
        <v>262.79818035168739</v>
      </c>
      <c r="L14" s="59">
        <f>'SER_se-appl'!L57</f>
        <v>245.36057472279444</v>
      </c>
      <c r="M14" s="59">
        <f>'SER_se-appl'!M57</f>
        <v>224.19367761589632</v>
      </c>
      <c r="N14" s="59">
        <f>'SER_se-appl'!N57</f>
        <v>207.61156604041554</v>
      </c>
      <c r="O14" s="59">
        <f>'SER_se-appl'!O57</f>
        <v>194.55768591152813</v>
      </c>
      <c r="P14" s="59">
        <f>'SER_se-appl'!P57</f>
        <v>184.21414673429246</v>
      </c>
      <c r="Q14" s="59">
        <f>'SER_se-appl'!Q57</f>
        <v>178.55572249833074</v>
      </c>
      <c r="R14" s="59">
        <f>'SER_se-appl'!R57</f>
        <v>173.70659567635838</v>
      </c>
      <c r="S14" s="59">
        <f>'SER_se-appl'!S57</f>
        <v>169.67157796023125</v>
      </c>
      <c r="T14" s="59">
        <f>'SER_se-appl'!T57</f>
        <v>165.95365968212954</v>
      </c>
      <c r="U14" s="59">
        <f>'SER_se-appl'!U57</f>
        <v>161.54951003485849</v>
      </c>
      <c r="V14" s="59">
        <f>'SER_se-appl'!V57</f>
        <v>157.60460027191743</v>
      </c>
      <c r="W14" s="59">
        <f>'SER_se-appl'!W57</f>
        <v>154.14600836129583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356.83073351085505</v>
      </c>
      <c r="D15" s="63">
        <f>'SER_se-appl'!D65</f>
        <v>343.57159538405864</v>
      </c>
      <c r="E15" s="63">
        <f>'SER_se-appl'!E65</f>
        <v>332.14628157323165</v>
      </c>
      <c r="F15" s="63">
        <f>'SER_se-appl'!F65</f>
        <v>318.64820434137084</v>
      </c>
      <c r="G15" s="63">
        <f>'SER_se-appl'!G65</f>
        <v>304.81228364427932</v>
      </c>
      <c r="H15" s="63">
        <f>'SER_se-appl'!H65</f>
        <v>287.64618022497291</v>
      </c>
      <c r="I15" s="63">
        <f>'SER_se-appl'!I65</f>
        <v>268.41430618667545</v>
      </c>
      <c r="J15" s="63">
        <f>'SER_se-appl'!J65</f>
        <v>248.018450709516</v>
      </c>
      <c r="K15" s="63">
        <f>'SER_se-appl'!K65</f>
        <v>229.56148866795655</v>
      </c>
      <c r="L15" s="63">
        <f>'SER_se-appl'!L65</f>
        <v>205.76741687740568</v>
      </c>
      <c r="M15" s="63">
        <f>'SER_se-appl'!M65</f>
        <v>192.58948883011686</v>
      </c>
      <c r="N15" s="63">
        <f>'SER_se-appl'!N65</f>
        <v>183.13121745544964</v>
      </c>
      <c r="O15" s="63">
        <f>'SER_se-appl'!O65</f>
        <v>177.21742545768041</v>
      </c>
      <c r="P15" s="63">
        <f>'SER_se-appl'!P65</f>
        <v>173.50329984366297</v>
      </c>
      <c r="Q15" s="63">
        <f>'SER_se-appl'!Q65</f>
        <v>169.95582353276441</v>
      </c>
      <c r="R15" s="63">
        <f>'SER_se-appl'!R65</f>
        <v>166.26335435124054</v>
      </c>
      <c r="S15" s="63">
        <f>'SER_se-appl'!S65</f>
        <v>162.07260893344278</v>
      </c>
      <c r="T15" s="63">
        <f>'SER_se-appl'!T65</f>
        <v>157.98323209776163</v>
      </c>
      <c r="U15" s="63">
        <f>'SER_se-appl'!U65</f>
        <v>154.02125928669184</v>
      </c>
      <c r="V15" s="63">
        <f>'SER_se-appl'!V65</f>
        <v>150.09079560319546</v>
      </c>
      <c r="W15" s="63">
        <f>'SER_se-appl'!W65</f>
        <v>147.34596752678814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7933.5833469210284</v>
      </c>
      <c r="C3" s="220">
        <v>8352.7141133896257</v>
      </c>
      <c r="D3" s="220">
        <v>7189.6178080647387</v>
      </c>
      <c r="E3" s="220">
        <v>7120.7719884938579</v>
      </c>
      <c r="F3" s="220">
        <v>9424.2866069568845</v>
      </c>
      <c r="G3" s="220">
        <v>8692.7440521547705</v>
      </c>
      <c r="H3" s="220">
        <v>8529.4796620342586</v>
      </c>
      <c r="I3" s="220">
        <v>10379.298737118719</v>
      </c>
      <c r="J3" s="220">
        <v>9189.5922300012589</v>
      </c>
      <c r="K3" s="220">
        <v>9192.7661696052219</v>
      </c>
      <c r="L3" s="220">
        <v>10948.897524886221</v>
      </c>
      <c r="M3" s="220">
        <v>12534.68250171593</v>
      </c>
      <c r="N3" s="220">
        <v>11862.70898561401</v>
      </c>
      <c r="O3" s="220">
        <v>12884.986866446579</v>
      </c>
      <c r="P3" s="220">
        <v>12330.836213975081</v>
      </c>
      <c r="Q3" s="220">
        <v>10759.1</v>
      </c>
      <c r="R3" s="220">
        <v>11747.76771711173</v>
      </c>
      <c r="S3" s="220">
        <v>14115.9770462096</v>
      </c>
      <c r="T3" s="220">
        <v>12020.39146830543</v>
      </c>
      <c r="U3" s="220">
        <v>12265.599937784949</v>
      </c>
      <c r="V3" s="220">
        <v>12996.80750812547</v>
      </c>
      <c r="W3" s="220">
        <v>12242.83480979677</v>
      </c>
      <c r="DA3" s="211" t="s">
        <v>972</v>
      </c>
    </row>
    <row r="5" spans="1:105" x14ac:dyDescent="0.25">
      <c r="A5" s="219" t="s">
        <v>120</v>
      </c>
      <c r="B5" s="220">
        <v>37074.502736654729</v>
      </c>
      <c r="C5" s="220">
        <v>37796.94354301774</v>
      </c>
      <c r="D5" s="220">
        <v>34340.15600809882</v>
      </c>
      <c r="E5" s="220">
        <v>31054.063550573519</v>
      </c>
      <c r="F5" s="220">
        <v>31939.659111351772</v>
      </c>
      <c r="G5" s="220">
        <v>28764.734924345132</v>
      </c>
      <c r="H5" s="220">
        <v>26021.84436049324</v>
      </c>
      <c r="I5" s="220">
        <v>25588.121828219711</v>
      </c>
      <c r="J5" s="220">
        <v>26138.839904969242</v>
      </c>
      <c r="K5" s="220">
        <v>22859.694718723709</v>
      </c>
      <c r="L5" s="220">
        <v>25807.059949441911</v>
      </c>
      <c r="M5" s="220">
        <v>27716.016222003469</v>
      </c>
      <c r="N5" s="220">
        <v>27158.03771719669</v>
      </c>
      <c r="O5" s="220">
        <v>26930.739335543989</v>
      </c>
      <c r="P5" s="220">
        <v>26290.806634872111</v>
      </c>
      <c r="Q5" s="220">
        <v>25054.453522460291</v>
      </c>
      <c r="R5" s="220">
        <v>26129.629691634989</v>
      </c>
      <c r="S5" s="220">
        <v>31080.227401054839</v>
      </c>
      <c r="T5" s="220">
        <v>27741.172598682791</v>
      </c>
      <c r="U5" s="220">
        <v>26858.668339521999</v>
      </c>
      <c r="V5" s="220">
        <v>26033.221452163089</v>
      </c>
      <c r="W5" s="220">
        <v>26902.805827208838</v>
      </c>
      <c r="DA5" s="211" t="s">
        <v>973</v>
      </c>
    </row>
    <row r="6" spans="1:105" x14ac:dyDescent="0.25">
      <c r="A6" s="221" t="s">
        <v>119</v>
      </c>
      <c r="B6" s="222">
        <v>46343.128420818408</v>
      </c>
      <c r="C6" s="222">
        <v>44025.971999777488</v>
      </c>
      <c r="D6" s="222">
        <v>41708.815578736569</v>
      </c>
      <c r="E6" s="222">
        <v>41708.815578736569</v>
      </c>
      <c r="F6" s="222">
        <v>39391.659157695649</v>
      </c>
      <c r="G6" s="222">
        <v>39391.659157695649</v>
      </c>
      <c r="H6" s="222">
        <v>37074.502736654729</v>
      </c>
      <c r="I6" s="222">
        <v>34757.34631561381</v>
      </c>
      <c r="J6" s="222">
        <v>34757.34631561381</v>
      </c>
      <c r="K6" s="222">
        <v>32440.18989457289</v>
      </c>
      <c r="L6" s="222">
        <v>30123.03347353197</v>
      </c>
      <c r="M6" s="222">
        <v>30123.03347353197</v>
      </c>
      <c r="N6" s="222">
        <v>30123.03347353197</v>
      </c>
      <c r="O6" s="222">
        <v>30123.03347353197</v>
      </c>
      <c r="P6" s="222">
        <v>30123.03347353197</v>
      </c>
      <c r="Q6" s="222">
        <v>27805.877052491051</v>
      </c>
      <c r="R6" s="222">
        <v>27805.877052491051</v>
      </c>
      <c r="S6" s="222">
        <v>34757.34631561381</v>
      </c>
      <c r="T6" s="222">
        <v>32440.18989457289</v>
      </c>
      <c r="U6" s="222">
        <v>30123.03347353197</v>
      </c>
      <c r="V6" s="222">
        <v>30123.03347353197</v>
      </c>
      <c r="W6" s="222">
        <v>30123.03347353197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2317.156421040921</v>
      </c>
      <c r="O7" s="226">
        <v>2317.156421040921</v>
      </c>
      <c r="P7" s="226">
        <v>0</v>
      </c>
      <c r="Q7" s="226">
        <v>0</v>
      </c>
      <c r="R7" s="226">
        <v>2317.156421040921</v>
      </c>
      <c r="S7" s="226">
        <v>6951.4692631227617</v>
      </c>
      <c r="T7" s="226">
        <v>0</v>
      </c>
      <c r="U7" s="226">
        <v>0</v>
      </c>
      <c r="V7" s="226">
        <v>0</v>
      </c>
      <c r="W7" s="226">
        <v>2317.156421040921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2317.1564210409197</v>
      </c>
      <c r="D8" s="228">
        <f t="shared" ref="D8" si="1">IF(C6=0,0,C6+D7-D6)</f>
        <v>2317.1564210409197</v>
      </c>
      <c r="E8" s="228">
        <f t="shared" ref="E8" si="2">IF(D6=0,0,D6+E7-E6)</f>
        <v>0</v>
      </c>
      <c r="F8" s="228">
        <f t="shared" ref="F8" si="3">IF(E6=0,0,E6+F7-F6)</f>
        <v>2317.1564210409197</v>
      </c>
      <c r="G8" s="228">
        <f t="shared" ref="G8" si="4">IF(F6=0,0,F6+G7-G6)</f>
        <v>0</v>
      </c>
      <c r="H8" s="228">
        <f t="shared" ref="H8" si="5">IF(G6=0,0,G6+H7-H6)</f>
        <v>2317.1564210409197</v>
      </c>
      <c r="I8" s="228">
        <f t="shared" ref="I8" si="6">IF(H6=0,0,H6+I7-I6)</f>
        <v>2317.1564210409197</v>
      </c>
      <c r="J8" s="228">
        <f t="shared" ref="J8" si="7">IF(I6=0,0,I6+J7-J6)</f>
        <v>0</v>
      </c>
      <c r="K8" s="228">
        <f t="shared" ref="K8" si="8">IF(J6=0,0,J6+K7-K6)</f>
        <v>2317.1564210409197</v>
      </c>
      <c r="L8" s="228">
        <f t="shared" ref="L8" si="9">IF(K6=0,0,K6+L7-L6)</f>
        <v>2317.1564210409197</v>
      </c>
      <c r="M8" s="228">
        <f t="shared" ref="M8" si="10">IF(L6=0,0,L6+M7-M6)</f>
        <v>0</v>
      </c>
      <c r="N8" s="228">
        <f t="shared" ref="N8" si="11">IF(M6=0,0,M6+N7-N6)</f>
        <v>2317.1564210409197</v>
      </c>
      <c r="O8" s="228">
        <f t="shared" ref="O8" si="12">IF(N6=0,0,N6+O7-O6)</f>
        <v>2317.1564210409197</v>
      </c>
      <c r="P8" s="228">
        <f t="shared" ref="P8" si="13">IF(O6=0,0,O6+P7-P6)</f>
        <v>0</v>
      </c>
      <c r="Q8" s="228">
        <f t="shared" ref="Q8" si="14">IF(P6=0,0,P6+Q7-Q6)</f>
        <v>2317.1564210409197</v>
      </c>
      <c r="R8" s="228">
        <f t="shared" ref="R8" si="15">IF(Q6=0,0,Q6+R7-R6)</f>
        <v>2317.1564210409197</v>
      </c>
      <c r="S8" s="228">
        <f t="shared" ref="S8" si="16">IF(R6=0,0,R6+S7-S6)</f>
        <v>0</v>
      </c>
      <c r="T8" s="228">
        <f t="shared" ref="T8" si="17">IF(S6=0,0,S6+T7-T6)</f>
        <v>2317.1564210409197</v>
      </c>
      <c r="U8" s="228">
        <f t="shared" ref="U8" si="18">IF(T6=0,0,T6+U7-U6)</f>
        <v>2317.1564210409197</v>
      </c>
      <c r="V8" s="228">
        <f t="shared" ref="V8" si="19">IF(U6=0,0,U6+V7-V6)</f>
        <v>0</v>
      </c>
      <c r="W8" s="228">
        <f t="shared" ref="W8" si="20">IF(V6=0,0,V6+W7-W6)</f>
        <v>2317.1564210409197</v>
      </c>
      <c r="DA8" s="214" t="s">
        <v>976</v>
      </c>
    </row>
    <row r="9" spans="1:105" x14ac:dyDescent="0.25">
      <c r="A9" s="223" t="s">
        <v>116</v>
      </c>
      <c r="B9" s="224">
        <f>B6-B5</f>
        <v>9268.6256841636787</v>
      </c>
      <c r="C9" s="224">
        <f t="shared" ref="C9:W9" si="21">C6-C5</f>
        <v>6229.0284567597482</v>
      </c>
      <c r="D9" s="224">
        <f t="shared" si="21"/>
        <v>7368.6595706377484</v>
      </c>
      <c r="E9" s="224">
        <f t="shared" si="21"/>
        <v>10654.75202816305</v>
      </c>
      <c r="F9" s="224">
        <f t="shared" si="21"/>
        <v>7452.0000463438773</v>
      </c>
      <c r="G9" s="224">
        <f t="shared" si="21"/>
        <v>10626.924233350517</v>
      </c>
      <c r="H9" s="224">
        <f t="shared" si="21"/>
        <v>11052.658376161489</v>
      </c>
      <c r="I9" s="224">
        <f t="shared" si="21"/>
        <v>9169.2244873940981</v>
      </c>
      <c r="J9" s="224">
        <f t="shared" si="21"/>
        <v>8618.5064106445679</v>
      </c>
      <c r="K9" s="224">
        <f t="shared" si="21"/>
        <v>9580.4951758491807</v>
      </c>
      <c r="L9" s="224">
        <f t="shared" si="21"/>
        <v>4315.9735240900591</v>
      </c>
      <c r="M9" s="224">
        <f t="shared" si="21"/>
        <v>2407.0172515285012</v>
      </c>
      <c r="N9" s="224">
        <f t="shared" si="21"/>
        <v>2964.99575633528</v>
      </c>
      <c r="O9" s="224">
        <f t="shared" si="21"/>
        <v>3192.2941379879812</v>
      </c>
      <c r="P9" s="224">
        <f t="shared" si="21"/>
        <v>3832.2268386598589</v>
      </c>
      <c r="Q9" s="224">
        <f t="shared" si="21"/>
        <v>2751.4235300307591</v>
      </c>
      <c r="R9" s="224">
        <f t="shared" si="21"/>
        <v>1676.2473608560613</v>
      </c>
      <c r="S9" s="224">
        <f t="shared" si="21"/>
        <v>3677.1189145589706</v>
      </c>
      <c r="T9" s="224">
        <f t="shared" si="21"/>
        <v>4699.0172958900985</v>
      </c>
      <c r="U9" s="224">
        <f t="shared" si="21"/>
        <v>3264.3651340099714</v>
      </c>
      <c r="V9" s="224">
        <f t="shared" si="21"/>
        <v>4089.8120213688817</v>
      </c>
      <c r="W9" s="224">
        <f t="shared" si="21"/>
        <v>3220.2276463231319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4688.4002579535691</v>
      </c>
      <c r="C12" s="230">
        <f t="shared" ref="C12:W12" si="22">SUM(C13,C14,C18,C19,C26,C27)</f>
        <v>4624.3817712811688</v>
      </c>
      <c r="D12" s="230">
        <f t="shared" si="22"/>
        <v>4389.0346517626831</v>
      </c>
      <c r="E12" s="230">
        <f t="shared" si="22"/>
        <v>4205.7412725709364</v>
      </c>
      <c r="F12" s="230">
        <f t="shared" si="22"/>
        <v>4306.8595872742908</v>
      </c>
      <c r="G12" s="230">
        <f t="shared" si="22"/>
        <v>4442.0389509888219</v>
      </c>
      <c r="H12" s="230">
        <f t="shared" si="22"/>
        <v>3823.3948409286322</v>
      </c>
      <c r="I12" s="230">
        <f t="shared" si="22"/>
        <v>3511.6757523645738</v>
      </c>
      <c r="J12" s="230">
        <f t="shared" si="22"/>
        <v>3641.8521926053299</v>
      </c>
      <c r="K12" s="230">
        <f t="shared" si="22"/>
        <v>3574.3472055030088</v>
      </c>
      <c r="L12" s="230">
        <f t="shared" si="22"/>
        <v>3731.3359415305235</v>
      </c>
      <c r="M12" s="230">
        <f t="shared" si="22"/>
        <v>3680.6943250214958</v>
      </c>
      <c r="N12" s="230">
        <f t="shared" si="22"/>
        <v>3667.5032674118656</v>
      </c>
      <c r="O12" s="230">
        <f t="shared" si="22"/>
        <v>3580.4472914875314</v>
      </c>
      <c r="P12" s="230">
        <f t="shared" si="22"/>
        <v>3421.9955288048154</v>
      </c>
      <c r="Q12" s="230">
        <f t="shared" si="22"/>
        <v>3330.1920894239033</v>
      </c>
      <c r="R12" s="230">
        <f t="shared" si="22"/>
        <v>3537.5705932932065</v>
      </c>
      <c r="S12" s="230">
        <f t="shared" si="22"/>
        <v>3881.9859845227857</v>
      </c>
      <c r="T12" s="230">
        <f t="shared" si="22"/>
        <v>3919.2688736027508</v>
      </c>
      <c r="U12" s="230">
        <f t="shared" si="22"/>
        <v>3814.2527944969911</v>
      </c>
      <c r="V12" s="230">
        <f t="shared" si="22"/>
        <v>3869.2138435081688</v>
      </c>
      <c r="W12" s="230">
        <f t="shared" si="22"/>
        <v>3834.7297506448845</v>
      </c>
      <c r="DA12" s="211" t="s">
        <v>978</v>
      </c>
    </row>
    <row r="13" spans="1:105" x14ac:dyDescent="0.25">
      <c r="A13" s="58" t="s">
        <v>29</v>
      </c>
      <c r="B13" s="59">
        <v>897.73439380911418</v>
      </c>
      <c r="C13" s="59">
        <v>1000.721668099742</v>
      </c>
      <c r="D13" s="59">
        <v>837.31014617368862</v>
      </c>
      <c r="E13" s="59">
        <v>813.93619948409275</v>
      </c>
      <c r="F13" s="59">
        <v>854.74815133276002</v>
      </c>
      <c r="G13" s="59">
        <v>930.9900257953567</v>
      </c>
      <c r="H13" s="59">
        <v>1098.5979363714525</v>
      </c>
      <c r="I13" s="59">
        <v>972.30197764402396</v>
      </c>
      <c r="J13" s="59">
        <v>1081.8827171109199</v>
      </c>
      <c r="K13" s="59">
        <v>1072.656233877902</v>
      </c>
      <c r="L13" s="59">
        <v>1191.9597592433361</v>
      </c>
      <c r="M13" s="59">
        <v>1046.9286328460876</v>
      </c>
      <c r="N13" s="59">
        <v>1086.7900257953565</v>
      </c>
      <c r="O13" s="59">
        <v>1062.232932072227</v>
      </c>
      <c r="P13" s="59">
        <v>1010.6032674118658</v>
      </c>
      <c r="Q13" s="59">
        <v>917.91788478073931</v>
      </c>
      <c r="R13" s="59">
        <v>976.23972484952697</v>
      </c>
      <c r="S13" s="59">
        <v>969.30988822012034</v>
      </c>
      <c r="T13" s="59">
        <v>909.69045571797074</v>
      </c>
      <c r="U13" s="59">
        <v>735.06285468615647</v>
      </c>
      <c r="V13" s="59">
        <v>754.24213241616508</v>
      </c>
      <c r="W13" s="59">
        <v>617.13181427343079</v>
      </c>
      <c r="DA13" s="9" t="s">
        <v>979</v>
      </c>
    </row>
    <row r="14" spans="1:105" x14ac:dyDescent="0.25">
      <c r="A14" s="60" t="s">
        <v>28</v>
      </c>
      <c r="B14" s="55">
        <f>SUM(B15:B17)</f>
        <v>2936.541014617369</v>
      </c>
      <c r="C14" s="55">
        <f t="shared" ref="C14:W14" si="23">SUM(C15:C17)</f>
        <v>2724.7229578675833</v>
      </c>
      <c r="D14" s="55">
        <f t="shared" si="23"/>
        <v>2672.8479793637143</v>
      </c>
      <c r="E14" s="55">
        <f t="shared" si="23"/>
        <v>2756.8285468615641</v>
      </c>
      <c r="F14" s="55">
        <f t="shared" si="23"/>
        <v>2799.6011177987962</v>
      </c>
      <c r="G14" s="55">
        <f t="shared" si="23"/>
        <v>2880.9591573516764</v>
      </c>
      <c r="H14" s="55">
        <f t="shared" si="23"/>
        <v>2059.6517626827167</v>
      </c>
      <c r="I14" s="55">
        <f t="shared" si="23"/>
        <v>1888.0410146173681</v>
      </c>
      <c r="J14" s="55">
        <f t="shared" si="23"/>
        <v>1894.0766981943243</v>
      </c>
      <c r="K14" s="55">
        <f t="shared" si="23"/>
        <v>1843.6753224419604</v>
      </c>
      <c r="L14" s="55">
        <f t="shared" si="23"/>
        <v>1834.0522785898534</v>
      </c>
      <c r="M14" s="55">
        <f t="shared" si="23"/>
        <v>1859.2625107480656</v>
      </c>
      <c r="N14" s="55">
        <f t="shared" si="23"/>
        <v>1873.5191745485815</v>
      </c>
      <c r="O14" s="55">
        <f t="shared" si="23"/>
        <v>1819.241444539982</v>
      </c>
      <c r="P14" s="55">
        <f t="shared" si="23"/>
        <v>1757.5229578675835</v>
      </c>
      <c r="Q14" s="55">
        <f t="shared" si="23"/>
        <v>1741.1148753224415</v>
      </c>
      <c r="R14" s="55">
        <f t="shared" si="23"/>
        <v>1846.8281169389504</v>
      </c>
      <c r="S14" s="55">
        <f t="shared" si="23"/>
        <v>2189.4680997420464</v>
      </c>
      <c r="T14" s="55">
        <f t="shared" si="23"/>
        <v>2297.3311263972482</v>
      </c>
      <c r="U14" s="55">
        <f t="shared" si="23"/>
        <v>2388.1404127257097</v>
      </c>
      <c r="V14" s="55">
        <f t="shared" si="23"/>
        <v>2406.3553740326743</v>
      </c>
      <c r="W14" s="55">
        <f t="shared" si="23"/>
        <v>2408.5235597592437</v>
      </c>
      <c r="DA14" s="10"/>
    </row>
    <row r="15" spans="1:105" x14ac:dyDescent="0.25">
      <c r="A15" s="61" t="s">
        <v>52</v>
      </c>
      <c r="B15" s="55">
        <v>45.18968185726569</v>
      </c>
      <c r="C15" s="55">
        <v>56.487016337059323</v>
      </c>
      <c r="D15" s="55">
        <v>67.784436801375747</v>
      </c>
      <c r="E15" s="55">
        <v>79.081857265692165</v>
      </c>
      <c r="F15" s="55">
        <v>79.081857265692165</v>
      </c>
      <c r="G15" s="55">
        <v>79.081857265692165</v>
      </c>
      <c r="H15" s="55">
        <v>56.487016337059323</v>
      </c>
      <c r="I15" s="55">
        <v>56.487016337059323</v>
      </c>
      <c r="J15" s="55">
        <v>57.616766981943243</v>
      </c>
      <c r="K15" s="55">
        <v>49.441100601891662</v>
      </c>
      <c r="L15" s="55">
        <v>54.934565778159929</v>
      </c>
      <c r="M15" s="55">
        <v>56.03327601031814</v>
      </c>
      <c r="N15" s="55">
        <v>54.934565778159929</v>
      </c>
      <c r="O15" s="55">
        <v>54.934565778159929</v>
      </c>
      <c r="P15" s="55">
        <v>58.230610490111772</v>
      </c>
      <c r="Q15" s="55">
        <v>62.625365434221827</v>
      </c>
      <c r="R15" s="55">
        <v>65.921496130696468</v>
      </c>
      <c r="S15" s="55">
        <v>68.118830610490107</v>
      </c>
      <c r="T15" s="55">
        <v>68.118830610490107</v>
      </c>
      <c r="U15" s="55">
        <v>71.414961306964742</v>
      </c>
      <c r="V15" s="55">
        <v>68.118830610490107</v>
      </c>
      <c r="W15" s="55">
        <v>63.724075666380052</v>
      </c>
      <c r="DA15" s="10" t="s">
        <v>980</v>
      </c>
    </row>
    <row r="16" spans="1:105" x14ac:dyDescent="0.25">
      <c r="A16" s="61" t="s">
        <v>172</v>
      </c>
      <c r="B16" s="55">
        <v>2680.5674978503871</v>
      </c>
      <c r="C16" s="55">
        <v>2503.9171109200338</v>
      </c>
      <c r="D16" s="55">
        <v>2495.7007738607049</v>
      </c>
      <c r="E16" s="55">
        <v>2519.322613929492</v>
      </c>
      <c r="F16" s="55">
        <v>2567.5933791917455</v>
      </c>
      <c r="G16" s="55">
        <v>2618.9452278589852</v>
      </c>
      <c r="H16" s="55">
        <v>1951.3709372312981</v>
      </c>
      <c r="I16" s="55">
        <v>1797.3153912295779</v>
      </c>
      <c r="J16" s="55">
        <v>1797.3153912295779</v>
      </c>
      <c r="K16" s="55">
        <v>1758.144625967326</v>
      </c>
      <c r="L16" s="55">
        <v>1755.0420464316419</v>
      </c>
      <c r="M16" s="55">
        <v>1770.555116079106</v>
      </c>
      <c r="N16" s="55">
        <v>1783.9997420464319</v>
      </c>
      <c r="O16" s="55">
        <v>1747.802579535683</v>
      </c>
      <c r="P16" s="55">
        <v>1685.750472914875</v>
      </c>
      <c r="Q16" s="55">
        <v>1667.908684436801</v>
      </c>
      <c r="R16" s="55">
        <v>1766.5042132416161</v>
      </c>
      <c r="S16" s="55">
        <v>2105.4265692175409</v>
      </c>
      <c r="T16" s="55">
        <v>2218.400687876182</v>
      </c>
      <c r="U16" s="55">
        <v>2305.698882201204</v>
      </c>
      <c r="V16" s="55">
        <v>2327.2666380051592</v>
      </c>
      <c r="W16" s="55">
        <v>2337.4446259673264</v>
      </c>
      <c r="DA16" s="10" t="s">
        <v>981</v>
      </c>
    </row>
    <row r="17" spans="1:105" x14ac:dyDescent="0.25">
      <c r="A17" s="61" t="s">
        <v>113</v>
      </c>
      <c r="B17" s="55">
        <v>210.78383490971621</v>
      </c>
      <c r="C17" s="55">
        <v>164.31883061049012</v>
      </c>
      <c r="D17" s="55">
        <v>109.3627687016337</v>
      </c>
      <c r="E17" s="55">
        <v>158.42407566638002</v>
      </c>
      <c r="F17" s="55">
        <v>152.92588134135858</v>
      </c>
      <c r="G17" s="55">
        <v>182.93207222699911</v>
      </c>
      <c r="H17" s="55">
        <v>51.793809114359412</v>
      </c>
      <c r="I17" s="55">
        <v>34.238607050730863</v>
      </c>
      <c r="J17" s="55">
        <v>39.144539982803089</v>
      </c>
      <c r="K17" s="55">
        <v>36.089595872742905</v>
      </c>
      <c r="L17" s="55">
        <v>24.075666380051594</v>
      </c>
      <c r="M17" s="55">
        <v>32.674118658641447</v>
      </c>
      <c r="N17" s="55">
        <v>34.584866723989677</v>
      </c>
      <c r="O17" s="55">
        <v>16.504299226139292</v>
      </c>
      <c r="P17" s="55">
        <v>13.541874462596732</v>
      </c>
      <c r="Q17" s="55">
        <v>10.580825451418743</v>
      </c>
      <c r="R17" s="55">
        <v>14.402407566638001</v>
      </c>
      <c r="S17" s="55">
        <v>15.922699914015475</v>
      </c>
      <c r="T17" s="55">
        <v>10.811607910576097</v>
      </c>
      <c r="U17" s="55">
        <v>11.026569217540843</v>
      </c>
      <c r="V17" s="55">
        <v>10.969905417024934</v>
      </c>
      <c r="W17" s="55">
        <v>7.3548581255374028</v>
      </c>
      <c r="DA17" s="10" t="s">
        <v>982</v>
      </c>
    </row>
    <row r="18" spans="1:105" x14ac:dyDescent="0.25">
      <c r="A18" s="60" t="s">
        <v>153</v>
      </c>
      <c r="B18" s="55">
        <v>12.790197764402411</v>
      </c>
      <c r="C18" s="55">
        <v>18.551160791057612</v>
      </c>
      <c r="D18" s="55">
        <v>21.840068787618229</v>
      </c>
      <c r="E18" s="55">
        <v>28.589853826311259</v>
      </c>
      <c r="F18" s="55">
        <v>28.224419604471191</v>
      </c>
      <c r="G18" s="55">
        <v>25.88134135855546</v>
      </c>
      <c r="H18" s="55">
        <v>35.662080825451419</v>
      </c>
      <c r="I18" s="55">
        <v>43.981083404987103</v>
      </c>
      <c r="J18" s="55">
        <v>45.399828030954424</v>
      </c>
      <c r="K18" s="55">
        <v>37.661220980223547</v>
      </c>
      <c r="L18" s="55">
        <v>35.490111779879619</v>
      </c>
      <c r="M18" s="55">
        <v>36.564918314703348</v>
      </c>
      <c r="N18" s="55">
        <v>42.906276870163367</v>
      </c>
      <c r="O18" s="55">
        <v>35.855546001719688</v>
      </c>
      <c r="P18" s="55">
        <v>34.350816852966467</v>
      </c>
      <c r="Q18" s="55">
        <v>27.321582115219261</v>
      </c>
      <c r="R18" s="55">
        <v>31.169389509888219</v>
      </c>
      <c r="S18" s="55">
        <v>36.280567497850377</v>
      </c>
      <c r="T18" s="55">
        <v>30.25236457437661</v>
      </c>
      <c r="U18" s="55">
        <v>37.21384350816853</v>
      </c>
      <c r="V18" s="55">
        <v>43.128976784178853</v>
      </c>
      <c r="W18" s="55">
        <v>52.061822871883066</v>
      </c>
      <c r="DA18" s="10" t="s">
        <v>983</v>
      </c>
    </row>
    <row r="19" spans="1:105" x14ac:dyDescent="0.25">
      <c r="A19" s="60" t="s">
        <v>51</v>
      </c>
      <c r="B19" s="55">
        <f>SUM(B20:B25)</f>
        <v>409.02355975924331</v>
      </c>
      <c r="C19" s="55">
        <f t="shared" ref="C19:W19" si="24">SUM(C20:C25)</f>
        <v>455.33585554600165</v>
      </c>
      <c r="D19" s="55">
        <f t="shared" si="24"/>
        <v>454.04608770421322</v>
      </c>
      <c r="E19" s="55">
        <f t="shared" si="24"/>
        <v>454.21324161650898</v>
      </c>
      <c r="F19" s="55">
        <f t="shared" si="24"/>
        <v>474.77790197764398</v>
      </c>
      <c r="G19" s="55">
        <f t="shared" si="24"/>
        <v>454.92975064488388</v>
      </c>
      <c r="H19" s="55">
        <f t="shared" si="24"/>
        <v>477.16629406706801</v>
      </c>
      <c r="I19" s="55">
        <f t="shared" si="24"/>
        <v>455.2880481513327</v>
      </c>
      <c r="J19" s="55">
        <f t="shared" si="24"/>
        <v>456.6255374032674</v>
      </c>
      <c r="K19" s="55">
        <f t="shared" si="24"/>
        <v>456.84049871023217</v>
      </c>
      <c r="L19" s="55">
        <f t="shared" si="24"/>
        <v>504.6097162510747</v>
      </c>
      <c r="M19" s="55">
        <f t="shared" si="24"/>
        <v>576.90834049871012</v>
      </c>
      <c r="N19" s="55">
        <f t="shared" si="24"/>
        <v>506.35331040412723</v>
      </c>
      <c r="O19" s="55">
        <f t="shared" si="24"/>
        <v>506.90257953568351</v>
      </c>
      <c r="P19" s="55">
        <f t="shared" si="24"/>
        <v>469.04557179707649</v>
      </c>
      <c r="Q19" s="55">
        <f t="shared" si="24"/>
        <v>493.00180567497841</v>
      </c>
      <c r="R19" s="55">
        <f t="shared" si="24"/>
        <v>521.42450558899384</v>
      </c>
      <c r="S19" s="55">
        <f t="shared" si="24"/>
        <v>517.62390369733441</v>
      </c>
      <c r="T19" s="55">
        <f t="shared" si="24"/>
        <v>503.80412725709368</v>
      </c>
      <c r="U19" s="55">
        <f t="shared" si="24"/>
        <v>477.14703353396385</v>
      </c>
      <c r="V19" s="55">
        <f t="shared" si="24"/>
        <v>488.16337059329311</v>
      </c>
      <c r="W19" s="55">
        <f t="shared" si="24"/>
        <v>578.99226139294922</v>
      </c>
      <c r="DA19" s="10"/>
    </row>
    <row r="20" spans="1:105" x14ac:dyDescent="0.25">
      <c r="A20" s="61" t="s">
        <v>171</v>
      </c>
      <c r="B20" s="55">
        <v>409.02355975924331</v>
      </c>
      <c r="C20" s="55">
        <v>455.33585554600165</v>
      </c>
      <c r="D20" s="55">
        <v>454.04608770421322</v>
      </c>
      <c r="E20" s="55">
        <v>454.21324161650898</v>
      </c>
      <c r="F20" s="55">
        <v>474.77790197764398</v>
      </c>
      <c r="G20" s="55">
        <v>454.92975064488388</v>
      </c>
      <c r="H20" s="55">
        <v>477.16629406706801</v>
      </c>
      <c r="I20" s="55">
        <v>455.2880481513327</v>
      </c>
      <c r="J20" s="55">
        <v>454.3803955288048</v>
      </c>
      <c r="K20" s="55">
        <v>454.52373172828891</v>
      </c>
      <c r="L20" s="55">
        <v>503.67824591573509</v>
      </c>
      <c r="M20" s="55">
        <v>571.58211521926046</v>
      </c>
      <c r="N20" s="55">
        <v>500.33439380911432</v>
      </c>
      <c r="O20" s="55">
        <v>500.0716251074806</v>
      </c>
      <c r="P20" s="55">
        <v>461.21143594153051</v>
      </c>
      <c r="Q20" s="55">
        <v>483.80627687016329</v>
      </c>
      <c r="R20" s="55">
        <v>512.51556319862414</v>
      </c>
      <c r="S20" s="55">
        <v>508.17858985382628</v>
      </c>
      <c r="T20" s="55">
        <v>495.23938091143589</v>
      </c>
      <c r="U20" s="55">
        <v>468.55597592433361</v>
      </c>
      <c r="V20" s="55">
        <v>479.31719690455708</v>
      </c>
      <c r="W20" s="55">
        <v>570.6674118658641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2.2451418744625968</v>
      </c>
      <c r="K21" s="55">
        <v>2.3167669819432501</v>
      </c>
      <c r="L21" s="55">
        <v>0.93147033533963886</v>
      </c>
      <c r="M21" s="55">
        <v>5.3262252794496989</v>
      </c>
      <c r="N21" s="55">
        <v>6.0189165950128984</v>
      </c>
      <c r="O21" s="55">
        <v>6.8309544282029231</v>
      </c>
      <c r="P21" s="55">
        <v>7.8341358555460019</v>
      </c>
      <c r="Q21" s="55">
        <v>9.1955288048151331</v>
      </c>
      <c r="R21" s="55">
        <v>8.9089423903697327</v>
      </c>
      <c r="S21" s="55">
        <v>9.4453138435081687</v>
      </c>
      <c r="T21" s="55">
        <v>8.564746345657781</v>
      </c>
      <c r="U21" s="55">
        <v>8.5910576096302655</v>
      </c>
      <c r="V21" s="55">
        <v>8.8461736887360267</v>
      </c>
      <c r="W21" s="55">
        <v>8.3248495270851244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23.88460877042132</v>
      </c>
      <c r="C26" s="55">
        <v>28.661478933791919</v>
      </c>
      <c r="D26" s="55">
        <v>23.88460877042132</v>
      </c>
      <c r="E26" s="55">
        <v>23.884522785898543</v>
      </c>
      <c r="F26" s="55">
        <v>23.884608770421323</v>
      </c>
      <c r="G26" s="55">
        <v>20.301891659501287</v>
      </c>
      <c r="H26" s="55">
        <v>21.018400687876177</v>
      </c>
      <c r="I26" s="55">
        <v>22.57093723129837</v>
      </c>
      <c r="J26" s="55">
        <v>23.88460877042132</v>
      </c>
      <c r="K26" s="55">
        <v>25.07884780739467</v>
      </c>
      <c r="L26" s="55">
        <v>26.273086844368009</v>
      </c>
      <c r="M26" s="55">
        <v>23.88460877042132</v>
      </c>
      <c r="N26" s="55">
        <v>23.88460877042132</v>
      </c>
      <c r="O26" s="55">
        <v>23.88460877042132</v>
      </c>
      <c r="P26" s="55">
        <v>21.49613069647463</v>
      </c>
      <c r="Q26" s="55">
        <v>21.257265692175409</v>
      </c>
      <c r="R26" s="55">
        <v>21.49613069647463</v>
      </c>
      <c r="S26" s="55">
        <v>21.49613069647463</v>
      </c>
      <c r="T26" s="55">
        <v>19.10765262252794</v>
      </c>
      <c r="U26" s="55">
        <v>18.39114359415305</v>
      </c>
      <c r="V26" s="55">
        <v>18.51057609630266</v>
      </c>
      <c r="W26" s="55">
        <v>20.30189165950129</v>
      </c>
      <c r="DA26" s="10" t="s">
        <v>990</v>
      </c>
    </row>
    <row r="27" spans="1:105" x14ac:dyDescent="0.25">
      <c r="A27" s="62" t="s">
        <v>24</v>
      </c>
      <c r="B27" s="63">
        <v>408.42648323301802</v>
      </c>
      <c r="C27" s="63">
        <v>396.38865004299231</v>
      </c>
      <c r="D27" s="63">
        <v>379.10576096302663</v>
      </c>
      <c r="E27" s="63">
        <v>128.2889079965606</v>
      </c>
      <c r="F27" s="63">
        <v>125.62338779019778</v>
      </c>
      <c r="G27" s="63">
        <v>128.97678417884779</v>
      </c>
      <c r="H27" s="63">
        <v>131.29836629406708</v>
      </c>
      <c r="I27" s="63">
        <v>129.49269131556318</v>
      </c>
      <c r="J27" s="63">
        <v>139.98280309544279</v>
      </c>
      <c r="K27" s="63">
        <v>138.43508168529661</v>
      </c>
      <c r="L27" s="63">
        <v>138.95098882201199</v>
      </c>
      <c r="M27" s="63">
        <v>137.14531384350809</v>
      </c>
      <c r="N27" s="63">
        <v>134.04987102321579</v>
      </c>
      <c r="O27" s="63">
        <v>132.33018056749782</v>
      </c>
      <c r="P27" s="63">
        <v>128.97678417884779</v>
      </c>
      <c r="Q27" s="63">
        <v>129.57867583834908</v>
      </c>
      <c r="R27" s="63">
        <v>140.4127257093723</v>
      </c>
      <c r="S27" s="63">
        <v>147.80739466895955</v>
      </c>
      <c r="T27" s="63">
        <v>159.08314703353392</v>
      </c>
      <c r="U27" s="63">
        <v>158.29750644883924</v>
      </c>
      <c r="V27" s="63">
        <v>158.81341358555454</v>
      </c>
      <c r="W27" s="63">
        <v>157.71840068787614</v>
      </c>
      <c r="DA27" s="11" t="s">
        <v>991</v>
      </c>
    </row>
    <row r="29" spans="1:105" x14ac:dyDescent="0.25">
      <c r="A29" s="219" t="s">
        <v>84</v>
      </c>
      <c r="B29" s="220">
        <v>12754.961396233977</v>
      </c>
      <c r="C29" s="220">
        <v>12526.652446534881</v>
      </c>
      <c r="D29" s="220">
        <v>11706.824761862139</v>
      </c>
      <c r="E29" s="220">
        <v>11892.902421924078</v>
      </c>
      <c r="F29" s="220">
        <v>12182.903692319358</v>
      </c>
      <c r="G29" s="220">
        <v>12720.939415598217</v>
      </c>
      <c r="H29" s="220">
        <v>10857.850209074009</v>
      </c>
      <c r="I29" s="220">
        <v>9833.2929994828901</v>
      </c>
      <c r="J29" s="220">
        <v>10295.262300322402</v>
      </c>
      <c r="K29" s="220">
        <v>10082.898784455256</v>
      </c>
      <c r="L29" s="220">
        <v>10510.360337861375</v>
      </c>
      <c r="M29" s="220">
        <v>10018.084880596198</v>
      </c>
      <c r="N29" s="220">
        <v>10224.172764663002</v>
      </c>
      <c r="O29" s="220">
        <v>9948.6161896765734</v>
      </c>
      <c r="P29" s="220">
        <v>9543.5386146272031</v>
      </c>
      <c r="Q29" s="220">
        <v>9098.2935945126246</v>
      </c>
      <c r="R29" s="220">
        <v>9664.33000299577</v>
      </c>
      <c r="S29" s="220">
        <v>10709.419579339285</v>
      </c>
      <c r="T29" s="220">
        <v>10791.867943177343</v>
      </c>
      <c r="U29" s="220">
        <v>10392.950446060448</v>
      </c>
      <c r="V29" s="220">
        <v>10533.273936602202</v>
      </c>
      <c r="W29" s="220">
        <v>10021.315685532032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590.95619884967948</v>
      </c>
      <c r="C31" s="59">
        <f t="shared" si="25"/>
        <v>553.63821968576178</v>
      </c>
      <c r="D31" s="59">
        <f t="shared" si="25"/>
        <v>610.4684239041768</v>
      </c>
      <c r="E31" s="59">
        <f t="shared" si="25"/>
        <v>590.62995969633744</v>
      </c>
      <c r="F31" s="59">
        <f t="shared" si="25"/>
        <v>456.99582014993302</v>
      </c>
      <c r="G31" s="59">
        <f t="shared" si="25"/>
        <v>511.00537693707003</v>
      </c>
      <c r="H31" s="59">
        <f t="shared" si="25"/>
        <v>448.25651650792054</v>
      </c>
      <c r="I31" s="59">
        <f t="shared" si="25"/>
        <v>338.33458707629518</v>
      </c>
      <c r="J31" s="59">
        <f t="shared" si="25"/>
        <v>396.30182726887233</v>
      </c>
      <c r="K31" s="59">
        <f t="shared" si="25"/>
        <v>388.82172564349116</v>
      </c>
      <c r="L31" s="59">
        <f t="shared" si="25"/>
        <v>340.79558540477791</v>
      </c>
      <c r="M31" s="59">
        <f t="shared" si="25"/>
        <v>293.640810169514</v>
      </c>
      <c r="N31" s="59">
        <f t="shared" si="25"/>
        <v>309.16237360787255</v>
      </c>
      <c r="O31" s="59">
        <f t="shared" si="25"/>
        <v>277.87744982583342</v>
      </c>
      <c r="P31" s="59">
        <f t="shared" si="25"/>
        <v>277.51528521046419</v>
      </c>
      <c r="Q31" s="59">
        <f t="shared" si="25"/>
        <v>309.52329557527145</v>
      </c>
      <c r="R31" s="59">
        <f t="shared" si="25"/>
        <v>301.12704630177541</v>
      </c>
      <c r="S31" s="59">
        <f t="shared" si="25"/>
        <v>275.00653846452451</v>
      </c>
      <c r="T31" s="59">
        <f t="shared" si="25"/>
        <v>326.05168341953078</v>
      </c>
      <c r="U31" s="59">
        <f t="shared" si="25"/>
        <v>310.97156387327993</v>
      </c>
      <c r="V31" s="59">
        <f t="shared" si="25"/>
        <v>297.70494339392013</v>
      </c>
      <c r="W31" s="59">
        <f t="shared" si="25"/>
        <v>313.22237130703724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126.45888445910977</v>
      </c>
      <c r="C32" s="55">
        <f t="shared" si="26"/>
        <v>122.34803499436489</v>
      </c>
      <c r="D32" s="55">
        <f t="shared" si="26"/>
        <v>127.81056238438663</v>
      </c>
      <c r="E32" s="55">
        <f t="shared" si="26"/>
        <v>135.43288032890186</v>
      </c>
      <c r="F32" s="55">
        <f t="shared" si="26"/>
        <v>134.84363036747555</v>
      </c>
      <c r="G32" s="55">
        <f t="shared" si="26"/>
        <v>154.4265560823676</v>
      </c>
      <c r="H32" s="55">
        <f t="shared" si="26"/>
        <v>146.93020171673029</v>
      </c>
      <c r="I32" s="55">
        <f t="shared" si="26"/>
        <v>137.23851152262932</v>
      </c>
      <c r="J32" s="55">
        <f t="shared" si="26"/>
        <v>139.32723127138397</v>
      </c>
      <c r="K32" s="55">
        <f t="shared" si="26"/>
        <v>156.36023356757102</v>
      </c>
      <c r="L32" s="55">
        <f t="shared" si="26"/>
        <v>144.5858594059342</v>
      </c>
      <c r="M32" s="55">
        <f t="shared" si="26"/>
        <v>132.80026593791027</v>
      </c>
      <c r="N32" s="55">
        <f t="shared" si="26"/>
        <v>135.04301399101351</v>
      </c>
      <c r="O32" s="55">
        <f t="shared" si="26"/>
        <v>132.95020410976801</v>
      </c>
      <c r="P32" s="55">
        <f t="shared" si="26"/>
        <v>130.15939664117732</v>
      </c>
      <c r="Q32" s="55">
        <f t="shared" si="26"/>
        <v>132.91816907674809</v>
      </c>
      <c r="R32" s="55">
        <f t="shared" si="26"/>
        <v>135.38540863538174</v>
      </c>
      <c r="S32" s="55">
        <f t="shared" si="26"/>
        <v>124.90211009173743</v>
      </c>
      <c r="T32" s="55">
        <f t="shared" si="26"/>
        <v>141.27985612939972</v>
      </c>
      <c r="U32" s="55">
        <f t="shared" si="26"/>
        <v>142.01198459584066</v>
      </c>
      <c r="V32" s="55">
        <f t="shared" si="26"/>
        <v>148.62601044661253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50.406125634026395</v>
      </c>
      <c r="C33" s="55">
        <f>IF(AGR_ued!C$5=0,"",AGR_ued!C$5/C$5*1000)</f>
        <v>48.396004735688734</v>
      </c>
      <c r="D33" s="55">
        <f>IF(AGR_ued!D$5=0,"",AGR_ued!D$5/D$5*1000)</f>
        <v>50.929170746056215</v>
      </c>
      <c r="E33" s="55">
        <f>IF(AGR_ued!E$5=0,"",AGR_ued!E$5/E$5*1000)</f>
        <v>52.52905795425805</v>
      </c>
      <c r="F33" s="55">
        <f>IF(AGR_ued!F$5=0,"",AGR_ued!F$5/F$5*1000)</f>
        <v>52.199524206841332</v>
      </c>
      <c r="G33" s="55">
        <f>IF(AGR_ued!G$5=0,"",AGR_ued!G$5/G$5*1000)</f>
        <v>59.619134582590853</v>
      </c>
      <c r="H33" s="55">
        <f>IF(AGR_ued!H$5=0,"",AGR_ued!H$5/H$5*1000)</f>
        <v>55.643059491324045</v>
      </c>
      <c r="I33" s="55">
        <f>IF(AGR_ued!I$5=0,"",AGR_ued!I$5/I$5*1000)</f>
        <v>52.204992620014011</v>
      </c>
      <c r="J33" s="55">
        <f>IF(AGR_ued!J$5=0,"",AGR_ued!J$5/J$5*1000)</f>
        <v>52.774170053125971</v>
      </c>
      <c r="K33" s="55">
        <f>IF(AGR_ued!K$5=0,"",AGR_ued!K$5/K$5*1000)</f>
        <v>59.150676052408599</v>
      </c>
      <c r="L33" s="55">
        <f>IF(AGR_ued!L$5=0,"",AGR_ued!L$5/L$5*1000)</f>
        <v>54.199903530012321</v>
      </c>
      <c r="M33" s="55">
        <f>IF(AGR_ued!M$5=0,"",AGR_ued!M$5/M$5*1000)</f>
        <v>49.966508588091934</v>
      </c>
      <c r="N33" s="55">
        <f>IF(AGR_ued!N$5=0,"",AGR_ued!N$5/N$5*1000)</f>
        <v>50.954051006301697</v>
      </c>
      <c r="O33" s="55">
        <f>IF(AGR_ued!O$5=0,"",AGR_ued!O$5/O$5*1000)</f>
        <v>50.166838806056106</v>
      </c>
      <c r="P33" s="55">
        <f>IF(AGR_ued!P$5=0,"",AGR_ued!P$5/P$5*1000)</f>
        <v>49.218824961360852</v>
      </c>
      <c r="Q33" s="55">
        <f>IF(AGR_ued!Q$5=0,"",AGR_ued!Q$5/Q$5*1000)</f>
        <v>50.401130580280117</v>
      </c>
      <c r="R33" s="55">
        <f>IF(AGR_ued!R$5=0,"",AGR_ued!R$5/R$5*1000)</f>
        <v>51.33644800294212</v>
      </c>
      <c r="S33" s="55">
        <f>IF(AGR_ued!S$5=0,"",AGR_ued!S$5/S$5*1000)</f>
        <v>47.937909489364216</v>
      </c>
      <c r="T33" s="55">
        <f>IF(AGR_ued!T$5=0,"",AGR_ued!T$5/T$5*1000)</f>
        <v>54.605163904545925</v>
      </c>
      <c r="U33" s="55">
        <f>IF(AGR_ued!U$5=0,"",AGR_ued!U$5/U$5*1000)</f>
        <v>55.54979269847685</v>
      </c>
      <c r="V33" s="55">
        <f>IF(AGR_ued!V$5=0,"",AGR_ued!V$5/V$5*1000)</f>
        <v>58.100833554061822</v>
      </c>
      <c r="W33" s="55">
        <f>IF(AGR_ued!W$5=0,"",AGR_ued!W$5/W$5*1000)</f>
        <v>55.875477433000874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2.720535938585023</v>
      </c>
      <c r="C34" s="218">
        <f t="shared" si="27"/>
        <v>2.7088274857256036</v>
      </c>
      <c r="D34" s="218">
        <f t="shared" si="27"/>
        <v>2.6672892083822015</v>
      </c>
      <c r="E34" s="218">
        <f t="shared" si="27"/>
        <v>2.8277779471332152</v>
      </c>
      <c r="F34" s="218">
        <f t="shared" si="27"/>
        <v>2.82872089174136</v>
      </c>
      <c r="G34" s="218">
        <f t="shared" si="27"/>
        <v>2.8637613393206443</v>
      </c>
      <c r="H34" s="218">
        <f t="shared" si="27"/>
        <v>2.8398453889310677</v>
      </c>
      <c r="I34" s="218">
        <f t="shared" si="27"/>
        <v>2.800171112854505</v>
      </c>
      <c r="J34" s="218">
        <f t="shared" si="27"/>
        <v>2.8269302969589538</v>
      </c>
      <c r="K34" s="218">
        <f t="shared" si="27"/>
        <v>2.8209063654845234</v>
      </c>
      <c r="L34" s="218">
        <f t="shared" si="27"/>
        <v>2.8167821130440012</v>
      </c>
      <c r="M34" s="218">
        <f t="shared" si="27"/>
        <v>2.7217921391876763</v>
      </c>
      <c r="N34" s="218">
        <f t="shared" si="27"/>
        <v>2.787774684623018</v>
      </c>
      <c r="O34" s="218">
        <f t="shared" si="27"/>
        <v>2.7785959070893975</v>
      </c>
      <c r="P34" s="218">
        <f t="shared" si="27"/>
        <v>2.7888810883281403</v>
      </c>
      <c r="Q34" s="218">
        <f t="shared" si="27"/>
        <v>2.732062700949649</v>
      </c>
      <c r="R34" s="218">
        <f t="shared" si="27"/>
        <v>2.7319115613743898</v>
      </c>
      <c r="S34" s="218">
        <f t="shared" si="27"/>
        <v>2.7587476157917656</v>
      </c>
      <c r="T34" s="218">
        <f t="shared" si="27"/>
        <v>2.753541104531831</v>
      </c>
      <c r="U34" s="218">
        <f t="shared" si="27"/>
        <v>2.7247670791655092</v>
      </c>
      <c r="V34" s="218">
        <f t="shared" si="27"/>
        <v>2.722329228268193</v>
      </c>
      <c r="W34" s="218">
        <f t="shared" si="27"/>
        <v>2.6133042840494176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4688.4002579535663</v>
      </c>
      <c r="C5" s="80">
        <f t="shared" ref="C5:W5" si="1">SUM(C6:C9,C16:C17,C25:C27)</f>
        <v>4624.3817712811679</v>
      </c>
      <c r="D5" s="80">
        <f t="shared" si="1"/>
        <v>4389.0346517626831</v>
      </c>
      <c r="E5" s="80">
        <f t="shared" si="1"/>
        <v>4205.7412725709355</v>
      </c>
      <c r="F5" s="80">
        <f t="shared" si="1"/>
        <v>4306.8595872742908</v>
      </c>
      <c r="G5" s="80">
        <f t="shared" si="1"/>
        <v>4442.0389509888209</v>
      </c>
      <c r="H5" s="80">
        <f t="shared" si="1"/>
        <v>3823.3948409286331</v>
      </c>
      <c r="I5" s="80">
        <f t="shared" si="1"/>
        <v>3511.6757523645733</v>
      </c>
      <c r="J5" s="80">
        <f t="shared" si="1"/>
        <v>3641.8521926053281</v>
      </c>
      <c r="K5" s="80">
        <f t="shared" si="1"/>
        <v>3574.3472055030088</v>
      </c>
      <c r="L5" s="80">
        <f t="shared" si="1"/>
        <v>3731.3359415305235</v>
      </c>
      <c r="M5" s="80">
        <f t="shared" si="1"/>
        <v>3680.6943250214958</v>
      </c>
      <c r="N5" s="80">
        <f t="shared" si="1"/>
        <v>3667.5032674118661</v>
      </c>
      <c r="O5" s="80">
        <f t="shared" si="1"/>
        <v>3580.4472914875314</v>
      </c>
      <c r="P5" s="80">
        <f t="shared" si="1"/>
        <v>3421.9955288048145</v>
      </c>
      <c r="Q5" s="80">
        <f t="shared" si="1"/>
        <v>3330.1920894239024</v>
      </c>
      <c r="R5" s="80">
        <f t="shared" si="1"/>
        <v>3537.5705932932065</v>
      </c>
      <c r="S5" s="80">
        <f t="shared" si="1"/>
        <v>3881.9859845227852</v>
      </c>
      <c r="T5" s="80">
        <f t="shared" si="1"/>
        <v>3919.2688736027508</v>
      </c>
      <c r="U5" s="80">
        <f t="shared" si="1"/>
        <v>3814.2527944969911</v>
      </c>
      <c r="V5" s="80">
        <f t="shared" si="1"/>
        <v>3869.2138435081674</v>
      </c>
      <c r="W5" s="80">
        <f t="shared" si="1"/>
        <v>3834.7297506448845</v>
      </c>
      <c r="DA5" s="103"/>
    </row>
    <row r="6" spans="1:105" x14ac:dyDescent="0.25">
      <c r="A6" s="239" t="s">
        <v>125</v>
      </c>
      <c r="B6" s="240">
        <v>73.785596908448525</v>
      </c>
      <c r="C6" s="240">
        <v>71.379412126266715</v>
      </c>
      <c r="D6" s="240">
        <v>68.585296825401741</v>
      </c>
      <c r="E6" s="240">
        <v>25.30369908129812</v>
      </c>
      <c r="F6" s="240">
        <v>24.80405701972219</v>
      </c>
      <c r="G6" s="240">
        <v>25.46185045181598</v>
      </c>
      <c r="H6" s="240">
        <v>25.69119003389552</v>
      </c>
      <c r="I6" s="240">
        <v>25.26955599754379</v>
      </c>
      <c r="J6" s="240">
        <v>27.224837283540381</v>
      </c>
      <c r="K6" s="240">
        <v>26.905973875248431</v>
      </c>
      <c r="L6" s="240">
        <v>27.00876977370956</v>
      </c>
      <c r="M6" s="240">
        <v>26.684057864997751</v>
      </c>
      <c r="N6" s="240">
        <v>26.123296990732811</v>
      </c>
      <c r="O6" s="240">
        <v>25.77464311799541</v>
      </c>
      <c r="P6" s="240">
        <v>25.1053248600806</v>
      </c>
      <c r="Q6" s="240">
        <v>25.19455300558301</v>
      </c>
      <c r="R6" s="240">
        <v>27.268227833422301</v>
      </c>
      <c r="S6" s="240">
        <v>28.854966812732091</v>
      </c>
      <c r="T6" s="240">
        <v>31.00269374717135</v>
      </c>
      <c r="U6" s="240">
        <v>30.892265341939819</v>
      </c>
      <c r="V6" s="240">
        <v>31.006285317245339</v>
      </c>
      <c r="W6" s="240">
        <v>30.808752683813029</v>
      </c>
      <c r="DA6" s="268" t="s">
        <v>993</v>
      </c>
    </row>
    <row r="7" spans="1:105" x14ac:dyDescent="0.25">
      <c r="A7" s="241" t="s">
        <v>124</v>
      </c>
      <c r="B7" s="242">
        <v>47.960637990491527</v>
      </c>
      <c r="C7" s="242">
        <v>46.396617882073357</v>
      </c>
      <c r="D7" s="242">
        <v>44.580442936511112</v>
      </c>
      <c r="E7" s="242">
        <v>16.44740440284377</v>
      </c>
      <c r="F7" s="242">
        <v>16.122637062819429</v>
      </c>
      <c r="G7" s="242">
        <v>16.550202793680381</v>
      </c>
      <c r="H7" s="242">
        <v>16.69927352203208</v>
      </c>
      <c r="I7" s="242">
        <v>16.425211398403459</v>
      </c>
      <c r="J7" s="242">
        <v>17.69614423430124</v>
      </c>
      <c r="K7" s="242">
        <v>17.48888301891148</v>
      </c>
      <c r="L7" s="242">
        <v>17.555700352911209</v>
      </c>
      <c r="M7" s="242">
        <v>17.34463761224853</v>
      </c>
      <c r="N7" s="242">
        <v>16.980143043976319</v>
      </c>
      <c r="O7" s="242">
        <v>16.753518026697009</v>
      </c>
      <c r="P7" s="242">
        <v>16.318461159052379</v>
      </c>
      <c r="Q7" s="242">
        <v>16.376459453628961</v>
      </c>
      <c r="R7" s="242">
        <v>17.72434809172449</v>
      </c>
      <c r="S7" s="242">
        <v>18.755728428275859</v>
      </c>
      <c r="T7" s="242">
        <v>20.151750935661369</v>
      </c>
      <c r="U7" s="242">
        <v>20.07997247226087</v>
      </c>
      <c r="V7" s="242">
        <v>20.154085456209469</v>
      </c>
      <c r="W7" s="242">
        <v>20.025689244478471</v>
      </c>
      <c r="DA7" s="269" t="s">
        <v>994</v>
      </c>
    </row>
    <row r="8" spans="1:105" x14ac:dyDescent="0.25">
      <c r="A8" s="241" t="s">
        <v>123</v>
      </c>
      <c r="B8" s="242">
        <v>66.407037217603659</v>
      </c>
      <c r="C8" s="242">
        <v>64.241470913640043</v>
      </c>
      <c r="D8" s="242">
        <v>61.726767142861569</v>
      </c>
      <c r="E8" s="242">
        <v>22.7733291731683</v>
      </c>
      <c r="F8" s="242">
        <v>22.32365131774997</v>
      </c>
      <c r="G8" s="242">
        <v>22.915665406634378</v>
      </c>
      <c r="H8" s="242">
        <v>23.122071030505971</v>
      </c>
      <c r="I8" s="242">
        <v>22.74260039778941</v>
      </c>
      <c r="J8" s="242">
        <v>24.502353555186339</v>
      </c>
      <c r="K8" s="242">
        <v>24.215376487723589</v>
      </c>
      <c r="L8" s="242">
        <v>24.307892796338599</v>
      </c>
      <c r="M8" s="242">
        <v>24.015652078497961</v>
      </c>
      <c r="N8" s="242">
        <v>23.510967291659529</v>
      </c>
      <c r="O8" s="242">
        <v>23.197178806195861</v>
      </c>
      <c r="P8" s="242">
        <v>22.59479237407254</v>
      </c>
      <c r="Q8" s="242">
        <v>22.675097705024719</v>
      </c>
      <c r="R8" s="242">
        <v>24.541405050080069</v>
      </c>
      <c r="S8" s="242">
        <v>25.96947013145887</v>
      </c>
      <c r="T8" s="242">
        <v>27.90242437245421</v>
      </c>
      <c r="U8" s="242">
        <v>27.803038807745828</v>
      </c>
      <c r="V8" s="242">
        <v>27.905656785520801</v>
      </c>
      <c r="W8" s="242">
        <v>27.727877415431731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807.08925879511696</v>
      </c>
      <c r="C9" s="244">
        <f t="shared" ref="C9:W9" si="3">SUM(C10:C15)</f>
        <v>777.48860677666721</v>
      </c>
      <c r="D9" s="244">
        <f t="shared" si="3"/>
        <v>756.29063517219038</v>
      </c>
      <c r="E9" s="244">
        <f t="shared" si="3"/>
        <v>770.00419975636635</v>
      </c>
      <c r="F9" s="244">
        <f t="shared" si="3"/>
        <v>786.95289320211509</v>
      </c>
      <c r="G9" s="244">
        <f t="shared" si="3"/>
        <v>804.19724513968526</v>
      </c>
      <c r="H9" s="244">
        <f t="shared" si="3"/>
        <v>638.62561918915162</v>
      </c>
      <c r="I9" s="244">
        <f t="shared" si="3"/>
        <v>591.06377089022033</v>
      </c>
      <c r="J9" s="244">
        <f t="shared" si="3"/>
        <v>599.81725842042829</v>
      </c>
      <c r="K9" s="244">
        <f t="shared" si="3"/>
        <v>586.23052449667716</v>
      </c>
      <c r="L9" s="244">
        <f t="shared" si="3"/>
        <v>594.12631831870658</v>
      </c>
      <c r="M9" s="244">
        <f t="shared" si="3"/>
        <v>595.26688402768764</v>
      </c>
      <c r="N9" s="244">
        <f t="shared" si="3"/>
        <v>599.71811786312003</v>
      </c>
      <c r="O9" s="244">
        <f t="shared" si="3"/>
        <v>585.3793281223426</v>
      </c>
      <c r="P9" s="244">
        <f t="shared" si="3"/>
        <v>562.08504970615036</v>
      </c>
      <c r="Q9" s="244">
        <f t="shared" si="3"/>
        <v>550.95320253964451</v>
      </c>
      <c r="R9" s="244">
        <f t="shared" si="3"/>
        <v>583.72881597724506</v>
      </c>
      <c r="S9" s="244">
        <f t="shared" si="3"/>
        <v>672.76345589577113</v>
      </c>
      <c r="T9" s="244">
        <f t="shared" si="3"/>
        <v>691.32003988401345</v>
      </c>
      <c r="U9" s="244">
        <f t="shared" si="3"/>
        <v>697.99536632300931</v>
      </c>
      <c r="V9" s="244">
        <f t="shared" si="3"/>
        <v>707.61606367502998</v>
      </c>
      <c r="W9" s="244">
        <f t="shared" si="3"/>
        <v>708.73407087514954</v>
      </c>
      <c r="DA9" s="270"/>
    </row>
    <row r="10" spans="1:105" x14ac:dyDescent="0.25">
      <c r="A10" s="254" t="s">
        <v>173</v>
      </c>
      <c r="B10" s="255">
        <v>736.78947094113767</v>
      </c>
      <c r="C10" s="255">
        <v>698.86281044857515</v>
      </c>
      <c r="D10" s="255">
        <v>684.39896111328483</v>
      </c>
      <c r="E10" s="255">
        <v>728.2369593950117</v>
      </c>
      <c r="F10" s="255">
        <v>745.45224723059152</v>
      </c>
      <c r="G10" s="255">
        <v>767.34651209361152</v>
      </c>
      <c r="H10" s="255">
        <v>592.11246460597613</v>
      </c>
      <c r="I10" s="255">
        <v>537.7651207046323</v>
      </c>
      <c r="J10" s="255">
        <v>541.49108991228422</v>
      </c>
      <c r="K10" s="255">
        <v>531.48660244717132</v>
      </c>
      <c r="L10" s="255">
        <v>539.64076302824185</v>
      </c>
      <c r="M10" s="255">
        <v>540.16025313192608</v>
      </c>
      <c r="N10" s="255">
        <v>540.60511431365023</v>
      </c>
      <c r="O10" s="255">
        <v>530.32927729047231</v>
      </c>
      <c r="P10" s="255">
        <v>509.94818462423319</v>
      </c>
      <c r="Q10" s="255">
        <v>502.82395758141479</v>
      </c>
      <c r="R10" s="255">
        <v>532.59193525207911</v>
      </c>
      <c r="S10" s="255">
        <v>620.25131262818809</v>
      </c>
      <c r="T10" s="255">
        <v>645.57485847004</v>
      </c>
      <c r="U10" s="255">
        <v>650.69305612996982</v>
      </c>
      <c r="V10" s="255">
        <v>656.78664384949025</v>
      </c>
      <c r="W10" s="255">
        <v>652.15011798398098</v>
      </c>
      <c r="DA10" s="271" t="s">
        <v>996</v>
      </c>
    </row>
    <row r="11" spans="1:105" x14ac:dyDescent="0.25">
      <c r="A11" s="254" t="s">
        <v>176</v>
      </c>
      <c r="B11" s="256">
        <v>6.9166803918955901</v>
      </c>
      <c r="C11" s="256">
        <v>10.4727279817981</v>
      </c>
      <c r="D11" s="256">
        <v>11.827788451595501</v>
      </c>
      <c r="E11" s="256">
        <v>16.112304984600939</v>
      </c>
      <c r="F11" s="256">
        <v>16.012934508690691</v>
      </c>
      <c r="G11" s="256">
        <v>14.881309465959299</v>
      </c>
      <c r="H11" s="256">
        <v>22.65233777015235</v>
      </c>
      <c r="I11" s="256">
        <v>27.5828016254791</v>
      </c>
      <c r="J11" s="256">
        <v>30.582943059078922</v>
      </c>
      <c r="K11" s="256">
        <v>25.75986193218878</v>
      </c>
      <c r="L11" s="256">
        <v>24.305328491722431</v>
      </c>
      <c r="M11" s="256">
        <v>27.49699760589597</v>
      </c>
      <c r="N11" s="256">
        <v>31.795008708529451</v>
      </c>
      <c r="O11" s="256">
        <v>27.708477082998979</v>
      </c>
      <c r="P11" s="256">
        <v>27.19057450612679</v>
      </c>
      <c r="Q11" s="256">
        <v>23.266068454801719</v>
      </c>
      <c r="R11" s="256">
        <v>25.56916348559319</v>
      </c>
      <c r="S11" s="256">
        <v>27.483451965280771</v>
      </c>
      <c r="T11" s="256">
        <v>22.56785049326345</v>
      </c>
      <c r="U11" s="256">
        <v>25.074986859231</v>
      </c>
      <c r="V11" s="256">
        <v>28.53685672937883</v>
      </c>
      <c r="W11" s="256">
        <v>32.607423962321128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23.88460877041982</v>
      </c>
      <c r="C14" s="255">
        <v>28.66147893379075</v>
      </c>
      <c r="D14" s="255">
        <v>23.88460877041971</v>
      </c>
      <c r="E14" s="255">
        <v>23.884522785894301</v>
      </c>
      <c r="F14" s="255">
        <v>23.88460877041695</v>
      </c>
      <c r="G14" s="255">
        <v>20.301891659497599</v>
      </c>
      <c r="H14" s="255">
        <v>21.018400687873559</v>
      </c>
      <c r="I14" s="255">
        <v>22.570937231293161</v>
      </c>
      <c r="J14" s="255">
        <v>23.884608770416609</v>
      </c>
      <c r="K14" s="255">
        <v>25.078847807389881</v>
      </c>
      <c r="L14" s="255">
        <v>26.273086844363181</v>
      </c>
      <c r="M14" s="255">
        <v>23.88460877041663</v>
      </c>
      <c r="N14" s="255">
        <v>23.88460877041625</v>
      </c>
      <c r="O14" s="255">
        <v>23.884608770416349</v>
      </c>
      <c r="P14" s="255">
        <v>21.496130696470249</v>
      </c>
      <c r="Q14" s="255">
        <v>21.257265692171231</v>
      </c>
      <c r="R14" s="255">
        <v>21.49613069647063</v>
      </c>
      <c r="S14" s="255">
        <v>21.49613069647209</v>
      </c>
      <c r="T14" s="255">
        <v>19.107652622525791</v>
      </c>
      <c r="U14" s="255">
        <v>18.391143594150819</v>
      </c>
      <c r="V14" s="255">
        <v>18.51057609630038</v>
      </c>
      <c r="W14" s="255">
        <v>20.301891659498729</v>
      </c>
      <c r="DA14" s="271" t="s">
        <v>1000</v>
      </c>
    </row>
    <row r="15" spans="1:105" x14ac:dyDescent="0.25">
      <c r="A15" s="254" t="s">
        <v>24</v>
      </c>
      <c r="B15" s="256">
        <v>39.498498691663848</v>
      </c>
      <c r="C15" s="256">
        <v>39.491589412503288</v>
      </c>
      <c r="D15" s="256">
        <v>36.179276836890217</v>
      </c>
      <c r="E15" s="256">
        <v>1.770412590859419</v>
      </c>
      <c r="F15" s="256">
        <v>1.6031026924158771</v>
      </c>
      <c r="G15" s="256">
        <v>1.667531920616897</v>
      </c>
      <c r="H15" s="256">
        <v>2.8424161251496098</v>
      </c>
      <c r="I15" s="256">
        <v>3.1449113288157222</v>
      </c>
      <c r="J15" s="256">
        <v>3.8586166786484961</v>
      </c>
      <c r="K15" s="256">
        <v>3.9052123099271041</v>
      </c>
      <c r="L15" s="256">
        <v>3.907139954379077</v>
      </c>
      <c r="M15" s="256">
        <v>3.7250245194488518</v>
      </c>
      <c r="N15" s="256">
        <v>3.4333860705241301</v>
      </c>
      <c r="O15" s="256">
        <v>3.456964978454991</v>
      </c>
      <c r="P15" s="256">
        <v>3.4501598793201329</v>
      </c>
      <c r="Q15" s="256">
        <v>3.605910811256746</v>
      </c>
      <c r="R15" s="256">
        <v>4.0715865431021996</v>
      </c>
      <c r="S15" s="256">
        <v>3.5325606058302008</v>
      </c>
      <c r="T15" s="256">
        <v>4.0696782981842041</v>
      </c>
      <c r="U15" s="256">
        <v>3.8361797396577182</v>
      </c>
      <c r="V15" s="256">
        <v>3.781986999860484</v>
      </c>
      <c r="W15" s="256">
        <v>3.6746372693486791</v>
      </c>
      <c r="DA15" s="272" t="s">
        <v>1001</v>
      </c>
    </row>
    <row r="16" spans="1:105" x14ac:dyDescent="0.25">
      <c r="A16" s="257" t="s">
        <v>175</v>
      </c>
      <c r="B16" s="258">
        <v>1105.6501179751749</v>
      </c>
      <c r="C16" s="258">
        <v>1061.9116700613961</v>
      </c>
      <c r="D16" s="258">
        <v>1033.3818380166099</v>
      </c>
      <c r="E16" s="258">
        <v>1029.3354407348049</v>
      </c>
      <c r="F16" s="258">
        <v>1051.587045105349</v>
      </c>
      <c r="G16" s="258">
        <v>1077.363722566359</v>
      </c>
      <c r="H16" s="258">
        <v>854.91586370731602</v>
      </c>
      <c r="I16" s="258">
        <v>788.35412178606964</v>
      </c>
      <c r="J16" s="258">
        <v>800.0027218008654</v>
      </c>
      <c r="K16" s="258">
        <v>782.86967509912347</v>
      </c>
      <c r="L16" s="258">
        <v>793.84531778788516</v>
      </c>
      <c r="M16" s="258">
        <v>794.88722218177236</v>
      </c>
      <c r="N16" s="258">
        <v>798.66322185744332</v>
      </c>
      <c r="O16" s="258">
        <v>780.76866232681823</v>
      </c>
      <c r="P16" s="258">
        <v>750.39429578436727</v>
      </c>
      <c r="Q16" s="258">
        <v>737.07031195875356</v>
      </c>
      <c r="R16" s="258">
        <v>781.5187549975484</v>
      </c>
      <c r="S16" s="258">
        <v>900.44830019936387</v>
      </c>
      <c r="T16" s="258">
        <v>929.40696439870646</v>
      </c>
      <c r="U16" s="258">
        <v>937.01220548781498</v>
      </c>
      <c r="V16" s="258">
        <v>948.73196825096807</v>
      </c>
      <c r="W16" s="258">
        <v>947.61585873429783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2194.2730122878434</v>
      </c>
      <c r="C17" s="258">
        <f t="shared" ref="C17:W17" si="5">SUM(C18:C24)</f>
        <v>2224.0292567294205</v>
      </c>
      <c r="D17" s="258">
        <f t="shared" si="5"/>
        <v>2057.8627623517091</v>
      </c>
      <c r="E17" s="258">
        <f t="shared" si="5"/>
        <v>2082.0877535373706</v>
      </c>
      <c r="F17" s="258">
        <f t="shared" si="5"/>
        <v>2142.2281495137568</v>
      </c>
      <c r="G17" s="258">
        <f t="shared" si="5"/>
        <v>2226.1443132793574</v>
      </c>
      <c r="H17" s="258">
        <f t="shared" si="5"/>
        <v>2037.1182000174431</v>
      </c>
      <c r="I17" s="258">
        <f t="shared" si="5"/>
        <v>1854.4212652727533</v>
      </c>
      <c r="J17" s="258">
        <f t="shared" si="5"/>
        <v>1952.1808359694473</v>
      </c>
      <c r="K17" s="258">
        <f t="shared" si="5"/>
        <v>1920.2822042399232</v>
      </c>
      <c r="L17" s="258">
        <f t="shared" si="5"/>
        <v>2055.7764630537058</v>
      </c>
      <c r="M17" s="258">
        <f t="shared" si="5"/>
        <v>2004.3757253731383</v>
      </c>
      <c r="N17" s="258">
        <f t="shared" si="5"/>
        <v>1985.0356488179059</v>
      </c>
      <c r="O17" s="258">
        <f t="shared" si="5"/>
        <v>1935.3948802708121</v>
      </c>
      <c r="P17" s="258">
        <f t="shared" si="5"/>
        <v>1839.7950414990689</v>
      </c>
      <c r="Q17" s="258">
        <f t="shared" si="5"/>
        <v>1774.5616069132757</v>
      </c>
      <c r="R17" s="258">
        <f t="shared" si="5"/>
        <v>1885.806541415973</v>
      </c>
      <c r="S17" s="258">
        <f t="shared" si="5"/>
        <v>1991.4707493919841</v>
      </c>
      <c r="T17" s="258">
        <f t="shared" si="5"/>
        <v>1964.9351069527152</v>
      </c>
      <c r="U17" s="258">
        <f t="shared" si="5"/>
        <v>1844.7291918897467</v>
      </c>
      <c r="V17" s="258">
        <f t="shared" si="5"/>
        <v>1875.5276308249997</v>
      </c>
      <c r="W17" s="258">
        <f t="shared" si="5"/>
        <v>1842.243773190407</v>
      </c>
      <c r="DA17" s="273"/>
    </row>
    <row r="18" spans="1:105" x14ac:dyDescent="0.25">
      <c r="A18" s="61" t="s">
        <v>29</v>
      </c>
      <c r="B18" s="55">
        <v>897.73439380887476</v>
      </c>
      <c r="C18" s="55">
        <v>1000.721668099475</v>
      </c>
      <c r="D18" s="55">
        <v>837.31014617345568</v>
      </c>
      <c r="E18" s="55">
        <v>813.93619948392973</v>
      </c>
      <c r="F18" s="55">
        <v>854.74815133258528</v>
      </c>
      <c r="G18" s="55">
        <v>930.99002579516707</v>
      </c>
      <c r="H18" s="55">
        <v>1098.597936371274</v>
      </c>
      <c r="I18" s="55">
        <v>972.30197764372122</v>
      </c>
      <c r="J18" s="55">
        <v>1081.88271711061</v>
      </c>
      <c r="K18" s="55">
        <v>1072.6562338776</v>
      </c>
      <c r="L18" s="55">
        <v>1191.9597592429959</v>
      </c>
      <c r="M18" s="55">
        <v>1046.9286328457831</v>
      </c>
      <c r="N18" s="55">
        <v>1086.790025795028</v>
      </c>
      <c r="O18" s="55">
        <v>1062.23293207191</v>
      </c>
      <c r="P18" s="55">
        <v>1010.60326741157</v>
      </c>
      <c r="Q18" s="55">
        <v>917.9178847804792</v>
      </c>
      <c r="R18" s="55">
        <v>976.23972484925935</v>
      </c>
      <c r="S18" s="55">
        <v>969.30988821997255</v>
      </c>
      <c r="T18" s="55">
        <v>909.69045571783943</v>
      </c>
      <c r="U18" s="55">
        <v>735.06285468604665</v>
      </c>
      <c r="V18" s="55">
        <v>754.24213241605048</v>
      </c>
      <c r="W18" s="55">
        <v>617.13181427333564</v>
      </c>
      <c r="DA18" s="101" t="s">
        <v>1003</v>
      </c>
    </row>
    <row r="19" spans="1:105" x14ac:dyDescent="0.25">
      <c r="A19" s="61" t="s">
        <v>27</v>
      </c>
      <c r="B19" s="55">
        <v>45.189681857253653</v>
      </c>
      <c r="C19" s="55">
        <v>56.487016337044238</v>
      </c>
      <c r="D19" s="55">
        <v>67.784436801356861</v>
      </c>
      <c r="E19" s="55">
        <v>79.081857265676319</v>
      </c>
      <c r="F19" s="55">
        <v>79.081857265675978</v>
      </c>
      <c r="G19" s="55">
        <v>79.081857265676049</v>
      </c>
      <c r="H19" s="55">
        <v>56.487016337050107</v>
      </c>
      <c r="I19" s="55">
        <v>56.487016337041737</v>
      </c>
      <c r="J19" s="55">
        <v>57.616766981926752</v>
      </c>
      <c r="K19" s="55">
        <v>49.44110060187775</v>
      </c>
      <c r="L19" s="55">
        <v>54.934565778144247</v>
      </c>
      <c r="M19" s="55">
        <v>56.033276010301833</v>
      </c>
      <c r="N19" s="55">
        <v>54.934565778143309</v>
      </c>
      <c r="O19" s="55">
        <v>54.934565778143543</v>
      </c>
      <c r="P19" s="55">
        <v>58.230610490094747</v>
      </c>
      <c r="Q19" s="55">
        <v>62.625365434204078</v>
      </c>
      <c r="R19" s="55">
        <v>65.921496130678392</v>
      </c>
      <c r="S19" s="55">
        <v>68.118830610479705</v>
      </c>
      <c r="T19" s="55">
        <v>68.118830610480273</v>
      </c>
      <c r="U19" s="55">
        <v>71.414961306954069</v>
      </c>
      <c r="V19" s="55">
        <v>68.118830610479762</v>
      </c>
      <c r="W19" s="55">
        <v>63.724075666370233</v>
      </c>
      <c r="DA19" s="101" t="s">
        <v>1004</v>
      </c>
    </row>
    <row r="20" spans="1:105" x14ac:dyDescent="0.25">
      <c r="A20" s="61" t="s">
        <v>173</v>
      </c>
      <c r="B20" s="55">
        <v>625.6680245804157</v>
      </c>
      <c r="C20" s="55">
        <v>539.08745332731769</v>
      </c>
      <c r="D20" s="55">
        <v>579.34704263518722</v>
      </c>
      <c r="E20" s="55">
        <v>563.95483066329359</v>
      </c>
      <c r="F20" s="55">
        <v>568.48287250084627</v>
      </c>
      <c r="G20" s="55">
        <v>567.21057545416977</v>
      </c>
      <c r="H20" s="55">
        <v>340.06340107248349</v>
      </c>
      <c r="I20" s="55">
        <v>319.7073343105825</v>
      </c>
      <c r="J20" s="55">
        <v>302.09438951911699</v>
      </c>
      <c r="K20" s="55">
        <v>293.35341612958251</v>
      </c>
      <c r="L20" s="55">
        <v>269.01197211344072</v>
      </c>
      <c r="M20" s="55">
        <v>282.76343665107993</v>
      </c>
      <c r="N20" s="55">
        <v>291.26161195515738</v>
      </c>
      <c r="O20" s="55">
        <v>286.67343474037949</v>
      </c>
      <c r="P20" s="55">
        <v>281.21347499104007</v>
      </c>
      <c r="Q20" s="55">
        <v>286.38021191192621</v>
      </c>
      <c r="R20" s="55">
        <v>302.21818125626157</v>
      </c>
      <c r="S20" s="55">
        <v>411.69831141769839</v>
      </c>
      <c r="T20" s="55">
        <v>464.8255713756904</v>
      </c>
      <c r="U20" s="55">
        <v>537.93891649638169</v>
      </c>
      <c r="V20" s="55">
        <v>539.44127173343304</v>
      </c>
      <c r="W20" s="55">
        <v>555.58636482274972</v>
      </c>
      <c r="DA20" s="101" t="s">
        <v>1005</v>
      </c>
    </row>
    <row r="21" spans="1:105" x14ac:dyDescent="0.25">
      <c r="A21" s="61" t="s">
        <v>129</v>
      </c>
      <c r="B21" s="55">
        <v>210.78383490965999</v>
      </c>
      <c r="C21" s="55">
        <v>164.3188306104463</v>
      </c>
      <c r="D21" s="55">
        <v>109.3627687016032</v>
      </c>
      <c r="E21" s="55">
        <v>158.42407566634819</v>
      </c>
      <c r="F21" s="55">
        <v>152.92588134132731</v>
      </c>
      <c r="G21" s="55">
        <v>182.93207222696191</v>
      </c>
      <c r="H21" s="55">
        <v>51.793809114350957</v>
      </c>
      <c r="I21" s="55">
        <v>34.238607050720212</v>
      </c>
      <c r="J21" s="55">
        <v>39.144539982791883</v>
      </c>
      <c r="K21" s="55">
        <v>36.089595872732758</v>
      </c>
      <c r="L21" s="55">
        <v>24.075666380044719</v>
      </c>
      <c r="M21" s="55">
        <v>32.674118658631933</v>
      </c>
      <c r="N21" s="55">
        <v>34.584866723979218</v>
      </c>
      <c r="O21" s="55">
        <v>16.504299226134371</v>
      </c>
      <c r="P21" s="55">
        <v>13.541874462592769</v>
      </c>
      <c r="Q21" s="55">
        <v>10.58082545141575</v>
      </c>
      <c r="R21" s="55">
        <v>14.40240756663405</v>
      </c>
      <c r="S21" s="55">
        <v>15.92269991401305</v>
      </c>
      <c r="T21" s="55">
        <v>10.811607910574541</v>
      </c>
      <c r="U21" s="55">
        <v>11.026569217539191</v>
      </c>
      <c r="V21" s="55">
        <v>10.96990541702327</v>
      </c>
      <c r="W21" s="55">
        <v>7.3548581255362686</v>
      </c>
      <c r="DA21" s="101" t="s">
        <v>1006</v>
      </c>
    </row>
    <row r="22" spans="1:105" x14ac:dyDescent="0.25">
      <c r="A22" s="61" t="s">
        <v>176</v>
      </c>
      <c r="B22" s="55">
        <v>5.8735173725048213</v>
      </c>
      <c r="C22" s="55">
        <v>8.0784328092569293</v>
      </c>
      <c r="D22" s="55">
        <v>10.012280336019151</v>
      </c>
      <c r="E22" s="55">
        <v>12.47754884170496</v>
      </c>
      <c r="F22" s="55">
        <v>12.211485095775069</v>
      </c>
      <c r="G22" s="55">
        <v>11.00003189259122</v>
      </c>
      <c r="H22" s="55">
        <v>13.00974305529412</v>
      </c>
      <c r="I22" s="55">
        <v>16.398281779496529</v>
      </c>
      <c r="J22" s="55">
        <v>17.062026846327189</v>
      </c>
      <c r="K22" s="55">
        <v>14.218126029969101</v>
      </c>
      <c r="L22" s="55">
        <v>12.116253623488911</v>
      </c>
      <c r="M22" s="55">
        <v>14.394145988247489</v>
      </c>
      <c r="N22" s="55">
        <v>17.130184756634879</v>
      </c>
      <c r="O22" s="55">
        <v>14.97802334691341</v>
      </c>
      <c r="P22" s="55">
        <v>14.994378202375771</v>
      </c>
      <c r="Q22" s="55">
        <v>13.25104246522436</v>
      </c>
      <c r="R22" s="55">
        <v>14.50916841465602</v>
      </c>
      <c r="S22" s="55">
        <v>18.24242937607174</v>
      </c>
      <c r="T22" s="55">
        <v>16.249260426766082</v>
      </c>
      <c r="U22" s="55">
        <v>20.729914258561671</v>
      </c>
      <c r="V22" s="55">
        <v>23.438293743528959</v>
      </c>
      <c r="W22" s="55">
        <v>27.77924843663866</v>
      </c>
      <c r="DA22" s="101" t="s">
        <v>1007</v>
      </c>
    </row>
    <row r="23" spans="1:105" x14ac:dyDescent="0.25">
      <c r="A23" s="61" t="s">
        <v>171</v>
      </c>
      <c r="B23" s="55">
        <v>409.02355975913429</v>
      </c>
      <c r="C23" s="55">
        <v>455.33585554588012</v>
      </c>
      <c r="D23" s="55">
        <v>454.0460877040868</v>
      </c>
      <c r="E23" s="55">
        <v>454.21324161641797</v>
      </c>
      <c r="F23" s="55">
        <v>474.77790197754678</v>
      </c>
      <c r="G23" s="55">
        <v>454.92975064479123</v>
      </c>
      <c r="H23" s="55">
        <v>477.16629406699019</v>
      </c>
      <c r="I23" s="55">
        <v>455.28804815119111</v>
      </c>
      <c r="J23" s="55">
        <v>454.38039552867468</v>
      </c>
      <c r="K23" s="55">
        <v>454.52373172816101</v>
      </c>
      <c r="L23" s="55">
        <v>503.67824591559139</v>
      </c>
      <c r="M23" s="55">
        <v>571.58211521909402</v>
      </c>
      <c r="N23" s="55">
        <v>500.33439380896311</v>
      </c>
      <c r="O23" s="55">
        <v>500.07162510733127</v>
      </c>
      <c r="P23" s="55">
        <v>461.21143594139562</v>
      </c>
      <c r="Q23" s="55">
        <v>483.80627687002618</v>
      </c>
      <c r="R23" s="55">
        <v>512.51556319848351</v>
      </c>
      <c r="S23" s="55">
        <v>508.17858985374869</v>
      </c>
      <c r="T23" s="55">
        <v>495.23938091136438</v>
      </c>
      <c r="U23" s="55">
        <v>468.55597592426358</v>
      </c>
      <c r="V23" s="55">
        <v>479.31719690448432</v>
      </c>
      <c r="W23" s="55">
        <v>570.66741186577633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212.45988435318949</v>
      </c>
      <c r="C25" s="258">
        <v>204.05517708235101</v>
      </c>
      <c r="D25" s="258">
        <v>198.57293209516479</v>
      </c>
      <c r="E25" s="258">
        <v>197.79538313590291</v>
      </c>
      <c r="F25" s="258">
        <v>202.0712143544591</v>
      </c>
      <c r="G25" s="258">
        <v>207.02441774433899</v>
      </c>
      <c r="H25" s="258">
        <v>164.279207845245</v>
      </c>
      <c r="I25" s="258">
        <v>151.48881442781101</v>
      </c>
      <c r="J25" s="258">
        <v>153.72718999688561</v>
      </c>
      <c r="K25" s="258">
        <v>150.43493229104271</v>
      </c>
      <c r="L25" s="258">
        <v>152.54399350167839</v>
      </c>
      <c r="M25" s="258">
        <v>152.74420411390869</v>
      </c>
      <c r="N25" s="258">
        <v>153.46979391973261</v>
      </c>
      <c r="O25" s="258">
        <v>150.03120517758111</v>
      </c>
      <c r="P25" s="258">
        <v>144.19451751482501</v>
      </c>
      <c r="Q25" s="258">
        <v>141.6342029843135</v>
      </c>
      <c r="R25" s="258">
        <v>150.17534173532809</v>
      </c>
      <c r="S25" s="258">
        <v>173.02864497200571</v>
      </c>
      <c r="T25" s="258">
        <v>178.59329363145929</v>
      </c>
      <c r="U25" s="258">
        <v>180.0547040867209</v>
      </c>
      <c r="V25" s="258">
        <v>182.30675417094309</v>
      </c>
      <c r="W25" s="258">
        <v>182.09228442596489</v>
      </c>
      <c r="DA25" s="273" t="s">
        <v>1010</v>
      </c>
    </row>
    <row r="26" spans="1:105" x14ac:dyDescent="0.25">
      <c r="A26" s="257" t="s">
        <v>177</v>
      </c>
      <c r="B26" s="258">
        <v>73.785596908448525</v>
      </c>
      <c r="C26" s="258">
        <v>71.379412126266715</v>
      </c>
      <c r="D26" s="258">
        <v>68.585296825401741</v>
      </c>
      <c r="E26" s="258">
        <v>25.30369908129812</v>
      </c>
      <c r="F26" s="258">
        <v>24.80405701972219</v>
      </c>
      <c r="G26" s="258">
        <v>25.46185045181598</v>
      </c>
      <c r="H26" s="258">
        <v>25.69119003389552</v>
      </c>
      <c r="I26" s="258">
        <v>25.26955599754379</v>
      </c>
      <c r="J26" s="258">
        <v>27.224837283540381</v>
      </c>
      <c r="K26" s="258">
        <v>26.905973875248431</v>
      </c>
      <c r="L26" s="258">
        <v>27.00876977370956</v>
      </c>
      <c r="M26" s="258">
        <v>26.684057864997751</v>
      </c>
      <c r="N26" s="258">
        <v>26.123296990732811</v>
      </c>
      <c r="O26" s="258">
        <v>25.77464311799541</v>
      </c>
      <c r="P26" s="258">
        <v>25.1053248600806</v>
      </c>
      <c r="Q26" s="258">
        <v>25.19455300558301</v>
      </c>
      <c r="R26" s="258">
        <v>27.268227833422301</v>
      </c>
      <c r="S26" s="258">
        <v>28.854966812732091</v>
      </c>
      <c r="T26" s="258">
        <v>31.00269374717135</v>
      </c>
      <c r="U26" s="258">
        <v>30.892265341939819</v>
      </c>
      <c r="V26" s="258">
        <v>31.006285317245339</v>
      </c>
      <c r="W26" s="258">
        <v>30.808752683813029</v>
      </c>
      <c r="DA26" s="273" t="s">
        <v>1011</v>
      </c>
    </row>
    <row r="27" spans="1:105" x14ac:dyDescent="0.25">
      <c r="A27" s="129" t="s">
        <v>33</v>
      </c>
      <c r="B27" s="259">
        <v>106.9891155172503</v>
      </c>
      <c r="C27" s="259">
        <v>103.5001475830868</v>
      </c>
      <c r="D27" s="259">
        <v>99.448680396832501</v>
      </c>
      <c r="E27" s="259">
        <v>36.690363667882274</v>
      </c>
      <c r="F27" s="259">
        <v>35.965882678597183</v>
      </c>
      <c r="G27" s="259">
        <v>36.919683155133171</v>
      </c>
      <c r="H27" s="259">
        <v>37.252225549148513</v>
      </c>
      <c r="I27" s="259">
        <v>36.640856196438499</v>
      </c>
      <c r="J27" s="259">
        <v>39.476014061133547</v>
      </c>
      <c r="K27" s="259">
        <v>39.013662119110229</v>
      </c>
      <c r="L27" s="259">
        <v>39.162716171878863</v>
      </c>
      <c r="M27" s="259">
        <v>38.691883904246723</v>
      </c>
      <c r="N27" s="259">
        <v>37.87878063656256</v>
      </c>
      <c r="O27" s="259">
        <v>37.373232521093342</v>
      </c>
      <c r="P27" s="259">
        <v>36.40272104711687</v>
      </c>
      <c r="Q27" s="259">
        <v>36.532101858095373</v>
      </c>
      <c r="R27" s="259">
        <v>39.538930358462338</v>
      </c>
      <c r="S27" s="259">
        <v>41.839701878461533</v>
      </c>
      <c r="T27" s="259">
        <v>44.953905933398438</v>
      </c>
      <c r="U27" s="259">
        <v>44.793784745812737</v>
      </c>
      <c r="V27" s="259">
        <v>44.959113710005738</v>
      </c>
      <c r="W27" s="259">
        <v>44.6726913915289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1.0000000000000002</v>
      </c>
      <c r="D31" s="236">
        <f t="shared" si="6"/>
        <v>0.99999999999999978</v>
      </c>
      <c r="E31" s="236">
        <f t="shared" si="6"/>
        <v>1.0000000000000002</v>
      </c>
      <c r="F31" s="236">
        <f t="shared" si="6"/>
        <v>1</v>
      </c>
      <c r="G31" s="236">
        <f t="shared" si="6"/>
        <v>0.99999999999999989</v>
      </c>
      <c r="H31" s="236">
        <f t="shared" si="6"/>
        <v>1.0000000000000002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0.99999999999999989</v>
      </c>
      <c r="N31" s="236">
        <f t="shared" si="6"/>
        <v>0.99999999999999989</v>
      </c>
      <c r="O31" s="236">
        <f t="shared" si="6"/>
        <v>0.99999999999999989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0.99999999999999978</v>
      </c>
      <c r="S31" s="236">
        <f t="shared" si="7"/>
        <v>1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1.5737904796689673E-2</v>
      </c>
      <c r="C32" s="245">
        <f t="shared" si="8"/>
        <v>1.5435449678820811E-2</v>
      </c>
      <c r="D32" s="245">
        <f t="shared" si="8"/>
        <v>1.5626510671966819E-2</v>
      </c>
      <c r="E32" s="245">
        <f t="shared" si="8"/>
        <v>6.0164659310652686E-3</v>
      </c>
      <c r="F32" s="245">
        <f t="shared" si="8"/>
        <v>5.7591979764123422E-3</v>
      </c>
      <c r="G32" s="245">
        <f t="shared" si="8"/>
        <v>5.7320187267038804E-3</v>
      </c>
      <c r="H32" s="245">
        <f t="shared" si="8"/>
        <v>6.7194708113524565E-3</v>
      </c>
      <c r="I32" s="245">
        <f t="shared" si="8"/>
        <v>7.1958682348530131E-3</v>
      </c>
      <c r="J32" s="245">
        <f t="shared" si="8"/>
        <v>7.4755470139122064E-3</v>
      </c>
      <c r="K32" s="245">
        <f t="shared" si="8"/>
        <v>7.5275210628179649E-3</v>
      </c>
      <c r="L32" s="245">
        <f t="shared" si="8"/>
        <v>7.2383645420656152E-3</v>
      </c>
      <c r="M32" s="245">
        <f t="shared" si="8"/>
        <v>7.2497348349735381E-3</v>
      </c>
      <c r="N32" s="245">
        <f t="shared" si="8"/>
        <v>7.1229103523520118E-3</v>
      </c>
      <c r="O32" s="245">
        <f t="shared" si="8"/>
        <v>7.1987215617652861E-3</v>
      </c>
      <c r="P32" s="245">
        <f t="shared" si="8"/>
        <v>7.3364575285839216E-3</v>
      </c>
      <c r="Q32" s="245">
        <f t="shared" si="8"/>
        <v>7.5654954215993815E-3</v>
      </c>
      <c r="R32" s="245">
        <f t="shared" si="8"/>
        <v>7.7081791343244057E-3</v>
      </c>
      <c r="S32" s="245">
        <f t="shared" si="8"/>
        <v>7.4330425013832829E-3</v>
      </c>
      <c r="T32" s="245">
        <f t="shared" si="8"/>
        <v>7.91032581509837E-3</v>
      </c>
      <c r="U32" s="245">
        <f t="shared" si="8"/>
        <v>8.0991656836457201E-3</v>
      </c>
      <c r="V32" s="245">
        <f t="shared" si="8"/>
        <v>8.0135879202614269E-3</v>
      </c>
      <c r="W32" s="245">
        <f t="shared" si="8"/>
        <v>8.0341392189715432E-3</v>
      </c>
      <c r="DA32" s="276"/>
    </row>
    <row r="33" spans="1:105" x14ac:dyDescent="0.25">
      <c r="A33" s="241" t="s">
        <v>124</v>
      </c>
      <c r="B33" s="246">
        <f t="shared" ref="B33:W33" si="9">IF(B$7=0,0,B$7/B$5)</f>
        <v>1.0229638117848284E-2</v>
      </c>
      <c r="C33" s="246">
        <f t="shared" si="9"/>
        <v>1.0033042291233526E-2</v>
      </c>
      <c r="D33" s="246">
        <f t="shared" si="9"/>
        <v>1.0157231936778428E-2</v>
      </c>
      <c r="E33" s="246">
        <f t="shared" si="9"/>
        <v>3.9107028551924224E-3</v>
      </c>
      <c r="F33" s="246">
        <f t="shared" si="9"/>
        <v>3.7434786846680234E-3</v>
      </c>
      <c r="G33" s="246">
        <f t="shared" si="9"/>
        <v>3.7258121723575204E-3</v>
      </c>
      <c r="H33" s="246">
        <f t="shared" si="9"/>
        <v>4.3676560273790948E-3</v>
      </c>
      <c r="I33" s="246">
        <f t="shared" si="9"/>
        <v>4.677314352654457E-3</v>
      </c>
      <c r="J33" s="246">
        <f t="shared" si="9"/>
        <v>4.8591055590429316E-3</v>
      </c>
      <c r="K33" s="246">
        <f t="shared" si="9"/>
        <v>4.8928886908316772E-3</v>
      </c>
      <c r="L33" s="246">
        <f t="shared" si="9"/>
        <v>4.704936952342649E-3</v>
      </c>
      <c r="M33" s="246">
        <f t="shared" si="9"/>
        <v>4.7123276427327972E-3</v>
      </c>
      <c r="N33" s="246">
        <f t="shared" si="9"/>
        <v>4.6298917290288058E-3</v>
      </c>
      <c r="O33" s="246">
        <f t="shared" si="9"/>
        <v>4.679169015147434E-3</v>
      </c>
      <c r="P33" s="246">
        <f t="shared" si="9"/>
        <v>4.7686973935795463E-3</v>
      </c>
      <c r="Q33" s="246">
        <f t="shared" si="9"/>
        <v>4.9175720240395987E-3</v>
      </c>
      <c r="R33" s="246">
        <f t="shared" si="9"/>
        <v>5.0103164373108619E-3</v>
      </c>
      <c r="S33" s="246">
        <f t="shared" si="9"/>
        <v>4.8314776258991344E-3</v>
      </c>
      <c r="T33" s="246">
        <f t="shared" si="9"/>
        <v>5.1417117798139384E-3</v>
      </c>
      <c r="U33" s="246">
        <f t="shared" si="9"/>
        <v>5.2644576943697147E-3</v>
      </c>
      <c r="V33" s="246">
        <f t="shared" si="9"/>
        <v>5.2088321481699269E-3</v>
      </c>
      <c r="W33" s="246">
        <f t="shared" si="9"/>
        <v>5.2221904923315026E-3</v>
      </c>
      <c r="DA33" s="277"/>
    </row>
    <row r="34" spans="1:105" x14ac:dyDescent="0.25">
      <c r="A34" s="241" t="s">
        <v>123</v>
      </c>
      <c r="B34" s="246">
        <f t="shared" ref="B34:W34" si="10">IF(B$8=0,0,B$8/B$5)</f>
        <v>1.4164114317020702E-2</v>
      </c>
      <c r="C34" s="246">
        <f t="shared" si="10"/>
        <v>1.389190471093873E-2</v>
      </c>
      <c r="D34" s="246">
        <f t="shared" si="10"/>
        <v>1.4063859604770138E-2</v>
      </c>
      <c r="E34" s="246">
        <f t="shared" si="10"/>
        <v>5.4148193379587395E-3</v>
      </c>
      <c r="F34" s="246">
        <f t="shared" si="10"/>
        <v>5.1832781787711077E-3</v>
      </c>
      <c r="G34" s="246">
        <f t="shared" si="10"/>
        <v>5.1588168540334907E-3</v>
      </c>
      <c r="H34" s="246">
        <f t="shared" si="10"/>
        <v>6.0475237302172122E-3</v>
      </c>
      <c r="I34" s="246">
        <f t="shared" si="10"/>
        <v>6.476281411367712E-3</v>
      </c>
      <c r="J34" s="246">
        <f t="shared" si="10"/>
        <v>6.7279923125209843E-3</v>
      </c>
      <c r="K34" s="246">
        <f t="shared" si="10"/>
        <v>6.7747689565361684E-3</v>
      </c>
      <c r="L34" s="246">
        <f t="shared" si="10"/>
        <v>6.5145280878590528E-3</v>
      </c>
      <c r="M34" s="246">
        <f t="shared" si="10"/>
        <v>6.5247613514761802E-3</v>
      </c>
      <c r="N34" s="246">
        <f t="shared" si="10"/>
        <v>6.4106193171168105E-3</v>
      </c>
      <c r="O34" s="246">
        <f t="shared" si="10"/>
        <v>6.4788494055887554E-3</v>
      </c>
      <c r="P34" s="246">
        <f t="shared" si="10"/>
        <v>6.6028117757255299E-3</v>
      </c>
      <c r="Q34" s="246">
        <f t="shared" si="10"/>
        <v>6.808945879439446E-3</v>
      </c>
      <c r="R34" s="246">
        <f t="shared" si="10"/>
        <v>6.937361220891964E-3</v>
      </c>
      <c r="S34" s="246">
        <f t="shared" si="10"/>
        <v>6.6897382512449517E-3</v>
      </c>
      <c r="T34" s="246">
        <f t="shared" si="10"/>
        <v>7.1192932335885318E-3</v>
      </c>
      <c r="U34" s="246">
        <f t="shared" si="10"/>
        <v>7.2892491152811451E-3</v>
      </c>
      <c r="V34" s="246">
        <f t="shared" si="10"/>
        <v>7.2122291282352832E-3</v>
      </c>
      <c r="W34" s="246">
        <f t="shared" si="10"/>
        <v>7.2307252970743897E-3</v>
      </c>
      <c r="DA34" s="277"/>
    </row>
    <row r="35" spans="1:105" x14ac:dyDescent="0.25">
      <c r="A35" s="243" t="s">
        <v>122</v>
      </c>
      <c r="B35" s="247">
        <f t="shared" ref="B35:W35" si="11">IF(B$9=0,0,B$9/B$5)</f>
        <v>0.17214598037485013</v>
      </c>
      <c r="C35" s="247">
        <f t="shared" si="11"/>
        <v>0.16812811857470558</v>
      </c>
      <c r="D35" s="247">
        <f t="shared" si="11"/>
        <v>0.17231366238324319</v>
      </c>
      <c r="E35" s="247">
        <f t="shared" si="11"/>
        <v>0.18308406291613583</v>
      </c>
      <c r="F35" s="247">
        <f t="shared" si="11"/>
        <v>0.18272081484322522</v>
      </c>
      <c r="G35" s="247">
        <f t="shared" si="11"/>
        <v>0.18104236680785224</v>
      </c>
      <c r="H35" s="247">
        <f t="shared" si="11"/>
        <v>0.16703104067432414</v>
      </c>
      <c r="I35" s="247">
        <f t="shared" si="11"/>
        <v>0.1683138799167975</v>
      </c>
      <c r="J35" s="247">
        <f t="shared" si="11"/>
        <v>0.16470115389041304</v>
      </c>
      <c r="K35" s="247">
        <f t="shared" si="11"/>
        <v>0.16401051458966434</v>
      </c>
      <c r="L35" s="247">
        <f t="shared" si="11"/>
        <v>0.1592261666139359</v>
      </c>
      <c r="M35" s="247">
        <f t="shared" si="11"/>
        <v>0.16172679159501005</v>
      </c>
      <c r="N35" s="247">
        <f t="shared" si="11"/>
        <v>0.16352217684221379</v>
      </c>
      <c r="O35" s="247">
        <f t="shared" si="11"/>
        <v>0.16349335165862505</v>
      </c>
      <c r="P35" s="247">
        <f t="shared" si="11"/>
        <v>0.16425651201901698</v>
      </c>
      <c r="Q35" s="247">
        <f t="shared" si="11"/>
        <v>0.16544186874065728</v>
      </c>
      <c r="R35" s="247">
        <f t="shared" si="11"/>
        <v>0.16500838657012873</v>
      </c>
      <c r="S35" s="247">
        <f t="shared" si="11"/>
        <v>0.17330393736042154</v>
      </c>
      <c r="T35" s="247">
        <f t="shared" si="11"/>
        <v>0.1763900518640672</v>
      </c>
      <c r="U35" s="247">
        <f t="shared" si="11"/>
        <v>0.18299661924087499</v>
      </c>
      <c r="V35" s="247">
        <f t="shared" si="11"/>
        <v>0.18288367929373564</v>
      </c>
      <c r="W35" s="247">
        <f t="shared" si="11"/>
        <v>0.18481982224587329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0.2358267334576461</v>
      </c>
      <c r="C36" s="260">
        <f t="shared" si="12"/>
        <v>0.22963321857554969</v>
      </c>
      <c r="D36" s="260">
        <f t="shared" si="12"/>
        <v>0.23544627008164373</v>
      </c>
      <c r="E36" s="260">
        <f t="shared" si="12"/>
        <v>0.24474530743199535</v>
      </c>
      <c r="F36" s="260">
        <f t="shared" si="12"/>
        <v>0.24416562086503346</v>
      </c>
      <c r="G36" s="260">
        <f t="shared" si="12"/>
        <v>0.24253810793949301</v>
      </c>
      <c r="H36" s="260">
        <f t="shared" si="12"/>
        <v>0.22360124948530624</v>
      </c>
      <c r="I36" s="260">
        <f t="shared" si="12"/>
        <v>0.22449513490966086</v>
      </c>
      <c r="J36" s="260">
        <f t="shared" si="12"/>
        <v>0.2196691901514419</v>
      </c>
      <c r="K36" s="260">
        <f t="shared" si="12"/>
        <v>0.2190245183494848</v>
      </c>
      <c r="L36" s="260">
        <f t="shared" si="12"/>
        <v>0.2127509637908038</v>
      </c>
      <c r="M36" s="260">
        <f t="shared" si="12"/>
        <v>0.21596121600701795</v>
      </c>
      <c r="N36" s="260">
        <f t="shared" si="12"/>
        <v>0.21776755564312147</v>
      </c>
      <c r="O36" s="260">
        <f t="shared" si="12"/>
        <v>0.21806455975014238</v>
      </c>
      <c r="P36" s="260">
        <f t="shared" si="12"/>
        <v>0.21928558628083719</v>
      </c>
      <c r="Q36" s="260">
        <f t="shared" si="12"/>
        <v>0.22132966872978821</v>
      </c>
      <c r="R36" s="260">
        <f t="shared" si="12"/>
        <v>0.22091962107532517</v>
      </c>
      <c r="S36" s="260">
        <f t="shared" si="12"/>
        <v>0.23195557732289354</v>
      </c>
      <c r="T36" s="260">
        <f t="shared" si="12"/>
        <v>0.23713784238139241</v>
      </c>
      <c r="U36" s="260">
        <f t="shared" si="12"/>
        <v>0.2456607508657235</v>
      </c>
      <c r="V36" s="260">
        <f t="shared" si="12"/>
        <v>0.24520018965681276</v>
      </c>
      <c r="W36" s="260">
        <f t="shared" si="12"/>
        <v>0.24711411764412805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0.46802169003497551</v>
      </c>
      <c r="C37" s="260">
        <f t="shared" si="13"/>
        <v>0.4809354778062066</v>
      </c>
      <c r="D37" s="260">
        <f t="shared" si="13"/>
        <v>0.46886455123457488</v>
      </c>
      <c r="E37" s="260">
        <f t="shared" si="13"/>
        <v>0.49505844953334643</v>
      </c>
      <c r="F37" s="260">
        <f t="shared" si="13"/>
        <v>0.49739911555127392</v>
      </c>
      <c r="G37" s="260">
        <f t="shared" si="13"/>
        <v>0.50115371293261757</v>
      </c>
      <c r="H37" s="260">
        <f t="shared" si="13"/>
        <v>0.53280351226363643</v>
      </c>
      <c r="I37" s="260">
        <f t="shared" si="13"/>
        <v>0.52807303294562036</v>
      </c>
      <c r="J37" s="260">
        <f t="shared" si="13"/>
        <v>0.53604065533831713</v>
      </c>
      <c r="K37" s="260">
        <f t="shared" si="13"/>
        <v>0.53723997525575773</v>
      </c>
      <c r="L37" s="260">
        <f t="shared" si="13"/>
        <v>0.55094917618445927</v>
      </c>
      <c r="M37" s="260">
        <f t="shared" si="13"/>
        <v>0.54456457080592602</v>
      </c>
      <c r="N37" s="260">
        <f t="shared" si="13"/>
        <v>0.54124986512111084</v>
      </c>
      <c r="O37" s="260">
        <f t="shared" si="13"/>
        <v>0.54054555833629758</v>
      </c>
      <c r="P37" s="260">
        <f t="shared" si="13"/>
        <v>0.5376380611875452</v>
      </c>
      <c r="Q37" s="260">
        <f t="shared" si="13"/>
        <v>0.53287064507448911</v>
      </c>
      <c r="R37" s="260">
        <f t="shared" si="13"/>
        <v>0.53307955040988508</v>
      </c>
      <c r="S37" s="260">
        <f t="shared" si="13"/>
        <v>0.51300307557313263</v>
      </c>
      <c r="T37" s="260">
        <f t="shared" si="13"/>
        <v>0.50135246402384925</v>
      </c>
      <c r="U37" s="260">
        <f t="shared" si="13"/>
        <v>0.48364104092713195</v>
      </c>
      <c r="V37" s="260">
        <f t="shared" si="13"/>
        <v>0.48473093157458635</v>
      </c>
      <c r="W37" s="260">
        <f t="shared" si="13"/>
        <v>0.48041032692867019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4.5316072149080087E-2</v>
      </c>
      <c r="C38" s="260">
        <f t="shared" si="14"/>
        <v>4.4125936649434178E-2</v>
      </c>
      <c r="D38" s="260">
        <f t="shared" si="14"/>
        <v>4.5242962940704005E-2</v>
      </c>
      <c r="E38" s="260">
        <f t="shared" si="14"/>
        <v>4.7029850463196042E-2</v>
      </c>
      <c r="F38" s="260">
        <f t="shared" si="14"/>
        <v>4.6918458858405732E-2</v>
      </c>
      <c r="G38" s="260">
        <f t="shared" si="14"/>
        <v>4.660571868651766E-2</v>
      </c>
      <c r="H38" s="260">
        <f t="shared" si="14"/>
        <v>4.2966843519971001E-2</v>
      </c>
      <c r="I38" s="260">
        <f t="shared" si="14"/>
        <v>4.3138611053656246E-2</v>
      </c>
      <c r="J38" s="260">
        <f t="shared" si="14"/>
        <v>4.2211265550266996E-2</v>
      </c>
      <c r="K38" s="260">
        <f t="shared" si="14"/>
        <v>4.2087386491003298E-2</v>
      </c>
      <c r="L38" s="260">
        <f t="shared" si="14"/>
        <v>4.0881870700472958E-2</v>
      </c>
      <c r="M38" s="260">
        <f t="shared" si="14"/>
        <v>4.1498747417178315E-2</v>
      </c>
      <c r="N38" s="260">
        <f t="shared" si="14"/>
        <v>4.1845850631793788E-2</v>
      </c>
      <c r="O38" s="260">
        <f t="shared" si="14"/>
        <v>4.1902922446108458E-2</v>
      </c>
      <c r="P38" s="260">
        <f t="shared" si="14"/>
        <v>4.2137552869681044E-2</v>
      </c>
      <c r="Q38" s="260">
        <f t="shared" si="14"/>
        <v>4.2530340347068429E-2</v>
      </c>
      <c r="R38" s="260">
        <f t="shared" si="14"/>
        <v>4.2451546273038862E-2</v>
      </c>
      <c r="S38" s="260">
        <f t="shared" si="14"/>
        <v>4.4572197236635878E-2</v>
      </c>
      <c r="T38" s="260">
        <f t="shared" si="14"/>
        <v>4.5568012655199414E-2</v>
      </c>
      <c r="U38" s="260">
        <f t="shared" si="14"/>
        <v>4.7205760548040925E-2</v>
      </c>
      <c r="V38" s="260">
        <f t="shared" si="14"/>
        <v>4.7117259873558151E-2</v>
      </c>
      <c r="W38" s="260">
        <f t="shared" si="14"/>
        <v>4.7485037086470706E-2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1.5737904796689673E-2</v>
      </c>
      <c r="C39" s="260">
        <f t="shared" si="15"/>
        <v>1.5435449678820811E-2</v>
      </c>
      <c r="D39" s="260">
        <f t="shared" si="15"/>
        <v>1.5626510671966819E-2</v>
      </c>
      <c r="E39" s="260">
        <f t="shared" si="15"/>
        <v>6.0164659310652686E-3</v>
      </c>
      <c r="F39" s="260">
        <f t="shared" si="15"/>
        <v>5.7591979764123422E-3</v>
      </c>
      <c r="G39" s="260">
        <f t="shared" si="15"/>
        <v>5.7320187267038804E-3</v>
      </c>
      <c r="H39" s="260">
        <f t="shared" si="15"/>
        <v>6.7194708113524565E-3</v>
      </c>
      <c r="I39" s="260">
        <f t="shared" si="15"/>
        <v>7.1958682348530131E-3</v>
      </c>
      <c r="J39" s="260">
        <f t="shared" si="15"/>
        <v>7.4755470139122064E-3</v>
      </c>
      <c r="K39" s="260">
        <f t="shared" si="15"/>
        <v>7.5275210628179649E-3</v>
      </c>
      <c r="L39" s="260">
        <f t="shared" si="15"/>
        <v>7.2383645420656152E-3</v>
      </c>
      <c r="M39" s="260">
        <f t="shared" si="15"/>
        <v>7.2497348349735381E-3</v>
      </c>
      <c r="N39" s="260">
        <f t="shared" si="15"/>
        <v>7.1229103523520118E-3</v>
      </c>
      <c r="O39" s="260">
        <f t="shared" si="15"/>
        <v>7.1987215617652861E-3</v>
      </c>
      <c r="P39" s="260">
        <f t="shared" si="15"/>
        <v>7.3364575285839216E-3</v>
      </c>
      <c r="Q39" s="260">
        <f t="shared" si="15"/>
        <v>7.5654954215993815E-3</v>
      </c>
      <c r="R39" s="260">
        <f t="shared" si="15"/>
        <v>7.7081791343244057E-3</v>
      </c>
      <c r="S39" s="260">
        <f t="shared" si="15"/>
        <v>7.4330425013832829E-3</v>
      </c>
      <c r="T39" s="260">
        <f t="shared" si="15"/>
        <v>7.91032581509837E-3</v>
      </c>
      <c r="U39" s="260">
        <f t="shared" si="15"/>
        <v>8.0991656836457201E-3</v>
      </c>
      <c r="V39" s="260">
        <f t="shared" si="15"/>
        <v>8.0135879202614269E-3</v>
      </c>
      <c r="W39" s="260">
        <f t="shared" si="15"/>
        <v>8.0341392189715432E-3</v>
      </c>
      <c r="DA39" s="279"/>
    </row>
    <row r="40" spans="1:105" x14ac:dyDescent="0.25">
      <c r="A40" s="261" t="s">
        <v>33</v>
      </c>
      <c r="B40" s="262">
        <f t="shared" ref="B40:W40" si="16">IF(B$27=0,0,B$27/B$5)</f>
        <v>2.2819961955200009E-2</v>
      </c>
      <c r="C40" s="262">
        <f t="shared" si="16"/>
        <v>2.238140203429019E-2</v>
      </c>
      <c r="D40" s="262">
        <f t="shared" si="16"/>
        <v>2.2658440474351883E-2</v>
      </c>
      <c r="E40" s="262">
        <f t="shared" si="16"/>
        <v>8.7238756000446397E-3</v>
      </c>
      <c r="F40" s="262">
        <f t="shared" si="16"/>
        <v>8.3508370657978982E-3</v>
      </c>
      <c r="G40" s="262">
        <f t="shared" si="16"/>
        <v>8.3114271537206262E-3</v>
      </c>
      <c r="H40" s="262">
        <f t="shared" si="16"/>
        <v>9.7432326764610652E-3</v>
      </c>
      <c r="I40" s="262">
        <f t="shared" si="16"/>
        <v>1.043400894053687E-2</v>
      </c>
      <c r="J40" s="262">
        <f t="shared" si="16"/>
        <v>1.0839543170172697E-2</v>
      </c>
      <c r="K40" s="262">
        <f t="shared" si="16"/>
        <v>1.091490554108605E-2</v>
      </c>
      <c r="L40" s="262">
        <f t="shared" si="16"/>
        <v>1.0495628585995143E-2</v>
      </c>
      <c r="M40" s="262">
        <f t="shared" si="16"/>
        <v>1.0512115510711625E-2</v>
      </c>
      <c r="N40" s="262">
        <f t="shared" si="16"/>
        <v>1.0328220010910414E-2</v>
      </c>
      <c r="O40" s="262">
        <f t="shared" si="16"/>
        <v>1.0438146264559665E-2</v>
      </c>
      <c r="P40" s="262">
        <f t="shared" si="16"/>
        <v>1.0637863416446687E-2</v>
      </c>
      <c r="Q40" s="262">
        <f t="shared" si="16"/>
        <v>1.0969968361319105E-2</v>
      </c>
      <c r="R40" s="262">
        <f t="shared" si="16"/>
        <v>1.1176859744770389E-2</v>
      </c>
      <c r="S40" s="262">
        <f t="shared" si="16"/>
        <v>1.0777911627005761E-2</v>
      </c>
      <c r="T40" s="262">
        <f t="shared" si="16"/>
        <v>1.1469972431892631E-2</v>
      </c>
      <c r="U40" s="262">
        <f t="shared" si="16"/>
        <v>1.1743790241286294E-2</v>
      </c>
      <c r="V40" s="262">
        <f t="shared" si="16"/>
        <v>1.1619702484379069E-2</v>
      </c>
      <c r="W40" s="262">
        <f t="shared" si="16"/>
        <v>1.1649501867508738E-2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126.45888445910973</v>
      </c>
      <c r="C44" s="237">
        <f t="shared" si="17"/>
        <v>122.34803499436488</v>
      </c>
      <c r="D44" s="237">
        <f t="shared" si="17"/>
        <v>127.8105623843866</v>
      </c>
      <c r="E44" s="237">
        <f t="shared" si="17"/>
        <v>135.4328803289018</v>
      </c>
      <c r="F44" s="237">
        <f t="shared" si="17"/>
        <v>134.84363036747555</v>
      </c>
      <c r="G44" s="237">
        <f t="shared" si="17"/>
        <v>154.42655608236757</v>
      </c>
      <c r="H44" s="237">
        <f t="shared" si="17"/>
        <v>146.93020171673035</v>
      </c>
      <c r="I44" s="237">
        <f t="shared" si="17"/>
        <v>137.23851152262932</v>
      </c>
      <c r="J44" s="237">
        <f t="shared" si="17"/>
        <v>139.32723127138391</v>
      </c>
      <c r="K44" s="237">
        <f t="shared" si="17"/>
        <v>156.36023356757099</v>
      </c>
      <c r="L44" s="237">
        <f t="shared" si="17"/>
        <v>144.58585940593423</v>
      </c>
      <c r="M44" s="237">
        <f t="shared" si="17"/>
        <v>132.80026593791024</v>
      </c>
      <c r="N44" s="237">
        <f t="shared" si="17"/>
        <v>135.04301399101354</v>
      </c>
      <c r="O44" s="237">
        <f t="shared" si="17"/>
        <v>132.95020410976801</v>
      </c>
      <c r="P44" s="237">
        <f t="shared" si="17"/>
        <v>130.15939664117727</v>
      </c>
      <c r="Q44" s="237">
        <f t="shared" si="17"/>
        <v>132.91816907674803</v>
      </c>
      <c r="R44" s="237">
        <f t="shared" si="17"/>
        <v>135.38540863538171</v>
      </c>
      <c r="S44" s="237">
        <f t="shared" si="17"/>
        <v>124.9021100917374</v>
      </c>
      <c r="T44" s="237">
        <f t="shared" si="17"/>
        <v>141.27985612939972</v>
      </c>
      <c r="U44" s="237">
        <f t="shared" si="17"/>
        <v>142.01198459584066</v>
      </c>
      <c r="V44" s="237">
        <f t="shared" si="17"/>
        <v>148.62601044661247</v>
      </c>
      <c r="W44" s="237">
        <f t="shared" si="17"/>
        <v>142.5401415478579</v>
      </c>
      <c r="DA44" s="281"/>
    </row>
    <row r="45" spans="1:105" x14ac:dyDescent="0.25">
      <c r="A45" s="239" t="s">
        <v>125</v>
      </c>
      <c r="B45" s="248">
        <f>IF(B$6=0,0,B$6/AGR!B$5*1000)</f>
        <v>1.9901978843130472</v>
      </c>
      <c r="C45" s="248">
        <f>IF(C$6=0,0,C$6/AGR!C$5*1000)</f>
        <v>1.8884969374581266</v>
      </c>
      <c r="D45" s="248">
        <f>IF(D$6=0,0,D$6/AGR!D$5*1000)</f>
        <v>1.9972331170896984</v>
      </c>
      <c r="E45" s="248">
        <f>IF(E$6=0,0,E$6/AGR!E$5*1000)</f>
        <v>0.81482731044487744</v>
      </c>
      <c r="F45" s="248">
        <f>IF(F$6=0,0,F$6/AGR!F$5*1000)</f>
        <v>0.77659116314445897</v>
      </c>
      <c r="G45" s="248">
        <f>IF(G$6=0,0,G$6/AGR!G$5*1000)</f>
        <v>0.8851759113645179</v>
      </c>
      <c r="H45" s="248">
        <f>IF(H$6=0,0,H$6/AGR!H$5*1000)</f>
        <v>0.98729320174169799</v>
      </c>
      <c r="I45" s="248">
        <f>IF(I$6=0,0,I$6/AGR!I$5*1000)</f>
        <v>0.98755024566419758</v>
      </c>
      <c r="J45" s="248">
        <f>IF(J$6=0,0,J$6/AGR!J$5*1000)</f>
        <v>1.0415472676874493</v>
      </c>
      <c r="K45" s="248">
        <f>IF(K$6=0,0,K$6/AGR!K$5*1000)</f>
        <v>1.1770049515670273</v>
      </c>
      <c r="L45" s="248">
        <f>IF(L$6=0,0,L$6/AGR!L$5*1000)</f>
        <v>1.0465651580079984</v>
      </c>
      <c r="M45" s="248">
        <f>IF(M$6=0,0,M$6/AGR!M$5*1000)</f>
        <v>0.96276671406381786</v>
      </c>
      <c r="N45" s="248">
        <f>IF(N$6=0,0,N$6/AGR!N$5*1000)</f>
        <v>0.96189928236940803</v>
      </c>
      <c r="O45" s="248">
        <f>IF(O$6=0,0,O$6/AGR!O$5*1000)</f>
        <v>0.95707150096608273</v>
      </c>
      <c r="P45" s="248">
        <f>IF(P$6=0,0,P$6/AGR!P$5*1000)</f>
        <v>0.9549088854041059</v>
      </c>
      <c r="Q45" s="248">
        <f>IF(Q$6=0,0,Q$6/AGR!Q$5*1000)</f>
        <v>1.0055917995975097</v>
      </c>
      <c r="R45" s="248">
        <f>IF(R$6=0,0,R$6/AGR!R$5*1000)</f>
        <v>1.0435749819352327</v>
      </c>
      <c r="S45" s="248">
        <f>IF(S$6=0,0,S$6/AGR!S$5*1000)</f>
        <v>0.92840269282433807</v>
      </c>
      <c r="T45" s="248">
        <f>IF(T$6=0,0,T$6/AGR!T$5*1000)</f>
        <v>1.1175696930937744</v>
      </c>
      <c r="U45" s="248">
        <f>IF(U$6=0,0,U$6/AGR!U$5*1000)</f>
        <v>1.1501785923050571</v>
      </c>
      <c r="V45" s="248">
        <f>IF(V$6=0,0,V$6/AGR!V$5*1000)</f>
        <v>1.1910276019516226</v>
      </c>
      <c r="W45" s="248">
        <f>IF(W$6=0,0,W$6/AGR!W$5*1000)</f>
        <v>1.1451873414874001</v>
      </c>
      <c r="DA45" s="282"/>
    </row>
    <row r="46" spans="1:105" x14ac:dyDescent="0.25">
      <c r="A46" s="241" t="s">
        <v>124</v>
      </c>
      <c r="B46" s="249">
        <f>IF(B$7=0,0,B$7/AGR!B$5*1000)</f>
        <v>1.2936286248034805</v>
      </c>
      <c r="C46" s="249">
        <f>IF(C$7=0,0,C$7/AGR!C$5*1000)</f>
        <v>1.227523009347782</v>
      </c>
      <c r="D46" s="249">
        <f>IF(D$7=0,0,D$7/AGR!D$5*1000)</f>
        <v>1.2982015261083033</v>
      </c>
      <c r="E46" s="249">
        <f>IF(E$7=0,0,E$7/AGR!E$5*1000)</f>
        <v>0.52963775178916994</v>
      </c>
      <c r="F46" s="249">
        <f>IF(F$7=0,0,F$7/AGR!F$5*1000)</f>
        <v>0.50478425604389854</v>
      </c>
      <c r="G46" s="249">
        <f>IF(G$7=0,0,G$7/AGR!G$5*1000)</f>
        <v>0.57536434238693646</v>
      </c>
      <c r="H46" s="249">
        <f>IF(H$7=0,0,H$7/AGR!H$5*1000)</f>
        <v>0.64174058113210342</v>
      </c>
      <c r="I46" s="249">
        <f>IF(I$7=0,0,I$7/AGR!I$5*1000)</f>
        <v>0.64190765968172814</v>
      </c>
      <c r="J46" s="249">
        <f>IF(J$7=0,0,J$7/AGR!J$5*1000)</f>
        <v>0.67700572399684178</v>
      </c>
      <c r="K46" s="249">
        <f>IF(K$7=0,0,K$7/AGR!K$5*1000)</f>
        <v>0.76505321851856778</v>
      </c>
      <c r="L46" s="249">
        <f>IF(L$7=0,0,L$7/AGR!L$5*1000)</f>
        <v>0.68026735270519878</v>
      </c>
      <c r="M46" s="249">
        <f>IF(M$7=0,0,M$7/AGR!M$5*1000)</f>
        <v>0.62579836414148127</v>
      </c>
      <c r="N46" s="249">
        <f>IF(N$7=0,0,N$7/AGR!N$5*1000)</f>
        <v>0.62523453354011482</v>
      </c>
      <c r="O46" s="249">
        <f>IF(O$7=0,0,O$7/AGR!O$5*1000)</f>
        <v>0.62209647562795356</v>
      </c>
      <c r="P46" s="249">
        <f>IF(P$7=0,0,P$7/AGR!P$5*1000)</f>
        <v>0.62069077551266838</v>
      </c>
      <c r="Q46" s="249">
        <f>IF(Q$7=0,0,Q$7/AGR!Q$5*1000)</f>
        <v>0.65363466973838147</v>
      </c>
      <c r="R46" s="249">
        <f>IF(R$7=0,0,R$7/AGR!R$5*1000)</f>
        <v>0.67832373825790093</v>
      </c>
      <c r="S46" s="249">
        <f>IF(S$7=0,0,S$7/AGR!S$5*1000)</f>
        <v>0.60346175033581972</v>
      </c>
      <c r="T46" s="249">
        <f>IF(T$7=0,0,T$7/AGR!T$5*1000)</f>
        <v>0.72642030051095297</v>
      </c>
      <c r="U46" s="249">
        <f>IF(U$7=0,0,U$7/AGR!U$5*1000)</f>
        <v>0.74761608499828669</v>
      </c>
      <c r="V46" s="249">
        <f>IF(V$7=0,0,V$7/AGR!V$5*1000)</f>
        <v>0.77416794126855459</v>
      </c>
      <c r="W46" s="249">
        <f>IF(W$7=0,0,W$7/AGR!W$5*1000)</f>
        <v>0.74437177196681026</v>
      </c>
      <c r="DA46" s="283"/>
    </row>
    <row r="47" spans="1:105" x14ac:dyDescent="0.25">
      <c r="A47" s="241" t="s">
        <v>123</v>
      </c>
      <c r="B47" s="249">
        <f>IF(B$8=0,0,B$8/AGR!B$5*1000)</f>
        <v>1.7911780958817423</v>
      </c>
      <c r="C47" s="249">
        <f>IF(C$8=0,0,C$8/AGR!C$5*1000)</f>
        <v>1.6996472437123138</v>
      </c>
      <c r="D47" s="249">
        <f>IF(D$8=0,0,D$8/AGR!D$5*1000)</f>
        <v>1.7975098053807286</v>
      </c>
      <c r="E47" s="249">
        <f>IF(E$8=0,0,E$8/AGR!E$5*1000)</f>
        <v>0.73334457940038933</v>
      </c>
      <c r="F47" s="249">
        <f>IF(F$8=0,0,F$8/AGR!F$5*1000)</f>
        <v>0.69893204683001309</v>
      </c>
      <c r="G47" s="249">
        <f>IF(G$8=0,0,G$8/AGR!G$5*1000)</f>
        <v>0.79665832022806604</v>
      </c>
      <c r="H47" s="249">
        <f>IF(H$8=0,0,H$8/AGR!H$5*1000)</f>
        <v>0.88856388156752841</v>
      </c>
      <c r="I47" s="249">
        <f>IF(I$8=0,0,I$8/AGR!I$5*1000)</f>
        <v>0.88879522109777775</v>
      </c>
      <c r="J47" s="249">
        <f>IF(J$8=0,0,J$8/AGR!J$5*1000)</f>
        <v>0.93739254091870428</v>
      </c>
      <c r="K47" s="249">
        <f>IF(K$8=0,0,K$8/AGR!K$5*1000)</f>
        <v>1.0593044564103247</v>
      </c>
      <c r="L47" s="249">
        <f>IF(L$8=0,0,L$8/AGR!L$5*1000)</f>
        <v>0.94190864220719828</v>
      </c>
      <c r="M47" s="249">
        <f>IF(M$8=0,0,M$8/AGR!M$5*1000)</f>
        <v>0.86649004265743557</v>
      </c>
      <c r="N47" s="249">
        <f>IF(N$8=0,0,N$8/AGR!N$5*1000)</f>
        <v>0.86570935413246719</v>
      </c>
      <c r="O47" s="249">
        <f>IF(O$8=0,0,O$8/AGR!O$5*1000)</f>
        <v>0.86136435086947405</v>
      </c>
      <c r="P47" s="249">
        <f>IF(P$8=0,0,P$8/AGR!P$5*1000)</f>
        <v>0.85941799686369535</v>
      </c>
      <c r="Q47" s="249">
        <f>IF(Q$8=0,0,Q$8/AGR!Q$5*1000)</f>
        <v>0.90503261963775916</v>
      </c>
      <c r="R47" s="249">
        <f>IF(R$8=0,0,R$8/AGR!R$5*1000)</f>
        <v>0.93921748374170921</v>
      </c>
      <c r="S47" s="249">
        <f>IF(S$8=0,0,S$8/AGR!S$5*1000)</f>
        <v>0.83556242354190391</v>
      </c>
      <c r="T47" s="249">
        <f>IF(T$8=0,0,T$8/AGR!T$5*1000)</f>
        <v>1.0058127237843968</v>
      </c>
      <c r="U47" s="249">
        <f>IF(U$8=0,0,U$8/AGR!U$5*1000)</f>
        <v>1.0351607330745511</v>
      </c>
      <c r="V47" s="249">
        <f>IF(V$8=0,0,V$8/AGR!V$5*1000)</f>
        <v>1.07192484175646</v>
      </c>
      <c r="W47" s="249">
        <f>IF(W$8=0,0,W$8/AGR!W$5*1000)</f>
        <v>1.0306686073386604</v>
      </c>
      <c r="DA47" s="283"/>
    </row>
    <row r="48" spans="1:105" x14ac:dyDescent="0.25">
      <c r="A48" s="243" t="s">
        <v>122</v>
      </c>
      <c r="B48" s="250">
        <f>IF(B$9=0,0,B$9/AGR!B$5*1000)</f>
        <v>21.769388642323339</v>
      </c>
      <c r="C48" s="250">
        <f>IF(C$9=0,0,C$9/AGR!C$5*1000)</f>
        <v>20.570144934914804</v>
      </c>
      <c r="D48" s="250">
        <f>IF(D$9=0,0,D$9/AGR!D$5*1000)</f>
        <v>22.023506095715639</v>
      </c>
      <c r="E48" s="250">
        <f>IF(E$9=0,0,E$9/AGR!E$5*1000)</f>
        <v>24.795601983050155</v>
      </c>
      <c r="F48" s="250">
        <f>IF(F$9=0,0,F$9/AGR!F$5*1000)</f>
        <v>24.638738017163803</v>
      </c>
      <c r="G48" s="250">
        <f>IF(G$9=0,0,G$9/AGR!G$5*1000)</f>
        <v>27.957749211137354</v>
      </c>
      <c r="H48" s="250">
        <f>IF(H$9=0,0,H$9/AGR!H$5*1000)</f>
        <v>24.541904499233834</v>
      </c>
      <c r="I48" s="250">
        <f>IF(I$9=0,0,I$9/AGR!I$5*1000)</f>
        <v>23.099146348379861</v>
      </c>
      <c r="J48" s="250">
        <f>IF(J$9=0,0,J$9/AGR!J$5*1000)</f>
        <v>22.947355758753368</v>
      </c>
      <c r="K48" s="250">
        <f>IF(K$9=0,0,K$9/AGR!K$5*1000)</f>
        <v>25.64472236877743</v>
      </c>
      <c r="L48" s="250">
        <f>IF(L$9=0,0,L$9/AGR!L$5*1000)</f>
        <v>23.021852139788393</v>
      </c>
      <c r="M48" s="250">
        <f>IF(M$9=0,0,M$9/AGR!M$5*1000)</f>
        <v>21.477360933102325</v>
      </c>
      <c r="N48" s="250">
        <f>IF(N$9=0,0,N$9/AGR!N$5*1000)</f>
        <v>22.082527615144066</v>
      </c>
      <c r="O48" s="250">
        <f>IF(O$9=0,0,O$9/AGR!O$5*1000)</f>
        <v>21.736474473604279</v>
      </c>
      <c r="P48" s="250">
        <f>IF(P$9=0,0,P$9/AGR!P$5*1000)</f>
        <v>21.379528498779532</v>
      </c>
      <c r="Q48" s="250">
        <f>IF(Q$9=0,0,Q$9/AGR!Q$5*1000)</f>
        <v>21.990230281643839</v>
      </c>
      <c r="R48" s="250">
        <f>IF(R$9=0,0,R$9/AGR!R$5*1000)</f>
        <v>22.339727844061915</v>
      </c>
      <c r="S48" s="250">
        <f>IF(S$9=0,0,S$9/AGR!S$5*1000)</f>
        <v>21.646027463522937</v>
      </c>
      <c r="T48" s="250">
        <f>IF(T$9=0,0,T$9/AGR!T$5*1000)</f>
        <v>24.92036115001277</v>
      </c>
      <c r="U48" s="250">
        <f>IF(U$9=0,0,U$9/AGR!U$5*1000)</f>
        <v>25.987713072726056</v>
      </c>
      <c r="V48" s="250">
        <f>IF(V$9=0,0,V$9/AGR!V$5*1000)</f>
        <v>27.18127162922568</v>
      </c>
      <c r="W48" s="250">
        <f>IF(W$9=0,0,W$9/AGR!W$5*1000)</f>
        <v>26.344243623776716</v>
      </c>
      <c r="DA48" s="284"/>
    </row>
    <row r="49" spans="1:105" x14ac:dyDescent="0.25">
      <c r="A49" s="128" t="s">
        <v>175</v>
      </c>
      <c r="B49" s="263">
        <f>IF(B$16=0,0,B$16/AGR!B$5*1000)</f>
        <v>29.822385638689727</v>
      </c>
      <c r="C49" s="263">
        <f>IF(C$16=0,0,C$16/AGR!C$5*1000)</f>
        <v>28.095173062149993</v>
      </c>
      <c r="D49" s="263">
        <f>IF(D$16=0,0,D$16/AGR!D$5*1000)</f>
        <v>30.092520190441068</v>
      </c>
      <c r="E49" s="263">
        <f>IF(E$16=0,0,E$16/AGR!E$5*1000)</f>
        <v>33.146561932497711</v>
      </c>
      <c r="F49" s="263">
        <f>IF(F$16=0,0,F$16/AGR!F$5*1000)</f>
        <v>32.924178728369753</v>
      </c>
      <c r="G49" s="263">
        <f>IF(G$16=0,0,G$16/AGR!G$5*1000)</f>
        <v>37.454324727829437</v>
      </c>
      <c r="H49" s="263">
        <f>IF(H$16=0,0,H$16/AGR!H$5*1000)</f>
        <v>32.853776690988987</v>
      </c>
      <c r="I49" s="263">
        <f>IF(I$16=0,0,I$16/AGR!I$5*1000)</f>
        <v>30.809378159073709</v>
      </c>
      <c r="J49" s="263">
        <f>IF(J$16=0,0,J$16/AGR!J$5*1000)</f>
        <v>30.605900059427551</v>
      </c>
      <c r="K49" s="263">
        <f>IF(K$16=0,0,K$16/AGR!K$5*1000)</f>
        <v>34.246724846150187</v>
      </c>
      <c r="L49" s="263">
        <f>IF(L$16=0,0,L$16/AGR!L$5*1000)</f>
        <v>30.760780939134154</v>
      </c>
      <c r="M49" s="263">
        <f>IF(M$16=0,0,M$16/AGR!M$5*1000)</f>
        <v>28.67970691800647</v>
      </c>
      <c r="N49" s="263">
        <f>IF(N$16=0,0,N$16/AGR!N$5*1000)</f>
        <v>29.407987063502869</v>
      </c>
      <c r="O49" s="263">
        <f>IF(O$16=0,0,O$16/AGR!O$5*1000)</f>
        <v>28.991727727888129</v>
      </c>
      <c r="P49" s="263">
        <f>IF(P$16=0,0,P$16/AGR!P$5*1000)</f>
        <v>28.542079602420593</v>
      </c>
      <c r="Q49" s="263">
        <f>IF(Q$16=0,0,Q$16/AGR!Q$5*1000)</f>
        <v>29.418734329926622</v>
      </c>
      <c r="R49" s="263">
        <f>IF(R$16=0,0,R$16/AGR!R$5*1000)</f>
        <v>29.909293174856586</v>
      </c>
      <c r="S49" s="263">
        <f>IF(S$16=0,0,S$16/AGR!S$5*1000)</f>
        <v>28.971741055176558</v>
      </c>
      <c r="T49" s="263">
        <f>IF(T$16=0,0,T$16/AGR!T$5*1000)</f>
        <v>33.502800254479389</v>
      </c>
      <c r="U49" s="263">
        <f>IF(U$16=0,0,U$16/AGR!U$5*1000)</f>
        <v>34.886770767745773</v>
      </c>
      <c r="V49" s="263">
        <f>IF(V$16=0,0,V$16/AGR!V$5*1000)</f>
        <v>36.443125949444813</v>
      </c>
      <c r="W49" s="263">
        <f>IF(W$16=0,0,W$16/AGR!W$5*1000)</f>
        <v>35.22368130746802</v>
      </c>
      <c r="DA49" s="285"/>
    </row>
    <row r="50" spans="1:105" x14ac:dyDescent="0.25">
      <c r="A50" s="128" t="s">
        <v>121</v>
      </c>
      <c r="B50" s="263">
        <f>IF(B$17=0,0,B$17/AGR!B$5*1000)</f>
        <v>59.185500824490219</v>
      </c>
      <c r="C50" s="263">
        <f>IF(C$17=0,0,C$17/AGR!C$5*1000)</f>
        <v>58.841510668665357</v>
      </c>
      <c r="D50" s="263">
        <f>IF(D$17=0,0,D$17/AGR!D$5*1000)</f>
        <v>59.925841975394071</v>
      </c>
      <c r="E50" s="263">
        <f>IF(E$17=0,0,E$17/AGR!E$5*1000)</f>
        <v>67.047191751461384</v>
      </c>
      <c r="F50" s="263">
        <f>IF(F$17=0,0,F$17/AGR!F$5*1000)</f>
        <v>67.071102482505239</v>
      </c>
      <c r="G50" s="263">
        <f>IF(G$17=0,0,G$17/AGR!G$5*1000)</f>
        <v>77.39144195607561</v>
      </c>
      <c r="H50" s="263">
        <f>IF(H$17=0,0,H$17/AGR!H$5*1000)</f>
        <v>78.284927532278488</v>
      </c>
      <c r="I50" s="263">
        <f>IF(I$17=0,0,I$17/AGR!I$5*1000)</f>
        <v>72.471957016697317</v>
      </c>
      <c r="J50" s="263">
        <f>IF(J$17=0,0,J$17/AGR!J$5*1000)</f>
        <v>74.685060357185904</v>
      </c>
      <c r="K50" s="263">
        <f>IF(K$17=0,0,K$17/AGR!K$5*1000)</f>
        <v>84.002968012826344</v>
      </c>
      <c r="L50" s="263">
        <f>IF(L$17=0,0,L$17/AGR!L$5*1000)</f>
        <v>79.659460127621514</v>
      </c>
      <c r="M50" s="263">
        <f>IF(M$17=0,0,M$17/AGR!M$5*1000)</f>
        <v>72.318319823390937</v>
      </c>
      <c r="N50" s="263">
        <f>IF(N$17=0,0,N$17/AGR!N$5*1000)</f>
        <v>73.092013108184361</v>
      </c>
      <c r="O50" s="263">
        <f>IF(O$17=0,0,O$17/AGR!O$5*1000)</f>
        <v>71.865642311439274</v>
      </c>
      <c r="P50" s="263">
        <f>IF(P$17=0,0,P$17/AGR!P$5*1000)</f>
        <v>69.978645655503243</v>
      </c>
      <c r="Q50" s="263">
        <f>IF(Q$17=0,0,Q$17/AGR!Q$5*1000)</f>
        <v>70.828190498046737</v>
      </c>
      <c r="R50" s="263">
        <f>IF(R$17=0,0,R$17/AGR!R$5*1000)</f>
        <v>72.171192767407874</v>
      </c>
      <c r="S50" s="263">
        <f>IF(S$17=0,0,S$17/AGR!S$5*1000)</f>
        <v>64.075166622635294</v>
      </c>
      <c r="T50" s="263">
        <f>IF(T$17=0,0,T$17/AGR!T$5*1000)</f>
        <v>70.831003987409474</v>
      </c>
      <c r="U50" s="263">
        <f>IF(U$17=0,0,U$17/AGR!U$5*1000)</f>
        <v>68.682824054060205</v>
      </c>
      <c r="V50" s="263">
        <f>IF(V$17=0,0,V$17/AGR!V$5*1000)</f>
        <v>72.043624500000661</v>
      </c>
      <c r="W50" s="263">
        <f>IF(W$17=0,0,W$17/AGR!W$5*1000)</f>
        <v>68.477756001465337</v>
      </c>
      <c r="DA50" s="285"/>
    </row>
    <row r="51" spans="1:105" x14ac:dyDescent="0.25">
      <c r="A51" s="128" t="s">
        <v>174</v>
      </c>
      <c r="B51" s="263">
        <f>IF(B$25=0,0,B$25/AGR!B$5*1000)</f>
        <v>5.730619932041197</v>
      </c>
      <c r="C51" s="263">
        <f>IF(C$25=0,0,C$25/AGR!C$5*1000)</f>
        <v>5.3987216413440997</v>
      </c>
      <c r="D51" s="263">
        <f>IF(D$25=0,0,D$25/AGR!D$5*1000)</f>
        <v>5.7825285373873418</v>
      </c>
      <c r="E51" s="263">
        <f>IF(E$25=0,0,E$25/AGR!E$5*1000)</f>
        <v>6.3693881096681775</v>
      </c>
      <c r="F51" s="263">
        <f>IF(F$25=0,0,F$25/AGR!F$5*1000)</f>
        <v>6.3266553237144718</v>
      </c>
      <c r="G51" s="263">
        <f>IF(G$25=0,0,G$25/AGR!G$5*1000)</f>
        <v>7.1971606305025659</v>
      </c>
      <c r="H51" s="263">
        <f>IF(H$25=0,0,H$25/AGR!H$5*1000)</f>
        <v>6.313126985520527</v>
      </c>
      <c r="I51" s="263">
        <f>IF(I$25=0,0,I$25/AGR!I$5*1000)</f>
        <v>5.9202787701574264</v>
      </c>
      <c r="J51" s="263">
        <f>IF(J$25=0,0,J$25/AGR!J$5*1000)</f>
        <v>5.8811787575798506</v>
      </c>
      <c r="K51" s="263">
        <f>IF(K$25=0,0,K$25/AGR!K$5*1000)</f>
        <v>6.5807935819819088</v>
      </c>
      <c r="L51" s="263">
        <f>IF(L$25=0,0,L$25/AGR!L$5*1000)</f>
        <v>5.9109404093501636</v>
      </c>
      <c r="M51" s="263">
        <f>IF(M$25=0,0,M$25/AGR!M$5*1000)</f>
        <v>5.5110446930914474</v>
      </c>
      <c r="N51" s="263">
        <f>IF(N$25=0,0,N$25/AGR!N$5*1000)</f>
        <v>5.6509897923351913</v>
      </c>
      <c r="O51" s="263">
        <f>IF(O$25=0,0,O$25/AGR!O$5*1000)</f>
        <v>5.5710020920058989</v>
      </c>
      <c r="P51" s="263">
        <f>IF(P$25=0,0,P$25/AGR!P$5*1000)</f>
        <v>5.4845984574533935</v>
      </c>
      <c r="Q51" s="263">
        <f>IF(Q$25=0,0,Q$25/AGR!Q$5*1000)</f>
        <v>5.6530549691432794</v>
      </c>
      <c r="R51" s="263">
        <f>IF(R$25=0,0,R$25/AGR!R$5*1000)</f>
        <v>5.7473199393791816</v>
      </c>
      <c r="S51" s="263">
        <f>IF(S$25=0,0,S$25/AGR!S$5*1000)</f>
        <v>5.5671614862809289</v>
      </c>
      <c r="T51" s="263">
        <f>IF(T$25=0,0,T$25/AGR!T$5*1000)</f>
        <v>6.437842272029239</v>
      </c>
      <c r="U51" s="263">
        <f>IF(U$25=0,0,U$25/AGR!U$5*1000)</f>
        <v>6.7037837397833293</v>
      </c>
      <c r="V51" s="263">
        <f>IF(V$25=0,0,V$25/AGR!V$5*1000)</f>
        <v>7.0028503581832098</v>
      </c>
      <c r="W51" s="263">
        <f>IF(W$25=0,0,W$25/AGR!W$5*1000)</f>
        <v>6.7685239077108168</v>
      </c>
      <c r="DA51" s="285"/>
    </row>
    <row r="52" spans="1:105" x14ac:dyDescent="0.25">
      <c r="A52" s="128" t="s">
        <v>177</v>
      </c>
      <c r="B52" s="263">
        <f>IF(B$26=0,0,B$26/AGR!B$5*1000)</f>
        <v>1.9901978843130472</v>
      </c>
      <c r="C52" s="263">
        <f>IF(C$26=0,0,C$26/AGR!C$5*1000)</f>
        <v>1.8884969374581266</v>
      </c>
      <c r="D52" s="263">
        <f>IF(D$26=0,0,D$26/AGR!D$5*1000)</f>
        <v>1.9972331170896984</v>
      </c>
      <c r="E52" s="263">
        <f>IF(E$26=0,0,E$26/AGR!E$5*1000)</f>
        <v>0.81482731044487744</v>
      </c>
      <c r="F52" s="263">
        <f>IF(F$26=0,0,F$26/AGR!F$5*1000)</f>
        <v>0.77659116314445897</v>
      </c>
      <c r="G52" s="263">
        <f>IF(G$26=0,0,G$26/AGR!G$5*1000)</f>
        <v>0.8851759113645179</v>
      </c>
      <c r="H52" s="263">
        <f>IF(H$26=0,0,H$26/AGR!H$5*1000)</f>
        <v>0.98729320174169799</v>
      </c>
      <c r="I52" s="263">
        <f>IF(I$26=0,0,I$26/AGR!I$5*1000)</f>
        <v>0.98755024566419758</v>
      </c>
      <c r="J52" s="263">
        <f>IF(J$26=0,0,J$26/AGR!J$5*1000)</f>
        <v>1.0415472676874493</v>
      </c>
      <c r="K52" s="263">
        <f>IF(K$26=0,0,K$26/AGR!K$5*1000)</f>
        <v>1.1770049515670273</v>
      </c>
      <c r="L52" s="263">
        <f>IF(L$26=0,0,L$26/AGR!L$5*1000)</f>
        <v>1.0465651580079984</v>
      </c>
      <c r="M52" s="263">
        <f>IF(M$26=0,0,M$26/AGR!M$5*1000)</f>
        <v>0.96276671406381786</v>
      </c>
      <c r="N52" s="263">
        <f>IF(N$26=0,0,N$26/AGR!N$5*1000)</f>
        <v>0.96189928236940803</v>
      </c>
      <c r="O52" s="263">
        <f>IF(O$26=0,0,O$26/AGR!O$5*1000)</f>
        <v>0.95707150096608273</v>
      </c>
      <c r="P52" s="263">
        <f>IF(P$26=0,0,P$26/AGR!P$5*1000)</f>
        <v>0.9549088854041059</v>
      </c>
      <c r="Q52" s="263">
        <f>IF(Q$26=0,0,Q$26/AGR!Q$5*1000)</f>
        <v>1.0055917995975097</v>
      </c>
      <c r="R52" s="263">
        <f>IF(R$26=0,0,R$26/AGR!R$5*1000)</f>
        <v>1.0435749819352327</v>
      </c>
      <c r="S52" s="263">
        <f>IF(S$26=0,0,S$26/AGR!S$5*1000)</f>
        <v>0.92840269282433807</v>
      </c>
      <c r="T52" s="263">
        <f>IF(T$26=0,0,T$26/AGR!T$5*1000)</f>
        <v>1.1175696930937744</v>
      </c>
      <c r="U52" s="263">
        <f>IF(U$26=0,0,U$26/AGR!U$5*1000)</f>
        <v>1.1501785923050571</v>
      </c>
      <c r="V52" s="263">
        <f>IF(V$26=0,0,V$26/AGR!V$5*1000)</f>
        <v>1.1910276019516226</v>
      </c>
      <c r="W52" s="263">
        <f>IF(W$26=0,0,W$26/AGR!W$5*1000)</f>
        <v>1.1451873414874001</v>
      </c>
      <c r="DA52" s="285"/>
    </row>
    <row r="53" spans="1:105" x14ac:dyDescent="0.25">
      <c r="A53" s="261" t="s">
        <v>33</v>
      </c>
      <c r="B53" s="264">
        <f>IF(B$27=0,0,B$27/AGR!B$5*1000)</f>
        <v>2.8857869322539167</v>
      </c>
      <c r="C53" s="264">
        <f>IF(C$27=0,0,C$27/AGR!C$5*1000)</f>
        <v>2.7383205593142854</v>
      </c>
      <c r="D53" s="264">
        <f>IF(D$27=0,0,D$27/AGR!D$5*1000)</f>
        <v>2.895988019780062</v>
      </c>
      <c r="E53" s="264">
        <f>IF(E$27=0,0,E$27/AGR!E$5*1000)</f>
        <v>1.1814996001450722</v>
      </c>
      <c r="F53" s="264">
        <f>IF(F$27=0,0,F$27/AGR!F$5*1000)</f>
        <v>1.1260571865594657</v>
      </c>
      <c r="G53" s="264">
        <f>IF(G$27=0,0,G$27/AGR!G$5*1000)</f>
        <v>1.283505071478551</v>
      </c>
      <c r="H53" s="264">
        <f>IF(H$27=0,0,H$27/AGR!H$5*1000)</f>
        <v>1.4315751425254626</v>
      </c>
      <c r="I53" s="264">
        <f>IF(I$27=0,0,I$27/AGR!I$5*1000)</f>
        <v>1.4319478562130863</v>
      </c>
      <c r="J53" s="264">
        <f>IF(J$27=0,0,J$27/AGR!J$5*1000)</f>
        <v>1.5102435381468013</v>
      </c>
      <c r="K53" s="264">
        <f>IF(K$27=0,0,K$27/AGR!K$5*1000)</f>
        <v>1.7066571797721899</v>
      </c>
      <c r="L53" s="264">
        <f>IF(L$27=0,0,L$27/AGR!L$5*1000)</f>
        <v>1.5175194791115976</v>
      </c>
      <c r="M53" s="264">
        <f>IF(M$27=0,0,M$27/AGR!M$5*1000)</f>
        <v>1.3960117353925352</v>
      </c>
      <c r="N53" s="264">
        <f>IF(N$27=0,0,N$27/AGR!N$5*1000)</f>
        <v>1.3947539594356411</v>
      </c>
      <c r="O53" s="264">
        <f>IF(O$27=0,0,O$27/AGR!O$5*1000)</f>
        <v>1.3877536764008198</v>
      </c>
      <c r="P53" s="264">
        <f>IF(P$27=0,0,P$27/AGR!P$5*1000)</f>
        <v>1.3846178838359535</v>
      </c>
      <c r="Q53" s="264">
        <f>IF(Q$27=0,0,Q$27/AGR!Q$5*1000)</f>
        <v>1.4581081094163895</v>
      </c>
      <c r="R53" s="264">
        <f>IF(R$27=0,0,R$27/AGR!R$5*1000)</f>
        <v>1.5131837238060872</v>
      </c>
      <c r="S53" s="264">
        <f>IF(S$27=0,0,S$27/AGR!S$5*1000)</f>
        <v>1.3461839045952904</v>
      </c>
      <c r="T53" s="264">
        <f>IF(T$27=0,0,T$27/AGR!T$5*1000)</f>
        <v>1.6204760549859722</v>
      </c>
      <c r="U53" s="264">
        <f>IF(U$27=0,0,U$27/AGR!U$5*1000)</f>
        <v>1.6677589588423329</v>
      </c>
      <c r="V53" s="264">
        <f>IF(V$27=0,0,V$27/AGR!V$5*1000)</f>
        <v>1.7269900228298525</v>
      </c>
      <c r="W53" s="264">
        <f>IF(W$27=0,0,W$27/AGR!W$5*1000)</f>
        <v>1.6605216451567306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1868.7820427628737</v>
      </c>
      <c r="C5" s="80">
        <f t="shared" ref="C5:W5" si="1">SUM(C6:C9,C16:C17,C25:C27)</f>
        <v>1829.221058702446</v>
      </c>
      <c r="D5" s="80">
        <f t="shared" si="1"/>
        <v>1748.9156687826728</v>
      </c>
      <c r="E5" s="80">
        <f t="shared" si="1"/>
        <v>1631.240703963289</v>
      </c>
      <c r="F5" s="80">
        <f t="shared" si="1"/>
        <v>1667.2350089412671</v>
      </c>
      <c r="G5" s="80">
        <f t="shared" si="1"/>
        <v>1714.9286026870839</v>
      </c>
      <c r="H5" s="80">
        <f t="shared" si="1"/>
        <v>1447.9350338249005</v>
      </c>
      <c r="I5" s="80">
        <f t="shared" si="1"/>
        <v>1335.8277112022295</v>
      </c>
      <c r="J5" s="80">
        <f t="shared" si="1"/>
        <v>1379.4555821362819</v>
      </c>
      <c r="K5" s="80">
        <f t="shared" si="1"/>
        <v>1352.1663969641818</v>
      </c>
      <c r="L5" s="80">
        <f t="shared" si="1"/>
        <v>1398.7401596529962</v>
      </c>
      <c r="M5" s="80">
        <f t="shared" si="1"/>
        <v>1384.8725625844318</v>
      </c>
      <c r="N5" s="80">
        <f t="shared" si="1"/>
        <v>1383.8120390731053</v>
      </c>
      <c r="O5" s="80">
        <f t="shared" si="1"/>
        <v>1351.0300591741498</v>
      </c>
      <c r="P5" s="80">
        <f t="shared" si="1"/>
        <v>1294.0026098547551</v>
      </c>
      <c r="Q5" s="80">
        <f t="shared" si="1"/>
        <v>1262.7727836030804</v>
      </c>
      <c r="R5" s="80">
        <f t="shared" si="1"/>
        <v>1341.4023760007522</v>
      </c>
      <c r="S5" s="80">
        <f t="shared" si="1"/>
        <v>1489.9211280606246</v>
      </c>
      <c r="T5" s="80">
        <f t="shared" si="1"/>
        <v>1514.811276655372</v>
      </c>
      <c r="U5" s="80">
        <f t="shared" si="1"/>
        <v>1491.9934584175903</v>
      </c>
      <c r="V5" s="80">
        <f t="shared" si="1"/>
        <v>1512.5518664681592</v>
      </c>
      <c r="W5" s="80">
        <f t="shared" si="1"/>
        <v>1503.2071198826118</v>
      </c>
      <c r="DA5" s="103"/>
    </row>
    <row r="6" spans="1:105" x14ac:dyDescent="0.25">
      <c r="A6" s="239" t="s">
        <v>125</v>
      </c>
      <c r="B6" s="240">
        <v>38.928491012140292</v>
      </c>
      <c r="C6" s="240">
        <v>37.659013680637017</v>
      </c>
      <c r="D6" s="240">
        <v>36.184868360493233</v>
      </c>
      <c r="E6" s="240">
        <v>13.34996074481074</v>
      </c>
      <c r="F6" s="240">
        <v>13.086354942075561</v>
      </c>
      <c r="G6" s="240">
        <v>13.433399714795639</v>
      </c>
      <c r="H6" s="240">
        <v>13.554396823090221</v>
      </c>
      <c r="I6" s="240">
        <v>13.331947219343069</v>
      </c>
      <c r="J6" s="240">
        <v>14.363532693437261</v>
      </c>
      <c r="K6" s="240">
        <v>14.195303772836469</v>
      </c>
      <c r="L6" s="240">
        <v>14.249537788376029</v>
      </c>
      <c r="M6" s="240">
        <v>14.07822326156524</v>
      </c>
      <c r="N6" s="240">
        <v>13.782371827566971</v>
      </c>
      <c r="O6" s="240">
        <v>13.598425776848609</v>
      </c>
      <c r="P6" s="240">
        <v>13.24530062940517</v>
      </c>
      <c r="Q6" s="240">
        <v>13.292376443734231</v>
      </c>
      <c r="R6" s="240">
        <v>14.38642508303446</v>
      </c>
      <c r="S6" s="240">
        <v>15.22357158157557</v>
      </c>
      <c r="T6" s="240">
        <v>16.35668931954805</v>
      </c>
      <c r="U6" s="240">
        <v>16.29842847514675</v>
      </c>
      <c r="V6" s="240">
        <v>16.358584193469291</v>
      </c>
      <c r="W6" s="240">
        <v>16.254368090769528</v>
      </c>
      <c r="DA6" s="268" t="s">
        <v>1014</v>
      </c>
    </row>
    <row r="7" spans="1:105" x14ac:dyDescent="0.25">
      <c r="A7" s="241" t="s">
        <v>124</v>
      </c>
      <c r="B7" s="242">
        <v>25.091675913528359</v>
      </c>
      <c r="C7" s="242">
        <v>24.273423960949021</v>
      </c>
      <c r="D7" s="242">
        <v>23.323251589485729</v>
      </c>
      <c r="E7" s="242">
        <v>8.6048259194699206</v>
      </c>
      <c r="F7" s="242">
        <v>8.4349166525247004</v>
      </c>
      <c r="G7" s="242">
        <v>8.6586071870964272</v>
      </c>
      <c r="H7" s="242">
        <v>8.7365968586419953</v>
      </c>
      <c r="I7" s="242">
        <v>8.5932151549285027</v>
      </c>
      <c r="J7" s="242">
        <v>9.25813197343561</v>
      </c>
      <c r="K7" s="242">
        <v>9.1496986526145854</v>
      </c>
      <c r="L7" s="242">
        <v>9.184655629009681</v>
      </c>
      <c r="M7" s="242">
        <v>9.0742334555769801</v>
      </c>
      <c r="N7" s="242">
        <v>8.8835400043943444</v>
      </c>
      <c r="O7" s="242">
        <v>8.7649760793565363</v>
      </c>
      <c r="P7" s="242">
        <v>8.5373663897386027</v>
      </c>
      <c r="Q7" s="242">
        <v>8.5677094892474397</v>
      </c>
      <c r="R7" s="242">
        <v>9.2728874495849425</v>
      </c>
      <c r="S7" s="242">
        <v>9.8124770428981805</v>
      </c>
      <c r="T7" s="242">
        <v>10.542837308961641</v>
      </c>
      <c r="U7" s="242">
        <v>10.505284807229421</v>
      </c>
      <c r="V7" s="242">
        <v>10.54405866537933</v>
      </c>
      <c r="W7" s="242">
        <v>10.47688532765355</v>
      </c>
      <c r="DA7" s="269" t="s">
        <v>1015</v>
      </c>
    </row>
    <row r="8" spans="1:105" x14ac:dyDescent="0.25">
      <c r="A8" s="241" t="s">
        <v>123</v>
      </c>
      <c r="B8" s="242">
        <v>49.862987141172702</v>
      </c>
      <c r="C8" s="242">
        <v>48.236930486754297</v>
      </c>
      <c r="D8" s="242">
        <v>46.348717323813403</v>
      </c>
      <c r="E8" s="242">
        <v>17.099787421661471</v>
      </c>
      <c r="F8" s="242">
        <v>16.762138249798539</v>
      </c>
      <c r="G8" s="242">
        <v>17.206663290190061</v>
      </c>
      <c r="H8" s="242">
        <v>17.361646879282429</v>
      </c>
      <c r="I8" s="242">
        <v>17.076714136121549</v>
      </c>
      <c r="J8" s="242">
        <v>18.398058269746912</v>
      </c>
      <c r="K8" s="242">
        <v>18.18257607954142</v>
      </c>
      <c r="L8" s="242">
        <v>18.25204370978221</v>
      </c>
      <c r="M8" s="242">
        <v>18.03260920756124</v>
      </c>
      <c r="N8" s="242">
        <v>17.65365703485687</v>
      </c>
      <c r="O8" s="242">
        <v>17.418042981417742</v>
      </c>
      <c r="P8" s="242">
        <v>16.965729669794499</v>
      </c>
      <c r="Q8" s="242">
        <v>17.02602845517043</v>
      </c>
      <c r="R8" s="242">
        <v>18.42738082755578</v>
      </c>
      <c r="S8" s="242">
        <v>19.499670659674251</v>
      </c>
      <c r="T8" s="242">
        <v>20.951066121685251</v>
      </c>
      <c r="U8" s="242">
        <v>20.876440579834419</v>
      </c>
      <c r="V8" s="242">
        <v>20.953493240525781</v>
      </c>
      <c r="W8" s="242">
        <v>20.820004218636889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558.73628065801836</v>
      </c>
      <c r="C9" s="244">
        <f t="shared" ref="C9:W9" si="3">SUM(C10:C15)</f>
        <v>539.43280271597826</v>
      </c>
      <c r="D9" s="244">
        <f t="shared" si="3"/>
        <v>523.89130112140629</v>
      </c>
      <c r="E9" s="244">
        <f t="shared" si="3"/>
        <v>524.58521644945506</v>
      </c>
      <c r="F9" s="244">
        <f t="shared" si="3"/>
        <v>535.99537135632431</v>
      </c>
      <c r="G9" s="244">
        <f t="shared" si="3"/>
        <v>547.25054038316534</v>
      </c>
      <c r="H9" s="244">
        <f t="shared" si="3"/>
        <v>436.23693526168171</v>
      </c>
      <c r="I9" s="244">
        <f t="shared" si="3"/>
        <v>404.66514205189668</v>
      </c>
      <c r="J9" s="244">
        <f t="shared" si="3"/>
        <v>411.11487379339206</v>
      </c>
      <c r="K9" s="244">
        <f t="shared" si="3"/>
        <v>401.69549238824328</v>
      </c>
      <c r="L9" s="244">
        <f t="shared" si="3"/>
        <v>407.04034492596281</v>
      </c>
      <c r="M9" s="244">
        <f t="shared" si="3"/>
        <v>407.77503270123964</v>
      </c>
      <c r="N9" s="244">
        <f t="shared" si="3"/>
        <v>411.0275726068067</v>
      </c>
      <c r="O9" s="244">
        <f t="shared" si="3"/>
        <v>401.03538008732971</v>
      </c>
      <c r="P9" s="244">
        <f t="shared" si="3"/>
        <v>385.01801392215805</v>
      </c>
      <c r="Q9" s="244">
        <f t="shared" si="3"/>
        <v>377.21796135496214</v>
      </c>
      <c r="R9" s="244">
        <f t="shared" si="3"/>
        <v>399.69429272594431</v>
      </c>
      <c r="S9" s="244">
        <f t="shared" si="3"/>
        <v>459.90205050757834</v>
      </c>
      <c r="T9" s="244">
        <f t="shared" si="3"/>
        <v>471.99960868564926</v>
      </c>
      <c r="U9" s="244">
        <f t="shared" si="3"/>
        <v>476.57092855255291</v>
      </c>
      <c r="V9" s="244">
        <f t="shared" si="3"/>
        <v>483.32988245867153</v>
      </c>
      <c r="W9" s="244">
        <f t="shared" si="3"/>
        <v>484.52852066294776</v>
      </c>
      <c r="DA9" s="270"/>
    </row>
    <row r="10" spans="1:105" x14ac:dyDescent="0.25">
      <c r="A10" s="254" t="s">
        <v>173</v>
      </c>
      <c r="B10" s="255">
        <v>498.21919992457782</v>
      </c>
      <c r="C10" s="255">
        <v>472.57308092904009</v>
      </c>
      <c r="D10" s="255">
        <v>462.79258361214278</v>
      </c>
      <c r="E10" s="255">
        <v>492.43596654800172</v>
      </c>
      <c r="F10" s="255">
        <v>504.07699464379959</v>
      </c>
      <c r="G10" s="255">
        <v>518.8819607205503</v>
      </c>
      <c r="H10" s="255">
        <v>400.38818416411249</v>
      </c>
      <c r="I10" s="255">
        <v>363.63835091531928</v>
      </c>
      <c r="J10" s="255">
        <v>366.15786221507858</v>
      </c>
      <c r="K10" s="255">
        <v>359.39279846605803</v>
      </c>
      <c r="L10" s="255">
        <v>364.90666575241892</v>
      </c>
      <c r="M10" s="255">
        <v>365.2579464832574</v>
      </c>
      <c r="N10" s="255">
        <v>365.55876291831453</v>
      </c>
      <c r="O10" s="255">
        <v>358.61021180275162</v>
      </c>
      <c r="P10" s="255">
        <v>344.82845720086812</v>
      </c>
      <c r="Q10" s="255">
        <v>340.01103399201008</v>
      </c>
      <c r="R10" s="255">
        <v>360.14022774868351</v>
      </c>
      <c r="S10" s="255">
        <v>419.41575567720452</v>
      </c>
      <c r="T10" s="255">
        <v>436.53961160373518</v>
      </c>
      <c r="U10" s="255">
        <v>440.00055186381911</v>
      </c>
      <c r="V10" s="255">
        <v>444.12105374125741</v>
      </c>
      <c r="W10" s="255">
        <v>440.98582136043512</v>
      </c>
      <c r="DA10" s="271" t="s">
        <v>1017</v>
      </c>
    </row>
    <row r="11" spans="1:105" x14ac:dyDescent="0.25">
      <c r="A11" s="254" t="s">
        <v>176</v>
      </c>
      <c r="B11" s="256">
        <v>5.1888355930279007</v>
      </c>
      <c r="C11" s="256">
        <v>7.8565526566365467</v>
      </c>
      <c r="D11" s="256">
        <v>8.8731076509411029</v>
      </c>
      <c r="E11" s="256">
        <v>12.087316003176721</v>
      </c>
      <c r="F11" s="256">
        <v>12.01276910595368</v>
      </c>
      <c r="G11" s="256">
        <v>11.163833494216229</v>
      </c>
      <c r="H11" s="256">
        <v>16.993593722326651</v>
      </c>
      <c r="I11" s="256">
        <v>20.69238633570713</v>
      </c>
      <c r="J11" s="256">
        <v>22.943067265394291</v>
      </c>
      <c r="K11" s="256">
        <v>19.324832273852351</v>
      </c>
      <c r="L11" s="256">
        <v>18.233653491616799</v>
      </c>
      <c r="M11" s="256">
        <v>20.628016880186319</v>
      </c>
      <c r="N11" s="256">
        <v>23.852348745325699</v>
      </c>
      <c r="O11" s="256">
        <v>20.78666700941201</v>
      </c>
      <c r="P11" s="256">
        <v>20.398140841896151</v>
      </c>
      <c r="Q11" s="256">
        <v>17.45400933221568</v>
      </c>
      <c r="R11" s="256">
        <v>19.18177189934238</v>
      </c>
      <c r="S11" s="256">
        <v>20.61785505425652</v>
      </c>
      <c r="T11" s="256">
        <v>16.930212076126431</v>
      </c>
      <c r="U11" s="256">
        <v>18.811044740817731</v>
      </c>
      <c r="V11" s="256">
        <v>21.408110469299508</v>
      </c>
      <c r="W11" s="256">
        <v>24.461815851848709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18.40711091309376</v>
      </c>
      <c r="C14" s="255">
        <v>22.08849333638523</v>
      </c>
      <c r="D14" s="255">
        <v>18.407110913093671</v>
      </c>
      <c r="E14" s="255">
        <v>18.40704464754538</v>
      </c>
      <c r="F14" s="255">
        <v>18.40711091309155</v>
      </c>
      <c r="G14" s="255">
        <v>15.64602439646395</v>
      </c>
      <c r="H14" s="255">
        <v>16.19821519357189</v>
      </c>
      <c r="I14" s="255">
        <v>17.394705897105961</v>
      </c>
      <c r="J14" s="255">
        <v>18.40711091309128</v>
      </c>
      <c r="K14" s="255">
        <v>19.3274730853006</v>
      </c>
      <c r="L14" s="255">
        <v>20.24783525750993</v>
      </c>
      <c r="M14" s="255">
        <v>18.407110913091291</v>
      </c>
      <c r="N14" s="255">
        <v>18.40711091309101</v>
      </c>
      <c r="O14" s="255">
        <v>18.407110913091081</v>
      </c>
      <c r="P14" s="255">
        <v>16.56638656867279</v>
      </c>
      <c r="Q14" s="255">
        <v>16.382300881121822</v>
      </c>
      <c r="R14" s="255">
        <v>16.566386568673082</v>
      </c>
      <c r="S14" s="255">
        <v>16.566386568674211</v>
      </c>
      <c r="T14" s="255">
        <v>14.72566222425576</v>
      </c>
      <c r="U14" s="255">
        <v>14.17347142714859</v>
      </c>
      <c r="V14" s="255">
        <v>14.265514270924109</v>
      </c>
      <c r="W14" s="255">
        <v>15.646024396464821</v>
      </c>
      <c r="DA14" s="271" t="s">
        <v>1021</v>
      </c>
    </row>
    <row r="15" spans="1:105" x14ac:dyDescent="0.25">
      <c r="A15" s="254" t="s">
        <v>24</v>
      </c>
      <c r="B15" s="256">
        <v>36.921134227318923</v>
      </c>
      <c r="C15" s="256">
        <v>36.914675793916373</v>
      </c>
      <c r="D15" s="256">
        <v>33.818498945228782</v>
      </c>
      <c r="E15" s="256">
        <v>1.6548892507312289</v>
      </c>
      <c r="F15" s="256">
        <v>1.4984966934795081</v>
      </c>
      <c r="G15" s="256">
        <v>1.5587217719348181</v>
      </c>
      <c r="H15" s="256">
        <v>2.6569421816706451</v>
      </c>
      <c r="I15" s="256">
        <v>2.939698903764334</v>
      </c>
      <c r="J15" s="256">
        <v>3.6068333998279209</v>
      </c>
      <c r="K15" s="256">
        <v>3.6503885630323198</v>
      </c>
      <c r="L15" s="256">
        <v>3.6521904244172139</v>
      </c>
      <c r="M15" s="256">
        <v>3.4819584247046662</v>
      </c>
      <c r="N15" s="256">
        <v>3.2093500300754991</v>
      </c>
      <c r="O15" s="256">
        <v>3.2313903620750701</v>
      </c>
      <c r="P15" s="256">
        <v>3.2250293107209509</v>
      </c>
      <c r="Q15" s="256">
        <v>3.370617149614568</v>
      </c>
      <c r="R15" s="256">
        <v>3.8059065092453328</v>
      </c>
      <c r="S15" s="256">
        <v>3.3020532074431039</v>
      </c>
      <c r="T15" s="256">
        <v>3.804122781531885</v>
      </c>
      <c r="U15" s="256">
        <v>3.5858605207674952</v>
      </c>
      <c r="V15" s="256">
        <v>3.5352039771905068</v>
      </c>
      <c r="W15" s="256">
        <v>3.434859054199058</v>
      </c>
      <c r="DA15" s="272" t="s">
        <v>1022</v>
      </c>
    </row>
    <row r="16" spans="1:105" x14ac:dyDescent="0.25">
      <c r="A16" s="257" t="s">
        <v>175</v>
      </c>
      <c r="B16" s="258">
        <v>417.418515261099</v>
      </c>
      <c r="C16" s="258">
        <v>400.90584304122012</v>
      </c>
      <c r="D16" s="258">
        <v>390.13491294391912</v>
      </c>
      <c r="E16" s="258">
        <v>388.60726769876601</v>
      </c>
      <c r="F16" s="258">
        <v>397.00796472536229</v>
      </c>
      <c r="G16" s="258">
        <v>406.73949033116941</v>
      </c>
      <c r="H16" s="258">
        <v>322.75826203989089</v>
      </c>
      <c r="I16" s="258">
        <v>297.62906155028088</v>
      </c>
      <c r="J16" s="258">
        <v>302.02678307537877</v>
      </c>
      <c r="K16" s="258">
        <v>295.5585063575711</v>
      </c>
      <c r="L16" s="258">
        <v>299.70216482664398</v>
      </c>
      <c r="M16" s="258">
        <v>300.09551727880739</v>
      </c>
      <c r="N16" s="258">
        <v>301.52107872236019</v>
      </c>
      <c r="O16" s="258">
        <v>294.76530639521201</v>
      </c>
      <c r="P16" s="258">
        <v>283.29800514138901</v>
      </c>
      <c r="Q16" s="258">
        <v>278.26777228975601</v>
      </c>
      <c r="R16" s="258">
        <v>295.04849052718481</v>
      </c>
      <c r="S16" s="258">
        <v>339.94822270442512</v>
      </c>
      <c r="T16" s="258">
        <v>350.88105074605858</v>
      </c>
      <c r="U16" s="258">
        <v>353.75227410325601</v>
      </c>
      <c r="V16" s="258">
        <v>358.17686185689968</v>
      </c>
      <c r="W16" s="258">
        <v>357.75549458189732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625.16137316349295</v>
      </c>
      <c r="C17" s="258">
        <f t="shared" ref="C17:W17" si="5">SUM(C18:C24)</f>
        <v>630.52887529186103</v>
      </c>
      <c r="D17" s="258">
        <f t="shared" si="5"/>
        <v>585.986941762877</v>
      </c>
      <c r="E17" s="258">
        <f t="shared" si="5"/>
        <v>593.30770009604794</v>
      </c>
      <c r="F17" s="258">
        <f t="shared" si="5"/>
        <v>609.79212030086285</v>
      </c>
      <c r="G17" s="258">
        <f t="shared" si="5"/>
        <v>633.30613360960865</v>
      </c>
      <c r="H17" s="258">
        <f t="shared" si="5"/>
        <v>571.94696515349403</v>
      </c>
      <c r="I17" s="258">
        <f t="shared" si="5"/>
        <v>521.12832645417711</v>
      </c>
      <c r="J17" s="258">
        <f t="shared" si="5"/>
        <v>547.71736711891526</v>
      </c>
      <c r="K17" s="258">
        <f t="shared" si="5"/>
        <v>538.09910352187501</v>
      </c>
      <c r="L17" s="258">
        <f t="shared" si="5"/>
        <v>574.33258551634594</v>
      </c>
      <c r="M17" s="258">
        <f t="shared" si="5"/>
        <v>560.2139980495183</v>
      </c>
      <c r="N17" s="258">
        <f t="shared" si="5"/>
        <v>555.88961312407332</v>
      </c>
      <c r="O17" s="258">
        <f t="shared" si="5"/>
        <v>541.76285132007797</v>
      </c>
      <c r="P17" s="258">
        <f t="shared" si="5"/>
        <v>515.67944242538988</v>
      </c>
      <c r="Q17" s="258">
        <f t="shared" si="5"/>
        <v>497.70097709539431</v>
      </c>
      <c r="R17" s="258">
        <f t="shared" si="5"/>
        <v>528.87742200452328</v>
      </c>
      <c r="S17" s="258">
        <f t="shared" si="5"/>
        <v>561.70483612967416</v>
      </c>
      <c r="T17" s="258">
        <f t="shared" si="5"/>
        <v>555.94302337692045</v>
      </c>
      <c r="U17" s="258">
        <f t="shared" si="5"/>
        <v>525.61271314937517</v>
      </c>
      <c r="V17" s="258">
        <f t="shared" si="5"/>
        <v>534.06587657971806</v>
      </c>
      <c r="W17" s="258">
        <f t="shared" si="5"/>
        <v>524.56626191954444</v>
      </c>
      <c r="DA17" s="273"/>
    </row>
    <row r="18" spans="1:105" x14ac:dyDescent="0.25">
      <c r="A18" s="61" t="s">
        <v>29</v>
      </c>
      <c r="B18" s="55">
        <v>247.7577517709594</v>
      </c>
      <c r="C18" s="55">
        <v>276.18029602817592</v>
      </c>
      <c r="D18" s="55">
        <v>231.08179967438599</v>
      </c>
      <c r="E18" s="55">
        <v>224.63103147195471</v>
      </c>
      <c r="F18" s="55">
        <v>235.89436003008981</v>
      </c>
      <c r="G18" s="55">
        <v>256.93567864049658</v>
      </c>
      <c r="H18" s="55">
        <v>303.19229907271432</v>
      </c>
      <c r="I18" s="55">
        <v>268.33699776322919</v>
      </c>
      <c r="J18" s="55">
        <v>298.57921398547609</v>
      </c>
      <c r="K18" s="55">
        <v>296.03287872381333</v>
      </c>
      <c r="L18" s="55">
        <v>328.95840037779692</v>
      </c>
      <c r="M18" s="55">
        <v>288.93254633812961</v>
      </c>
      <c r="N18" s="55">
        <v>299.93353857778561</v>
      </c>
      <c r="O18" s="55">
        <v>293.15624412095349</v>
      </c>
      <c r="P18" s="55">
        <v>278.90743096513529</v>
      </c>
      <c r="Q18" s="55">
        <v>253.3280144015329</v>
      </c>
      <c r="R18" s="55">
        <v>269.42374168371919</v>
      </c>
      <c r="S18" s="55">
        <v>267.51123754524269</v>
      </c>
      <c r="T18" s="55">
        <v>251.057399237992</v>
      </c>
      <c r="U18" s="55">
        <v>202.86347670682051</v>
      </c>
      <c r="V18" s="55">
        <v>208.1565954329682</v>
      </c>
      <c r="W18" s="55">
        <v>170.3167349999589</v>
      </c>
      <c r="DA18" s="101" t="s">
        <v>1024</v>
      </c>
    </row>
    <row r="19" spans="1:105" x14ac:dyDescent="0.25">
      <c r="A19" s="61" t="s">
        <v>27</v>
      </c>
      <c r="B19" s="55">
        <v>14.47506340553446</v>
      </c>
      <c r="C19" s="55">
        <v>18.09380171453741</v>
      </c>
      <c r="D19" s="55">
        <v>21.712567565920779</v>
      </c>
      <c r="E19" s="55">
        <v>25.331333417306329</v>
      </c>
      <c r="F19" s="55">
        <v>25.331333417306219</v>
      </c>
      <c r="G19" s="55">
        <v>25.33133341730624</v>
      </c>
      <c r="H19" s="55">
        <v>18.0938017145393</v>
      </c>
      <c r="I19" s="55">
        <v>18.09380171453661</v>
      </c>
      <c r="J19" s="55">
        <v>18.455681053913491</v>
      </c>
      <c r="K19" s="55">
        <v>15.836868874453319</v>
      </c>
      <c r="L19" s="55">
        <v>17.596524031879252</v>
      </c>
      <c r="M19" s="55">
        <v>17.948460571840481</v>
      </c>
      <c r="N19" s="55">
        <v>17.59652403187895</v>
      </c>
      <c r="O19" s="55">
        <v>17.596524031879021</v>
      </c>
      <c r="P19" s="55">
        <v>18.652306109382451</v>
      </c>
      <c r="Q19" s="55">
        <v>20.060024726847281</v>
      </c>
      <c r="R19" s="55">
        <v>21.115834346731472</v>
      </c>
      <c r="S19" s="55">
        <v>21.81967988427613</v>
      </c>
      <c r="T19" s="55">
        <v>21.819679884276319</v>
      </c>
      <c r="U19" s="55">
        <v>22.875489504160331</v>
      </c>
      <c r="V19" s="55">
        <v>21.819679884276152</v>
      </c>
      <c r="W19" s="55">
        <v>20.411961266811261</v>
      </c>
      <c r="DA19" s="101" t="s">
        <v>1025</v>
      </c>
    </row>
    <row r="20" spans="1:105" x14ac:dyDescent="0.25">
      <c r="A20" s="61" t="s">
        <v>173</v>
      </c>
      <c r="B20" s="55">
        <v>191.57819218587369</v>
      </c>
      <c r="C20" s="55">
        <v>165.06740904298849</v>
      </c>
      <c r="D20" s="55">
        <v>177.39480797458609</v>
      </c>
      <c r="E20" s="55">
        <v>172.68174605122081</v>
      </c>
      <c r="F20" s="55">
        <v>174.0682226415214</v>
      </c>
      <c r="G20" s="55">
        <v>173.67864804517021</v>
      </c>
      <c r="H20" s="55">
        <v>104.1266758833265</v>
      </c>
      <c r="I20" s="55">
        <v>97.893692388804411</v>
      </c>
      <c r="J20" s="55">
        <v>92.500646892382591</v>
      </c>
      <c r="K20" s="55">
        <v>89.824179797816157</v>
      </c>
      <c r="L20" s="55">
        <v>82.370882431479799</v>
      </c>
      <c r="M20" s="55">
        <v>86.581551048907997</v>
      </c>
      <c r="N20" s="55">
        <v>89.183673896284816</v>
      </c>
      <c r="O20" s="55">
        <v>87.77878398389872</v>
      </c>
      <c r="P20" s="55">
        <v>86.106956150140462</v>
      </c>
      <c r="Q20" s="55">
        <v>87.688999789764154</v>
      </c>
      <c r="R20" s="55">
        <v>92.538551653818345</v>
      </c>
      <c r="S20" s="55">
        <v>126.0611300701722</v>
      </c>
      <c r="T20" s="55">
        <v>142.32858184760099</v>
      </c>
      <c r="U20" s="55">
        <v>164.71572955628761</v>
      </c>
      <c r="V20" s="55">
        <v>165.17574747158429</v>
      </c>
      <c r="W20" s="55">
        <v>170.11933996026579</v>
      </c>
      <c r="DA20" s="101" t="s">
        <v>1026</v>
      </c>
    </row>
    <row r="21" spans="1:105" x14ac:dyDescent="0.25">
      <c r="A21" s="61" t="s">
        <v>129</v>
      </c>
      <c r="B21" s="55">
        <v>60.164931690247727</v>
      </c>
      <c r="C21" s="55">
        <v>46.90222674493058</v>
      </c>
      <c r="D21" s="55">
        <v>31.21588290301467</v>
      </c>
      <c r="E21" s="55">
        <v>45.219661624628962</v>
      </c>
      <c r="F21" s="55">
        <v>43.650288498239213</v>
      </c>
      <c r="G21" s="55">
        <v>52.215083923336607</v>
      </c>
      <c r="H21" s="55">
        <v>14.783728499285621</v>
      </c>
      <c r="I21" s="55">
        <v>9.7728720765456085</v>
      </c>
      <c r="J21" s="55">
        <v>11.173193499967541</v>
      </c>
      <c r="K21" s="55">
        <v>10.30120773418049</v>
      </c>
      <c r="L21" s="55">
        <v>6.8720204458439742</v>
      </c>
      <c r="M21" s="55">
        <v>9.3263134622167705</v>
      </c>
      <c r="N21" s="55">
        <v>9.8717064563150299</v>
      </c>
      <c r="O21" s="55">
        <v>4.710892730276802</v>
      </c>
      <c r="P21" s="55">
        <v>3.8653151573458979</v>
      </c>
      <c r="Q21" s="55">
        <v>3.020130271297615</v>
      </c>
      <c r="R21" s="55">
        <v>4.1109408024245653</v>
      </c>
      <c r="S21" s="55">
        <v>4.5448843506500074</v>
      </c>
      <c r="T21" s="55">
        <v>3.0860034958574909</v>
      </c>
      <c r="U21" s="55">
        <v>3.1473608212668038</v>
      </c>
      <c r="V21" s="55">
        <v>3.1311870302888969</v>
      </c>
      <c r="W21" s="55">
        <v>2.099328617415118</v>
      </c>
      <c r="DA21" s="101" t="s">
        <v>1027</v>
      </c>
    </row>
    <row r="22" spans="1:105" x14ac:dyDescent="0.25">
      <c r="A22" s="61" t="s">
        <v>176</v>
      </c>
      <c r="B22" s="55">
        <v>1.9474654613384359</v>
      </c>
      <c r="C22" s="55">
        <v>2.67854300583465</v>
      </c>
      <c r="D22" s="55">
        <v>3.3197433338517408</v>
      </c>
      <c r="E22" s="55">
        <v>4.1371454054320784</v>
      </c>
      <c r="F22" s="55">
        <v>4.0489274054073663</v>
      </c>
      <c r="G22" s="55">
        <v>3.6472493100513228</v>
      </c>
      <c r="H22" s="55">
        <v>4.3136035282156779</v>
      </c>
      <c r="I22" s="55">
        <v>5.4371316820070694</v>
      </c>
      <c r="J22" s="55">
        <v>5.6572077473027162</v>
      </c>
      <c r="K22" s="55">
        <v>4.7142636366313173</v>
      </c>
      <c r="L22" s="55">
        <v>4.0173517768107958</v>
      </c>
      <c r="M22" s="55">
        <v>4.772626073909203</v>
      </c>
      <c r="N22" s="55">
        <v>5.6798066719032612</v>
      </c>
      <c r="O22" s="55">
        <v>4.9662206302107332</v>
      </c>
      <c r="P22" s="55">
        <v>4.9716433631521939</v>
      </c>
      <c r="Q22" s="55">
        <v>4.3936104877388216</v>
      </c>
      <c r="R22" s="55">
        <v>4.8107637329137658</v>
      </c>
      <c r="S22" s="55">
        <v>6.0485904591195156</v>
      </c>
      <c r="T22" s="55">
        <v>5.3877210956345749</v>
      </c>
      <c r="U22" s="55">
        <v>6.8733587516128321</v>
      </c>
      <c r="V22" s="55">
        <v>7.7713684396172171</v>
      </c>
      <c r="W22" s="55">
        <v>9.2106864492378957</v>
      </c>
      <c r="DA22" s="101" t="s">
        <v>1028</v>
      </c>
    </row>
    <row r="23" spans="1:105" x14ac:dyDescent="0.25">
      <c r="A23" s="61" t="s">
        <v>171</v>
      </c>
      <c r="B23" s="55">
        <v>109.2379686495392</v>
      </c>
      <c r="C23" s="55">
        <v>121.606598755394</v>
      </c>
      <c r="D23" s="55">
        <v>121.26214031111761</v>
      </c>
      <c r="E23" s="55">
        <v>121.30678212550509</v>
      </c>
      <c r="F23" s="55">
        <v>126.7989883082988</v>
      </c>
      <c r="G23" s="55">
        <v>121.4981402732476</v>
      </c>
      <c r="H23" s="55">
        <v>127.4368564554126</v>
      </c>
      <c r="I23" s="55">
        <v>121.5938308290542</v>
      </c>
      <c r="J23" s="55">
        <v>121.3514239398728</v>
      </c>
      <c r="K23" s="55">
        <v>121.3897047549804</v>
      </c>
      <c r="L23" s="55">
        <v>134.51740645253511</v>
      </c>
      <c r="M23" s="55">
        <v>152.65250055451429</v>
      </c>
      <c r="N23" s="55">
        <v>133.62436348990559</v>
      </c>
      <c r="O23" s="55">
        <v>133.55418582285921</v>
      </c>
      <c r="P23" s="55">
        <v>123.1757906802336</v>
      </c>
      <c r="Q23" s="55">
        <v>129.21019741821351</v>
      </c>
      <c r="R23" s="55">
        <v>136.87758978491601</v>
      </c>
      <c r="S23" s="55">
        <v>135.71931382021361</v>
      </c>
      <c r="T23" s="55">
        <v>132.26363781555909</v>
      </c>
      <c r="U23" s="55">
        <v>125.13729780922699</v>
      </c>
      <c r="V23" s="55">
        <v>128.01129832098329</v>
      </c>
      <c r="W23" s="55">
        <v>152.4082106258555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56.147312451036207</v>
      </c>
      <c r="C25" s="258">
        <v>53.926179145650487</v>
      </c>
      <c r="D25" s="258">
        <v>52.477372359532843</v>
      </c>
      <c r="E25" s="258">
        <v>52.271887524150571</v>
      </c>
      <c r="F25" s="258">
        <v>53.401872284083282</v>
      </c>
      <c r="G25" s="258">
        <v>54.710867905594547</v>
      </c>
      <c r="H25" s="258">
        <v>43.414482880740692</v>
      </c>
      <c r="I25" s="258">
        <v>40.034333174989577</v>
      </c>
      <c r="J25" s="258">
        <v>40.625874363304803</v>
      </c>
      <c r="K25" s="258">
        <v>39.755821069987562</v>
      </c>
      <c r="L25" s="258">
        <v>40.313188024847918</v>
      </c>
      <c r="M25" s="258">
        <v>40.366098191090032</v>
      </c>
      <c r="N25" s="258">
        <v>40.557851649221227</v>
      </c>
      <c r="O25" s="258">
        <v>39.649127081833058</v>
      </c>
      <c r="P25" s="258">
        <v>38.106650830951317</v>
      </c>
      <c r="Q25" s="258">
        <v>37.430030016837627</v>
      </c>
      <c r="R25" s="258">
        <v>39.687218415489177</v>
      </c>
      <c r="S25" s="258">
        <v>45.726718819409797</v>
      </c>
      <c r="T25" s="258">
        <v>47.197302632978968</v>
      </c>
      <c r="U25" s="258">
        <v>47.583513280229347</v>
      </c>
      <c r="V25" s="258">
        <v>48.178668267342118</v>
      </c>
      <c r="W25" s="258">
        <v>48.121989803926589</v>
      </c>
      <c r="DA25" s="273" t="s">
        <v>1031</v>
      </c>
    </row>
    <row r="26" spans="1:105" x14ac:dyDescent="0.25">
      <c r="A26" s="257" t="s">
        <v>177</v>
      </c>
      <c r="B26" s="258">
        <v>38.602578328505182</v>
      </c>
      <c r="C26" s="258">
        <v>37.343729170690807</v>
      </c>
      <c r="D26" s="258">
        <v>35.881925522285748</v>
      </c>
      <c r="E26" s="258">
        <v>13.238193722261419</v>
      </c>
      <c r="F26" s="258">
        <v>12.976794850038001</v>
      </c>
      <c r="G26" s="258">
        <v>13.3209341339945</v>
      </c>
      <c r="H26" s="258">
        <v>13.44091824406461</v>
      </c>
      <c r="I26" s="258">
        <v>13.22033100758232</v>
      </c>
      <c r="J26" s="258">
        <v>14.243279959131719</v>
      </c>
      <c r="K26" s="258">
        <v>14.076459465560911</v>
      </c>
      <c r="L26" s="258">
        <v>14.130239429245661</v>
      </c>
      <c r="M26" s="258">
        <v>13.96035916242613</v>
      </c>
      <c r="N26" s="258">
        <v>13.666984622145151</v>
      </c>
      <c r="O26" s="258">
        <v>13.48457858362544</v>
      </c>
      <c r="P26" s="258">
        <v>13.13440983036709</v>
      </c>
      <c r="Q26" s="258">
        <v>13.181091521919139</v>
      </c>
      <c r="R26" s="258">
        <v>14.265980691669149</v>
      </c>
      <c r="S26" s="258">
        <v>15.09611852753566</v>
      </c>
      <c r="T26" s="258">
        <v>16.219749706094831</v>
      </c>
      <c r="U26" s="258">
        <v>16.161976626506799</v>
      </c>
      <c r="V26" s="258">
        <v>16.221628715968201</v>
      </c>
      <c r="W26" s="258">
        <v>16.118285119467011</v>
      </c>
      <c r="DA26" s="273" t="s">
        <v>1032</v>
      </c>
    </row>
    <row r="27" spans="1:105" x14ac:dyDescent="0.25">
      <c r="A27" s="129" t="s">
        <v>33</v>
      </c>
      <c r="B27" s="259">
        <v>58.832828833880768</v>
      </c>
      <c r="C27" s="259">
        <v>56.914261208705398</v>
      </c>
      <c r="D27" s="259">
        <v>54.686377798859382</v>
      </c>
      <c r="E27" s="259">
        <v>20.175864386665712</v>
      </c>
      <c r="F27" s="259">
        <v>19.777475580197471</v>
      </c>
      <c r="G27" s="259">
        <v>20.301966131469189</v>
      </c>
      <c r="H27" s="259">
        <v>20.48482968401402</v>
      </c>
      <c r="I27" s="259">
        <v>20.14864045290976</v>
      </c>
      <c r="J27" s="259">
        <v>21.707680889539422</v>
      </c>
      <c r="K27" s="259">
        <v>21.453435655951289</v>
      </c>
      <c r="L27" s="259">
        <v>21.5353998027819</v>
      </c>
      <c r="M27" s="259">
        <v>21.276491276646802</v>
      </c>
      <c r="N27" s="259">
        <v>20.829369481680491</v>
      </c>
      <c r="O27" s="259">
        <v>20.551370868448689</v>
      </c>
      <c r="P27" s="259">
        <v>20.017691015561521</v>
      </c>
      <c r="Q27" s="259">
        <v>20.08883693605901</v>
      </c>
      <c r="R27" s="259">
        <v>21.74227827576615</v>
      </c>
      <c r="S27" s="259">
        <v>23.0074620878536</v>
      </c>
      <c r="T27" s="259">
        <v>24.719948757475048</v>
      </c>
      <c r="U27" s="259">
        <v>24.631898843459371</v>
      </c>
      <c r="V27" s="259">
        <v>24.722812490185252</v>
      </c>
      <c r="W27" s="259">
        <v>24.5653101577687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1.0000000000000002</v>
      </c>
      <c r="D31" s="236">
        <f t="shared" si="6"/>
        <v>1</v>
      </c>
      <c r="E31" s="236">
        <f t="shared" si="6"/>
        <v>0.99999999999999989</v>
      </c>
      <c r="F31" s="236">
        <f t="shared" si="6"/>
        <v>0.99999999999999989</v>
      </c>
      <c r="G31" s="236">
        <f t="shared" si="6"/>
        <v>1</v>
      </c>
      <c r="H31" s="236">
        <f t="shared" si="6"/>
        <v>1</v>
      </c>
      <c r="I31" s="236">
        <f t="shared" si="6"/>
        <v>1.0000000000000002</v>
      </c>
      <c r="J31" s="236">
        <f t="shared" si="6"/>
        <v>0.99999999999999989</v>
      </c>
      <c r="K31" s="236">
        <f t="shared" si="6"/>
        <v>0.99999999999999989</v>
      </c>
      <c r="L31" s="236">
        <f t="shared" si="6"/>
        <v>0.99999999999999989</v>
      </c>
      <c r="M31" s="236">
        <f t="shared" si="6"/>
        <v>1</v>
      </c>
      <c r="N31" s="236">
        <f t="shared" si="6"/>
        <v>0.99999999999999989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0.99999999999999989</v>
      </c>
      <c r="S31" s="236">
        <f t="shared" si="7"/>
        <v>1.0000000000000002</v>
      </c>
      <c r="T31" s="236">
        <f t="shared" si="7"/>
        <v>1</v>
      </c>
      <c r="U31" s="236">
        <f t="shared" si="7"/>
        <v>0.99999999999999989</v>
      </c>
      <c r="V31" s="236">
        <f t="shared" si="7"/>
        <v>1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2.0830942357829504E-2</v>
      </c>
      <c r="C32" s="245">
        <f t="shared" si="8"/>
        <v>2.0587459072524759E-2</v>
      </c>
      <c r="D32" s="245">
        <f t="shared" si="8"/>
        <v>2.0689887457912476E-2</v>
      </c>
      <c r="E32" s="245">
        <f t="shared" si="8"/>
        <v>8.1839306194208244E-3</v>
      </c>
      <c r="F32" s="245">
        <f t="shared" si="8"/>
        <v>7.8491363676352378E-3</v>
      </c>
      <c r="G32" s="245">
        <f t="shared" si="8"/>
        <v>7.833212236210382E-3</v>
      </c>
      <c r="H32" s="245">
        <f t="shared" si="8"/>
        <v>9.3611912872116881E-3</v>
      </c>
      <c r="I32" s="245">
        <f t="shared" si="8"/>
        <v>9.9802894546516564E-3</v>
      </c>
      <c r="J32" s="245">
        <f t="shared" si="8"/>
        <v>1.0412464800927697E-2</v>
      </c>
      <c r="K32" s="245">
        <f t="shared" si="8"/>
        <v>1.049819297736364E-2</v>
      </c>
      <c r="L32" s="245">
        <f t="shared" si="8"/>
        <v>1.0187408783566419E-2</v>
      </c>
      <c r="M32" s="245">
        <f t="shared" si="8"/>
        <v>1.0165717512153347E-2</v>
      </c>
      <c r="N32" s="245">
        <f t="shared" si="8"/>
        <v>9.9597137749998024E-3</v>
      </c>
      <c r="O32" s="245">
        <f t="shared" si="8"/>
        <v>1.0065228145375965E-2</v>
      </c>
      <c r="P32" s="245">
        <f t="shared" si="8"/>
        <v>1.0235914926703189E-2</v>
      </c>
      <c r="Q32" s="245">
        <f t="shared" si="8"/>
        <v>1.052634061830742E-2</v>
      </c>
      <c r="R32" s="245">
        <f t="shared" si="8"/>
        <v>1.0724913970948859E-2</v>
      </c>
      <c r="S32" s="245">
        <f t="shared" si="8"/>
        <v>1.0217703001092098E-2</v>
      </c>
      <c r="T32" s="245">
        <f t="shared" si="8"/>
        <v>1.0797839685787663E-2</v>
      </c>
      <c r="U32" s="245">
        <f t="shared" si="8"/>
        <v>1.0923927570321172E-2</v>
      </c>
      <c r="V32" s="245">
        <f t="shared" si="8"/>
        <v>1.0815221980894402E-2</v>
      </c>
      <c r="W32" s="245">
        <f t="shared" si="8"/>
        <v>1.0813126066113139E-2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1.3426753542875409E-2</v>
      </c>
      <c r="C33" s="246">
        <f t="shared" si="9"/>
        <v>1.3269814408416729E-2</v>
      </c>
      <c r="D33" s="246">
        <f t="shared" si="9"/>
        <v>1.3335835458389943E-2</v>
      </c>
      <c r="E33" s="246">
        <f t="shared" si="9"/>
        <v>5.2750191302629312E-3</v>
      </c>
      <c r="F33" s="246">
        <f t="shared" si="9"/>
        <v>5.0592247687271559E-3</v>
      </c>
      <c r="G33" s="246">
        <f t="shared" si="9"/>
        <v>5.0489607401319487E-3</v>
      </c>
      <c r="H33" s="246">
        <f t="shared" si="9"/>
        <v>6.033832081238609E-3</v>
      </c>
      <c r="I33" s="246">
        <f t="shared" si="9"/>
        <v>6.4328768469660725E-3</v>
      </c>
      <c r="J33" s="246">
        <f t="shared" si="9"/>
        <v>6.7114389860223585E-3</v>
      </c>
      <c r="K33" s="246">
        <f t="shared" si="9"/>
        <v>6.7666957803100593E-3</v>
      </c>
      <c r="L33" s="246">
        <f t="shared" si="9"/>
        <v>6.5663772971873762E-3</v>
      </c>
      <c r="M33" s="246">
        <f t="shared" si="9"/>
        <v>6.5523960115454662E-3</v>
      </c>
      <c r="N33" s="246">
        <f t="shared" si="9"/>
        <v>6.4196146250791774E-3</v>
      </c>
      <c r="O33" s="246">
        <f t="shared" si="9"/>
        <v>6.4876247718088096E-3</v>
      </c>
      <c r="P33" s="246">
        <f t="shared" si="9"/>
        <v>6.5976423267777463E-3</v>
      </c>
      <c r="Q33" s="246">
        <f t="shared" si="9"/>
        <v>6.7848385715133337E-3</v>
      </c>
      <c r="R33" s="246">
        <f t="shared" si="9"/>
        <v>6.9128306431296667E-3</v>
      </c>
      <c r="S33" s="246">
        <f t="shared" si="9"/>
        <v>6.5859036818081236E-3</v>
      </c>
      <c r="T33" s="246">
        <f t="shared" si="9"/>
        <v>6.9598355065323397E-3</v>
      </c>
      <c r="U33" s="246">
        <f t="shared" si="9"/>
        <v>7.0411064793617362E-3</v>
      </c>
      <c r="V33" s="246">
        <f t="shared" si="9"/>
        <v>6.9710394064039149E-3</v>
      </c>
      <c r="W33" s="246">
        <f t="shared" si="9"/>
        <v>6.9696884674626267E-3</v>
      </c>
      <c r="DA33" s="277"/>
    </row>
    <row r="34" spans="1:105" x14ac:dyDescent="0.25">
      <c r="A34" s="241" t="s">
        <v>123</v>
      </c>
      <c r="B34" s="246">
        <f t="shared" ref="B34:W34" si="10">IF(B$8=0,0,B$8/B$5)</f>
        <v>2.6682077417360825E-2</v>
      </c>
      <c r="C34" s="246">
        <f t="shared" si="10"/>
        <v>2.6370202910834112E-2</v>
      </c>
      <c r="D34" s="246">
        <f t="shared" si="10"/>
        <v>2.6501402069360084E-2</v>
      </c>
      <c r="E34" s="246">
        <f t="shared" si="10"/>
        <v>1.0482688042368946E-2</v>
      </c>
      <c r="F34" s="246">
        <f t="shared" si="10"/>
        <v>1.0053854531547347E-2</v>
      </c>
      <c r="G34" s="246">
        <f t="shared" si="10"/>
        <v>1.003345752308832E-2</v>
      </c>
      <c r="H34" s="246">
        <f t="shared" si="10"/>
        <v>1.1990625596936817E-2</v>
      </c>
      <c r="I34" s="246">
        <f t="shared" si="10"/>
        <v>1.2783620217574843E-2</v>
      </c>
      <c r="J34" s="246">
        <f t="shared" si="10"/>
        <v>1.3337187879043498E-2</v>
      </c>
      <c r="K34" s="246">
        <f t="shared" si="10"/>
        <v>1.3446995961713037E-2</v>
      </c>
      <c r="L34" s="246">
        <f t="shared" si="10"/>
        <v>1.304891661529918E-2</v>
      </c>
      <c r="M34" s="246">
        <f t="shared" si="10"/>
        <v>1.3021132553820701E-2</v>
      </c>
      <c r="N34" s="246">
        <f t="shared" si="10"/>
        <v>1.2757265102767505E-2</v>
      </c>
      <c r="O34" s="246">
        <f t="shared" si="10"/>
        <v>1.2892417058481251E-2</v>
      </c>
      <c r="P34" s="246">
        <f t="shared" si="10"/>
        <v>1.3111047489849198E-2</v>
      </c>
      <c r="Q34" s="246">
        <f t="shared" si="10"/>
        <v>1.3483049901178514E-2</v>
      </c>
      <c r="R34" s="246">
        <f t="shared" si="10"/>
        <v>1.3737399871390601E-2</v>
      </c>
      <c r="S34" s="246">
        <f t="shared" si="10"/>
        <v>1.3087720076200446E-2</v>
      </c>
      <c r="T34" s="246">
        <f t="shared" si="10"/>
        <v>1.3830809451025584E-2</v>
      </c>
      <c r="U34" s="246">
        <f t="shared" si="10"/>
        <v>1.39923137477935E-2</v>
      </c>
      <c r="V34" s="246">
        <f t="shared" si="10"/>
        <v>1.3853074201979357E-2</v>
      </c>
      <c r="W34" s="246">
        <f t="shared" si="10"/>
        <v>1.3850389572571184E-2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0.29898418749356281</v>
      </c>
      <c r="C35" s="247">
        <f t="shared" si="11"/>
        <v>0.29489754677251734</v>
      </c>
      <c r="D35" s="247">
        <f t="shared" si="11"/>
        <v>0.29955206558704983</v>
      </c>
      <c r="E35" s="247">
        <f t="shared" si="11"/>
        <v>0.32158663965098117</v>
      </c>
      <c r="F35" s="247">
        <f t="shared" si="11"/>
        <v>0.32148759381959824</v>
      </c>
      <c r="G35" s="247">
        <f t="shared" si="11"/>
        <v>0.31910980989277954</v>
      </c>
      <c r="H35" s="247">
        <f t="shared" si="11"/>
        <v>0.30128211906670122</v>
      </c>
      <c r="I35" s="247">
        <f t="shared" si="11"/>
        <v>0.3029321361268234</v>
      </c>
      <c r="J35" s="247">
        <f t="shared" si="11"/>
        <v>0.29802690214694888</v>
      </c>
      <c r="K35" s="247">
        <f t="shared" si="11"/>
        <v>0.29707548811308315</v>
      </c>
      <c r="L35" s="247">
        <f t="shared" si="11"/>
        <v>0.29100497481029119</v>
      </c>
      <c r="M35" s="247">
        <f t="shared" si="11"/>
        <v>0.29444949933895359</v>
      </c>
      <c r="N35" s="247">
        <f t="shared" si="11"/>
        <v>0.29702557934249374</v>
      </c>
      <c r="O35" s="247">
        <f t="shared" si="11"/>
        <v>0.29683675604706561</v>
      </c>
      <c r="P35" s="247">
        <f t="shared" si="11"/>
        <v>0.29754036892195623</v>
      </c>
      <c r="Q35" s="247">
        <f t="shared" si="11"/>
        <v>0.29872196031865916</v>
      </c>
      <c r="R35" s="247">
        <f t="shared" si="11"/>
        <v>0.29796748528028566</v>
      </c>
      <c r="S35" s="247">
        <f t="shared" si="11"/>
        <v>0.30867543378367679</v>
      </c>
      <c r="T35" s="247">
        <f t="shared" si="11"/>
        <v>0.31158971151033477</v>
      </c>
      <c r="U35" s="247">
        <f t="shared" si="11"/>
        <v>0.31941891290730223</v>
      </c>
      <c r="V35" s="247">
        <f t="shared" si="11"/>
        <v>0.31954598924746763</v>
      </c>
      <c r="W35" s="247">
        <f t="shared" si="11"/>
        <v>0.32232984680167392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0.22336393742524016</v>
      </c>
      <c r="C36" s="260">
        <f t="shared" si="12"/>
        <v>0.21916752004025244</v>
      </c>
      <c r="D36" s="260">
        <f t="shared" si="12"/>
        <v>0.22307245564074069</v>
      </c>
      <c r="E36" s="260">
        <f t="shared" si="12"/>
        <v>0.23822803511131097</v>
      </c>
      <c r="F36" s="260">
        <f t="shared" si="12"/>
        <v>0.23812357741784199</v>
      </c>
      <c r="G36" s="260">
        <f t="shared" si="12"/>
        <v>0.23717575745944072</v>
      </c>
      <c r="H36" s="260">
        <f t="shared" si="12"/>
        <v>0.22290935332042128</v>
      </c>
      <c r="I36" s="260">
        <f t="shared" si="12"/>
        <v>0.22280497631121768</v>
      </c>
      <c r="J36" s="260">
        <f t="shared" si="12"/>
        <v>0.21894636332374517</v>
      </c>
      <c r="K36" s="260">
        <f t="shared" si="12"/>
        <v>0.21858146084767724</v>
      </c>
      <c r="L36" s="260">
        <f t="shared" si="12"/>
        <v>0.21426578965245055</v>
      </c>
      <c r="M36" s="260">
        <f t="shared" si="12"/>
        <v>0.21669540244105415</v>
      </c>
      <c r="N36" s="260">
        <f t="shared" si="12"/>
        <v>0.2178916429461929</v>
      </c>
      <c r="O36" s="260">
        <f t="shared" si="12"/>
        <v>0.21817819995462909</v>
      </c>
      <c r="P36" s="260">
        <f t="shared" si="12"/>
        <v>0.21893155623015917</v>
      </c>
      <c r="Q36" s="260">
        <f t="shared" si="12"/>
        <v>0.22036250377187588</v>
      </c>
      <c r="R36" s="260">
        <f t="shared" si="12"/>
        <v>0.21995524669252514</v>
      </c>
      <c r="S36" s="260">
        <f t="shared" si="12"/>
        <v>0.22816524734226917</v>
      </c>
      <c r="T36" s="260">
        <f t="shared" si="12"/>
        <v>0.23163350851254982</v>
      </c>
      <c r="U36" s="260">
        <f t="shared" si="12"/>
        <v>0.23710041897800679</v>
      </c>
      <c r="V36" s="260">
        <f t="shared" si="12"/>
        <v>0.23680302791417676</v>
      </c>
      <c r="W36" s="260">
        <f t="shared" si="12"/>
        <v>0.23799481112744802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0.33452877802658687</v>
      </c>
      <c r="C37" s="260">
        <f t="shared" si="13"/>
        <v>0.34469801902407865</v>
      </c>
      <c r="D37" s="260">
        <f t="shared" si="13"/>
        <v>0.33505728848021094</v>
      </c>
      <c r="E37" s="260">
        <f t="shared" si="13"/>
        <v>0.36371560533925978</v>
      </c>
      <c r="F37" s="260">
        <f t="shared" si="13"/>
        <v>0.36575054928104889</v>
      </c>
      <c r="G37" s="260">
        <f t="shared" si="13"/>
        <v>0.36929008742247066</v>
      </c>
      <c r="H37" s="260">
        <f t="shared" si="13"/>
        <v>0.39500872055193315</v>
      </c>
      <c r="I37" s="260">
        <f t="shared" si="13"/>
        <v>0.39011642151454373</v>
      </c>
      <c r="J37" s="260">
        <f t="shared" si="13"/>
        <v>0.39705328262233536</v>
      </c>
      <c r="K37" s="260">
        <f t="shared" si="13"/>
        <v>0.39795331752807123</v>
      </c>
      <c r="L37" s="260">
        <f t="shared" si="13"/>
        <v>0.41060706061290764</v>
      </c>
      <c r="M37" s="260">
        <f t="shared" si="13"/>
        <v>0.40452386247298738</v>
      </c>
      <c r="N37" s="260">
        <f t="shared" si="13"/>
        <v>0.40170890079581556</v>
      </c>
      <c r="O37" s="260">
        <f t="shared" si="13"/>
        <v>0.40099985018190032</v>
      </c>
      <c r="P37" s="260">
        <f t="shared" si="13"/>
        <v>0.39851499409516039</v>
      </c>
      <c r="Q37" s="260">
        <f t="shared" si="13"/>
        <v>0.39413343679715668</v>
      </c>
      <c r="R37" s="260">
        <f t="shared" si="13"/>
        <v>0.39427201820032165</v>
      </c>
      <c r="S37" s="260">
        <f t="shared" si="13"/>
        <v>0.37700306784750726</v>
      </c>
      <c r="T37" s="260">
        <f t="shared" si="13"/>
        <v>0.36700480907721722</v>
      </c>
      <c r="U37" s="260">
        <f t="shared" si="13"/>
        <v>0.35228888584192619</v>
      </c>
      <c r="V37" s="260">
        <f t="shared" si="13"/>
        <v>0.35308929790736582</v>
      </c>
      <c r="W37" s="260">
        <f t="shared" si="13"/>
        <v>0.34896472680392093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3.0044869420955064E-2</v>
      </c>
      <c r="C38" s="260">
        <f t="shared" si="14"/>
        <v>2.9480405820334753E-2</v>
      </c>
      <c r="D38" s="260">
        <f t="shared" si="14"/>
        <v>3.0005661963140598E-2</v>
      </c>
      <c r="E38" s="260">
        <f t="shared" si="14"/>
        <v>3.2044251591533943E-2</v>
      </c>
      <c r="F38" s="260">
        <f t="shared" si="14"/>
        <v>3.2030200900108684E-2</v>
      </c>
      <c r="G38" s="260">
        <f t="shared" si="14"/>
        <v>3.1902708847394171E-2</v>
      </c>
      <c r="H38" s="260">
        <f t="shared" si="14"/>
        <v>2.9983722934071106E-2</v>
      </c>
      <c r="I38" s="260">
        <f t="shared" si="14"/>
        <v>2.9969683095553649E-2</v>
      </c>
      <c r="J38" s="260">
        <f t="shared" si="14"/>
        <v>2.9450657846039445E-2</v>
      </c>
      <c r="K38" s="260">
        <f t="shared" si="14"/>
        <v>2.9401574509798051E-2</v>
      </c>
      <c r="L38" s="260">
        <f t="shared" si="14"/>
        <v>2.882106997975159E-2</v>
      </c>
      <c r="M38" s="260">
        <f t="shared" si="14"/>
        <v>2.914787922129046E-2</v>
      </c>
      <c r="N38" s="260">
        <f t="shared" si="14"/>
        <v>2.9308786528831895E-2</v>
      </c>
      <c r="O38" s="260">
        <f t="shared" si="14"/>
        <v>2.9347331550912761E-2</v>
      </c>
      <c r="P38" s="260">
        <f t="shared" si="14"/>
        <v>2.9448666131537855E-2</v>
      </c>
      <c r="Q38" s="260">
        <f t="shared" si="14"/>
        <v>2.9641144078223006E-2</v>
      </c>
      <c r="R38" s="260">
        <f t="shared" si="14"/>
        <v>2.9586363588986905E-2</v>
      </c>
      <c r="S38" s="260">
        <f t="shared" si="14"/>
        <v>3.0690697620303284E-2</v>
      </c>
      <c r="T38" s="260">
        <f t="shared" si="14"/>
        <v>3.1157216321486769E-2</v>
      </c>
      <c r="U38" s="260">
        <f t="shared" si="14"/>
        <v>3.1892575005453755E-2</v>
      </c>
      <c r="V38" s="260">
        <f t="shared" si="14"/>
        <v>3.1852572685550501E-2</v>
      </c>
      <c r="W38" s="260">
        <f t="shared" si="14"/>
        <v>3.201288043904723E-2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2.0656543912116021E-2</v>
      </c>
      <c r="C39" s="260">
        <f t="shared" si="15"/>
        <v>2.0415099089871894E-2</v>
      </c>
      <c r="D39" s="260">
        <f t="shared" si="15"/>
        <v>2.0516669935984534E-2</v>
      </c>
      <c r="E39" s="260">
        <f t="shared" si="15"/>
        <v>8.1154140465583575E-3</v>
      </c>
      <c r="F39" s="260">
        <f t="shared" si="15"/>
        <v>7.783422721118702E-3</v>
      </c>
      <c r="G39" s="260">
        <f t="shared" si="15"/>
        <v>7.7676319078953037E-3</v>
      </c>
      <c r="H39" s="260">
        <f t="shared" si="15"/>
        <v>9.2828185865209377E-3</v>
      </c>
      <c r="I39" s="260">
        <f t="shared" si="15"/>
        <v>9.8967336107170407E-3</v>
      </c>
      <c r="J39" s="260">
        <f t="shared" si="15"/>
        <v>1.0325290747726713E-2</v>
      </c>
      <c r="K39" s="260">
        <f t="shared" si="15"/>
        <v>1.0410301200477022E-2</v>
      </c>
      <c r="L39" s="260">
        <f t="shared" si="15"/>
        <v>1.0102118918749809E-2</v>
      </c>
      <c r="M39" s="260">
        <f t="shared" si="15"/>
        <v>1.0080609248531491E-2</v>
      </c>
      <c r="N39" s="260">
        <f t="shared" si="15"/>
        <v>9.8763301924295072E-3</v>
      </c>
      <c r="O39" s="260">
        <f t="shared" si="15"/>
        <v>9.9809611873981699E-3</v>
      </c>
      <c r="P39" s="260">
        <f t="shared" si="15"/>
        <v>1.0150218964273464E-2</v>
      </c>
      <c r="Q39" s="260">
        <f t="shared" si="15"/>
        <v>1.0438213186943591E-2</v>
      </c>
      <c r="R39" s="260">
        <f t="shared" si="15"/>
        <v>1.0635124066353339E-2</v>
      </c>
      <c r="S39" s="260">
        <f t="shared" si="15"/>
        <v>1.0132159510474035E-2</v>
      </c>
      <c r="T39" s="260">
        <f t="shared" si="15"/>
        <v>1.0707439240818984E-2</v>
      </c>
      <c r="U39" s="260">
        <f t="shared" si="15"/>
        <v>1.0832471506710363E-2</v>
      </c>
      <c r="V39" s="260">
        <f t="shared" si="15"/>
        <v>1.0724676009852177E-2</v>
      </c>
      <c r="W39" s="260">
        <f t="shared" si="15"/>
        <v>1.0722597642250203E-2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3.1481910403473388E-2</v>
      </c>
      <c r="C40" s="262">
        <f t="shared" si="16"/>
        <v>3.1113932861169553E-2</v>
      </c>
      <c r="D40" s="262">
        <f t="shared" si="16"/>
        <v>3.1268733407210918E-2</v>
      </c>
      <c r="E40" s="262">
        <f t="shared" si="16"/>
        <v>1.2368416468302994E-2</v>
      </c>
      <c r="F40" s="262">
        <f t="shared" si="16"/>
        <v>1.1862440192373735E-2</v>
      </c>
      <c r="G40" s="262">
        <f t="shared" si="16"/>
        <v>1.1838373970588912E-2</v>
      </c>
      <c r="H40" s="262">
        <f t="shared" si="16"/>
        <v>1.4147616574965242E-2</v>
      </c>
      <c r="I40" s="262">
        <f t="shared" si="16"/>
        <v>1.5083262821951954E-2</v>
      </c>
      <c r="J40" s="262">
        <f t="shared" si="16"/>
        <v>1.5736411647210857E-2</v>
      </c>
      <c r="K40" s="262">
        <f t="shared" si="16"/>
        <v>1.5865973081506463E-2</v>
      </c>
      <c r="L40" s="262">
        <f t="shared" si="16"/>
        <v>1.5396283329796199E-2</v>
      </c>
      <c r="M40" s="262">
        <f t="shared" si="16"/>
        <v>1.5363501199663369E-2</v>
      </c>
      <c r="N40" s="262">
        <f t="shared" si="16"/>
        <v>1.5052166691389868E-2</v>
      </c>
      <c r="O40" s="262">
        <f t="shared" si="16"/>
        <v>1.5211631102428038E-2</v>
      </c>
      <c r="P40" s="262">
        <f t="shared" si="16"/>
        <v>1.5469590913582779E-2</v>
      </c>
      <c r="Q40" s="262">
        <f t="shared" si="16"/>
        <v>1.5908512756142367E-2</v>
      </c>
      <c r="R40" s="262">
        <f t="shared" si="16"/>
        <v>1.6208617686058101E-2</v>
      </c>
      <c r="S40" s="262">
        <f t="shared" si="16"/>
        <v>1.5442067136668881E-2</v>
      </c>
      <c r="T40" s="262">
        <f t="shared" si="16"/>
        <v>1.631883069424692E-2</v>
      </c>
      <c r="U40" s="262">
        <f t="shared" si="16"/>
        <v>1.6509387963124171E-2</v>
      </c>
      <c r="V40" s="262">
        <f t="shared" si="16"/>
        <v>1.6345100646309434E-2</v>
      </c>
      <c r="W40" s="262">
        <f t="shared" si="16"/>
        <v>1.6341933079512722E-2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0.39859694990686995</v>
      </c>
      <c r="C44" s="238">
        <f>IF(C$5=0,0,C$5/AGR_fec!C$5)</f>
        <v>0.39556013088332609</v>
      </c>
      <c r="D44" s="238">
        <f>IF(D$5=0,0,D$5/AGR_fec!D$5)</f>
        <v>0.39847388037373765</v>
      </c>
      <c r="E44" s="238">
        <f>IF(E$5=0,0,E$5/AGR_fec!E$5)</f>
        <v>0.38786045033296229</v>
      </c>
      <c r="F44" s="238">
        <f>IF(F$5=0,0,F$5/AGR_fec!F$5)</f>
        <v>0.38711153107185936</v>
      </c>
      <c r="G44" s="238">
        <f>IF(G$5=0,0,G$5/AGR_fec!G$5)</f>
        <v>0.38606788945543397</v>
      </c>
      <c r="H44" s="238">
        <f>IF(H$5=0,0,H$5/AGR_fec!H$5)</f>
        <v>0.37870402981273665</v>
      </c>
      <c r="I44" s="238">
        <f>IF(I$5=0,0,I$5/AGR_fec!I$5)</f>
        <v>0.38039608591503787</v>
      </c>
      <c r="J44" s="238">
        <f>IF(J$5=0,0,J$5/AGR_fec!J$5)</f>
        <v>0.37877857452238867</v>
      </c>
      <c r="K44" s="238">
        <f>IF(K$5=0,0,K$5/AGR_fec!K$5)</f>
        <v>0.37829743984647257</v>
      </c>
      <c r="L44" s="238">
        <f>IF(L$5=0,0,L$5/AGR_fec!L$5)</f>
        <v>0.37486310039381215</v>
      </c>
      <c r="M44" s="238">
        <f>IF(M$5=0,0,M$5/AGR_fec!M$5)</f>
        <v>0.37625307626607757</v>
      </c>
      <c r="N44" s="238">
        <f>IF(N$5=0,0,N$5/AGR_fec!N$5)</f>
        <v>0.37731719324401658</v>
      </c>
      <c r="O44" s="238">
        <f>IF(O$5=0,0,O$5/AGR_fec!O$5)</f>
        <v>0.37733555312661821</v>
      </c>
      <c r="P44" s="238">
        <f>IF(P$5=0,0,P$5/AGR_fec!P$5)</f>
        <v>0.37814269450746646</v>
      </c>
      <c r="Q44" s="238">
        <f>IF(Q$5=0,0,Q$5/AGR_fec!Q$5)</f>
        <v>0.37918917278478381</v>
      </c>
      <c r="R44" s="238">
        <f>IF(R$5=0,0,R$5/AGR_fec!R$5)</f>
        <v>0.37918745099924905</v>
      </c>
      <c r="S44" s="238">
        <f>IF(S$5=0,0,S$5/AGR_fec!S$5)</f>
        <v>0.38380384009649676</v>
      </c>
      <c r="T44" s="238">
        <f>IF(T$5=0,0,T$5/AGR_fec!T$5)</f>
        <v>0.38650353561043033</v>
      </c>
      <c r="U44" s="238">
        <f>IF(U$5=0,0,U$5/AGR_fec!U$5)</f>
        <v>0.39116270965840599</v>
      </c>
      <c r="V44" s="238">
        <f>IF(V$5=0,0,V$5/AGR_fec!V$5)</f>
        <v>0.39091968747241623</v>
      </c>
      <c r="W44" s="238">
        <f>IF(W$5=0,0,W$5/AGR_fec!W$5)</f>
        <v>0.39199818960640398</v>
      </c>
      <c r="DA44" s="287"/>
    </row>
    <row r="45" spans="1:105" x14ac:dyDescent="0.25">
      <c r="A45" s="239" t="s">
        <v>125</v>
      </c>
      <c r="B45" s="251">
        <f>IF(B$6=0,0,B$6/AGR_fec!B$6)</f>
        <v>0.52758929443156599</v>
      </c>
      <c r="C45" s="251">
        <f>IF(C$6=0,0,C$6/AGR_fec!C$6)</f>
        <v>0.52758929443156588</v>
      </c>
      <c r="D45" s="251">
        <f>IF(D$6=0,0,D$6/AGR_fec!D$6)</f>
        <v>0.5275892944315661</v>
      </c>
      <c r="E45" s="251">
        <f>IF(E$6=0,0,E$6/AGR_fec!E$6)</f>
        <v>0.52758929443156599</v>
      </c>
      <c r="F45" s="251">
        <f>IF(F$6=0,0,F$6/AGR_fec!F$6)</f>
        <v>0.52758929443156599</v>
      </c>
      <c r="G45" s="251">
        <f>IF(G$6=0,0,G$6/AGR_fec!G$6)</f>
        <v>0.52758929443156588</v>
      </c>
      <c r="H45" s="251">
        <f>IF(H$6=0,0,H$6/AGR_fec!H$6)</f>
        <v>0.5275892944315661</v>
      </c>
      <c r="I45" s="251">
        <f>IF(I$6=0,0,I$6/AGR_fec!I$6)</f>
        <v>0.52758929443156577</v>
      </c>
      <c r="J45" s="251">
        <f>IF(J$6=0,0,J$6/AGR_fec!J$6)</f>
        <v>0.52758929443156599</v>
      </c>
      <c r="K45" s="251">
        <f>IF(K$6=0,0,K$6/AGR_fec!K$6)</f>
        <v>0.5275892944315661</v>
      </c>
      <c r="L45" s="251">
        <f>IF(L$6=0,0,L$6/AGR_fec!L$6)</f>
        <v>0.52758929443156588</v>
      </c>
      <c r="M45" s="251">
        <f>IF(M$6=0,0,M$6/AGR_fec!M$6)</f>
        <v>0.52758929443156588</v>
      </c>
      <c r="N45" s="251">
        <f>IF(N$6=0,0,N$6/AGR_fec!N$6)</f>
        <v>0.52758929443156588</v>
      </c>
      <c r="O45" s="251">
        <f>IF(O$6=0,0,O$6/AGR_fec!O$6)</f>
        <v>0.52758929443156566</v>
      </c>
      <c r="P45" s="251">
        <f>IF(P$6=0,0,P$6/AGR_fec!P$6)</f>
        <v>0.52758929443156577</v>
      </c>
      <c r="Q45" s="251">
        <f>IF(Q$6=0,0,Q$6/AGR_fec!Q$6)</f>
        <v>0.52758929443156599</v>
      </c>
      <c r="R45" s="251">
        <f>IF(R$6=0,0,R$6/AGR_fec!R$6)</f>
        <v>0.52758929443156599</v>
      </c>
      <c r="S45" s="251">
        <f>IF(S$6=0,0,S$6/AGR_fec!S$6)</f>
        <v>0.52758929443156577</v>
      </c>
      <c r="T45" s="251">
        <f>IF(T$6=0,0,T$6/AGR_fec!T$6)</f>
        <v>0.52758929443156577</v>
      </c>
      <c r="U45" s="251">
        <f>IF(U$6=0,0,U$6/AGR_fec!U$6)</f>
        <v>0.52758929443156599</v>
      </c>
      <c r="V45" s="251">
        <f>IF(V$6=0,0,V$6/AGR_fec!V$6)</f>
        <v>0.52758929443156588</v>
      </c>
      <c r="W45" s="251">
        <f>IF(W$6=0,0,W$6/AGR_fec!W$6)</f>
        <v>0.52758929443156588</v>
      </c>
      <c r="DA45" s="288"/>
    </row>
    <row r="46" spans="1:105" x14ac:dyDescent="0.25">
      <c r="A46" s="241" t="s">
        <v>124</v>
      </c>
      <c r="B46" s="252">
        <f>IF(B$7=0,0,B$7/AGR_fec!B$7)</f>
        <v>0.52317227136350708</v>
      </c>
      <c r="C46" s="252">
        <f>IF(C$7=0,0,C$7/AGR_fec!C$7)</f>
        <v>0.52317227136350697</v>
      </c>
      <c r="D46" s="252">
        <f>IF(D$7=0,0,D$7/AGR_fec!D$7)</f>
        <v>0.52317227136350697</v>
      </c>
      <c r="E46" s="252">
        <f>IF(E$7=0,0,E$7/AGR_fec!E$7)</f>
        <v>0.52317227136350697</v>
      </c>
      <c r="F46" s="252">
        <f>IF(F$7=0,0,F$7/AGR_fec!F$7)</f>
        <v>0.52317227136350697</v>
      </c>
      <c r="G46" s="252">
        <f>IF(G$7=0,0,G$7/AGR_fec!G$7)</f>
        <v>0.52317227136350719</v>
      </c>
      <c r="H46" s="252">
        <f>IF(H$7=0,0,H$7/AGR_fec!H$7)</f>
        <v>0.52317227136350708</v>
      </c>
      <c r="I46" s="252">
        <f>IF(I$7=0,0,I$7/AGR_fec!I$7)</f>
        <v>0.52317227136350697</v>
      </c>
      <c r="J46" s="252">
        <f>IF(J$7=0,0,J$7/AGR_fec!J$7)</f>
        <v>0.52317227136350708</v>
      </c>
      <c r="K46" s="252">
        <f>IF(K$7=0,0,K$7/AGR_fec!K$7)</f>
        <v>0.52317227136350697</v>
      </c>
      <c r="L46" s="252">
        <f>IF(L$7=0,0,L$7/AGR_fec!L$7)</f>
        <v>0.52317227136350708</v>
      </c>
      <c r="M46" s="252">
        <f>IF(M$7=0,0,M$7/AGR_fec!M$7)</f>
        <v>0.52317227136350708</v>
      </c>
      <c r="N46" s="252">
        <f>IF(N$7=0,0,N$7/AGR_fec!N$7)</f>
        <v>0.52317227136350697</v>
      </c>
      <c r="O46" s="252">
        <f>IF(O$7=0,0,O$7/AGR_fec!O$7)</f>
        <v>0.52317227136350719</v>
      </c>
      <c r="P46" s="252">
        <f>IF(P$7=0,0,P$7/AGR_fec!P$7)</f>
        <v>0.52317227136350719</v>
      </c>
      <c r="Q46" s="252">
        <f>IF(Q$7=0,0,Q$7/AGR_fec!Q$7)</f>
        <v>0.52317227136350697</v>
      </c>
      <c r="R46" s="252">
        <f>IF(R$7=0,0,R$7/AGR_fec!R$7)</f>
        <v>0.52317227136350697</v>
      </c>
      <c r="S46" s="252">
        <f>IF(S$7=0,0,S$7/AGR_fec!S$7)</f>
        <v>0.52317227136350697</v>
      </c>
      <c r="T46" s="252">
        <f>IF(T$7=0,0,T$7/AGR_fec!T$7)</f>
        <v>0.5231722713635073</v>
      </c>
      <c r="U46" s="252">
        <f>IF(U$7=0,0,U$7/AGR_fec!U$7)</f>
        <v>0.5231722713635073</v>
      </c>
      <c r="V46" s="252">
        <f>IF(V$7=0,0,V$7/AGR_fec!V$7)</f>
        <v>0.52317227136350697</v>
      </c>
      <c r="W46" s="252">
        <f>IF(W$7=0,0,W$7/AGR_fec!W$7)</f>
        <v>0.52317227136350675</v>
      </c>
      <c r="DA46" s="289"/>
    </row>
    <row r="47" spans="1:105" x14ac:dyDescent="0.25">
      <c r="A47" s="241" t="s">
        <v>123</v>
      </c>
      <c r="B47" s="252">
        <f>IF(B$8=0,0,B$8/AGR_fec!B$8)</f>
        <v>0.75086902277812595</v>
      </c>
      <c r="C47" s="252">
        <f>IF(C$8=0,0,C$8/AGR_fec!C$8)</f>
        <v>0.75086902277812584</v>
      </c>
      <c r="D47" s="252">
        <f>IF(D$8=0,0,D$8/AGR_fec!D$8)</f>
        <v>0.75086902277812606</v>
      </c>
      <c r="E47" s="252">
        <f>IF(E$8=0,0,E$8/AGR_fec!E$8)</f>
        <v>0.75086902277812606</v>
      </c>
      <c r="F47" s="252">
        <f>IF(F$8=0,0,F$8/AGR_fec!F$8)</f>
        <v>0.75086902277812573</v>
      </c>
      <c r="G47" s="252">
        <f>IF(G$8=0,0,G$8/AGR_fec!G$8)</f>
        <v>0.75086902277812595</v>
      </c>
      <c r="H47" s="252">
        <f>IF(H$8=0,0,H$8/AGR_fec!H$8)</f>
        <v>0.75086902277812573</v>
      </c>
      <c r="I47" s="252">
        <f>IF(I$8=0,0,I$8/AGR_fec!I$8)</f>
        <v>0.75086902277812573</v>
      </c>
      <c r="J47" s="252">
        <f>IF(J$8=0,0,J$8/AGR_fec!J$8)</f>
        <v>0.75086902277812617</v>
      </c>
      <c r="K47" s="252">
        <f>IF(K$8=0,0,K$8/AGR_fec!K$8)</f>
        <v>0.75086902277812595</v>
      </c>
      <c r="L47" s="252">
        <f>IF(L$8=0,0,L$8/AGR_fec!L$8)</f>
        <v>0.75086902277812595</v>
      </c>
      <c r="M47" s="252">
        <f>IF(M$8=0,0,M$8/AGR_fec!M$8)</f>
        <v>0.75086902277812617</v>
      </c>
      <c r="N47" s="252">
        <f>IF(N$8=0,0,N$8/AGR_fec!N$8)</f>
        <v>0.75086902277812584</v>
      </c>
      <c r="O47" s="252">
        <f>IF(O$8=0,0,O$8/AGR_fec!O$8)</f>
        <v>0.75086902277812595</v>
      </c>
      <c r="P47" s="252">
        <f>IF(P$8=0,0,P$8/AGR_fec!P$8)</f>
        <v>0.75086902277812584</v>
      </c>
      <c r="Q47" s="252">
        <f>IF(Q$8=0,0,Q$8/AGR_fec!Q$8)</f>
        <v>0.75086902277812562</v>
      </c>
      <c r="R47" s="252">
        <f>IF(R$8=0,0,R$8/AGR_fec!R$8)</f>
        <v>0.75086902277812562</v>
      </c>
      <c r="S47" s="252">
        <f>IF(S$8=0,0,S$8/AGR_fec!S$8)</f>
        <v>0.75086902277812595</v>
      </c>
      <c r="T47" s="252">
        <f>IF(T$8=0,0,T$8/AGR_fec!T$8)</f>
        <v>0.75086902277812573</v>
      </c>
      <c r="U47" s="252">
        <f>IF(U$8=0,0,U$8/AGR_fec!U$8)</f>
        <v>0.75086902277812584</v>
      </c>
      <c r="V47" s="252">
        <f>IF(V$8=0,0,V$8/AGR_fec!V$8)</f>
        <v>0.75086902277812584</v>
      </c>
      <c r="W47" s="252">
        <f>IF(W$8=0,0,W$8/AGR_fec!W$8)</f>
        <v>0.75086902277812584</v>
      </c>
      <c r="DA47" s="289"/>
    </row>
    <row r="48" spans="1:105" x14ac:dyDescent="0.25">
      <c r="A48" s="243" t="s">
        <v>122</v>
      </c>
      <c r="B48" s="253">
        <f>IF(B$9=0,0,B$9/AGR_fec!B$9)</f>
        <v>0.69228561100186314</v>
      </c>
      <c r="C48" s="253">
        <f>IF(C$9=0,0,C$9/AGR_fec!C$9)</f>
        <v>0.69381441478914141</v>
      </c>
      <c r="D48" s="253">
        <f>IF(D$9=0,0,D$9/AGR_fec!D$9)</f>
        <v>0.69271160683105382</v>
      </c>
      <c r="E48" s="253">
        <f>IF(E$9=0,0,E$9/AGR_fec!E$9)</f>
        <v>0.68127578604822769</v>
      </c>
      <c r="F48" s="253">
        <f>IF(F$9=0,0,F$9/AGR_fec!F$9)</f>
        <v>0.6811022311327386</v>
      </c>
      <c r="G48" s="253">
        <f>IF(G$9=0,0,G$9/AGR_fec!G$9)</f>
        <v>0.68049293092033725</v>
      </c>
      <c r="H48" s="253">
        <f>IF(H$9=0,0,H$9/AGR_fec!H$9)</f>
        <v>0.6830871204565232</v>
      </c>
      <c r="I48" s="253">
        <f>IF(I$9=0,0,I$9/AGR_fec!I$9)</f>
        <v>0.6846387174812244</v>
      </c>
      <c r="J48" s="253">
        <f>IF(J$9=0,0,J$9/AGR_fec!J$9)</f>
        <v>0.68540020818345715</v>
      </c>
      <c r="K48" s="253">
        <f>IF(K$9=0,0,K$9/AGR_fec!K$9)</f>
        <v>0.68521763300048044</v>
      </c>
      <c r="L48" s="253">
        <f>IF(L$9=0,0,L$9/AGR_fec!L$9)</f>
        <v>0.68510741297882471</v>
      </c>
      <c r="M48" s="253">
        <f>IF(M$9=0,0,M$9/AGR_fec!M$9)</f>
        <v>0.68502892340013455</v>
      </c>
      <c r="N48" s="253">
        <f>IF(N$9=0,0,N$9/AGR_fec!N$9)</f>
        <v>0.68536794264504752</v>
      </c>
      <c r="O48" s="253">
        <f>IF(O$9=0,0,O$9/AGR_fec!O$9)</f>
        <v>0.68508633773195771</v>
      </c>
      <c r="P48" s="253">
        <f>IF(P$9=0,0,P$9/AGR_fec!P$9)</f>
        <v>0.68498177299581209</v>
      </c>
      <c r="Q48" s="253">
        <f>IF(Q$9=0,0,Q$9/AGR_fec!Q$9)</f>
        <v>0.68466425027780642</v>
      </c>
      <c r="R48" s="253">
        <f>IF(R$9=0,0,R$9/AGR_fec!R$9)</f>
        <v>0.68472599225172603</v>
      </c>
      <c r="S48" s="253">
        <f>IF(S$9=0,0,S$9/AGR_fec!S$9)</f>
        <v>0.6836014151440909</v>
      </c>
      <c r="T48" s="253">
        <f>IF(T$9=0,0,T$9/AGR_fec!T$9)</f>
        <v>0.68275123163627549</v>
      </c>
      <c r="U48" s="253">
        <f>IF(U$9=0,0,U$9/AGR_fec!U$9)</f>
        <v>0.68277090586302192</v>
      </c>
      <c r="V48" s="253">
        <f>IF(V$9=0,0,V$9/AGR_fec!V$9)</f>
        <v>0.68303972630084187</v>
      </c>
      <c r="W48" s="253">
        <f>IF(W$9=0,0,W$9/AGR_fec!W$9)</f>
        <v>0.68365348947405435</v>
      </c>
      <c r="DA48" s="290"/>
    </row>
    <row r="49" spans="1:105" x14ac:dyDescent="0.25">
      <c r="A49" s="128" t="s">
        <v>175</v>
      </c>
      <c r="B49" s="265">
        <f>IF(B$16=0,0,B$16/AGR_fec!B$16)</f>
        <v>0.37753219438490693</v>
      </c>
      <c r="C49" s="265">
        <f>IF(C$16=0,0,C$16/AGR_fec!C$16)</f>
        <v>0.37753219438490693</v>
      </c>
      <c r="D49" s="265">
        <f>IF(D$16=0,0,D$16/AGR_fec!D$16)</f>
        <v>0.37753219438490687</v>
      </c>
      <c r="E49" s="265">
        <f>IF(E$16=0,0,E$16/AGR_fec!E$16)</f>
        <v>0.37753219438490671</v>
      </c>
      <c r="F49" s="265">
        <f>IF(F$16=0,0,F$16/AGR_fec!F$16)</f>
        <v>0.37753219438490671</v>
      </c>
      <c r="G49" s="265">
        <f>IF(G$16=0,0,G$16/AGR_fec!G$16)</f>
        <v>0.37753219438490676</v>
      </c>
      <c r="H49" s="265">
        <f>IF(H$16=0,0,H$16/AGR_fec!H$16)</f>
        <v>0.37753219438490676</v>
      </c>
      <c r="I49" s="265">
        <f>IF(I$16=0,0,I$16/AGR_fec!I$16)</f>
        <v>0.37753219438490676</v>
      </c>
      <c r="J49" s="265">
        <f>IF(J$16=0,0,J$16/AGR_fec!J$16)</f>
        <v>0.37753219438490671</v>
      </c>
      <c r="K49" s="265">
        <f>IF(K$16=0,0,K$16/AGR_fec!K$16)</f>
        <v>0.37753219438490682</v>
      </c>
      <c r="L49" s="265">
        <f>IF(L$16=0,0,L$16/AGR_fec!L$16)</f>
        <v>0.37753219438490682</v>
      </c>
      <c r="M49" s="265">
        <f>IF(M$16=0,0,M$16/AGR_fec!M$16)</f>
        <v>0.37753219438490671</v>
      </c>
      <c r="N49" s="265">
        <f>IF(N$16=0,0,N$16/AGR_fec!N$16)</f>
        <v>0.37753219438490676</v>
      </c>
      <c r="O49" s="265">
        <f>IF(O$16=0,0,O$16/AGR_fec!O$16)</f>
        <v>0.37753219438490682</v>
      </c>
      <c r="P49" s="265">
        <f>IF(P$16=0,0,P$16/AGR_fec!P$16)</f>
        <v>0.37753219438490682</v>
      </c>
      <c r="Q49" s="265">
        <f>IF(Q$16=0,0,Q$16/AGR_fec!Q$16)</f>
        <v>0.37753219438490676</v>
      </c>
      <c r="R49" s="265">
        <f>IF(R$16=0,0,R$16/AGR_fec!R$16)</f>
        <v>0.37753219438490682</v>
      </c>
      <c r="S49" s="265">
        <f>IF(S$16=0,0,S$16/AGR_fec!S$16)</f>
        <v>0.37753219438490676</v>
      </c>
      <c r="T49" s="265">
        <f>IF(T$16=0,0,T$16/AGR_fec!T$16)</f>
        <v>0.37753219438490676</v>
      </c>
      <c r="U49" s="265">
        <f>IF(U$16=0,0,U$16/AGR_fec!U$16)</f>
        <v>0.37753219438490682</v>
      </c>
      <c r="V49" s="265">
        <f>IF(V$16=0,0,V$16/AGR_fec!V$16)</f>
        <v>0.37753219438490676</v>
      </c>
      <c r="W49" s="265">
        <f>IF(W$16=0,0,W$16/AGR_fec!W$16)</f>
        <v>0.37753219438490682</v>
      </c>
      <c r="DA49" s="291"/>
    </row>
    <row r="50" spans="1:105" x14ac:dyDescent="0.25">
      <c r="A50" s="128" t="s">
        <v>121</v>
      </c>
      <c r="B50" s="265">
        <f>IF(B$17=0,0,B$17/AGR_fec!B$17)</f>
        <v>0.28490592085060229</v>
      </c>
      <c r="C50" s="265">
        <f>IF(C$17=0,0,C$17/AGR_fec!C$17)</f>
        <v>0.2835074553916142</v>
      </c>
      <c r="D50" s="265">
        <f>IF(D$17=0,0,D$17/AGR_fec!D$17)</f>
        <v>0.28475511218892741</v>
      </c>
      <c r="E50" s="265">
        <f>IF(E$17=0,0,E$17/AGR_fec!E$17)</f>
        <v>0.28495806629093595</v>
      </c>
      <c r="F50" s="265">
        <f>IF(F$17=0,0,F$17/AGR_fec!F$17)</f>
        <v>0.28465321046186121</v>
      </c>
      <c r="G50" s="265">
        <f>IF(G$17=0,0,G$17/AGR_fec!G$17)</f>
        <v>0.2844856597264705</v>
      </c>
      <c r="H50" s="265">
        <f>IF(H$17=0,0,H$17/AGR_fec!H$17)</f>
        <v>0.28076277809927608</v>
      </c>
      <c r="I50" s="265">
        <f>IF(I$17=0,0,I$17/AGR_fec!I$17)</f>
        <v>0.2810193865941934</v>
      </c>
      <c r="J50" s="265">
        <f>IF(J$17=0,0,J$17/AGR_fec!J$17)</f>
        <v>0.28056692137689204</v>
      </c>
      <c r="K50" s="265">
        <f>IF(K$17=0,0,K$17/AGR_fec!K$17)</f>
        <v>0.28021876281192887</v>
      </c>
      <c r="L50" s="265">
        <f>IF(L$17=0,0,L$17/AGR_fec!L$17)</f>
        <v>0.27937501758494543</v>
      </c>
      <c r="M50" s="265">
        <f>IF(M$17=0,0,M$17/AGR_fec!M$17)</f>
        <v>0.27949550124651795</v>
      </c>
      <c r="N50" s="265">
        <f>IF(N$17=0,0,N$17/AGR_fec!N$17)</f>
        <v>0.28004011588159994</v>
      </c>
      <c r="O50" s="265">
        <f>IF(O$17=0,0,O$17/AGR_fec!O$17)</f>
        <v>0.2799236769936434</v>
      </c>
      <c r="P50" s="265">
        <f>IF(P$17=0,0,P$17/AGR_fec!P$17)</f>
        <v>0.28029178837508617</v>
      </c>
      <c r="Q50" s="265">
        <f>IF(Q$17=0,0,Q$17/AGR_fec!Q$17)</f>
        <v>0.28046418628492131</v>
      </c>
      <c r="R50" s="265">
        <f>IF(R$17=0,0,R$17/AGR_fec!R$17)</f>
        <v>0.28045157888115679</v>
      </c>
      <c r="S50" s="265">
        <f>IF(S$17=0,0,S$17/AGR_fec!S$17)</f>
        <v>0.28205527814112674</v>
      </c>
      <c r="T50" s="265">
        <f>IF(T$17=0,0,T$17/AGR_fec!T$17)</f>
        <v>0.28293200188127071</v>
      </c>
      <c r="U50" s="265">
        <f>IF(U$17=0,0,U$17/AGR_fec!U$17)</f>
        <v>0.28492676077345302</v>
      </c>
      <c r="V50" s="265">
        <f>IF(V$17=0,0,V$17/AGR_fec!V$17)</f>
        <v>0.28475500323330094</v>
      </c>
      <c r="W50" s="265">
        <f>IF(W$17=0,0,W$17/AGR_fec!W$17)</f>
        <v>0.28474313201835283</v>
      </c>
      <c r="DA50" s="291"/>
    </row>
    <row r="51" spans="1:105" x14ac:dyDescent="0.25">
      <c r="A51" s="128" t="s">
        <v>174</v>
      </c>
      <c r="B51" s="265">
        <f>IF(B$25=0,0,B$25/AGR_fec!B$25)</f>
        <v>0.26427253606943474</v>
      </c>
      <c r="C51" s="265">
        <f>IF(C$25=0,0,C$25/AGR_fec!C$25)</f>
        <v>0.26427253606943468</v>
      </c>
      <c r="D51" s="265">
        <f>IF(D$25=0,0,D$25/AGR_fec!D$25)</f>
        <v>0.26427253606943468</v>
      </c>
      <c r="E51" s="265">
        <f>IF(E$25=0,0,E$25/AGR_fec!E$25)</f>
        <v>0.26427253606943479</v>
      </c>
      <c r="F51" s="265">
        <f>IF(F$25=0,0,F$25/AGR_fec!F$25)</f>
        <v>0.26427253606943479</v>
      </c>
      <c r="G51" s="265">
        <f>IF(G$25=0,0,G$25/AGR_fec!G$25)</f>
        <v>0.26427253606943474</v>
      </c>
      <c r="H51" s="265">
        <f>IF(H$25=0,0,H$25/AGR_fec!H$25)</f>
        <v>0.26427253606943485</v>
      </c>
      <c r="I51" s="265">
        <f>IF(I$25=0,0,I$25/AGR_fec!I$25)</f>
        <v>0.26427253606943463</v>
      </c>
      <c r="J51" s="265">
        <f>IF(J$25=0,0,J$25/AGR_fec!J$25)</f>
        <v>0.26427253606943474</v>
      </c>
      <c r="K51" s="265">
        <f>IF(K$25=0,0,K$25/AGR_fec!K$25)</f>
        <v>0.26427253606943474</v>
      </c>
      <c r="L51" s="265">
        <f>IF(L$25=0,0,L$25/AGR_fec!L$25)</f>
        <v>0.26427253606943474</v>
      </c>
      <c r="M51" s="265">
        <f>IF(M$25=0,0,M$25/AGR_fec!M$25)</f>
        <v>0.26427253606943468</v>
      </c>
      <c r="N51" s="265">
        <f>IF(N$25=0,0,N$25/AGR_fec!N$25)</f>
        <v>0.26427253606943457</v>
      </c>
      <c r="O51" s="265">
        <f>IF(O$25=0,0,O$25/AGR_fec!O$25)</f>
        <v>0.26427253606943468</v>
      </c>
      <c r="P51" s="265">
        <f>IF(P$25=0,0,P$25/AGR_fec!P$25)</f>
        <v>0.26427253606943463</v>
      </c>
      <c r="Q51" s="265">
        <f>IF(Q$25=0,0,Q$25/AGR_fec!Q$25)</f>
        <v>0.26427253606943468</v>
      </c>
      <c r="R51" s="265">
        <f>IF(R$25=0,0,R$25/AGR_fec!R$25)</f>
        <v>0.26427253606943474</v>
      </c>
      <c r="S51" s="265">
        <f>IF(S$25=0,0,S$25/AGR_fec!S$25)</f>
        <v>0.26427253606943474</v>
      </c>
      <c r="T51" s="265">
        <f>IF(T$25=0,0,T$25/AGR_fec!T$25)</f>
        <v>0.26427253606943468</v>
      </c>
      <c r="U51" s="265">
        <f>IF(U$25=0,0,U$25/AGR_fec!U$25)</f>
        <v>0.26427253606943474</v>
      </c>
      <c r="V51" s="265">
        <f>IF(V$25=0,0,V$25/AGR_fec!V$25)</f>
        <v>0.26427253606943468</v>
      </c>
      <c r="W51" s="265">
        <f>IF(W$25=0,0,W$25/AGR_fec!W$25)</f>
        <v>0.26427253606943479</v>
      </c>
      <c r="DA51" s="291"/>
    </row>
    <row r="52" spans="1:105" x14ac:dyDescent="0.25">
      <c r="A52" s="128" t="s">
        <v>177</v>
      </c>
      <c r="B52" s="265">
        <f>IF(B$26=0,0,B$26/AGR_fec!B$26)</f>
        <v>0.52317227136350708</v>
      </c>
      <c r="C52" s="265">
        <f>IF(C$26=0,0,C$26/AGR_fec!C$26)</f>
        <v>0.52317227136350697</v>
      </c>
      <c r="D52" s="265">
        <f>IF(D$26=0,0,D$26/AGR_fec!D$26)</f>
        <v>0.52317227136350686</v>
      </c>
      <c r="E52" s="265">
        <f>IF(E$26=0,0,E$26/AGR_fec!E$26)</f>
        <v>0.52317227136350686</v>
      </c>
      <c r="F52" s="265">
        <f>IF(F$26=0,0,F$26/AGR_fec!F$26)</f>
        <v>0.52317227136350708</v>
      </c>
      <c r="G52" s="265">
        <f>IF(G$26=0,0,G$26/AGR_fec!G$26)</f>
        <v>0.52317227136350686</v>
      </c>
      <c r="H52" s="265">
        <f>IF(H$26=0,0,H$26/AGR_fec!H$26)</f>
        <v>0.52317227136350686</v>
      </c>
      <c r="I52" s="265">
        <f>IF(I$26=0,0,I$26/AGR_fec!I$26)</f>
        <v>0.52317227136350719</v>
      </c>
      <c r="J52" s="265">
        <f>IF(J$26=0,0,J$26/AGR_fec!J$26)</f>
        <v>0.5231722713635073</v>
      </c>
      <c r="K52" s="265">
        <f>IF(K$26=0,0,K$26/AGR_fec!K$26)</f>
        <v>0.5231722713635073</v>
      </c>
      <c r="L52" s="265">
        <f>IF(L$26=0,0,L$26/AGR_fec!L$26)</f>
        <v>0.52317227136350686</v>
      </c>
      <c r="M52" s="265">
        <f>IF(M$26=0,0,M$26/AGR_fec!M$26)</f>
        <v>0.52317227136350708</v>
      </c>
      <c r="N52" s="265">
        <f>IF(N$26=0,0,N$26/AGR_fec!N$26)</f>
        <v>0.52317227136350697</v>
      </c>
      <c r="O52" s="265">
        <f>IF(O$26=0,0,O$26/AGR_fec!O$26)</f>
        <v>0.52317227136350686</v>
      </c>
      <c r="P52" s="265">
        <f>IF(P$26=0,0,P$26/AGR_fec!P$26)</f>
        <v>0.52317227136350719</v>
      </c>
      <c r="Q52" s="265">
        <f>IF(Q$26=0,0,Q$26/AGR_fec!Q$26)</f>
        <v>0.52317227136350719</v>
      </c>
      <c r="R52" s="265">
        <f>IF(R$26=0,0,R$26/AGR_fec!R$26)</f>
        <v>0.52317227136350708</v>
      </c>
      <c r="S52" s="265">
        <f>IF(S$26=0,0,S$26/AGR_fec!S$26)</f>
        <v>0.52317227136350697</v>
      </c>
      <c r="T52" s="265">
        <f>IF(T$26=0,0,T$26/AGR_fec!T$26)</f>
        <v>0.52317227136350697</v>
      </c>
      <c r="U52" s="265">
        <f>IF(U$26=0,0,U$26/AGR_fec!U$26)</f>
        <v>0.52317227136350697</v>
      </c>
      <c r="V52" s="265">
        <f>IF(V$26=0,0,V$26/AGR_fec!V$26)</f>
        <v>0.52317227136350697</v>
      </c>
      <c r="W52" s="265">
        <f>IF(W$26=0,0,W$26/AGR_fec!W$26)</f>
        <v>0.52317227136350719</v>
      </c>
      <c r="DA52" s="291"/>
    </row>
    <row r="53" spans="1:105" x14ac:dyDescent="0.25">
      <c r="A53" s="261" t="s">
        <v>33</v>
      </c>
      <c r="B53" s="266">
        <f>IF(B$27=0,0,B$27/AGR_fec!B$27)</f>
        <v>0.54989545945348905</v>
      </c>
      <c r="C53" s="266">
        <f>IF(C$27=0,0,C$27/AGR_fec!C$27)</f>
        <v>0.54989545945348861</v>
      </c>
      <c r="D53" s="266">
        <f>IF(D$27=0,0,D$27/AGR_fec!D$27)</f>
        <v>0.54989545945348894</v>
      </c>
      <c r="E53" s="266">
        <f>IF(E$27=0,0,E$27/AGR_fec!E$27)</f>
        <v>0.54989545945348872</v>
      </c>
      <c r="F53" s="266">
        <f>IF(F$27=0,0,F$27/AGR_fec!F$27)</f>
        <v>0.54989545945348872</v>
      </c>
      <c r="G53" s="266">
        <f>IF(G$27=0,0,G$27/AGR_fec!G$27)</f>
        <v>0.54989545945348894</v>
      </c>
      <c r="H53" s="266">
        <f>IF(H$27=0,0,H$27/AGR_fec!H$27)</f>
        <v>0.54989545945348894</v>
      </c>
      <c r="I53" s="266">
        <f>IF(I$27=0,0,I$27/AGR_fec!I$27)</f>
        <v>0.54989545945348883</v>
      </c>
      <c r="J53" s="266">
        <f>IF(J$27=0,0,J$27/AGR_fec!J$27)</f>
        <v>0.54989545945348894</v>
      </c>
      <c r="K53" s="266">
        <f>IF(K$27=0,0,K$27/AGR_fec!K$27)</f>
        <v>0.54989545945348872</v>
      </c>
      <c r="L53" s="266">
        <f>IF(L$27=0,0,L$27/AGR_fec!L$27)</f>
        <v>0.54989545945348872</v>
      </c>
      <c r="M53" s="266">
        <f>IF(M$27=0,0,M$27/AGR_fec!M$27)</f>
        <v>0.54989545945348883</v>
      </c>
      <c r="N53" s="266">
        <f>IF(N$27=0,0,N$27/AGR_fec!N$27)</f>
        <v>0.54989545945348894</v>
      </c>
      <c r="O53" s="266">
        <f>IF(O$27=0,0,O$27/AGR_fec!O$27)</f>
        <v>0.54989545945348872</v>
      </c>
      <c r="P53" s="266">
        <f>IF(P$27=0,0,P$27/AGR_fec!P$27)</f>
        <v>0.54989545945348883</v>
      </c>
      <c r="Q53" s="266">
        <f>IF(Q$27=0,0,Q$27/AGR_fec!Q$27)</f>
        <v>0.54989545945348883</v>
      </c>
      <c r="R53" s="266">
        <f>IF(R$27=0,0,R$27/AGR_fec!R$27)</f>
        <v>0.54989545945348894</v>
      </c>
      <c r="S53" s="266">
        <f>IF(S$27=0,0,S$27/AGR_fec!S$27)</f>
        <v>0.54989545945348872</v>
      </c>
      <c r="T53" s="266">
        <f>IF(T$27=0,0,T$27/AGR_fec!T$27)</f>
        <v>0.54989545945348872</v>
      </c>
      <c r="U53" s="266">
        <f>IF(U$27=0,0,U$27/AGR_fec!U$27)</f>
        <v>0.54989545945348872</v>
      </c>
      <c r="V53" s="266">
        <f>IF(V$27=0,0,V$27/AGR_fec!V$27)</f>
        <v>0.54989545945348872</v>
      </c>
      <c r="W53" s="266">
        <f>IF(W$27=0,0,W$27/AGR_fec!W$27)</f>
        <v>0.54989545945348883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12754.961396231345</v>
      </c>
      <c r="C5" s="80">
        <f t="shared" ref="C5:W5" si="0">SUM(C6:C9,C16:C17,C25:C27)</f>
        <v>12526.652446532395</v>
      </c>
      <c r="D5" s="80">
        <f t="shared" si="0"/>
        <v>11706.824761859623</v>
      </c>
      <c r="E5" s="80">
        <f t="shared" si="0"/>
        <v>11892.902421921777</v>
      </c>
      <c r="F5" s="80">
        <f t="shared" si="0"/>
        <v>12182.903692316944</v>
      </c>
      <c r="G5" s="80">
        <f t="shared" si="0"/>
        <v>12720.939415595712</v>
      </c>
      <c r="H5" s="80">
        <f t="shared" si="0"/>
        <v>10857.850209072367</v>
      </c>
      <c r="I5" s="80">
        <f t="shared" si="0"/>
        <v>9833.2929994800743</v>
      </c>
      <c r="J5" s="80">
        <f t="shared" si="0"/>
        <v>10295.262300319737</v>
      </c>
      <c r="K5" s="80">
        <f t="shared" si="0"/>
        <v>10082.8987844527</v>
      </c>
      <c r="L5" s="80">
        <f t="shared" si="0"/>
        <v>10510.360337858705</v>
      </c>
      <c r="M5" s="80">
        <f t="shared" si="0"/>
        <v>10018.084880593586</v>
      </c>
      <c r="N5" s="80">
        <f t="shared" si="0"/>
        <v>10224.172764660199</v>
      </c>
      <c r="O5" s="80">
        <f t="shared" si="0"/>
        <v>9948.6161896738922</v>
      </c>
      <c r="P5" s="80">
        <f t="shared" si="0"/>
        <v>9543.5386146246747</v>
      </c>
      <c r="Q5" s="80">
        <f t="shared" si="0"/>
        <v>9098.2935945102981</v>
      </c>
      <c r="R5" s="80">
        <f t="shared" si="0"/>
        <v>9664.3300029933889</v>
      </c>
      <c r="S5" s="80">
        <f t="shared" si="0"/>
        <v>10709.419579337764</v>
      </c>
      <c r="T5" s="80">
        <f t="shared" si="0"/>
        <v>10791.867943175892</v>
      </c>
      <c r="U5" s="80">
        <f t="shared" si="0"/>
        <v>10392.950446058983</v>
      </c>
      <c r="V5" s="80">
        <f t="shared" si="0"/>
        <v>10533.273936600694</v>
      </c>
      <c r="W5" s="80">
        <f t="shared" si="0"/>
        <v>10021.315685530575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2302.0753692275857</v>
      </c>
      <c r="C9" s="244">
        <f t="shared" ref="C9:W9" si="1">SUM(C10:C15)</f>
        <v>2192.7634107819576</v>
      </c>
      <c r="D9" s="244">
        <f t="shared" si="1"/>
        <v>2151.0732516689318</v>
      </c>
      <c r="E9" s="244">
        <f t="shared" si="1"/>
        <v>2297.140531845766</v>
      </c>
      <c r="F9" s="244">
        <f t="shared" si="1"/>
        <v>2350.3161636171885</v>
      </c>
      <c r="G9" s="244">
        <f t="shared" si="1"/>
        <v>2415.5833875244839</v>
      </c>
      <c r="H9" s="244">
        <f t="shared" si="1"/>
        <v>1890.1865350702924</v>
      </c>
      <c r="I9" s="244">
        <f t="shared" si="1"/>
        <v>1733.158961485678</v>
      </c>
      <c r="J9" s="244">
        <f t="shared" si="1"/>
        <v>1748.3802541371804</v>
      </c>
      <c r="K9" s="244">
        <f t="shared" si="1"/>
        <v>1705.8923493990296</v>
      </c>
      <c r="L9" s="244">
        <f t="shared" si="1"/>
        <v>1729.8198644025906</v>
      </c>
      <c r="M9" s="244">
        <f t="shared" si="1"/>
        <v>1732.176531558795</v>
      </c>
      <c r="N9" s="244">
        <f t="shared" si="1"/>
        <v>1742.6760809352149</v>
      </c>
      <c r="O9" s="244">
        <f t="shared" si="1"/>
        <v>1699.9703036462477</v>
      </c>
      <c r="P9" s="244">
        <f t="shared" si="1"/>
        <v>1634.0775790143093</v>
      </c>
      <c r="Q9" s="244">
        <f t="shared" si="1"/>
        <v>1600.8567709635074</v>
      </c>
      <c r="R9" s="244">
        <f t="shared" si="1"/>
        <v>1699.0300478986567</v>
      </c>
      <c r="S9" s="244">
        <f t="shared" si="1"/>
        <v>1975.4980084891486</v>
      </c>
      <c r="T9" s="244">
        <f t="shared" si="1"/>
        <v>2044.1551181929219</v>
      </c>
      <c r="U9" s="244">
        <f t="shared" si="1"/>
        <v>2066.5719765679087</v>
      </c>
      <c r="V9" s="244">
        <f t="shared" si="1"/>
        <v>2093.2464152299917</v>
      </c>
      <c r="W9" s="244">
        <f t="shared" si="1"/>
        <v>2089.2725646955469</v>
      </c>
      <c r="DA9" s="270"/>
    </row>
    <row r="10" spans="1:105" x14ac:dyDescent="0.25">
      <c r="A10" s="254" t="s">
        <v>173</v>
      </c>
      <c r="B10" s="255">
        <v>2285.8295062898392</v>
      </c>
      <c r="C10" s="255">
        <v>2168.1651217564959</v>
      </c>
      <c r="D10" s="255">
        <v>2123.2922036583241</v>
      </c>
      <c r="E10" s="255">
        <v>2259.296033681921</v>
      </c>
      <c r="F10" s="255">
        <v>2312.7050663104351</v>
      </c>
      <c r="G10" s="255">
        <v>2380.6302452336481</v>
      </c>
      <c r="H10" s="255">
        <v>1836.980841907915</v>
      </c>
      <c r="I10" s="255">
        <v>1668.3726204583211</v>
      </c>
      <c r="J10" s="255">
        <v>1679.932137376361</v>
      </c>
      <c r="K10" s="255">
        <v>1648.89402738023</v>
      </c>
      <c r="L10" s="255">
        <v>1674.191648465162</v>
      </c>
      <c r="M10" s="255">
        <v>1675.8033243292459</v>
      </c>
      <c r="N10" s="255">
        <v>1677.183470022818</v>
      </c>
      <c r="O10" s="255">
        <v>1645.303520056375</v>
      </c>
      <c r="P10" s="255">
        <v>1582.072835004092</v>
      </c>
      <c r="Q10" s="255">
        <v>1559.970499090984</v>
      </c>
      <c r="R10" s="255">
        <v>1652.323232654433</v>
      </c>
      <c r="S10" s="255">
        <v>1924.2793330223681</v>
      </c>
      <c r="T10" s="255">
        <v>2002.843577724791</v>
      </c>
      <c r="U10" s="255">
        <v>2018.7223703670741</v>
      </c>
      <c r="V10" s="255">
        <v>2037.627231467563</v>
      </c>
      <c r="W10" s="255">
        <v>2023.242786455721</v>
      </c>
      <c r="DA10" s="271" t="s">
        <v>1038</v>
      </c>
    </row>
    <row r="11" spans="1:105" x14ac:dyDescent="0.25">
      <c r="A11" s="254" t="s">
        <v>176</v>
      </c>
      <c r="B11" s="256">
        <v>16.245862937746331</v>
      </c>
      <c r="C11" s="256">
        <v>24.59828902546187</v>
      </c>
      <c r="D11" s="256">
        <v>27.781048010607559</v>
      </c>
      <c r="E11" s="256">
        <v>37.844498163844769</v>
      </c>
      <c r="F11" s="256">
        <v>37.611097306753237</v>
      </c>
      <c r="G11" s="256">
        <v>34.953142290835991</v>
      </c>
      <c r="H11" s="256">
        <v>53.205693162377443</v>
      </c>
      <c r="I11" s="256">
        <v>64.786341027356869</v>
      </c>
      <c r="J11" s="256">
        <v>68.44811676081946</v>
      </c>
      <c r="K11" s="256">
        <v>56.998322018799733</v>
      </c>
      <c r="L11" s="256">
        <v>55.628215937428628</v>
      </c>
      <c r="M11" s="256">
        <v>56.373207229549138</v>
      </c>
      <c r="N11" s="256">
        <v>65.492610912396842</v>
      </c>
      <c r="O11" s="256">
        <v>54.6667835898728</v>
      </c>
      <c r="P11" s="256">
        <v>52.004744010217387</v>
      </c>
      <c r="Q11" s="256">
        <v>40.886271872523302</v>
      </c>
      <c r="R11" s="256">
        <v>46.706815244223577</v>
      </c>
      <c r="S11" s="256">
        <v>51.218675466780603</v>
      </c>
      <c r="T11" s="256">
        <v>41.311540468131028</v>
      </c>
      <c r="U11" s="256">
        <v>47.849606200834593</v>
      </c>
      <c r="V11" s="256">
        <v>55.619183762428563</v>
      </c>
      <c r="W11" s="256">
        <v>66.029778239825831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3430.1897122284022</v>
      </c>
      <c r="C16" s="258">
        <v>3294.494729137873</v>
      </c>
      <c r="D16" s="258">
        <v>3205.9832418412861</v>
      </c>
      <c r="E16" s="258">
        <v>3193.4296228419448</v>
      </c>
      <c r="F16" s="258">
        <v>3262.4634185712821</v>
      </c>
      <c r="G16" s="258">
        <v>3342.4334673278572</v>
      </c>
      <c r="H16" s="258">
        <v>2652.3070479838152</v>
      </c>
      <c r="I16" s="258">
        <v>2445.8046484865922</v>
      </c>
      <c r="J16" s="258">
        <v>2481.943484166175</v>
      </c>
      <c r="K16" s="258">
        <v>2428.789597977413</v>
      </c>
      <c r="L16" s="258">
        <v>2462.840638197109</v>
      </c>
      <c r="M16" s="258">
        <v>2466.0730619765081</v>
      </c>
      <c r="N16" s="258">
        <v>2477.7877943591029</v>
      </c>
      <c r="O16" s="258">
        <v>2422.2713764535729</v>
      </c>
      <c r="P16" s="258">
        <v>2328.0373706541818</v>
      </c>
      <c r="Q16" s="258">
        <v>2286.7007927427021</v>
      </c>
      <c r="R16" s="258">
        <v>2424.5984780569879</v>
      </c>
      <c r="S16" s="258">
        <v>2793.5677349665498</v>
      </c>
      <c r="T16" s="258">
        <v>2883.4096392014781</v>
      </c>
      <c r="U16" s="258">
        <v>2907.0042821348611</v>
      </c>
      <c r="V16" s="258">
        <v>2943.363894462806</v>
      </c>
      <c r="W16" s="258">
        <v>2939.9012553154298</v>
      </c>
      <c r="DA16" s="273" t="s">
        <v>1044</v>
      </c>
    </row>
    <row r="17" spans="1:105" x14ac:dyDescent="0.25">
      <c r="A17" s="257" t="s">
        <v>121</v>
      </c>
      <c r="B17" s="258">
        <f>SUM(B18:B24)</f>
        <v>6363.5567753121959</v>
      </c>
      <c r="C17" s="258">
        <f t="shared" ref="C17:W17" si="2">SUM(C18:C24)</f>
        <v>6406.3296889949488</v>
      </c>
      <c r="D17" s="258">
        <f t="shared" si="2"/>
        <v>5733.7118706462425</v>
      </c>
      <c r="E17" s="258">
        <f t="shared" si="2"/>
        <v>5788.6881520400375</v>
      </c>
      <c r="F17" s="258">
        <f t="shared" si="2"/>
        <v>5943.214575776371</v>
      </c>
      <c r="G17" s="258">
        <f t="shared" si="2"/>
        <v>6320.6461150742798</v>
      </c>
      <c r="H17" s="258">
        <f t="shared" si="2"/>
        <v>5805.6937231500642</v>
      </c>
      <c r="I17" s="258">
        <f t="shared" si="2"/>
        <v>5184.3476436372521</v>
      </c>
      <c r="J17" s="258">
        <f t="shared" si="2"/>
        <v>5588.0124376988724</v>
      </c>
      <c r="K17" s="258">
        <f t="shared" si="2"/>
        <v>5481.5046749597977</v>
      </c>
      <c r="L17" s="258">
        <f t="shared" si="2"/>
        <v>5844.4444819923219</v>
      </c>
      <c r="M17" s="258">
        <f t="shared" si="2"/>
        <v>5345.9587966242543</v>
      </c>
      <c r="N17" s="258">
        <f t="shared" si="2"/>
        <v>5527.5813154771795</v>
      </c>
      <c r="O17" s="258">
        <f t="shared" si="2"/>
        <v>5360.9148780444866</v>
      </c>
      <c r="P17" s="258">
        <f t="shared" si="2"/>
        <v>5134.0718829612606</v>
      </c>
      <c r="Q17" s="258">
        <f t="shared" si="2"/>
        <v>4771.3274167425379</v>
      </c>
      <c r="R17" s="258">
        <f t="shared" si="2"/>
        <v>5074.7946735416372</v>
      </c>
      <c r="S17" s="258">
        <f t="shared" si="2"/>
        <v>5403.5465147823916</v>
      </c>
      <c r="T17" s="258">
        <f t="shared" si="2"/>
        <v>5310.2319940653342</v>
      </c>
      <c r="U17" s="258">
        <f t="shared" si="2"/>
        <v>4860.7690883691339</v>
      </c>
      <c r="V17" s="258">
        <f t="shared" si="2"/>
        <v>4931.0717254009824</v>
      </c>
      <c r="W17" s="258">
        <f t="shared" si="2"/>
        <v>4427.2153389815367</v>
      </c>
      <c r="DA17" s="273"/>
    </row>
    <row r="18" spans="1:105" x14ac:dyDescent="0.25">
      <c r="A18" s="61" t="s">
        <v>29</v>
      </c>
      <c r="B18" s="55">
        <v>3625.5183507365991</v>
      </c>
      <c r="C18" s="55">
        <v>4042.737006077346</v>
      </c>
      <c r="D18" s="55">
        <v>3383.6621169011992</v>
      </c>
      <c r="E18" s="55">
        <v>3291.4036468434201</v>
      </c>
      <c r="F18" s="55">
        <v>3448.1614169986519</v>
      </c>
      <c r="G18" s="55">
        <v>3735.5068652774548</v>
      </c>
      <c r="H18" s="55">
        <v>4405.5556841532916</v>
      </c>
      <c r="I18" s="55">
        <v>3895.5751028416798</v>
      </c>
      <c r="J18" s="55">
        <v>4335.5702312011636</v>
      </c>
      <c r="K18" s="55">
        <v>4294.6665278540468</v>
      </c>
      <c r="L18" s="55">
        <v>4759.5776741800182</v>
      </c>
      <c r="M18" s="55">
        <v>4185.8830275149776</v>
      </c>
      <c r="N18" s="55">
        <v>4332.0762136216936</v>
      </c>
      <c r="O18" s="55">
        <v>4244.2072103953114</v>
      </c>
      <c r="P18" s="55">
        <v>4035.8229955460229</v>
      </c>
      <c r="Q18" s="55">
        <v>3660.1816627915891</v>
      </c>
      <c r="R18" s="55">
        <v>3890.203632874704</v>
      </c>
      <c r="S18" s="55">
        <v>3861.1939774986959</v>
      </c>
      <c r="T18" s="55">
        <v>3623.7650375768212</v>
      </c>
      <c r="U18" s="55">
        <v>2928.3141094600091</v>
      </c>
      <c r="V18" s="55">
        <v>2996.7030332417462</v>
      </c>
      <c r="W18" s="55">
        <v>2455.6441083716509</v>
      </c>
      <c r="DA18" s="101" t="s">
        <v>1045</v>
      </c>
    </row>
    <row r="19" spans="1:105" x14ac:dyDescent="0.25">
      <c r="A19" s="61" t="s">
        <v>27</v>
      </c>
      <c r="B19" s="55">
        <v>119.38530095996821</v>
      </c>
      <c r="C19" s="55">
        <v>149.23139903996019</v>
      </c>
      <c r="D19" s="55">
        <v>179.0777242799501</v>
      </c>
      <c r="E19" s="55">
        <v>208.92404951995809</v>
      </c>
      <c r="F19" s="55">
        <v>208.92404951995721</v>
      </c>
      <c r="G19" s="55">
        <v>208.92404951995741</v>
      </c>
      <c r="H19" s="55">
        <v>149.23139903997571</v>
      </c>
      <c r="I19" s="55">
        <v>149.2313990399536</v>
      </c>
      <c r="J19" s="55">
        <v>152.21605427995641</v>
      </c>
      <c r="K19" s="55">
        <v>130.6169999999633</v>
      </c>
      <c r="L19" s="55">
        <v>145.1300252399586</v>
      </c>
      <c r="M19" s="55">
        <v>148.0326757199569</v>
      </c>
      <c r="N19" s="55">
        <v>145.1300252399561</v>
      </c>
      <c r="O19" s="55">
        <v>145.13002523995669</v>
      </c>
      <c r="P19" s="55">
        <v>153.83774951995511</v>
      </c>
      <c r="Q19" s="55">
        <v>165.44812427995311</v>
      </c>
      <c r="R19" s="55">
        <v>174.15607571995221</v>
      </c>
      <c r="S19" s="55">
        <v>179.96114951997251</v>
      </c>
      <c r="T19" s="55">
        <v>179.96114951997399</v>
      </c>
      <c r="U19" s="55">
        <v>188.66910095997179</v>
      </c>
      <c r="V19" s="55">
        <v>179.96114951997271</v>
      </c>
      <c r="W19" s="55">
        <v>168.35077475997409</v>
      </c>
      <c r="DA19" s="101" t="s">
        <v>1046</v>
      </c>
    </row>
    <row r="20" spans="1:105" x14ac:dyDescent="0.25">
      <c r="A20" s="61" t="s">
        <v>173</v>
      </c>
      <c r="B20" s="55">
        <v>1941.0842420171441</v>
      </c>
      <c r="C20" s="55">
        <v>1672.4750500467931</v>
      </c>
      <c r="D20" s="55">
        <v>1797.377156795807</v>
      </c>
      <c r="E20" s="55">
        <v>1749.6240690006191</v>
      </c>
      <c r="F20" s="55">
        <v>1763.671951124629</v>
      </c>
      <c r="G20" s="55">
        <v>1759.7247528478349</v>
      </c>
      <c r="H20" s="55">
        <v>1055.0190886792129</v>
      </c>
      <c r="I20" s="55">
        <v>991.86604446303625</v>
      </c>
      <c r="J20" s="55">
        <v>937.22331341863173</v>
      </c>
      <c r="K20" s="55">
        <v>910.10515324463984</v>
      </c>
      <c r="L20" s="55">
        <v>834.58779970981425</v>
      </c>
      <c r="M20" s="55">
        <v>877.25060181891922</v>
      </c>
      <c r="N20" s="55">
        <v>903.61550064798507</v>
      </c>
      <c r="O20" s="55">
        <v>889.3810533991267</v>
      </c>
      <c r="P20" s="55">
        <v>872.44197162553257</v>
      </c>
      <c r="Q20" s="55">
        <v>888.47135338354371</v>
      </c>
      <c r="R20" s="55">
        <v>937.60736723123375</v>
      </c>
      <c r="S20" s="55">
        <v>1277.2605812705219</v>
      </c>
      <c r="T20" s="55">
        <v>1442.0835913566841</v>
      </c>
      <c r="U20" s="55">
        <v>1668.911807790005</v>
      </c>
      <c r="V20" s="55">
        <v>1673.5727429217111</v>
      </c>
      <c r="W20" s="55">
        <v>1723.661583249758</v>
      </c>
      <c r="DA20" s="101" t="s">
        <v>1047</v>
      </c>
    </row>
    <row r="21" spans="1:105" x14ac:dyDescent="0.25">
      <c r="A21" s="61" t="s">
        <v>129</v>
      </c>
      <c r="B21" s="55">
        <v>662.06193731982341</v>
      </c>
      <c r="C21" s="55">
        <v>521.33990219986094</v>
      </c>
      <c r="D21" s="55">
        <v>350.07808067990248</v>
      </c>
      <c r="E21" s="55">
        <v>509.4291848398978</v>
      </c>
      <c r="F21" s="55">
        <v>493.77488543989898</v>
      </c>
      <c r="G21" s="55">
        <v>590.65362971987975</v>
      </c>
      <c r="H21" s="55">
        <v>165.33033443997309</v>
      </c>
      <c r="I21" s="55">
        <v>109.1588983199661</v>
      </c>
      <c r="J21" s="55">
        <v>124.8160755599643</v>
      </c>
      <c r="K21" s="55">
        <v>114.6558358799678</v>
      </c>
      <c r="L21" s="55">
        <v>77.418208799977918</v>
      </c>
      <c r="M21" s="55">
        <v>105.2822087999694</v>
      </c>
      <c r="N21" s="55">
        <v>111.4741468799663</v>
      </c>
      <c r="O21" s="55">
        <v>52.646052599984301</v>
      </c>
      <c r="P21" s="55">
        <v>43.290890279987352</v>
      </c>
      <c r="Q21" s="55">
        <v>33.93975815999039</v>
      </c>
      <c r="R21" s="55">
        <v>46.323912959987297</v>
      </c>
      <c r="S21" s="55">
        <v>51.133873679992213</v>
      </c>
      <c r="T21" s="55">
        <v>34.677159479995012</v>
      </c>
      <c r="U21" s="55">
        <v>35.31599423999473</v>
      </c>
      <c r="V21" s="55">
        <v>35.152867079994657</v>
      </c>
      <c r="W21" s="55">
        <v>23.306111999996411</v>
      </c>
      <c r="DA21" s="101" t="s">
        <v>1048</v>
      </c>
    </row>
    <row r="22" spans="1:105" x14ac:dyDescent="0.25">
      <c r="A22" s="61" t="s">
        <v>176</v>
      </c>
      <c r="B22" s="55">
        <v>13.795687062248991</v>
      </c>
      <c r="C22" s="55">
        <v>18.974580974532071</v>
      </c>
      <c r="D22" s="55">
        <v>23.516791989384021</v>
      </c>
      <c r="E22" s="55">
        <v>29.307201836142639</v>
      </c>
      <c r="F22" s="55">
        <v>28.682272693234001</v>
      </c>
      <c r="G22" s="55">
        <v>25.83681770915242</v>
      </c>
      <c r="H22" s="55">
        <v>30.557216837610941</v>
      </c>
      <c r="I22" s="55">
        <v>38.516198972616209</v>
      </c>
      <c r="J22" s="55">
        <v>38.186763239156122</v>
      </c>
      <c r="K22" s="55">
        <v>31.460157981180519</v>
      </c>
      <c r="L22" s="55">
        <v>27.730774062553252</v>
      </c>
      <c r="M22" s="55">
        <v>29.510282770431171</v>
      </c>
      <c r="N22" s="55">
        <v>35.285429087578592</v>
      </c>
      <c r="O22" s="55">
        <v>29.550536410107028</v>
      </c>
      <c r="P22" s="55">
        <v>28.678275989763652</v>
      </c>
      <c r="Q22" s="55">
        <v>23.286518127462099</v>
      </c>
      <c r="R22" s="55">
        <v>26.50368475576046</v>
      </c>
      <c r="S22" s="55">
        <v>33.996932813208133</v>
      </c>
      <c r="T22" s="55">
        <v>29.745056131860061</v>
      </c>
      <c r="U22" s="55">
        <v>39.55807591915373</v>
      </c>
      <c r="V22" s="55">
        <v>45.681932637557637</v>
      </c>
      <c r="W22" s="55">
        <v>56.252760600157188</v>
      </c>
      <c r="DA22" s="101" t="s">
        <v>1049</v>
      </c>
    </row>
    <row r="23" spans="1:105" x14ac:dyDescent="0.25">
      <c r="A23" s="61" t="s">
        <v>171</v>
      </c>
      <c r="B23" s="55">
        <v>1.7112572164117039</v>
      </c>
      <c r="C23" s="55">
        <v>1.5717506564567241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659.1395394631611</v>
      </c>
      <c r="C25" s="258">
        <v>633.06461761761477</v>
      </c>
      <c r="D25" s="258">
        <v>616.0563977031627</v>
      </c>
      <c r="E25" s="258">
        <v>613.64411519402825</v>
      </c>
      <c r="F25" s="258">
        <v>626.90953435210395</v>
      </c>
      <c r="G25" s="258">
        <v>642.27644566909089</v>
      </c>
      <c r="H25" s="258">
        <v>509.66290286819572</v>
      </c>
      <c r="I25" s="258">
        <v>469.98174587055212</v>
      </c>
      <c r="J25" s="258">
        <v>476.92612431750979</v>
      </c>
      <c r="K25" s="258">
        <v>466.71216211645799</v>
      </c>
      <c r="L25" s="258">
        <v>473.25535326668489</v>
      </c>
      <c r="M25" s="258">
        <v>473.87649043402769</v>
      </c>
      <c r="N25" s="258">
        <v>476.12757388870398</v>
      </c>
      <c r="O25" s="258">
        <v>465.4596315295849</v>
      </c>
      <c r="P25" s="258">
        <v>447.35178199492231</v>
      </c>
      <c r="Q25" s="258">
        <v>439.40861406155022</v>
      </c>
      <c r="R25" s="258">
        <v>465.90680349610659</v>
      </c>
      <c r="S25" s="258">
        <v>536.80732109967607</v>
      </c>
      <c r="T25" s="258">
        <v>554.07119171615955</v>
      </c>
      <c r="U25" s="258">
        <v>558.60509898707983</v>
      </c>
      <c r="V25" s="258">
        <v>565.59190150691234</v>
      </c>
      <c r="W25" s="258">
        <v>564.92652653806101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1</v>
      </c>
      <c r="H31" s="236">
        <f t="shared" si="3"/>
        <v>1</v>
      </c>
      <c r="I31" s="236">
        <f t="shared" si="3"/>
        <v>0.99999999999999989</v>
      </c>
      <c r="J31" s="236">
        <f t="shared" si="3"/>
        <v>1</v>
      </c>
      <c r="K31" s="236">
        <f t="shared" si="3"/>
        <v>0.99999999999999978</v>
      </c>
      <c r="L31" s="236">
        <f t="shared" si="3"/>
        <v>1.0000000000000002</v>
      </c>
      <c r="M31" s="236">
        <f t="shared" si="3"/>
        <v>1</v>
      </c>
      <c r="N31" s="236">
        <f t="shared" si="3"/>
        <v>1.0000000000000002</v>
      </c>
      <c r="O31" s="236">
        <f t="shared" si="3"/>
        <v>1</v>
      </c>
      <c r="P31" s="236">
        <f t="shared" si="3"/>
        <v>0.99999999999999989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1.0000000000000002</v>
      </c>
      <c r="T31" s="236">
        <f t="shared" si="4"/>
        <v>1.0000000000000002</v>
      </c>
      <c r="U31" s="236">
        <f t="shared" si="4"/>
        <v>1</v>
      </c>
      <c r="V31" s="236">
        <f t="shared" si="4"/>
        <v>1</v>
      </c>
      <c r="W31" s="236">
        <f t="shared" si="4"/>
        <v>0.99999999999999989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0.18048469906837744</v>
      </c>
      <c r="C35" s="247">
        <f t="shared" si="8"/>
        <v>0.17504783661407916</v>
      </c>
      <c r="D35" s="247">
        <f t="shared" si="8"/>
        <v>0.18374523369283224</v>
      </c>
      <c r="E35" s="247">
        <f t="shared" si="8"/>
        <v>0.1931522222541342</v>
      </c>
      <c r="F35" s="247">
        <f t="shared" si="8"/>
        <v>0.19291921063936487</v>
      </c>
      <c r="G35" s="247">
        <f t="shared" si="8"/>
        <v>0.18989033031342079</v>
      </c>
      <c r="H35" s="247">
        <f t="shared" si="8"/>
        <v>0.17408478646085312</v>
      </c>
      <c r="I35" s="247">
        <f t="shared" si="8"/>
        <v>0.17625417666058735</v>
      </c>
      <c r="J35" s="247">
        <f t="shared" si="8"/>
        <v>0.16982376972395172</v>
      </c>
      <c r="K35" s="247">
        <f t="shared" si="8"/>
        <v>0.16918669778074397</v>
      </c>
      <c r="L35" s="247">
        <f t="shared" si="8"/>
        <v>0.16458235577059294</v>
      </c>
      <c r="M35" s="247">
        <f t="shared" si="8"/>
        <v>0.1729049566064528</v>
      </c>
      <c r="N35" s="247">
        <f t="shared" si="8"/>
        <v>0.17044665823319866</v>
      </c>
      <c r="O35" s="247">
        <f t="shared" si="8"/>
        <v>0.17087505148813781</v>
      </c>
      <c r="P35" s="247">
        <f t="shared" si="8"/>
        <v>0.17122344708808765</v>
      </c>
      <c r="Q35" s="247">
        <f t="shared" si="8"/>
        <v>0.1759513203585151</v>
      </c>
      <c r="R35" s="247">
        <f t="shared" si="8"/>
        <v>0.17580422516329702</v>
      </c>
      <c r="S35" s="247">
        <f t="shared" si="8"/>
        <v>0.1844635924341389</v>
      </c>
      <c r="T35" s="247">
        <f t="shared" si="8"/>
        <v>0.18941624646968727</v>
      </c>
      <c r="U35" s="247">
        <f t="shared" si="8"/>
        <v>0.19884362840886582</v>
      </c>
      <c r="V35" s="247">
        <f t="shared" si="8"/>
        <v>0.19872704610448266</v>
      </c>
      <c r="W35" s="247">
        <f t="shared" si="8"/>
        <v>0.20848286095928242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0.26892983880311122</v>
      </c>
      <c r="C36" s="260">
        <f t="shared" si="9"/>
        <v>0.26299881338608139</v>
      </c>
      <c r="D36" s="260">
        <f t="shared" si="9"/>
        <v>0.27385591798437559</v>
      </c>
      <c r="E36" s="260">
        <f t="shared" si="9"/>
        <v>0.26851558261805009</v>
      </c>
      <c r="F36" s="260">
        <f t="shared" si="9"/>
        <v>0.26779029868131765</v>
      </c>
      <c r="G36" s="260">
        <f t="shared" si="9"/>
        <v>0.26275052165016016</v>
      </c>
      <c r="H36" s="260">
        <f t="shared" si="9"/>
        <v>0.24427552387558801</v>
      </c>
      <c r="I36" s="260">
        <f t="shared" si="9"/>
        <v>0.24872691667134414</v>
      </c>
      <c r="J36" s="260">
        <f t="shared" si="9"/>
        <v>0.24107627486956734</v>
      </c>
      <c r="K36" s="260">
        <f t="shared" si="9"/>
        <v>0.24088207666256442</v>
      </c>
      <c r="L36" s="260">
        <f t="shared" si="9"/>
        <v>0.23432504300788493</v>
      </c>
      <c r="M36" s="260">
        <f t="shared" si="9"/>
        <v>0.24616212493404127</v>
      </c>
      <c r="N36" s="260">
        <f t="shared" si="9"/>
        <v>0.2423460412292292</v>
      </c>
      <c r="O36" s="260">
        <f t="shared" si="9"/>
        <v>0.24347822152067292</v>
      </c>
      <c r="P36" s="260">
        <f t="shared" si="9"/>
        <v>0.24393859182239377</v>
      </c>
      <c r="Q36" s="260">
        <f t="shared" si="9"/>
        <v>0.25133293061925865</v>
      </c>
      <c r="R36" s="260">
        <f t="shared" si="9"/>
        <v>0.25088117617113687</v>
      </c>
      <c r="S36" s="260">
        <f t="shared" si="9"/>
        <v>0.26085146018149519</v>
      </c>
      <c r="T36" s="260">
        <f t="shared" si="9"/>
        <v>0.26718355472694305</v>
      </c>
      <c r="U36" s="260">
        <f t="shared" si="9"/>
        <v>0.27970924110748552</v>
      </c>
      <c r="V36" s="260">
        <f t="shared" si="9"/>
        <v>0.27943485683357161</v>
      </c>
      <c r="W36" s="260">
        <f t="shared" si="9"/>
        <v>0.2933647983528001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0.49890835241511661</v>
      </c>
      <c r="C37" s="260">
        <f t="shared" si="10"/>
        <v>0.51141593624786308</v>
      </c>
      <c r="D37" s="260">
        <f t="shared" si="10"/>
        <v>0.48977515144212724</v>
      </c>
      <c r="E37" s="260">
        <f t="shared" si="10"/>
        <v>0.48673468819267768</v>
      </c>
      <c r="F37" s="260">
        <f t="shared" si="10"/>
        <v>0.48783235309693979</v>
      </c>
      <c r="G37" s="260">
        <f t="shared" si="10"/>
        <v>0.49686944561069496</v>
      </c>
      <c r="H37" s="260">
        <f t="shared" si="10"/>
        <v>0.53470011202577361</v>
      </c>
      <c r="I37" s="260">
        <f t="shared" si="10"/>
        <v>0.52722395680789425</v>
      </c>
      <c r="J37" s="260">
        <f t="shared" si="10"/>
        <v>0.54277514012686467</v>
      </c>
      <c r="K37" s="260">
        <f t="shared" si="10"/>
        <v>0.54364372708094522</v>
      </c>
      <c r="L37" s="260">
        <f t="shared" si="10"/>
        <v>0.55606509140703941</v>
      </c>
      <c r="M37" s="260">
        <f t="shared" si="10"/>
        <v>0.53363081470592399</v>
      </c>
      <c r="N37" s="260">
        <f t="shared" si="10"/>
        <v>0.54063848907006307</v>
      </c>
      <c r="O37" s="260">
        <f t="shared" si="10"/>
        <v>0.53886035764539963</v>
      </c>
      <c r="P37" s="260">
        <f t="shared" si="10"/>
        <v>0.53796312775365362</v>
      </c>
      <c r="Q37" s="260">
        <f t="shared" si="10"/>
        <v>0.52442003186415609</v>
      </c>
      <c r="R37" s="260">
        <f t="shared" si="10"/>
        <v>0.52510568988950002</v>
      </c>
      <c r="S37" s="260">
        <f t="shared" si="10"/>
        <v>0.50456016544610249</v>
      </c>
      <c r="T37" s="260">
        <f t="shared" si="10"/>
        <v>0.49205865212826255</v>
      </c>
      <c r="U37" s="260">
        <f t="shared" si="10"/>
        <v>0.4676986687848918</v>
      </c>
      <c r="V37" s="260">
        <f t="shared" si="10"/>
        <v>0.46814236058806441</v>
      </c>
      <c r="W37" s="260">
        <f t="shared" si="10"/>
        <v>0.4417798498628116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5.1677109713394689E-2</v>
      </c>
      <c r="C38" s="260">
        <f t="shared" si="11"/>
        <v>5.053741375197638E-2</v>
      </c>
      <c r="D38" s="260">
        <f t="shared" si="11"/>
        <v>5.2623696880664886E-2</v>
      </c>
      <c r="E38" s="260">
        <f t="shared" si="11"/>
        <v>5.1597506935137982E-2</v>
      </c>
      <c r="F38" s="260">
        <f t="shared" si="11"/>
        <v>5.1458137582377814E-2</v>
      </c>
      <c r="G38" s="260">
        <f t="shared" si="11"/>
        <v>5.0489702425724002E-2</v>
      </c>
      <c r="H38" s="260">
        <f t="shared" si="11"/>
        <v>4.69395776377853E-2</v>
      </c>
      <c r="I38" s="260">
        <f t="shared" si="11"/>
        <v>4.7794949860174199E-2</v>
      </c>
      <c r="J38" s="260">
        <f t="shared" si="11"/>
        <v>4.6324815279616335E-2</v>
      </c>
      <c r="K38" s="260">
        <f t="shared" si="11"/>
        <v>4.6287498475746244E-2</v>
      </c>
      <c r="L38" s="260">
        <f t="shared" si="11"/>
        <v>4.5027509814482926E-2</v>
      </c>
      <c r="M38" s="260">
        <f t="shared" si="11"/>
        <v>4.7302103753581876E-2</v>
      </c>
      <c r="N38" s="260">
        <f t="shared" si="11"/>
        <v>4.6568811467509283E-2</v>
      </c>
      <c r="O38" s="260">
        <f t="shared" si="11"/>
        <v>4.678636934578962E-2</v>
      </c>
      <c r="P38" s="260">
        <f t="shared" si="11"/>
        <v>4.6874833335864868E-2</v>
      </c>
      <c r="Q38" s="260">
        <f t="shared" si="11"/>
        <v>4.8295717158070094E-2</v>
      </c>
      <c r="R38" s="260">
        <f t="shared" si="11"/>
        <v>4.8208908776066067E-2</v>
      </c>
      <c r="S38" s="260">
        <f t="shared" si="11"/>
        <v>5.0124781938263599E-2</v>
      </c>
      <c r="T38" s="260">
        <f t="shared" si="11"/>
        <v>5.1341546675107326E-2</v>
      </c>
      <c r="U38" s="260">
        <f t="shared" si="11"/>
        <v>5.3748461698756911E-2</v>
      </c>
      <c r="V38" s="260">
        <f t="shared" si="11"/>
        <v>5.3695736473881227E-2</v>
      </c>
      <c r="W38" s="260">
        <f t="shared" si="11"/>
        <v>5.637249082510578E-2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2.7205359385844634</v>
      </c>
      <c r="C44" s="238">
        <f>IF(C$5=0,0,C$5/AGR_fec!C$5)</f>
        <v>2.7088274857250663</v>
      </c>
      <c r="D44" s="238">
        <f>IF(D$5=0,0,D$5/AGR_fec!D$5)</f>
        <v>2.6672892083816286</v>
      </c>
      <c r="E44" s="238">
        <f>IF(E$5=0,0,E$5/AGR_fec!E$5)</f>
        <v>2.8277779471326685</v>
      </c>
      <c r="F44" s="238">
        <f>IF(F$5=0,0,F$5/AGR_fec!F$5)</f>
        <v>2.8287208917407995</v>
      </c>
      <c r="G44" s="238">
        <f>IF(G$5=0,0,G$5/AGR_fec!G$5)</f>
        <v>2.8637613393200807</v>
      </c>
      <c r="H44" s="238">
        <f>IF(H$5=0,0,H$5/AGR_fec!H$5)</f>
        <v>2.8398453889306374</v>
      </c>
      <c r="I44" s="238">
        <f>IF(I$5=0,0,I$5/AGR_fec!I$5)</f>
        <v>2.8001711128537035</v>
      </c>
      <c r="J44" s="238">
        <f>IF(J$5=0,0,J$5/AGR_fec!J$5)</f>
        <v>2.8269302969582233</v>
      </c>
      <c r="K44" s="238">
        <f>IF(K$5=0,0,K$5/AGR_fec!K$5)</f>
        <v>2.8209063654838085</v>
      </c>
      <c r="L44" s="238">
        <f>IF(L$5=0,0,L$5/AGR_fec!L$5)</f>
        <v>2.8167821130432853</v>
      </c>
      <c r="M44" s="238">
        <f>IF(M$5=0,0,M$5/AGR_fec!M$5)</f>
        <v>2.7217921391869666</v>
      </c>
      <c r="N44" s="238">
        <f>IF(N$5=0,0,N$5/AGR_fec!N$5)</f>
        <v>2.7877746846222538</v>
      </c>
      <c r="O44" s="238">
        <f>IF(O$5=0,0,O$5/AGR_fec!O$5)</f>
        <v>2.7785959070886488</v>
      </c>
      <c r="P44" s="238">
        <f>IF(P$5=0,0,P$5/AGR_fec!P$5)</f>
        <v>2.7888810883274022</v>
      </c>
      <c r="Q44" s="238">
        <f>IF(Q$5=0,0,Q$5/AGR_fec!Q$5)</f>
        <v>2.7320627009489513</v>
      </c>
      <c r="R44" s="238">
        <f>IF(R$5=0,0,R$5/AGR_fec!R$5)</f>
        <v>2.7319115613737166</v>
      </c>
      <c r="S44" s="238">
        <f>IF(S$5=0,0,S$5/AGR_fec!S$5)</f>
        <v>2.758747615791374</v>
      </c>
      <c r="T44" s="238">
        <f>IF(T$5=0,0,T$5/AGR_fec!T$5)</f>
        <v>2.7535411045314606</v>
      </c>
      <c r="U44" s="238">
        <f>IF(U$5=0,0,U$5/AGR_fec!U$5)</f>
        <v>2.7247670791651255</v>
      </c>
      <c r="V44" s="238">
        <f>IF(V$5=0,0,V$5/AGR_fec!V$5)</f>
        <v>2.722329228267804</v>
      </c>
      <c r="W44" s="238">
        <f>IF(W$5=0,0,W$5/AGR_fec!W$5)</f>
        <v>2.6133042840490379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2.8523181843161876</v>
      </c>
      <c r="C48" s="253">
        <f>IF(C$9=0,0,C$9/AGR_fec!C$9)</f>
        <v>2.8203158112795688</v>
      </c>
      <c r="D48" s="253">
        <f>IF(D$9=0,0,D$9/AGR_fec!D$9)</f>
        <v>2.8442415542791704</v>
      </c>
      <c r="E48" s="253">
        <f>IF(E$9=0,0,E$9/AGR_fec!E$9)</f>
        <v>2.9832831204980366</v>
      </c>
      <c r="F48" s="253">
        <f>IF(F$9=0,0,F$9/AGR_fec!F$9)</f>
        <v>2.9866033709511388</v>
      </c>
      <c r="G48" s="253">
        <f>IF(G$9=0,0,G$9/AGR_fec!G$9)</f>
        <v>3.0037200476916688</v>
      </c>
      <c r="H48" s="253">
        <f>IF(H$9=0,0,H$9/AGR_fec!H$9)</f>
        <v>2.9597724837131012</v>
      </c>
      <c r="I48" s="253">
        <f>IF(I$9=0,0,I$9/AGR_fec!I$9)</f>
        <v>2.9322706733916561</v>
      </c>
      <c r="J48" s="253">
        <f>IF(J$9=0,0,J$9/AGR_fec!J$9)</f>
        <v>2.9148548655325501</v>
      </c>
      <c r="K48" s="253">
        <f>IF(K$9=0,0,K$9/AGR_fec!K$9)</f>
        <v>2.9099343656041556</v>
      </c>
      <c r="L48" s="253">
        <f>IF(L$9=0,0,L$9/AGR_fec!L$9)</f>
        <v>2.9115354951750598</v>
      </c>
      <c r="M48" s="253">
        <f>IF(M$9=0,0,M$9/AGR_fec!M$9)</f>
        <v>2.909915834454897</v>
      </c>
      <c r="N48" s="253">
        <f>IF(N$9=0,0,N$9/AGR_fec!N$9)</f>
        <v>2.905825301967889</v>
      </c>
      <c r="O48" s="253">
        <f>IF(O$9=0,0,O$9/AGR_fec!O$9)</f>
        <v>2.9040490874507934</v>
      </c>
      <c r="P48" s="253">
        <f>IF(P$9=0,0,P$9/AGR_fec!P$9)</f>
        <v>2.9071713966926902</v>
      </c>
      <c r="Q48" s="253">
        <f>IF(Q$9=0,0,Q$9/AGR_fec!Q$9)</f>
        <v>2.9056129696393147</v>
      </c>
      <c r="R48" s="253">
        <f>IF(R$9=0,0,R$9/AGR_fec!R$9)</f>
        <v>2.9106496054237767</v>
      </c>
      <c r="S48" s="253">
        <f>IF(S$9=0,0,S$9/AGR_fec!S$9)</f>
        <v>2.9363931574713913</v>
      </c>
      <c r="T48" s="253">
        <f>IF(T$9=0,0,T$9/AGR_fec!T$9)</f>
        <v>2.9568868255806398</v>
      </c>
      <c r="U48" s="253">
        <f>IF(U$9=0,0,U$9/AGR_fec!U$9)</f>
        <v>2.9607244922763098</v>
      </c>
      <c r="V48" s="253">
        <f>IF(V$9=0,0,V$9/AGR_fec!V$9)</f>
        <v>2.9581668968319339</v>
      </c>
      <c r="W48" s="253">
        <f>IF(W$9=0,0,W$9/AGR_fec!W$9)</f>
        <v>2.9478935055509594</v>
      </c>
      <c r="DA48" s="290"/>
    </row>
    <row r="49" spans="1:105" x14ac:dyDescent="0.25">
      <c r="A49" s="128" t="s">
        <v>175</v>
      </c>
      <c r="B49" s="265">
        <f>IF(B$16=0,0,B$16/AGR_fec!B$16)</f>
        <v>3.1024188000000015</v>
      </c>
      <c r="C49" s="265">
        <f>IF(C$16=0,0,C$16/AGR_fec!C$16)</f>
        <v>3.1024188000000006</v>
      </c>
      <c r="D49" s="265">
        <f>IF(D$16=0,0,D$16/AGR_fec!D$16)</f>
        <v>3.102418800000001</v>
      </c>
      <c r="E49" s="265">
        <f>IF(E$16=0,0,E$16/AGR_fec!E$16)</f>
        <v>3.1024188000000001</v>
      </c>
      <c r="F49" s="265">
        <f>IF(F$16=0,0,F$16/AGR_fec!F$16)</f>
        <v>3.1024187999999993</v>
      </c>
      <c r="G49" s="265">
        <f>IF(G$16=0,0,G$16/AGR_fec!G$16)</f>
        <v>3.1024188000000006</v>
      </c>
      <c r="H49" s="265">
        <f>IF(H$16=0,0,H$16/AGR_fec!H$16)</f>
        <v>3.1024188000000001</v>
      </c>
      <c r="I49" s="265">
        <f>IF(I$16=0,0,I$16/AGR_fec!I$16)</f>
        <v>3.1024188000000001</v>
      </c>
      <c r="J49" s="265">
        <f>IF(J$16=0,0,J$16/AGR_fec!J$16)</f>
        <v>3.1024188000000006</v>
      </c>
      <c r="K49" s="265">
        <f>IF(K$16=0,0,K$16/AGR_fec!K$16)</f>
        <v>3.1024188000000006</v>
      </c>
      <c r="L49" s="265">
        <f>IF(L$16=0,0,L$16/AGR_fec!L$16)</f>
        <v>3.1024187999999997</v>
      </c>
      <c r="M49" s="265">
        <f>IF(M$16=0,0,M$16/AGR_fec!M$16)</f>
        <v>3.1024188000000006</v>
      </c>
      <c r="N49" s="265">
        <f>IF(N$16=0,0,N$16/AGR_fec!N$16)</f>
        <v>3.1024187999999997</v>
      </c>
      <c r="O49" s="265">
        <f>IF(O$16=0,0,O$16/AGR_fec!O$16)</f>
        <v>3.1024188000000001</v>
      </c>
      <c r="P49" s="265">
        <f>IF(P$16=0,0,P$16/AGR_fec!P$16)</f>
        <v>3.1024188000000001</v>
      </c>
      <c r="Q49" s="265">
        <f>IF(Q$16=0,0,Q$16/AGR_fec!Q$16)</f>
        <v>3.1024188000000001</v>
      </c>
      <c r="R49" s="265">
        <f>IF(R$16=0,0,R$16/AGR_fec!R$16)</f>
        <v>3.1024187999999997</v>
      </c>
      <c r="S49" s="265">
        <f>IF(S$16=0,0,S$16/AGR_fec!S$16)</f>
        <v>3.1024187999999997</v>
      </c>
      <c r="T49" s="265">
        <f>IF(T$16=0,0,T$16/AGR_fec!T$16)</f>
        <v>3.1024188000000006</v>
      </c>
      <c r="U49" s="265">
        <f>IF(U$16=0,0,U$16/AGR_fec!U$16)</f>
        <v>3.1024188000000006</v>
      </c>
      <c r="V49" s="265">
        <f>IF(V$16=0,0,V$16/AGR_fec!V$16)</f>
        <v>3.1024187999999997</v>
      </c>
      <c r="W49" s="265">
        <f>IF(W$16=0,0,W$16/AGR_fec!W$16)</f>
        <v>3.1024188000000001</v>
      </c>
      <c r="DA49" s="291"/>
    </row>
    <row r="50" spans="1:105" x14ac:dyDescent="0.25">
      <c r="A50" s="128" t="s">
        <v>121</v>
      </c>
      <c r="B50" s="265">
        <f>IF(B$17=0,0,B$17/AGR_fec!B$17)</f>
        <v>2.9000752138300596</v>
      </c>
      <c r="C50" s="265">
        <f>IF(C$17=0,0,C$17/AGR_fec!C$17)</f>
        <v>2.8805060318387508</v>
      </c>
      <c r="D50" s="265">
        <f>IF(D$17=0,0,D$17/AGR_fec!D$17)</f>
        <v>2.786245990521643</v>
      </c>
      <c r="E50" s="265">
        <f>IF(E$17=0,0,E$17/AGR_fec!E$17)</f>
        <v>2.7802325536977603</v>
      </c>
      <c r="F50" s="265">
        <f>IF(F$17=0,0,F$17/AGR_fec!F$17)</f>
        <v>2.7743144805213031</v>
      </c>
      <c r="G50" s="265">
        <f>IF(G$17=0,0,G$17/AGR_fec!G$17)</f>
        <v>2.839279590891961</v>
      </c>
      <c r="H50" s="265">
        <f>IF(H$17=0,0,H$17/AGR_fec!H$17)</f>
        <v>2.8499542751620166</v>
      </c>
      <c r="I50" s="265">
        <f>IF(I$17=0,0,I$17/AGR_fec!I$17)</f>
        <v>2.7956687839614069</v>
      </c>
      <c r="J50" s="265">
        <f>IF(J$17=0,0,J$17/AGR_fec!J$17)</f>
        <v>2.8624461088533746</v>
      </c>
      <c r="K50" s="265">
        <f>IF(K$17=0,0,K$17/AGR_fec!K$17)</f>
        <v>2.8545307886813753</v>
      </c>
      <c r="L50" s="265">
        <f>IF(L$17=0,0,L$17/AGR_fec!L$17)</f>
        <v>2.842937735219921</v>
      </c>
      <c r="M50" s="265">
        <f>IF(M$17=0,0,M$17/AGR_fec!M$17)</f>
        <v>2.6671440533580801</v>
      </c>
      <c r="N50" s="265">
        <f>IF(N$17=0,0,N$17/AGR_fec!N$17)</f>
        <v>2.7846257163033163</v>
      </c>
      <c r="O50" s="265">
        <f>IF(O$17=0,0,O$17/AGR_fec!O$17)</f>
        <v>2.7699333777788824</v>
      </c>
      <c r="P50" s="265">
        <f>IF(P$17=0,0,P$17/AGR_fec!P$17)</f>
        <v>2.7905673007891183</v>
      </c>
      <c r="Q50" s="265">
        <f>IF(Q$17=0,0,Q$17/AGR_fec!Q$17)</f>
        <v>2.6887358534945003</v>
      </c>
      <c r="R50" s="265">
        <f>IF(R$17=0,0,R$17/AGR_fec!R$17)</f>
        <v>2.691047338149112</v>
      </c>
      <c r="S50" s="265">
        <f>IF(S$17=0,0,S$17/AGR_fec!S$17)</f>
        <v>2.7133446556682532</v>
      </c>
      <c r="T50" s="265">
        <f>IF(T$17=0,0,T$17/AGR_fec!T$17)</f>
        <v>2.7024973879674903</v>
      </c>
      <c r="U50" s="265">
        <f>IF(U$17=0,0,U$17/AGR_fec!U$17)</f>
        <v>2.6349499480678493</v>
      </c>
      <c r="V50" s="265">
        <f>IF(V$17=0,0,V$17/AGR_fec!V$17)</f>
        <v>2.6291650649966281</v>
      </c>
      <c r="W50" s="265">
        <f>IF(W$17=0,0,W$17/AGR_fec!W$17)</f>
        <v>2.403164772984665</v>
      </c>
      <c r="DA50" s="291"/>
    </row>
    <row r="51" spans="1:105" x14ac:dyDescent="0.25">
      <c r="A51" s="128" t="s">
        <v>174</v>
      </c>
      <c r="B51" s="265">
        <f>IF(B$25=0,0,B$25/AGR_fec!B$25)</f>
        <v>3.102418800000001</v>
      </c>
      <c r="C51" s="265">
        <f>IF(C$25=0,0,C$25/AGR_fec!C$25)</f>
        <v>3.1024187999999993</v>
      </c>
      <c r="D51" s="265">
        <f>IF(D$25=0,0,D$25/AGR_fec!D$25)</f>
        <v>3.1024188000000006</v>
      </c>
      <c r="E51" s="265">
        <f>IF(E$25=0,0,E$25/AGR_fec!E$25)</f>
        <v>3.1024188000000006</v>
      </c>
      <c r="F51" s="265">
        <f>IF(F$25=0,0,F$25/AGR_fec!F$25)</f>
        <v>3.102418800000001</v>
      </c>
      <c r="G51" s="265">
        <f>IF(G$25=0,0,G$25/AGR_fec!G$25)</f>
        <v>3.1024188000000001</v>
      </c>
      <c r="H51" s="265">
        <f>IF(H$25=0,0,H$25/AGR_fec!H$25)</f>
        <v>3.102418800000001</v>
      </c>
      <c r="I51" s="265">
        <f>IF(I$25=0,0,I$25/AGR_fec!I$25)</f>
        <v>3.1024188000000001</v>
      </c>
      <c r="J51" s="265">
        <f>IF(J$25=0,0,J$25/AGR_fec!J$25)</f>
        <v>3.1024187999999997</v>
      </c>
      <c r="K51" s="265">
        <f>IF(K$25=0,0,K$25/AGR_fec!K$25)</f>
        <v>3.1024188000000001</v>
      </c>
      <c r="L51" s="265">
        <f>IF(L$25=0,0,L$25/AGR_fec!L$25)</f>
        <v>3.1024188000000001</v>
      </c>
      <c r="M51" s="265">
        <f>IF(M$25=0,0,M$25/AGR_fec!M$25)</f>
        <v>3.1024188000000001</v>
      </c>
      <c r="N51" s="265">
        <f>IF(N$25=0,0,N$25/AGR_fec!N$25)</f>
        <v>3.1024187999999988</v>
      </c>
      <c r="O51" s="265">
        <f>IF(O$25=0,0,O$25/AGR_fec!O$25)</f>
        <v>3.1024187999999993</v>
      </c>
      <c r="P51" s="265">
        <f>IF(P$25=0,0,P$25/AGR_fec!P$25)</f>
        <v>3.1024187999999993</v>
      </c>
      <c r="Q51" s="265">
        <f>IF(Q$25=0,0,Q$25/AGR_fec!Q$25)</f>
        <v>3.1024187999999993</v>
      </c>
      <c r="R51" s="265">
        <f>IF(R$25=0,0,R$25/AGR_fec!R$25)</f>
        <v>3.1024188000000006</v>
      </c>
      <c r="S51" s="265">
        <f>IF(S$25=0,0,S$25/AGR_fec!S$25)</f>
        <v>3.1024188000000006</v>
      </c>
      <c r="T51" s="265">
        <f>IF(T$25=0,0,T$25/AGR_fec!T$25)</f>
        <v>3.1024187999999997</v>
      </c>
      <c r="U51" s="265">
        <f>IF(U$25=0,0,U$25/AGR_fec!U$25)</f>
        <v>3.1024188000000006</v>
      </c>
      <c r="V51" s="265">
        <f>IF(V$25=0,0,V$25/AGR_fec!V$25)</f>
        <v>3.1024188000000006</v>
      </c>
      <c r="W51" s="265">
        <f>IF(W$25=0,0,W$25/AGR_fec!W$25)</f>
        <v>3.1024188000000019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564F51-630D-4124-8AB2-75446A2C3ADD}"/>
</file>

<file path=customXml/itemProps2.xml><?xml version="1.0" encoding="utf-8"?>
<ds:datastoreItem xmlns:ds="http://schemas.openxmlformats.org/officeDocument/2006/customXml" ds:itemID="{8405FB6B-F88F-4954-8FB8-6B6FF0200362}"/>
</file>

<file path=customXml/itemProps3.xml><?xml version="1.0" encoding="utf-8"?>
<ds:datastoreItem xmlns:ds="http://schemas.openxmlformats.org/officeDocument/2006/customXml" ds:itemID="{AB3AC259-317B-4987-ADD5-9B41C85ABF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2024-05-20T16:54:40Z</dcterms:created>
  <dcterms:modified xsi:type="dcterms:W3CDTF">2024-05-20T16:54:40Z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