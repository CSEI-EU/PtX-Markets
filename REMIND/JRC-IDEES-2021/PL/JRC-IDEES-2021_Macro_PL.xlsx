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W20" i="59"/>
  <c r="V20" i="59"/>
  <c r="X122" i="59"/>
  <c r="T90" i="59"/>
  <c r="Y89" i="59"/>
  <c r="U121" i="59"/>
  <c r="U116" i="59"/>
  <c r="V115" i="59"/>
  <c r="U113" i="59"/>
  <c r="Y80" i="59"/>
  <c r="W80" i="59"/>
  <c r="U109" i="59"/>
  <c r="Y75" i="59"/>
  <c r="Y107" i="59"/>
  <c r="W75" i="59"/>
  <c r="O106" i="59"/>
  <c r="M106" i="59"/>
  <c r="G106" i="59"/>
  <c r="W105" i="59"/>
  <c r="W72" i="59"/>
  <c r="W104" i="59"/>
  <c r="Y71" i="59"/>
  <c r="V103" i="59"/>
  <c r="T71" i="59"/>
  <c r="V101" i="59"/>
  <c r="U101" i="59"/>
  <c r="U100" i="59"/>
  <c r="Y84" i="59"/>
  <c r="W74" i="59"/>
  <c r="U115" i="59"/>
  <c r="V113" i="59"/>
  <c r="T112" i="59"/>
  <c r="V111" i="59"/>
  <c r="X110" i="59"/>
  <c r="Y93" i="59"/>
  <c r="T80" i="59"/>
  <c r="W78" i="59"/>
  <c r="Y122" i="59"/>
  <c r="W122" i="59"/>
  <c r="Y120" i="59"/>
  <c r="T118" i="59"/>
  <c r="T83" i="59"/>
  <c r="Y114" i="59"/>
  <c r="W113" i="59"/>
  <c r="Y111" i="59"/>
  <c r="W110" i="59"/>
  <c r="Y77" i="59"/>
  <c r="U108" i="59"/>
  <c r="W73" i="59"/>
  <c r="Y72" i="59"/>
  <c r="Y102" i="59"/>
  <c r="W101" i="59"/>
  <c r="Y99" i="59"/>
  <c r="W67" i="59"/>
  <c r="W98" i="59"/>
  <c r="Y65" i="59"/>
  <c r="U94" i="59"/>
  <c r="X20" i="59"/>
  <c r="U20" i="59"/>
  <c r="V13" i="59"/>
  <c r="V10" i="59"/>
  <c r="T10" i="59"/>
  <c r="W5" i="59"/>
  <c r="T5" i="59"/>
  <c r="Y5" i="59"/>
  <c r="U5" i="59"/>
  <c r="Y70" i="59" l="1"/>
  <c r="W87" i="59"/>
  <c r="Y67" i="59"/>
  <c r="W90" i="59"/>
  <c r="U103" i="59"/>
  <c r="U71" i="59"/>
  <c r="Y69" i="59"/>
  <c r="V94" i="59"/>
  <c r="Y73" i="59"/>
  <c r="Y82" i="59"/>
  <c r="W65" i="59"/>
  <c r="W84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69" i="59"/>
  <c r="W81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7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<sst xmlns="http://schemas.openxmlformats.org/spreadsheetml/2006/main" count="722" uniqueCount="281">
  <si>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</si>
  <si>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</si>
  <si>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</si>
  <si>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</si>
  <si>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</si>
  <si>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</si>
  <si>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</si>
  <si>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</si>
  <si>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</si>
  <si>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</si>
  <si>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</si>
  <si>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</si>
  <si>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</si>
  <si>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</si>
  <si>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</si>
  <si>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</si>
  <si>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</si>
  <si>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</si>
  <si>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</si>
  <si>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</si>
  <si>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</si>
  <si>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</si>
  <si>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</si>
  <si>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</si>
  <si>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</si>
  <si>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</si>
  <si>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</si>
  <si>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</si>
  <si>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</si>
  <si>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</si>
  <si>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</si>
  <si>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</si>
  <si>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</si>
  <si>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</si>
  <si>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</si>
  <si>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</si>
  <si>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</si>
  <si>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</si>
  <si>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</si>
  <si>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</si>
  <si>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</si>
  <si>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</si>
  <si>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</si>
  <si>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</si>
  <si>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</si>
  <si>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</si>
  <si>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</si>
  <si>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</si>
  <si>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</si>
  <si>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</si>
  <si>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</si>
  <si>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</si>
  <si>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</si>
  <si>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</si>
  <si>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</si>
  <si>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</si>
  <si>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</si>
  <si>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</si>
  <si>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</si>
  <si>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</si>
  <si>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</si>
  <si>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</si>
  <si>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</si>
  <si>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</si>
  <si>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</si>
  <si>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</si>
  <si>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</si>
  <si>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</si>
  <si>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</si>
  <si>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</si>
  <si>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</si>
  <si>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</si>
  <si>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</si>
  <si>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</si>
  <si>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</si>
  <si>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</si>
  <si>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</si>
  <si>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</si>
  <si>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</si>
  <si>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</si>
  <si>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</si>
  <si>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</si>
  <si>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</si>
  <si>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</si>
  <si>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</si>
  <si>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</si>
  <si>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</si>
  <si>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</si>
  <si>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</si>
  <si>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</si>
  <si>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</si>
  <si>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</si>
  <si>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</si>
  <si>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</si>
  <si>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</si>
  <si>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</si>
  <si>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</si>
  <si>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</si>
  <si>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</si>
  <si>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</si>
  <si>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</si>
  <si>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</si>
  <si>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</si>
  <si>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</si>
  <si>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</si>
  <si>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</si>
  <si>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</si>
  <si>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</si>
  <si>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</si>
  <si>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</si>
  <si>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</si>
  <si>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</si>
  <si>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</si>
  <si>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</si>
  <si>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</si>
  <si>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</si>
  <si>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</si>
  <si>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</si>
  <si>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</si>
  <si>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</si>
  <si>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</si>
  <si>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</si>
  <si>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</si>
  <si>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</si>
  <si>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</si>
  <si>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</si>
  <si>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</si>
  <si>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</si>
  <si>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</si>
  <si>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</si>
  <si>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</si>
  <si>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</si>
  <si>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</si>
  <si>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</si>
  <si>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</si>
  <si>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</si>
  <si>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</si>
  <si>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</si>
  <si>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</si>
  <si>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</si>
  <si>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</si>
  <si>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</si>
  <si>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</si>
  <si>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</si>
  <si>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</si>
  <si>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</si>
  <si>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</si>
  <si>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</si>
  <si>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</si>
  <si>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</si>
  <si>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</si>
  <si>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</si>
  <si>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</si>
  <si>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</si>
  <si>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</si>
  <si>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</si>
  <si>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</si>
  <si>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</si>
  <si>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</si>
  <si>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</si>
  <si>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</si>
  <si>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</si>
  <si>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</si>
  <si>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</si>
  <si>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</si>
  <si>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</si>
  <si>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</si>
  <si>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</si>
  <si>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</si>
  <si>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</si>
  <si>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</si>
  <si>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</si>
  <si>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</si>
  <si>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</si>
  <si>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</si>
  <si>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</si>
  <si>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</si>
  <si>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</si>
  <si>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</si>
  <si>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</si>
  <si>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</si>
  <si>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</si>
  <si>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</si>
  <si>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</si>
  <si>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</si>
  <si>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</si>
  <si>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</si>
  <si>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</si>
  <si>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</si>
  <si>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</si>
  <si>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</si>
  <si>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</si>
  <si>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</si>
  <si>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</si>
  <si>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</si>
  <si>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</si>
  <si>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</si>
  <si>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</si>
  <si>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</si>
  <si>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</si>
  <si>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</si>
  <si>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</si>
  <si>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</si>
  <si>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</si>
  <si>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</si>
  <si>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</si>
  <si>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</si>
  <si>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</si>
  <si>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</si>
  <si>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</si>
  <si>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</si>
  <si>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</si>
  <si>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</si>
  <si>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</si>
  <si>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</si>
  <si>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</si>
  <si>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</si>
  <si>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</si>
  <si>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</si>
  <si>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</si>
  <si>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</si>
  <si>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</si>
  <si>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</si>
  <si>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</si>
  <si>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</si>
  <si>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</si>
  <si>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</si>
  <si>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</si>
  <si>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</si>
  <si>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</si>
  <si>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</si>
  <si>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</si>
  <si>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</si>
  <si>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</si>
  <si>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</si>
  <si>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</si>
  <si>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</si>
  <si>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</si>
  <si>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</si>
  <si>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</si>
  <si>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</si>
  <si>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</si>
  <si>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</si>
  <si>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</si>
  <si>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</si>
  <si>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</si>
  <si>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</si>
  <si>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</si>
  <si>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</si>
  <si>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</si>
  <si>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</si>
  <si>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</si>
  <si>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</si>
  <si>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</si>
  <si>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</si>
  <si>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</si>
  <si>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</si>
  <si>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</si>
  <si>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</si>
  <si>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</si>
  <si>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</si>
  <si>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</si>
  <si>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</si>
  <si>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</si>
  <si>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</si>
  <si>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</si>
  <si>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</si>
  <si>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</si>
  <si>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</si>
  <si>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</si>
  <si>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</si>
  <si>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</si>
  <si>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</si>
  <si>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</si>
  <si>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</si>
  <si>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</si>
  <si>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</si>
  <si>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</si>
  <si>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</si>
  <si>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PL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</si>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</sst>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45432.787812499999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191712.00835705572</v>
      </c>
      <c r="E2" s="19">
        <v>218503.93439554877</v>
      </c>
      <c r="F2" s="19">
        <v>216167.40100362699</v>
      </c>
      <c r="G2" s="19">
        <v>197681.66152472797</v>
      </c>
      <c r="H2" s="19">
        <v>211613.41029847658</v>
      </c>
      <c r="I2" s="19">
        <v>252773.20803278103</v>
      </c>
      <c r="J2" s="19">
        <v>281809.71619092027</v>
      </c>
      <c r="K2" s="19">
        <v>322203.77361695329</v>
      </c>
      <c r="L2" s="19">
        <v>375788.25331094331</v>
      </c>
      <c r="M2" s="19">
        <v>325485.08412158728</v>
      </c>
      <c r="N2" s="19">
        <v>368630.06385643594</v>
      </c>
      <c r="O2" s="19">
        <v>387082.97576305299</v>
      </c>
      <c r="P2" s="19">
        <v>395655.91284421453</v>
      </c>
      <c r="Q2" s="19">
        <v>398698.9286809832</v>
      </c>
      <c r="R2" s="19">
        <v>417238.36212574097</v>
      </c>
      <c r="S2" s="19">
        <v>441281.09539799998</v>
      </c>
      <c r="T2" s="19">
        <v>436046.35165504954</v>
      </c>
      <c r="U2" s="19">
        <v>478176.8249952551</v>
      </c>
      <c r="V2" s="19">
        <v>512293.65610040404</v>
      </c>
      <c r="W2" s="19">
        <v>546689.5163724086</v>
      </c>
      <c r="X2" s="19">
        <v>540156.3352042723</v>
      </c>
      <c r="Y2" s="19">
        <v>591730.14548177272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122382.81667269538</v>
      </c>
      <c r="E3" s="23">
        <v>141173.39406384039</v>
      </c>
      <c r="F3" s="23">
        <v>143785.6243610658</v>
      </c>
      <c r="G3" s="23">
        <v>128531.85940138144</v>
      </c>
      <c r="H3" s="23">
        <v>136334.64686042434</v>
      </c>
      <c r="I3" s="23">
        <v>159464.89513606121</v>
      </c>
      <c r="J3" s="23">
        <v>175046.27789259207</v>
      </c>
      <c r="K3" s="23">
        <v>194643.70936243539</v>
      </c>
      <c r="L3" s="23">
        <v>232806.13353951825</v>
      </c>
      <c r="M3" s="23">
        <v>200730.35818204581</v>
      </c>
      <c r="N3" s="23">
        <v>229042.04096298959</v>
      </c>
      <c r="O3" s="23">
        <v>237973.93393863365</v>
      </c>
      <c r="P3" s="23">
        <v>243799.01182019204</v>
      </c>
      <c r="Q3" s="23">
        <v>243582.0416031561</v>
      </c>
      <c r="R3" s="23">
        <v>251469.92483962225</v>
      </c>
      <c r="S3" s="23">
        <v>259982.515032</v>
      </c>
      <c r="T3" s="23">
        <v>256528.81325023909</v>
      </c>
      <c r="U3" s="23">
        <v>284301.12000966555</v>
      </c>
      <c r="V3" s="23">
        <v>301505.58273060457</v>
      </c>
      <c r="W3" s="23">
        <v>315873.93388722232</v>
      </c>
      <c r="X3" s="23">
        <v>305350.8392774954</v>
      </c>
      <c r="Y3" s="23">
        <v>332485.02936809359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165740.70000000001</v>
      </c>
      <c r="E4" s="27">
        <v>189215.7</v>
      </c>
      <c r="F4" s="27">
        <v>185764</v>
      </c>
      <c r="G4" s="27">
        <v>169660.2</v>
      </c>
      <c r="H4" s="27">
        <v>182318.2</v>
      </c>
      <c r="I4" s="27">
        <v>216371.6</v>
      </c>
      <c r="J4" s="27">
        <v>240580.9</v>
      </c>
      <c r="K4" s="27">
        <v>273922.09999999992</v>
      </c>
      <c r="L4" s="27">
        <v>319339.7</v>
      </c>
      <c r="M4" s="27">
        <v>281412.8</v>
      </c>
      <c r="N4" s="27">
        <v>315554.59999999998</v>
      </c>
      <c r="O4" s="27">
        <v>330967.3</v>
      </c>
      <c r="P4" s="27">
        <v>340997.2</v>
      </c>
      <c r="Q4" s="27">
        <v>344049.6</v>
      </c>
      <c r="R4" s="27">
        <v>359866.4</v>
      </c>
      <c r="S4" s="27">
        <v>381297.5</v>
      </c>
      <c r="T4" s="27">
        <v>374955.3</v>
      </c>
      <c r="U4" s="27">
        <v>408852.2</v>
      </c>
      <c r="V4" s="27">
        <v>437037.2</v>
      </c>
      <c r="W4" s="27">
        <v>468018.4</v>
      </c>
      <c r="X4" s="27">
        <v>463438.2</v>
      </c>
      <c r="Y4" s="27">
        <v>501551.1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5838.8</v>
      </c>
      <c r="E6" s="19">
        <v>6924.4</v>
      </c>
      <c r="F6" s="19">
        <v>5739.4</v>
      </c>
      <c r="G6" s="19">
        <v>5025.2</v>
      </c>
      <c r="H6" s="19">
        <v>6786.9</v>
      </c>
      <c r="I6" s="19">
        <v>7186.9</v>
      </c>
      <c r="J6" s="19">
        <v>7389.6</v>
      </c>
      <c r="K6" s="19">
        <v>9558.4000000000015</v>
      </c>
      <c r="L6" s="19">
        <v>9490.0000000000018</v>
      </c>
      <c r="M6" s="19">
        <v>8112.8</v>
      </c>
      <c r="N6" s="19">
        <v>10537</v>
      </c>
      <c r="O6" s="19">
        <v>12053.1</v>
      </c>
      <c r="P6" s="19">
        <v>11593.9</v>
      </c>
      <c r="Q6" s="19">
        <v>12606.8</v>
      </c>
      <c r="R6" s="19">
        <v>12164</v>
      </c>
      <c r="S6" s="19">
        <v>10759.1</v>
      </c>
      <c r="T6" s="19">
        <v>11235.8</v>
      </c>
      <c r="U6" s="19">
        <v>14021.4</v>
      </c>
      <c r="V6" s="19">
        <v>12049</v>
      </c>
      <c r="W6" s="19">
        <v>12617.5</v>
      </c>
      <c r="X6" s="19">
        <v>13515.9</v>
      </c>
      <c r="Y6" s="19">
        <v>12921.7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40170.80000000001</v>
      </c>
      <c r="E7" s="23">
        <v>43053.800000000017</v>
      </c>
      <c r="F7" s="23">
        <v>42313.400000000009</v>
      </c>
      <c r="G7" s="23">
        <v>41282.399999999994</v>
      </c>
      <c r="H7" s="23">
        <v>46206.7</v>
      </c>
      <c r="I7" s="23">
        <v>54112.400000000009</v>
      </c>
      <c r="J7" s="23">
        <v>60550.299999999959</v>
      </c>
      <c r="K7" s="23">
        <v>68583.999999999927</v>
      </c>
      <c r="L7" s="23">
        <v>78738.8</v>
      </c>
      <c r="M7" s="23">
        <v>69520.400000000009</v>
      </c>
      <c r="N7" s="23">
        <v>80667.099999999919</v>
      </c>
      <c r="O7" s="23">
        <v>84811.9</v>
      </c>
      <c r="P7" s="23">
        <v>88959.5</v>
      </c>
      <c r="Q7" s="23">
        <v>85209.799999999945</v>
      </c>
      <c r="R7" s="23">
        <v>92705.600000000049</v>
      </c>
      <c r="S7" s="23">
        <v>100731.59999999998</v>
      </c>
      <c r="T7" s="23">
        <v>101419.9</v>
      </c>
      <c r="U7" s="23">
        <v>104235.79999999999</v>
      </c>
      <c r="V7" s="23">
        <v>108927.00000000004</v>
      </c>
      <c r="W7" s="23">
        <v>116231.8</v>
      </c>
      <c r="X7" s="23">
        <v>114548.29999999999</v>
      </c>
      <c r="Y7" s="23">
        <v>129670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13596.9</v>
      </c>
      <c r="E8" s="23">
        <v>15234.3</v>
      </c>
      <c r="F8" s="23">
        <v>13779.5</v>
      </c>
      <c r="G8" s="23">
        <v>11587.4</v>
      </c>
      <c r="H8" s="23">
        <v>13086.5</v>
      </c>
      <c r="I8" s="23">
        <v>16397.5</v>
      </c>
      <c r="J8" s="23">
        <v>18404.5</v>
      </c>
      <c r="K8" s="23">
        <v>21387</v>
      </c>
      <c r="L8" s="23">
        <v>26186.9</v>
      </c>
      <c r="M8" s="23">
        <v>24032.7</v>
      </c>
      <c r="N8" s="23">
        <v>25886.799999999999</v>
      </c>
      <c r="O8" s="23">
        <v>30047.599999999999</v>
      </c>
      <c r="P8" s="23">
        <v>27784.3</v>
      </c>
      <c r="Q8" s="23">
        <v>26383.8</v>
      </c>
      <c r="R8" s="23">
        <v>29201.1</v>
      </c>
      <c r="S8" s="23">
        <v>33012.1</v>
      </c>
      <c r="T8" s="23">
        <v>29262.9</v>
      </c>
      <c r="U8" s="23">
        <v>30197.3</v>
      </c>
      <c r="V8" s="23">
        <v>34573.300000000003</v>
      </c>
      <c r="W8" s="23">
        <v>36259.1</v>
      </c>
      <c r="X8" s="23">
        <v>34605.699999999997</v>
      </c>
      <c r="Y8" s="23">
        <v>32320.6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43583.4</v>
      </c>
      <c r="E9" s="23">
        <v>50261.4</v>
      </c>
      <c r="F9" s="23">
        <v>49702.400000000001</v>
      </c>
      <c r="G9" s="23">
        <v>43745.8</v>
      </c>
      <c r="H9" s="23">
        <v>45986.8</v>
      </c>
      <c r="I9" s="23">
        <v>55345.5</v>
      </c>
      <c r="J9" s="23">
        <v>62305.2</v>
      </c>
      <c r="K9" s="23">
        <v>69856.2</v>
      </c>
      <c r="L9" s="23">
        <v>80383</v>
      </c>
      <c r="M9" s="23">
        <v>71871.199999999997</v>
      </c>
      <c r="N9" s="23">
        <v>80086.100000000006</v>
      </c>
      <c r="O9" s="23">
        <v>81793.2</v>
      </c>
      <c r="P9" s="23">
        <v>88012.5</v>
      </c>
      <c r="Q9" s="23">
        <v>89594.3</v>
      </c>
      <c r="R9" s="23">
        <v>87622.1</v>
      </c>
      <c r="S9" s="23">
        <v>93428.9</v>
      </c>
      <c r="T9" s="23">
        <v>90788.4</v>
      </c>
      <c r="U9" s="23">
        <v>102889.60000000001</v>
      </c>
      <c r="V9" s="23">
        <v>109617.5</v>
      </c>
      <c r="W9" s="23">
        <v>115730.9</v>
      </c>
      <c r="X9" s="23">
        <v>110304.5</v>
      </c>
      <c r="Y9" s="23">
        <v>120515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5826.8</v>
      </c>
      <c r="E10" s="23">
        <v>7420</v>
      </c>
      <c r="F10" s="23">
        <v>8222.5999999999985</v>
      </c>
      <c r="G10" s="23">
        <v>7532.2999999999993</v>
      </c>
      <c r="H10" s="23">
        <v>8593.5</v>
      </c>
      <c r="I10" s="23">
        <v>9513</v>
      </c>
      <c r="J10" s="23">
        <v>10134.5</v>
      </c>
      <c r="K10" s="23">
        <v>11394.1</v>
      </c>
      <c r="L10" s="23">
        <v>13664.8</v>
      </c>
      <c r="M10" s="23">
        <v>11591</v>
      </c>
      <c r="N10" s="23">
        <v>11316.2</v>
      </c>
      <c r="O10" s="23">
        <v>11464.6</v>
      </c>
      <c r="P10" s="23">
        <v>12451.1</v>
      </c>
      <c r="Q10" s="23">
        <v>12564.6</v>
      </c>
      <c r="R10" s="23">
        <v>13581.7</v>
      </c>
      <c r="S10" s="23">
        <v>14864.8</v>
      </c>
      <c r="T10" s="23">
        <v>14955.1</v>
      </c>
      <c r="U10" s="23">
        <v>16626.300000000003</v>
      </c>
      <c r="V10" s="23">
        <v>18466.499999999996</v>
      </c>
      <c r="W10" s="23">
        <v>19746.099999999999</v>
      </c>
      <c r="X10" s="23">
        <v>21153</v>
      </c>
      <c r="Y10" s="23">
        <v>24556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7756.0999999999985</v>
      </c>
      <c r="E11" s="23">
        <v>7805.9</v>
      </c>
      <c r="F11" s="23">
        <v>6959.9</v>
      </c>
      <c r="G11" s="23">
        <v>6352.4</v>
      </c>
      <c r="H11" s="23">
        <v>6943.1</v>
      </c>
      <c r="I11" s="23">
        <v>8663.9</v>
      </c>
      <c r="J11" s="23">
        <v>9266.9</v>
      </c>
      <c r="K11" s="23">
        <v>12253.6</v>
      </c>
      <c r="L11" s="23">
        <v>13534.1</v>
      </c>
      <c r="M11" s="23">
        <v>11253.8</v>
      </c>
      <c r="N11" s="23">
        <v>13334.4</v>
      </c>
      <c r="O11" s="23">
        <v>14091.9</v>
      </c>
      <c r="P11" s="23">
        <v>13262.6</v>
      </c>
      <c r="Q11" s="23">
        <v>14418.6</v>
      </c>
      <c r="R11" s="23">
        <v>15880.3</v>
      </c>
      <c r="S11" s="23">
        <v>15145.7</v>
      </c>
      <c r="T11" s="23">
        <v>15399.9</v>
      </c>
      <c r="U11" s="23">
        <v>17791.199999999997</v>
      </c>
      <c r="V11" s="23">
        <v>18886.5</v>
      </c>
      <c r="W11" s="23">
        <v>20198.5</v>
      </c>
      <c r="X11" s="23">
        <v>19526.400000000001</v>
      </c>
      <c r="Y11" s="23">
        <v>19424.800000000003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10487.8</v>
      </c>
      <c r="E12" s="23">
        <v>11805.5</v>
      </c>
      <c r="F12" s="23">
        <v>12082.5</v>
      </c>
      <c r="G12" s="23">
        <v>11143.5</v>
      </c>
      <c r="H12" s="23">
        <v>11080</v>
      </c>
      <c r="I12" s="23">
        <v>13069.1</v>
      </c>
      <c r="J12" s="23">
        <v>14528.100000000002</v>
      </c>
      <c r="K12" s="23">
        <v>15695</v>
      </c>
      <c r="L12" s="23">
        <v>17970.400000000001</v>
      </c>
      <c r="M12" s="23">
        <v>14564.4</v>
      </c>
      <c r="N12" s="23">
        <v>16391.5</v>
      </c>
      <c r="O12" s="23">
        <v>17122.999999999996</v>
      </c>
      <c r="P12" s="23">
        <v>17813</v>
      </c>
      <c r="Q12" s="23">
        <v>17423</v>
      </c>
      <c r="R12" s="23">
        <v>18268.300000000003</v>
      </c>
      <c r="S12" s="23">
        <v>18657.099999999999</v>
      </c>
      <c r="T12" s="23">
        <v>19296.8</v>
      </c>
      <c r="U12" s="23">
        <v>20140.2</v>
      </c>
      <c r="V12" s="23">
        <v>21084.799999999999</v>
      </c>
      <c r="W12" s="23">
        <v>26436.2</v>
      </c>
      <c r="X12" s="23">
        <v>26766.1</v>
      </c>
      <c r="Y12" s="23">
        <v>27725.200000000001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10829.3</v>
      </c>
      <c r="E13" s="23">
        <v>12804.7</v>
      </c>
      <c r="F13" s="23">
        <v>12107.1</v>
      </c>
      <c r="G13" s="23">
        <v>11022.6</v>
      </c>
      <c r="H13" s="23">
        <v>11363.2</v>
      </c>
      <c r="I13" s="23">
        <v>13889.4</v>
      </c>
      <c r="J13" s="23">
        <v>15856.7</v>
      </c>
      <c r="K13" s="23">
        <v>18552.7</v>
      </c>
      <c r="L13" s="23">
        <v>22758.5</v>
      </c>
      <c r="M13" s="23">
        <v>20265.5</v>
      </c>
      <c r="N13" s="23">
        <v>22340.1</v>
      </c>
      <c r="O13" s="23">
        <v>23058</v>
      </c>
      <c r="P13" s="23">
        <v>24898.799999999999</v>
      </c>
      <c r="Q13" s="23">
        <v>26611.599999999999</v>
      </c>
      <c r="R13" s="23">
        <v>28351.7</v>
      </c>
      <c r="S13" s="23">
        <v>31711.7</v>
      </c>
      <c r="T13" s="23">
        <v>30691.200000000001</v>
      </c>
      <c r="U13" s="23">
        <v>35935.599999999999</v>
      </c>
      <c r="V13" s="23">
        <v>39654.6</v>
      </c>
      <c r="W13" s="23">
        <v>42732.2</v>
      </c>
      <c r="X13" s="23">
        <v>42337.4</v>
      </c>
      <c r="Y13" s="23">
        <v>44666.2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24039.7</v>
      </c>
      <c r="E14" s="23">
        <v>29656.9</v>
      </c>
      <c r="F14" s="23">
        <v>30400.799999999999</v>
      </c>
      <c r="G14" s="23">
        <v>27948.9</v>
      </c>
      <c r="H14" s="23">
        <v>28431.3</v>
      </c>
      <c r="I14" s="23">
        <v>33226.199999999997</v>
      </c>
      <c r="J14" s="23">
        <v>36751.500000000007</v>
      </c>
      <c r="K14" s="23">
        <v>40690.300000000003</v>
      </c>
      <c r="L14" s="23">
        <v>49107.4</v>
      </c>
      <c r="M14" s="23">
        <v>43637.8</v>
      </c>
      <c r="N14" s="23">
        <v>49401.7</v>
      </c>
      <c r="O14" s="23">
        <v>50852.3</v>
      </c>
      <c r="P14" s="23">
        <v>49805.7</v>
      </c>
      <c r="Q14" s="23">
        <v>52647.5</v>
      </c>
      <c r="R14" s="23">
        <v>55187.199999999997</v>
      </c>
      <c r="S14" s="23">
        <v>55733.1</v>
      </c>
      <c r="T14" s="23">
        <v>54906.5</v>
      </c>
      <c r="U14" s="23">
        <v>59377.7</v>
      </c>
      <c r="V14" s="23">
        <v>65265.3</v>
      </c>
      <c r="W14" s="23">
        <v>69483.199999999997</v>
      </c>
      <c r="X14" s="23">
        <v>71901.899999999994</v>
      </c>
      <c r="Y14" s="23">
        <v>80313.5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3611.1</v>
      </c>
      <c r="E15" s="23">
        <v>4248.8</v>
      </c>
      <c r="F15" s="23">
        <v>4456.3999999999996</v>
      </c>
      <c r="G15" s="23">
        <v>4019.7</v>
      </c>
      <c r="H15" s="23">
        <v>3840.2</v>
      </c>
      <c r="I15" s="23">
        <v>4967.7</v>
      </c>
      <c r="J15" s="23">
        <v>5393.6</v>
      </c>
      <c r="K15" s="23">
        <v>5950.8</v>
      </c>
      <c r="L15" s="23">
        <v>7505.8</v>
      </c>
      <c r="M15" s="23">
        <v>6563.2</v>
      </c>
      <c r="N15" s="23">
        <v>5593.7</v>
      </c>
      <c r="O15" s="23">
        <v>5671.7</v>
      </c>
      <c r="P15" s="23">
        <v>6415.8</v>
      </c>
      <c r="Q15" s="23">
        <v>6589.6</v>
      </c>
      <c r="R15" s="23">
        <v>6904.4</v>
      </c>
      <c r="S15" s="23">
        <v>7253.4</v>
      </c>
      <c r="T15" s="23">
        <v>6998.8</v>
      </c>
      <c r="U15" s="23">
        <v>7637.1</v>
      </c>
      <c r="V15" s="23">
        <v>8512.7000000000007</v>
      </c>
      <c r="W15" s="23">
        <v>8582.9</v>
      </c>
      <c r="X15" s="23">
        <v>8779</v>
      </c>
      <c r="Y15" s="23">
        <v>9438.1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165740.70000000004</v>
      </c>
      <c r="E16" s="30">
        <f t="shared" ref="E16:S16" si="0">SUM(E6:E15)</f>
        <v>189215.7</v>
      </c>
      <c r="F16" s="30">
        <f t="shared" si="0"/>
        <v>185764</v>
      </c>
      <c r="G16" s="30">
        <f t="shared" si="0"/>
        <v>169660.19999999998</v>
      </c>
      <c r="H16" s="30">
        <f t="shared" si="0"/>
        <v>182318.2</v>
      </c>
      <c r="I16" s="30">
        <f t="shared" si="0"/>
        <v>216371.60000000003</v>
      </c>
      <c r="J16" s="30">
        <f t="shared" si="0"/>
        <v>240580.9</v>
      </c>
      <c r="K16" s="30">
        <f t="shared" si="0"/>
        <v>273922.09999999992</v>
      </c>
      <c r="L16" s="30">
        <f t="shared" si="0"/>
        <v>319339.7</v>
      </c>
      <c r="M16" s="30">
        <f t="shared" si="0"/>
        <v>281412.8</v>
      </c>
      <c r="N16" s="30">
        <f t="shared" si="0"/>
        <v>315554.59999999998</v>
      </c>
      <c r="O16" s="30">
        <f t="shared" si="0"/>
        <v>330967.3</v>
      </c>
      <c r="P16" s="30">
        <f t="shared" si="0"/>
        <v>340997.2</v>
      </c>
      <c r="Q16" s="30">
        <f t="shared" si="0"/>
        <v>344049.59999999992</v>
      </c>
      <c r="R16" s="30">
        <f t="shared" si="0"/>
        <v>359866.40000000008</v>
      </c>
      <c r="S16" s="30">
        <f t="shared" si="0"/>
        <v>381297.49999999994</v>
      </c>
      <c r="T16" s="30">
        <f t="shared" ref="T16:Y16" si="1">SUM(T6:T15)</f>
        <v>374955.3</v>
      </c>
      <c r="U16" s="30">
        <f t="shared" si="1"/>
        <v>408852.19999999995</v>
      </c>
      <c r="V16" s="30">
        <f t="shared" si="1"/>
        <v>437037.2</v>
      </c>
      <c r="W16" s="30">
        <f t="shared" si="1"/>
        <v>468018.4</v>
      </c>
      <c r="X16" s="30">
        <f t="shared" si="1"/>
        <v>463438.19999999995</v>
      </c>
      <c r="Y16" s="30">
        <f t="shared" si="1"/>
        <v>501551.10000000003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5838.8</v>
      </c>
      <c r="E18" s="19">
        <v>6924.4</v>
      </c>
      <c r="F18" s="19">
        <v>5739.4</v>
      </c>
      <c r="G18" s="19">
        <v>5025.2</v>
      </c>
      <c r="H18" s="19">
        <v>6786.9</v>
      </c>
      <c r="I18" s="19">
        <v>7186.9</v>
      </c>
      <c r="J18" s="19">
        <v>7389.6</v>
      </c>
      <c r="K18" s="19">
        <v>9558.4000000000015</v>
      </c>
      <c r="L18" s="19">
        <v>9490.0000000000018</v>
      </c>
      <c r="M18" s="19">
        <v>8112.8</v>
      </c>
      <c r="N18" s="19">
        <v>10537</v>
      </c>
      <c r="O18" s="19">
        <v>12053.1</v>
      </c>
      <c r="P18" s="19">
        <v>11593.9</v>
      </c>
      <c r="Q18" s="19">
        <v>12606.8</v>
      </c>
      <c r="R18" s="19">
        <v>12164</v>
      </c>
      <c r="S18" s="19">
        <v>10759.1</v>
      </c>
      <c r="T18" s="19">
        <v>11235.8</v>
      </c>
      <c r="U18" s="19">
        <v>14021.4</v>
      </c>
      <c r="V18" s="19">
        <v>12049</v>
      </c>
      <c r="W18" s="19">
        <v>12617.5</v>
      </c>
      <c r="X18" s="19">
        <v>13515.9</v>
      </c>
      <c r="Y18" s="19">
        <v>12921.7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4075.9</v>
      </c>
      <c r="E19" s="23">
        <v>4374.1000000000013</v>
      </c>
      <c r="F19" s="23">
        <v>4095.5</v>
      </c>
      <c r="G19" s="23">
        <v>3611</v>
      </c>
      <c r="H19" s="23">
        <v>4687.6000000000004</v>
      </c>
      <c r="I19" s="23">
        <v>5571.5</v>
      </c>
      <c r="J19" s="23">
        <v>5878.5</v>
      </c>
      <c r="K19" s="23">
        <v>6277.2</v>
      </c>
      <c r="L19" s="23">
        <v>7764</v>
      </c>
      <c r="M19" s="23">
        <v>6062.5</v>
      </c>
      <c r="N19" s="23">
        <v>7852.2</v>
      </c>
      <c r="O19" s="23">
        <v>9087.0000000000018</v>
      </c>
      <c r="P19" s="23">
        <v>8771.5</v>
      </c>
      <c r="Q19" s="23">
        <v>7656.9</v>
      </c>
      <c r="R19" s="23">
        <v>6679.3</v>
      </c>
      <c r="S19" s="23">
        <v>6681.5</v>
      </c>
      <c r="T19" s="23">
        <v>6236.7</v>
      </c>
      <c r="U19" s="23">
        <v>7595.5</v>
      </c>
      <c r="V19" s="23">
        <v>7623.6</v>
      </c>
      <c r="W19" s="23">
        <v>7670.8</v>
      </c>
      <c r="X19" s="23">
        <v>6905.7</v>
      </c>
      <c r="Y19" s="23">
        <v>8040.8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29976.500000000004</v>
      </c>
      <c r="E20" s="23">
        <v>30952.500000000015</v>
      </c>
      <c r="F20" s="23">
        <v>30127.500000000011</v>
      </c>
      <c r="G20" s="23">
        <v>29878.399999999987</v>
      </c>
      <c r="H20" s="23">
        <v>33865.1</v>
      </c>
      <c r="I20" s="23">
        <v>39417.300000000017</v>
      </c>
      <c r="J20" s="23">
        <v>44751.299999999974</v>
      </c>
      <c r="K20" s="23">
        <v>51224.799999999916</v>
      </c>
      <c r="L20" s="23">
        <v>58921.599999999999</v>
      </c>
      <c r="M20" s="23">
        <v>51771.6</v>
      </c>
      <c r="N20" s="23">
        <v>58683.699999999917</v>
      </c>
      <c r="O20" s="23">
        <v>61620.700000000012</v>
      </c>
      <c r="P20" s="23">
        <v>64512.80000000001</v>
      </c>
      <c r="Q20" s="23">
        <v>61147.899999999943</v>
      </c>
      <c r="R20" s="23">
        <v>69538.000000000058</v>
      </c>
      <c r="S20" s="23">
        <v>76807.39999999998</v>
      </c>
      <c r="T20" s="23">
        <v>78511.900000000009</v>
      </c>
      <c r="U20" s="23">
        <v>79605.099999999977</v>
      </c>
      <c r="V20" s="23">
        <v>83602.100000000049</v>
      </c>
      <c r="W20" s="23">
        <v>90126.3</v>
      </c>
      <c r="X20" s="23">
        <v>86668.499999999985</v>
      </c>
      <c r="Y20" s="23">
        <v>100055.4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4361.7999999999993</v>
      </c>
      <c r="E21" s="23">
        <v>5697.6</v>
      </c>
      <c r="F21" s="23">
        <v>5959.2</v>
      </c>
      <c r="G21" s="23">
        <v>5806.9</v>
      </c>
      <c r="H21" s="23">
        <v>5625.4</v>
      </c>
      <c r="I21" s="23">
        <v>6680.1</v>
      </c>
      <c r="J21" s="23">
        <v>7342.1</v>
      </c>
      <c r="K21" s="23">
        <v>8146.5</v>
      </c>
      <c r="L21" s="23">
        <v>8381.9</v>
      </c>
      <c r="M21" s="23">
        <v>8406</v>
      </c>
      <c r="N21" s="23">
        <v>10232.799999999999</v>
      </c>
      <c r="O21" s="23">
        <v>10218.4</v>
      </c>
      <c r="P21" s="23">
        <v>11649.6</v>
      </c>
      <c r="Q21" s="23">
        <v>12258.2</v>
      </c>
      <c r="R21" s="23">
        <v>12051.5</v>
      </c>
      <c r="S21" s="23">
        <v>12484.4</v>
      </c>
      <c r="T21" s="23">
        <v>11805.6</v>
      </c>
      <c r="U21" s="23">
        <v>11790.2</v>
      </c>
      <c r="V21" s="23">
        <v>12069</v>
      </c>
      <c r="W21" s="23">
        <v>12514</v>
      </c>
      <c r="X21" s="23">
        <v>14515.2</v>
      </c>
      <c r="Y21" s="23">
        <v>14717.6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1756.6</v>
      </c>
      <c r="E22" s="23">
        <v>2029.6</v>
      </c>
      <c r="F22" s="23">
        <v>2131.1999999999998</v>
      </c>
      <c r="G22" s="23">
        <v>1986.1</v>
      </c>
      <c r="H22" s="23">
        <v>2028.6</v>
      </c>
      <c r="I22" s="23">
        <v>2443.5</v>
      </c>
      <c r="J22" s="23">
        <v>2578.4</v>
      </c>
      <c r="K22" s="23">
        <v>2935.5</v>
      </c>
      <c r="L22" s="23">
        <v>3671.3</v>
      </c>
      <c r="M22" s="23">
        <v>3280.3</v>
      </c>
      <c r="N22" s="23">
        <v>3898.4</v>
      </c>
      <c r="O22" s="23">
        <v>3885.8</v>
      </c>
      <c r="P22" s="23">
        <v>4025.6</v>
      </c>
      <c r="Q22" s="23">
        <v>4146.8</v>
      </c>
      <c r="R22" s="23">
        <v>4436.8</v>
      </c>
      <c r="S22" s="23">
        <v>4758.3</v>
      </c>
      <c r="T22" s="23">
        <v>4865.7</v>
      </c>
      <c r="U22" s="23">
        <v>5245</v>
      </c>
      <c r="V22" s="23">
        <v>5632.3</v>
      </c>
      <c r="W22" s="23">
        <v>5920.7</v>
      </c>
      <c r="X22" s="23">
        <v>6458.9</v>
      </c>
      <c r="Y22" s="23">
        <v>6856.2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13596.9</v>
      </c>
      <c r="E23" s="23">
        <v>15234.3</v>
      </c>
      <c r="F23" s="23">
        <v>13779.5</v>
      </c>
      <c r="G23" s="23">
        <v>11587.4</v>
      </c>
      <c r="H23" s="23">
        <v>13086.5</v>
      </c>
      <c r="I23" s="23">
        <v>16397.5</v>
      </c>
      <c r="J23" s="23">
        <v>18404.5</v>
      </c>
      <c r="K23" s="23">
        <v>21387</v>
      </c>
      <c r="L23" s="23">
        <v>26186.9</v>
      </c>
      <c r="M23" s="23">
        <v>24032.7</v>
      </c>
      <c r="N23" s="23">
        <v>25886.799999999999</v>
      </c>
      <c r="O23" s="23">
        <v>30047.599999999999</v>
      </c>
      <c r="P23" s="23">
        <v>27784.3</v>
      </c>
      <c r="Q23" s="23">
        <v>26383.8</v>
      </c>
      <c r="R23" s="23">
        <v>29201.1</v>
      </c>
      <c r="S23" s="23">
        <v>33012.1</v>
      </c>
      <c r="T23" s="23">
        <v>29262.9</v>
      </c>
      <c r="U23" s="23">
        <v>30197.3</v>
      </c>
      <c r="V23" s="23">
        <v>34573.300000000003</v>
      </c>
      <c r="W23" s="23">
        <v>36259.1</v>
      </c>
      <c r="X23" s="23">
        <v>34605.699999999997</v>
      </c>
      <c r="Y23" s="23">
        <v>32320.6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32905.699999999997</v>
      </c>
      <c r="E24" s="23">
        <v>38220.100000000006</v>
      </c>
      <c r="F24" s="23">
        <v>37593.199999999997</v>
      </c>
      <c r="G24" s="23">
        <v>32328.900000000005</v>
      </c>
      <c r="H24" s="23">
        <v>33825.399999999994</v>
      </c>
      <c r="I24" s="23">
        <v>40476.300000000003</v>
      </c>
      <c r="J24" s="23">
        <v>45104.5</v>
      </c>
      <c r="K24" s="23">
        <v>50557.600000000006</v>
      </c>
      <c r="L24" s="23">
        <v>58271.69999999999</v>
      </c>
      <c r="M24" s="23">
        <v>52902.7</v>
      </c>
      <c r="N24" s="23">
        <v>57354.700000000012</v>
      </c>
      <c r="O24" s="23">
        <v>58652.19999999999</v>
      </c>
      <c r="P24" s="23">
        <v>62450.299999999988</v>
      </c>
      <c r="Q24" s="23">
        <v>63543.5</v>
      </c>
      <c r="R24" s="23">
        <v>58977.2</v>
      </c>
      <c r="S24" s="23">
        <v>62777.099999999991</v>
      </c>
      <c r="T24" s="23">
        <v>60591.899999999994</v>
      </c>
      <c r="U24" s="23">
        <v>67842.400000000009</v>
      </c>
      <c r="V24" s="23">
        <v>71265.7</v>
      </c>
      <c r="W24" s="23">
        <v>75164.099999999991</v>
      </c>
      <c r="X24" s="23">
        <v>73990.499999999985</v>
      </c>
      <c r="Y24" s="23">
        <v>81733.3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8655.2999999999993</v>
      </c>
      <c r="E25" s="23">
        <v>9767.7000000000007</v>
      </c>
      <c r="F25" s="23">
        <v>9992.5</v>
      </c>
      <c r="G25" s="23">
        <v>9520.4</v>
      </c>
      <c r="H25" s="23">
        <v>10330.299999999999</v>
      </c>
      <c r="I25" s="23">
        <v>12486.2</v>
      </c>
      <c r="J25" s="23">
        <v>14694.7</v>
      </c>
      <c r="K25" s="23">
        <v>16404.3</v>
      </c>
      <c r="L25" s="23">
        <v>18681.400000000001</v>
      </c>
      <c r="M25" s="23">
        <v>15953</v>
      </c>
      <c r="N25" s="23">
        <v>19325.599999999999</v>
      </c>
      <c r="O25" s="23">
        <v>19424.599999999999</v>
      </c>
      <c r="P25" s="23">
        <v>21706.5</v>
      </c>
      <c r="Q25" s="23">
        <v>22320</v>
      </c>
      <c r="R25" s="23">
        <v>23926.3</v>
      </c>
      <c r="S25" s="23">
        <v>25796.5</v>
      </c>
      <c r="T25" s="23">
        <v>25459.8</v>
      </c>
      <c r="U25" s="23">
        <v>28961.9</v>
      </c>
      <c r="V25" s="23">
        <v>32183.3</v>
      </c>
      <c r="W25" s="23">
        <v>33596.9</v>
      </c>
      <c r="X25" s="23">
        <v>31057.200000000001</v>
      </c>
      <c r="Y25" s="23">
        <v>32078.799999999999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2022.4</v>
      </c>
      <c r="E26" s="23">
        <v>2273.6</v>
      </c>
      <c r="F26" s="23">
        <v>2116.6999999999998</v>
      </c>
      <c r="G26" s="23">
        <v>1896.5</v>
      </c>
      <c r="H26" s="23">
        <v>1831.1</v>
      </c>
      <c r="I26" s="23">
        <v>2383</v>
      </c>
      <c r="J26" s="23">
        <v>2506</v>
      </c>
      <c r="K26" s="23">
        <v>2894.3</v>
      </c>
      <c r="L26" s="23">
        <v>3429.9</v>
      </c>
      <c r="M26" s="23">
        <v>3015.5</v>
      </c>
      <c r="N26" s="23">
        <v>3405.8</v>
      </c>
      <c r="O26" s="23">
        <v>3716.4</v>
      </c>
      <c r="P26" s="23">
        <v>3855.7</v>
      </c>
      <c r="Q26" s="23">
        <v>3730.8</v>
      </c>
      <c r="R26" s="23">
        <v>4718.6000000000004</v>
      </c>
      <c r="S26" s="23">
        <v>4855.3</v>
      </c>
      <c r="T26" s="23">
        <v>4736.7000000000007</v>
      </c>
      <c r="U26" s="23">
        <v>6085.3</v>
      </c>
      <c r="V26" s="23">
        <v>6168.5</v>
      </c>
      <c r="W26" s="23">
        <v>6969.9</v>
      </c>
      <c r="X26" s="23">
        <v>5256.8</v>
      </c>
      <c r="Y26" s="23">
        <v>6702.9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5826.8</v>
      </c>
      <c r="E27" s="23">
        <v>7420</v>
      </c>
      <c r="F27" s="23">
        <v>8222.5999999999985</v>
      </c>
      <c r="G27" s="23">
        <v>7532.2999999999993</v>
      </c>
      <c r="H27" s="23">
        <v>8593.5</v>
      </c>
      <c r="I27" s="23">
        <v>9513</v>
      </c>
      <c r="J27" s="23">
        <v>10134.5</v>
      </c>
      <c r="K27" s="23">
        <v>11394.1</v>
      </c>
      <c r="L27" s="23">
        <v>13664.8</v>
      </c>
      <c r="M27" s="23">
        <v>11591</v>
      </c>
      <c r="N27" s="23">
        <v>11316.2</v>
      </c>
      <c r="O27" s="23">
        <v>11464.6</v>
      </c>
      <c r="P27" s="23">
        <v>12451.1</v>
      </c>
      <c r="Q27" s="23">
        <v>12564.6</v>
      </c>
      <c r="R27" s="23">
        <v>13581.7</v>
      </c>
      <c r="S27" s="23">
        <v>14864.8</v>
      </c>
      <c r="T27" s="23">
        <v>14955.1</v>
      </c>
      <c r="U27" s="23">
        <v>16626.300000000003</v>
      </c>
      <c r="V27" s="23">
        <v>18466.499999999996</v>
      </c>
      <c r="W27" s="23">
        <v>19746.099999999999</v>
      </c>
      <c r="X27" s="23">
        <v>21153</v>
      </c>
      <c r="Y27" s="23">
        <v>24556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7756.0999999999985</v>
      </c>
      <c r="E28" s="23">
        <v>7805.9</v>
      </c>
      <c r="F28" s="23">
        <v>6959.9</v>
      </c>
      <c r="G28" s="23">
        <v>6352.4</v>
      </c>
      <c r="H28" s="23">
        <v>6943.1</v>
      </c>
      <c r="I28" s="23">
        <v>8663.9</v>
      </c>
      <c r="J28" s="23">
        <v>9266.9</v>
      </c>
      <c r="K28" s="23">
        <v>12253.6</v>
      </c>
      <c r="L28" s="23">
        <v>13534.1</v>
      </c>
      <c r="M28" s="23">
        <v>11253.8</v>
      </c>
      <c r="N28" s="23">
        <v>13334.4</v>
      </c>
      <c r="O28" s="23">
        <v>14091.9</v>
      </c>
      <c r="P28" s="23">
        <v>13262.6</v>
      </c>
      <c r="Q28" s="23">
        <v>14418.6</v>
      </c>
      <c r="R28" s="23">
        <v>15880.3</v>
      </c>
      <c r="S28" s="23">
        <v>15145.7</v>
      </c>
      <c r="T28" s="23">
        <v>15399.9</v>
      </c>
      <c r="U28" s="23">
        <v>17791.199999999997</v>
      </c>
      <c r="V28" s="23">
        <v>18886.5</v>
      </c>
      <c r="W28" s="23">
        <v>20198.5</v>
      </c>
      <c r="X28" s="23">
        <v>19526.400000000001</v>
      </c>
      <c r="Y28" s="23">
        <v>19424.800000000003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10487.8</v>
      </c>
      <c r="E29" s="23">
        <v>11805.5</v>
      </c>
      <c r="F29" s="23">
        <v>12082.5</v>
      </c>
      <c r="G29" s="23">
        <v>11143.5</v>
      </c>
      <c r="H29" s="23">
        <v>11080</v>
      </c>
      <c r="I29" s="23">
        <v>13069.1</v>
      </c>
      <c r="J29" s="23">
        <v>14528.100000000002</v>
      </c>
      <c r="K29" s="23">
        <v>15695</v>
      </c>
      <c r="L29" s="23">
        <v>17970.400000000001</v>
      </c>
      <c r="M29" s="23">
        <v>14564.4</v>
      </c>
      <c r="N29" s="23">
        <v>16391.5</v>
      </c>
      <c r="O29" s="23">
        <v>17122.999999999996</v>
      </c>
      <c r="P29" s="23">
        <v>17813</v>
      </c>
      <c r="Q29" s="23">
        <v>17423</v>
      </c>
      <c r="R29" s="23">
        <v>18268.300000000003</v>
      </c>
      <c r="S29" s="23">
        <v>18657.099999999999</v>
      </c>
      <c r="T29" s="23">
        <v>19296.8</v>
      </c>
      <c r="U29" s="23">
        <v>20140.2</v>
      </c>
      <c r="V29" s="23">
        <v>21084.799999999999</v>
      </c>
      <c r="W29" s="23">
        <v>26436.2</v>
      </c>
      <c r="X29" s="23">
        <v>26766.1</v>
      </c>
      <c r="Y29" s="23">
        <v>27725.200000000001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8566.4</v>
      </c>
      <c r="E30" s="23">
        <v>9687.7000000000007</v>
      </c>
      <c r="F30" s="23">
        <v>9312</v>
      </c>
      <c r="G30" s="23">
        <v>8640.2999999999993</v>
      </c>
      <c r="H30" s="23">
        <v>8738.7999999999993</v>
      </c>
      <c r="I30" s="23">
        <v>10983.599999999999</v>
      </c>
      <c r="J30" s="23">
        <v>12459.5</v>
      </c>
      <c r="K30" s="23">
        <v>14338.3</v>
      </c>
      <c r="L30" s="23">
        <v>17415.8</v>
      </c>
      <c r="M30" s="23">
        <v>15450.4</v>
      </c>
      <c r="N30" s="23">
        <v>15628.5</v>
      </c>
      <c r="O30" s="23">
        <v>15708.299999999997</v>
      </c>
      <c r="P30" s="23">
        <v>16808.399999999998</v>
      </c>
      <c r="Q30" s="23">
        <v>18392.7</v>
      </c>
      <c r="R30" s="23">
        <v>19573.599999999999</v>
      </c>
      <c r="S30" s="23">
        <v>22056.300000000003</v>
      </c>
      <c r="T30" s="23">
        <v>20717.100000000002</v>
      </c>
      <c r="U30" s="23">
        <v>23972.200000000004</v>
      </c>
      <c r="V30" s="23">
        <v>26819.200000000001</v>
      </c>
      <c r="W30" s="23">
        <v>27600.300000000003</v>
      </c>
      <c r="X30" s="23">
        <v>27714.399999999994</v>
      </c>
      <c r="Y30" s="23">
        <v>28858.100000000006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2262.9</v>
      </c>
      <c r="E31" s="23">
        <v>3117</v>
      </c>
      <c r="F31" s="23">
        <v>2795.1</v>
      </c>
      <c r="G31" s="23">
        <v>2382.3000000000002</v>
      </c>
      <c r="H31" s="23">
        <v>2624.4</v>
      </c>
      <c r="I31" s="23">
        <v>2905.8</v>
      </c>
      <c r="J31" s="23">
        <v>3397.2</v>
      </c>
      <c r="K31" s="23">
        <v>4214.3999999999996</v>
      </c>
      <c r="L31" s="23">
        <v>5342.7</v>
      </c>
      <c r="M31" s="23">
        <v>4815.1000000000004</v>
      </c>
      <c r="N31" s="23">
        <v>6711.6</v>
      </c>
      <c r="O31" s="23">
        <v>7349.7</v>
      </c>
      <c r="P31" s="23">
        <v>8090.3999999999987</v>
      </c>
      <c r="Q31" s="23">
        <v>8218.9</v>
      </c>
      <c r="R31" s="23">
        <v>8778.1</v>
      </c>
      <c r="S31" s="23">
        <v>9655.4</v>
      </c>
      <c r="T31" s="23">
        <v>9974.1</v>
      </c>
      <c r="U31" s="23">
        <v>11963.4</v>
      </c>
      <c r="V31" s="23">
        <v>12835.4</v>
      </c>
      <c r="W31" s="23">
        <v>15131.9</v>
      </c>
      <c r="X31" s="23">
        <v>14623</v>
      </c>
      <c r="Y31" s="23">
        <v>15808.1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10359.500000000002</v>
      </c>
      <c r="E32" s="23">
        <v>12561.7</v>
      </c>
      <c r="F32" s="23">
        <v>12479.9</v>
      </c>
      <c r="G32" s="23">
        <v>11356.100000000002</v>
      </c>
      <c r="H32" s="23">
        <v>11544.599999999999</v>
      </c>
      <c r="I32" s="23">
        <v>13278.899999999996</v>
      </c>
      <c r="J32" s="23">
        <v>14713.000000000002</v>
      </c>
      <c r="K32" s="23">
        <v>16193.200000000006</v>
      </c>
      <c r="L32" s="23">
        <v>19418.300000000003</v>
      </c>
      <c r="M32" s="23">
        <v>17267.5</v>
      </c>
      <c r="N32" s="23">
        <v>19481.800000000003</v>
      </c>
      <c r="O32" s="23">
        <v>19385.999999999996</v>
      </c>
      <c r="P32" s="23">
        <v>19769.600000000006</v>
      </c>
      <c r="Q32" s="23">
        <v>20349.700000000004</v>
      </c>
      <c r="R32" s="23">
        <v>20779.600000000006</v>
      </c>
      <c r="S32" s="23">
        <v>21338.9</v>
      </c>
      <c r="T32" s="23">
        <v>21287.999999999996</v>
      </c>
      <c r="U32" s="23">
        <v>22897.799999999992</v>
      </c>
      <c r="V32" s="23">
        <v>23855.500000000004</v>
      </c>
      <c r="W32" s="23">
        <v>25819.599999999999</v>
      </c>
      <c r="X32" s="23">
        <v>26901.699999999997</v>
      </c>
      <c r="Y32" s="23">
        <v>27941.000000000004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8535.9999999999982</v>
      </c>
      <c r="E33" s="23">
        <v>10345.9</v>
      </c>
      <c r="F33" s="23">
        <v>10271.700000000001</v>
      </c>
      <c r="G33" s="23">
        <v>9328.2999999999993</v>
      </c>
      <c r="H33" s="23">
        <v>9533.4</v>
      </c>
      <c r="I33" s="23">
        <v>11632.6</v>
      </c>
      <c r="J33" s="23">
        <v>12490.3</v>
      </c>
      <c r="K33" s="23">
        <v>13792.8</v>
      </c>
      <c r="L33" s="23">
        <v>16579.3</v>
      </c>
      <c r="M33" s="23">
        <v>14890.5</v>
      </c>
      <c r="N33" s="23">
        <v>16359.2</v>
      </c>
      <c r="O33" s="23">
        <v>16682.8</v>
      </c>
      <c r="P33" s="23">
        <v>16630.099999999999</v>
      </c>
      <c r="Q33" s="23">
        <v>16920.3</v>
      </c>
      <c r="R33" s="23">
        <v>17551.3</v>
      </c>
      <c r="S33" s="23">
        <v>18117.599999999999</v>
      </c>
      <c r="T33" s="23">
        <v>17500.5</v>
      </c>
      <c r="U33" s="23">
        <v>18669.5</v>
      </c>
      <c r="V33" s="23">
        <v>20165.199999999997</v>
      </c>
      <c r="W33" s="23">
        <v>21858.9</v>
      </c>
      <c r="X33" s="23">
        <v>22818.799999999999</v>
      </c>
      <c r="Y33" s="23">
        <v>24098.2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5144.2</v>
      </c>
      <c r="E34" s="23">
        <v>6749.3</v>
      </c>
      <c r="F34" s="23">
        <v>7649.2</v>
      </c>
      <c r="G34" s="23">
        <v>7264.5</v>
      </c>
      <c r="H34" s="23">
        <v>7353.3</v>
      </c>
      <c r="I34" s="23">
        <v>8314.7000000000007</v>
      </c>
      <c r="J34" s="23">
        <v>9548.2000000000007</v>
      </c>
      <c r="K34" s="23">
        <v>10704.3</v>
      </c>
      <c r="L34" s="23">
        <v>13109.8</v>
      </c>
      <c r="M34" s="23">
        <v>11479.8</v>
      </c>
      <c r="N34" s="23">
        <v>13560.7</v>
      </c>
      <c r="O34" s="23">
        <v>14783.5</v>
      </c>
      <c r="P34" s="23">
        <v>13406</v>
      </c>
      <c r="Q34" s="23">
        <v>15377.5</v>
      </c>
      <c r="R34" s="23">
        <v>16856.3</v>
      </c>
      <c r="S34" s="23">
        <v>16276.6</v>
      </c>
      <c r="T34" s="23">
        <v>16118</v>
      </c>
      <c r="U34" s="23">
        <v>17810.400000000001</v>
      </c>
      <c r="V34" s="23">
        <v>21244.6</v>
      </c>
      <c r="W34" s="23">
        <v>21804.7</v>
      </c>
      <c r="X34" s="23">
        <v>22181.4</v>
      </c>
      <c r="Y34" s="23">
        <v>28274.3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1262.3999999999996</v>
      </c>
      <c r="E35" s="23">
        <v>1429.4999999999998</v>
      </c>
      <c r="F35" s="23">
        <v>1434.3999999999996</v>
      </c>
      <c r="G35" s="23">
        <v>1329</v>
      </c>
      <c r="H35" s="23">
        <v>1277.2999999999995</v>
      </c>
      <c r="I35" s="23">
        <v>1705.5000000000007</v>
      </c>
      <c r="J35" s="23">
        <v>1765.6999999999998</v>
      </c>
      <c r="K35" s="23">
        <v>2194.4</v>
      </c>
      <c r="L35" s="23">
        <v>2916.4999999999995</v>
      </c>
      <c r="M35" s="23">
        <v>2573.8999999999996</v>
      </c>
      <c r="N35" s="23">
        <v>2902.3999999999996</v>
      </c>
      <c r="O35" s="23">
        <v>2851.5</v>
      </c>
      <c r="P35" s="23">
        <v>2747.1999999999994</v>
      </c>
      <c r="Q35" s="23">
        <v>2689.7</v>
      </c>
      <c r="R35" s="23">
        <v>2748.8999999999996</v>
      </c>
      <c r="S35" s="23">
        <v>3002.4999999999995</v>
      </c>
      <c r="T35" s="23">
        <v>3135.5000000000005</v>
      </c>
      <c r="U35" s="23">
        <v>3168.4000000000005</v>
      </c>
      <c r="V35" s="23">
        <v>3673.4000000000005</v>
      </c>
      <c r="W35" s="23">
        <v>3690.3999999999996</v>
      </c>
      <c r="X35" s="23">
        <v>3737.8000000000006</v>
      </c>
      <c r="Y35" s="23">
        <v>3888.0999999999995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2059.5</v>
      </c>
      <c r="E36" s="23">
        <v>2483.3000000000006</v>
      </c>
      <c r="F36" s="23">
        <v>2682.9</v>
      </c>
      <c r="G36" s="23">
        <v>2386.4</v>
      </c>
      <c r="H36" s="23">
        <v>2194.9</v>
      </c>
      <c r="I36" s="23">
        <v>2815.3</v>
      </c>
      <c r="J36" s="23">
        <v>3154.1</v>
      </c>
      <c r="K36" s="23">
        <v>3320.3</v>
      </c>
      <c r="L36" s="23">
        <v>3688.4</v>
      </c>
      <c r="M36" s="23">
        <v>3239</v>
      </c>
      <c r="N36" s="23">
        <v>2674</v>
      </c>
      <c r="O36" s="23">
        <v>2800.8</v>
      </c>
      <c r="P36" s="23">
        <v>3628</v>
      </c>
      <c r="Q36" s="23">
        <v>3853</v>
      </c>
      <c r="R36" s="23">
        <v>4109.6000000000004</v>
      </c>
      <c r="S36" s="23">
        <v>4204.5</v>
      </c>
      <c r="T36" s="23">
        <v>3817.2</v>
      </c>
      <c r="U36" s="23">
        <v>4418.3999999999996</v>
      </c>
      <c r="V36" s="23">
        <v>4789.6000000000004</v>
      </c>
      <c r="W36" s="23">
        <v>4846.0000000000009</v>
      </c>
      <c r="X36" s="23">
        <v>4998.3999999999996</v>
      </c>
      <c r="Y36" s="23">
        <v>5505.8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289.2</v>
      </c>
      <c r="E37" s="23">
        <v>336</v>
      </c>
      <c r="F37" s="23">
        <v>339.1</v>
      </c>
      <c r="G37" s="23">
        <v>304.29999999999995</v>
      </c>
      <c r="H37" s="23">
        <v>368</v>
      </c>
      <c r="I37" s="23">
        <v>446.9</v>
      </c>
      <c r="J37" s="23">
        <v>473.8</v>
      </c>
      <c r="K37" s="23">
        <v>436.1</v>
      </c>
      <c r="L37" s="23">
        <v>900.9</v>
      </c>
      <c r="M37" s="23">
        <v>750.3</v>
      </c>
      <c r="N37" s="23">
        <v>17.3</v>
      </c>
      <c r="O37" s="23">
        <v>19.399999999999999</v>
      </c>
      <c r="P37" s="23">
        <v>40.599999999999994</v>
      </c>
      <c r="Q37" s="23">
        <v>46.9</v>
      </c>
      <c r="R37" s="23">
        <v>45.9</v>
      </c>
      <c r="S37" s="23">
        <v>46.4</v>
      </c>
      <c r="T37" s="23">
        <v>46.1</v>
      </c>
      <c r="U37" s="23">
        <v>50.3</v>
      </c>
      <c r="V37" s="23">
        <v>49.7</v>
      </c>
      <c r="W37" s="23">
        <v>46.5</v>
      </c>
      <c r="X37" s="23">
        <v>42.8</v>
      </c>
      <c r="Y37" s="23">
        <v>44.2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165740.70000000001</v>
      </c>
      <c r="E39" s="30">
        <f t="shared" ref="E39:S39" si="2">SUM(E18:E38)</f>
        <v>189215.7</v>
      </c>
      <c r="F39" s="30">
        <f t="shared" si="2"/>
        <v>185764</v>
      </c>
      <c r="G39" s="30">
        <f t="shared" si="2"/>
        <v>169660.19999999995</v>
      </c>
      <c r="H39" s="30">
        <f t="shared" si="2"/>
        <v>182318.19999999995</v>
      </c>
      <c r="I39" s="30">
        <f t="shared" si="2"/>
        <v>216371.6</v>
      </c>
      <c r="J39" s="30">
        <f t="shared" si="2"/>
        <v>240580.9</v>
      </c>
      <c r="K39" s="30">
        <f t="shared" si="2"/>
        <v>273922.09999999992</v>
      </c>
      <c r="L39" s="30">
        <f t="shared" si="2"/>
        <v>319339.69999999995</v>
      </c>
      <c r="M39" s="30">
        <f t="shared" si="2"/>
        <v>281412.79999999993</v>
      </c>
      <c r="N39" s="30">
        <f t="shared" si="2"/>
        <v>315554.59999999998</v>
      </c>
      <c r="O39" s="30">
        <f t="shared" si="2"/>
        <v>330967.3</v>
      </c>
      <c r="P39" s="30">
        <f t="shared" si="2"/>
        <v>340997.2</v>
      </c>
      <c r="Q39" s="30">
        <f t="shared" si="2"/>
        <v>344049.60000000003</v>
      </c>
      <c r="R39" s="30">
        <f t="shared" si="2"/>
        <v>359866.4</v>
      </c>
      <c r="S39" s="30">
        <f t="shared" si="2"/>
        <v>381297.49999999994</v>
      </c>
      <c r="T39" s="30">
        <f t="shared" ref="T39:Y39" si="3">SUM(T18:T38)</f>
        <v>374955.29999999993</v>
      </c>
      <c r="U39" s="30">
        <f t="shared" si="3"/>
        <v>408852.20000000007</v>
      </c>
      <c r="V39" s="30">
        <f t="shared" si="3"/>
        <v>437037.20000000007</v>
      </c>
      <c r="W39" s="30">
        <f t="shared" si="3"/>
        <v>468018.40000000008</v>
      </c>
      <c r="X39" s="30">
        <f t="shared" si="3"/>
        <v>463438.19999999995</v>
      </c>
      <c r="Y39" s="30">
        <f t="shared" si="3"/>
        <v>501551.1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5667.4</v>
      </c>
      <c r="E41" s="19">
        <v>5810.3</v>
      </c>
      <c r="F41" s="19">
        <v>5668.1</v>
      </c>
      <c r="G41" s="19">
        <v>5304.6</v>
      </c>
      <c r="H41" s="19">
        <v>5217.8</v>
      </c>
      <c r="I41" s="19">
        <v>7291.8</v>
      </c>
      <c r="J41" s="19">
        <v>8200.9</v>
      </c>
      <c r="K41" s="19">
        <v>8292.4</v>
      </c>
      <c r="L41" s="19">
        <v>9936.5000000000018</v>
      </c>
      <c r="M41" s="19">
        <v>10064</v>
      </c>
      <c r="N41" s="19">
        <v>10530</v>
      </c>
      <c r="O41" s="19">
        <v>9879.4</v>
      </c>
      <c r="P41" s="19">
        <v>10052.299999999999</v>
      </c>
      <c r="Q41" s="19">
        <v>10004.799999999999</v>
      </c>
      <c r="R41" s="19">
        <v>12185.1</v>
      </c>
      <c r="S41" s="19">
        <v>13743</v>
      </c>
      <c r="T41" s="19">
        <v>13621</v>
      </c>
      <c r="U41" s="19">
        <v>13670.4</v>
      </c>
      <c r="V41" s="19">
        <v>14362.8</v>
      </c>
      <c r="W41" s="19">
        <v>15389.5</v>
      </c>
      <c r="X41" s="19">
        <v>13307.4</v>
      </c>
      <c r="Y41" s="19">
        <v>13870.1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1808</v>
      </c>
      <c r="E42" s="23">
        <v>1874.9</v>
      </c>
      <c r="F42" s="23">
        <v>1823.5000000000002</v>
      </c>
      <c r="G42" s="23">
        <v>1682.7</v>
      </c>
      <c r="H42" s="23">
        <v>1678.7</v>
      </c>
      <c r="I42" s="23">
        <v>1826.2</v>
      </c>
      <c r="J42" s="23">
        <v>2026.5</v>
      </c>
      <c r="K42" s="23">
        <v>2328.9</v>
      </c>
      <c r="L42" s="23">
        <v>2464.9</v>
      </c>
      <c r="M42" s="23">
        <v>1970.8</v>
      </c>
      <c r="N42" s="23">
        <v>2150.8000000000002</v>
      </c>
      <c r="O42" s="23">
        <v>2267.4</v>
      </c>
      <c r="P42" s="23">
        <v>2353.8000000000006</v>
      </c>
      <c r="Q42" s="23">
        <v>2039.5</v>
      </c>
      <c r="R42" s="23">
        <v>2384.4</v>
      </c>
      <c r="S42" s="23">
        <v>2506.9</v>
      </c>
      <c r="T42" s="23">
        <v>2683.8</v>
      </c>
      <c r="U42" s="23">
        <v>2620.9</v>
      </c>
      <c r="V42" s="23">
        <v>2631.2</v>
      </c>
      <c r="W42" s="23">
        <v>2754.1</v>
      </c>
      <c r="X42" s="23">
        <v>2651.6</v>
      </c>
      <c r="Y42" s="23">
        <v>3052.7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3015.8</v>
      </c>
      <c r="E43" s="23">
        <v>3076.2</v>
      </c>
      <c r="F43" s="23">
        <v>2991.4</v>
      </c>
      <c r="G43" s="23">
        <v>2851.2</v>
      </c>
      <c r="H43" s="23">
        <v>3122.5</v>
      </c>
      <c r="I43" s="23">
        <v>3573.7</v>
      </c>
      <c r="J43" s="23">
        <v>3831.5</v>
      </c>
      <c r="K43" s="23">
        <v>4998.5</v>
      </c>
      <c r="L43" s="23">
        <v>5032</v>
      </c>
      <c r="M43" s="23">
        <v>4535.1000000000013</v>
      </c>
      <c r="N43" s="23">
        <v>5197.8999999999996</v>
      </c>
      <c r="O43" s="23">
        <v>5510.1</v>
      </c>
      <c r="P43" s="23">
        <v>5916.1</v>
      </c>
      <c r="Q43" s="23">
        <v>5187.8</v>
      </c>
      <c r="R43" s="23">
        <v>6195.1</v>
      </c>
      <c r="S43" s="23">
        <v>6944.9</v>
      </c>
      <c r="T43" s="23">
        <v>6881.9</v>
      </c>
      <c r="U43" s="23">
        <v>6992.2</v>
      </c>
      <c r="V43" s="23">
        <v>7427.4</v>
      </c>
      <c r="W43" s="23">
        <v>7911.2</v>
      </c>
      <c r="X43" s="23">
        <v>7781.2</v>
      </c>
      <c r="Y43" s="23">
        <v>9744.5999999999985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830.99999999999989</v>
      </c>
      <c r="E44" s="23">
        <v>833.9</v>
      </c>
      <c r="F44" s="23">
        <v>818.4</v>
      </c>
      <c r="G44" s="23">
        <v>966</v>
      </c>
      <c r="H44" s="23">
        <v>2686.7</v>
      </c>
      <c r="I44" s="23">
        <v>1566.7</v>
      </c>
      <c r="J44" s="23">
        <v>1294.2</v>
      </c>
      <c r="K44" s="23">
        <v>1332.8</v>
      </c>
      <c r="L44" s="23">
        <v>2382.9</v>
      </c>
      <c r="M44" s="23">
        <v>1777.2</v>
      </c>
      <c r="N44" s="23">
        <v>2083.8000000000002</v>
      </c>
      <c r="O44" s="23">
        <v>2553.3000000000002</v>
      </c>
      <c r="P44" s="23">
        <v>2625</v>
      </c>
      <c r="Q44" s="23">
        <v>2253.1999999999998</v>
      </c>
      <c r="R44" s="23">
        <v>1297.5</v>
      </c>
      <c r="S44" s="23">
        <v>2048.5</v>
      </c>
      <c r="T44" s="23">
        <v>2412.9</v>
      </c>
      <c r="U44" s="23">
        <v>2364.1</v>
      </c>
      <c r="V44" s="23">
        <v>2484.8000000000002</v>
      </c>
      <c r="W44" s="23">
        <v>2689.4</v>
      </c>
      <c r="X44" s="23">
        <v>1995.7</v>
      </c>
      <c r="Y44" s="23">
        <v>3476.5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1677.1</v>
      </c>
      <c r="E45" s="23">
        <v>1750.2</v>
      </c>
      <c r="F45" s="23">
        <v>1700.9</v>
      </c>
      <c r="G45" s="23">
        <v>1574.9</v>
      </c>
      <c r="H45" s="23">
        <v>1774.8</v>
      </c>
      <c r="I45" s="23">
        <v>2102.1999999999998</v>
      </c>
      <c r="J45" s="23">
        <v>2371.0000000000005</v>
      </c>
      <c r="K45" s="23">
        <v>2352.6999999999994</v>
      </c>
      <c r="L45" s="23">
        <v>2600.6999999999998</v>
      </c>
      <c r="M45" s="23">
        <v>2114.6</v>
      </c>
      <c r="N45" s="23">
        <v>2950.2</v>
      </c>
      <c r="O45" s="23">
        <v>3376.2</v>
      </c>
      <c r="P45" s="23">
        <v>3388.8</v>
      </c>
      <c r="Q45" s="23">
        <v>2967.2</v>
      </c>
      <c r="R45" s="23">
        <v>3302.8</v>
      </c>
      <c r="S45" s="23">
        <v>3913.4</v>
      </c>
      <c r="T45" s="23">
        <v>4158.3999999999996</v>
      </c>
      <c r="U45" s="23">
        <v>3753.6</v>
      </c>
      <c r="V45" s="23">
        <v>3738.8</v>
      </c>
      <c r="W45" s="23">
        <v>4063</v>
      </c>
      <c r="X45" s="23">
        <v>4131.8999999999996</v>
      </c>
      <c r="Y45" s="23">
        <v>4878.2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551.6</v>
      </c>
      <c r="E46" s="23">
        <v>571.9</v>
      </c>
      <c r="F46" s="23">
        <v>579.4</v>
      </c>
      <c r="G46" s="23">
        <v>475</v>
      </c>
      <c r="H46" s="23">
        <v>468.8</v>
      </c>
      <c r="I46" s="23">
        <v>620.70000000000005</v>
      </c>
      <c r="J46" s="23">
        <v>663</v>
      </c>
      <c r="K46" s="23">
        <v>1107.0999999999999</v>
      </c>
      <c r="L46" s="23">
        <v>1283.8</v>
      </c>
      <c r="M46" s="23">
        <v>1167.9000000000001</v>
      </c>
      <c r="N46" s="23">
        <v>1257.2</v>
      </c>
      <c r="O46" s="23">
        <v>1085.8000000000002</v>
      </c>
      <c r="P46" s="23">
        <v>1165</v>
      </c>
      <c r="Q46" s="23">
        <v>1191.7</v>
      </c>
      <c r="R46" s="23">
        <v>1340.2</v>
      </c>
      <c r="S46" s="23">
        <v>1373.8</v>
      </c>
      <c r="T46" s="23">
        <v>1303.4000000000001</v>
      </c>
      <c r="U46" s="23">
        <v>1200.4000000000001</v>
      </c>
      <c r="V46" s="23">
        <v>1928</v>
      </c>
      <c r="W46" s="23">
        <v>1445</v>
      </c>
      <c r="X46" s="23">
        <v>1554.6</v>
      </c>
      <c r="Y46" s="23">
        <v>1747.3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4221.6000000000004</v>
      </c>
      <c r="E47" s="23">
        <v>4398.7999999999993</v>
      </c>
      <c r="F47" s="23">
        <v>4272.3</v>
      </c>
      <c r="G47" s="23">
        <v>4259.5</v>
      </c>
      <c r="H47" s="23">
        <v>4455.2000000000007</v>
      </c>
      <c r="I47" s="23">
        <v>5161.3</v>
      </c>
      <c r="J47" s="23">
        <v>6023.8</v>
      </c>
      <c r="K47" s="23">
        <v>7590.7</v>
      </c>
      <c r="L47" s="23">
        <v>8121.6</v>
      </c>
      <c r="M47" s="23">
        <v>6754.3</v>
      </c>
      <c r="N47" s="23">
        <v>7936.3</v>
      </c>
      <c r="O47" s="23">
        <v>8167</v>
      </c>
      <c r="P47" s="23">
        <v>8302.6</v>
      </c>
      <c r="Q47" s="23">
        <v>8102.1999999999989</v>
      </c>
      <c r="R47" s="23">
        <v>9074.6</v>
      </c>
      <c r="S47" s="23">
        <v>9921.4</v>
      </c>
      <c r="T47" s="23">
        <v>10281.700000000003</v>
      </c>
      <c r="U47" s="23">
        <v>10506.9</v>
      </c>
      <c r="V47" s="23">
        <v>11232.7</v>
      </c>
      <c r="W47" s="23">
        <v>12082.8</v>
      </c>
      <c r="X47" s="23">
        <v>12592.2</v>
      </c>
      <c r="Y47" s="23">
        <v>14025.9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3120.1000000000004</v>
      </c>
      <c r="E48" s="23">
        <v>3208</v>
      </c>
      <c r="F48" s="23">
        <v>3116.9</v>
      </c>
      <c r="G48" s="23">
        <v>3139.4</v>
      </c>
      <c r="H48" s="23">
        <v>4092.5</v>
      </c>
      <c r="I48" s="23">
        <v>4680.6000000000004</v>
      </c>
      <c r="J48" s="23">
        <v>6120.3</v>
      </c>
      <c r="K48" s="23">
        <v>7140.6</v>
      </c>
      <c r="L48" s="23">
        <v>7563.3</v>
      </c>
      <c r="M48" s="23">
        <v>6149.6</v>
      </c>
      <c r="N48" s="23">
        <v>7203.8</v>
      </c>
      <c r="O48" s="23">
        <v>8686.1</v>
      </c>
      <c r="P48" s="23">
        <v>8942.1</v>
      </c>
      <c r="Q48" s="23">
        <v>8011.2</v>
      </c>
      <c r="R48" s="23">
        <v>9812.6</v>
      </c>
      <c r="S48" s="23">
        <v>11027.9</v>
      </c>
      <c r="T48" s="23">
        <v>11654.5</v>
      </c>
      <c r="U48" s="23">
        <v>11560.7</v>
      </c>
      <c r="V48" s="23">
        <v>12121.6</v>
      </c>
      <c r="W48" s="23">
        <v>13277.9</v>
      </c>
      <c r="X48" s="23">
        <v>12983.8</v>
      </c>
      <c r="Y48" s="23">
        <v>16111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869</v>
      </c>
      <c r="E49" s="23">
        <v>908.5</v>
      </c>
      <c r="F49" s="23">
        <v>883.8</v>
      </c>
      <c r="G49" s="23">
        <v>951</v>
      </c>
      <c r="H49" s="23">
        <v>944.2</v>
      </c>
      <c r="I49" s="23">
        <v>1124.8</v>
      </c>
      <c r="J49" s="23">
        <v>1324.2</v>
      </c>
      <c r="K49" s="23">
        <v>1253</v>
      </c>
      <c r="L49" s="23">
        <v>1658.6</v>
      </c>
      <c r="M49" s="23">
        <v>2034.8</v>
      </c>
      <c r="N49" s="23">
        <v>1841.7</v>
      </c>
      <c r="O49" s="23">
        <v>1673.5</v>
      </c>
      <c r="P49" s="23">
        <v>1701.2</v>
      </c>
      <c r="Q49" s="23">
        <v>1520.7</v>
      </c>
      <c r="R49" s="23">
        <v>1651.7</v>
      </c>
      <c r="S49" s="23">
        <v>1591</v>
      </c>
      <c r="T49" s="23">
        <v>1681.3</v>
      </c>
      <c r="U49" s="23">
        <v>1688.7</v>
      </c>
      <c r="V49" s="23">
        <v>2016.9</v>
      </c>
      <c r="W49" s="23">
        <v>2143.4999999999995</v>
      </c>
      <c r="X49" s="23">
        <v>2254.3000000000006</v>
      </c>
      <c r="Y49" s="23">
        <v>2531.8000000000006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1259.2</v>
      </c>
      <c r="E50" s="23">
        <v>1333.6</v>
      </c>
      <c r="F50" s="23">
        <v>1294.7</v>
      </c>
      <c r="G50" s="23">
        <v>1389.2</v>
      </c>
      <c r="H50" s="23">
        <v>1310.1999999999998</v>
      </c>
      <c r="I50" s="23">
        <v>1517.8</v>
      </c>
      <c r="J50" s="23">
        <v>1780.8</v>
      </c>
      <c r="K50" s="23">
        <v>1988.0000000000002</v>
      </c>
      <c r="L50" s="23">
        <v>2616.4</v>
      </c>
      <c r="M50" s="23">
        <v>2125.1999999999994</v>
      </c>
      <c r="N50" s="23">
        <v>2330.6</v>
      </c>
      <c r="O50" s="23">
        <v>2462.3000000000002</v>
      </c>
      <c r="P50" s="23">
        <v>2578.1999999999994</v>
      </c>
      <c r="Q50" s="23">
        <v>2366.4</v>
      </c>
      <c r="R50" s="23">
        <v>2739.3</v>
      </c>
      <c r="S50" s="23">
        <v>3166.8</v>
      </c>
      <c r="T50" s="23">
        <v>2894.9</v>
      </c>
      <c r="U50" s="23">
        <v>2837</v>
      </c>
      <c r="V50" s="23">
        <v>3199.3</v>
      </c>
      <c r="W50" s="23">
        <v>3104.1</v>
      </c>
      <c r="X50" s="23">
        <v>4276.6000000000004</v>
      </c>
      <c r="Y50" s="23">
        <v>5215.1000000000013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1586</v>
      </c>
      <c r="E51" s="23">
        <v>1684</v>
      </c>
      <c r="F51" s="23">
        <v>1633.5</v>
      </c>
      <c r="G51" s="23">
        <v>1562.6</v>
      </c>
      <c r="H51" s="23">
        <v>1699.7</v>
      </c>
      <c r="I51" s="23">
        <v>2149.9</v>
      </c>
      <c r="J51" s="23">
        <v>2486.5</v>
      </c>
      <c r="K51" s="23">
        <v>3124.2</v>
      </c>
      <c r="L51" s="23">
        <v>3608.4</v>
      </c>
      <c r="M51" s="23">
        <v>3377.4</v>
      </c>
      <c r="N51" s="23">
        <v>3430.5</v>
      </c>
      <c r="O51" s="23">
        <v>3338.8</v>
      </c>
      <c r="P51" s="23">
        <v>3384.2</v>
      </c>
      <c r="Q51" s="23">
        <v>2951.8</v>
      </c>
      <c r="R51" s="23">
        <v>3224.7</v>
      </c>
      <c r="S51" s="23">
        <v>3512.8</v>
      </c>
      <c r="T51" s="23">
        <v>3365.2</v>
      </c>
      <c r="U51" s="23">
        <v>3751.7</v>
      </c>
      <c r="V51" s="23">
        <v>4025.3</v>
      </c>
      <c r="W51" s="23">
        <v>4520.7</v>
      </c>
      <c r="X51" s="23">
        <v>4211.8</v>
      </c>
      <c r="Y51" s="23">
        <v>4756.3999999999987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2186.3000000000002</v>
      </c>
      <c r="E52" s="23">
        <v>2283.1999999999998</v>
      </c>
      <c r="F52" s="23">
        <v>2224.3000000000002</v>
      </c>
      <c r="G52" s="23">
        <v>2702.7</v>
      </c>
      <c r="H52" s="23">
        <v>3288.6</v>
      </c>
      <c r="I52" s="23">
        <v>3884.4</v>
      </c>
      <c r="J52" s="23">
        <v>4405.1000000000004</v>
      </c>
      <c r="K52" s="23">
        <v>4426.3999999999996</v>
      </c>
      <c r="L52" s="23">
        <v>5197.2</v>
      </c>
      <c r="M52" s="23">
        <v>4626.6000000000004</v>
      </c>
      <c r="N52" s="23">
        <v>5688.5</v>
      </c>
      <c r="O52" s="23">
        <v>6187.2</v>
      </c>
      <c r="P52" s="23">
        <v>6375.6</v>
      </c>
      <c r="Q52" s="23">
        <v>7580.5</v>
      </c>
      <c r="R52" s="23">
        <v>8023.1</v>
      </c>
      <c r="S52" s="23">
        <v>7569.1</v>
      </c>
      <c r="T52" s="23">
        <v>8372.2999999999993</v>
      </c>
      <c r="U52" s="23">
        <v>9197.9999999999982</v>
      </c>
      <c r="V52" s="23">
        <v>8298.7000000000007</v>
      </c>
      <c r="W52" s="23">
        <v>10155.4</v>
      </c>
      <c r="X52" s="23">
        <v>8355.2000000000007</v>
      </c>
      <c r="Y52" s="23">
        <v>9386.4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3183.4000000000028</v>
      </c>
      <c r="E53" s="23">
        <v>3219.0000000000132</v>
      </c>
      <c r="F53" s="23">
        <v>3120.3000000000097</v>
      </c>
      <c r="G53" s="23">
        <v>3019.5999999999917</v>
      </c>
      <c r="H53" s="23">
        <v>3125.4000000000033</v>
      </c>
      <c r="I53" s="23">
        <v>3917.2000000000116</v>
      </c>
      <c r="J53" s="23">
        <v>4223.4999999999764</v>
      </c>
      <c r="K53" s="23">
        <v>5289.49999999991</v>
      </c>
      <c r="L53" s="23">
        <v>6455.2999999999956</v>
      </c>
      <c r="M53" s="23">
        <v>5074.1000000000013</v>
      </c>
      <c r="N53" s="23">
        <v>6082.3999999999178</v>
      </c>
      <c r="O53" s="23">
        <v>6433.6000000000049</v>
      </c>
      <c r="P53" s="23">
        <v>7727.9000000000096</v>
      </c>
      <c r="Q53" s="23">
        <v>6970.8999999999523</v>
      </c>
      <c r="R53" s="23">
        <v>8306.9000000000415</v>
      </c>
      <c r="S53" s="23">
        <v>9487.8999999999651</v>
      </c>
      <c r="T53" s="23">
        <v>9200.5999999999985</v>
      </c>
      <c r="U53" s="23">
        <v>9460.49999999998</v>
      </c>
      <c r="V53" s="23">
        <v>10134.600000000037</v>
      </c>
      <c r="W53" s="23">
        <v>10589.700000000003</v>
      </c>
      <c r="X53" s="23">
        <v>10572.199999999988</v>
      </c>
      <c r="Y53" s="23">
        <v>11259.399999999989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29976.5</v>
      </c>
      <c r="E54" s="30">
        <f t="shared" ref="E54:S54" si="4">SUM(E41:E53)</f>
        <v>30952.500000000015</v>
      </c>
      <c r="F54" s="30">
        <f t="shared" si="4"/>
        <v>30127.500000000011</v>
      </c>
      <c r="G54" s="30">
        <f t="shared" si="4"/>
        <v>29878.399999999994</v>
      </c>
      <c r="H54" s="30">
        <f t="shared" si="4"/>
        <v>33865.100000000006</v>
      </c>
      <c r="I54" s="30">
        <f t="shared" si="4"/>
        <v>39417.300000000017</v>
      </c>
      <c r="J54" s="30">
        <f t="shared" si="4"/>
        <v>44751.299999999981</v>
      </c>
      <c r="K54" s="30">
        <f t="shared" si="4"/>
        <v>51224.799999999908</v>
      </c>
      <c r="L54" s="30">
        <f t="shared" si="4"/>
        <v>58921.599999999999</v>
      </c>
      <c r="M54" s="30">
        <f t="shared" si="4"/>
        <v>51771.6</v>
      </c>
      <c r="N54" s="30">
        <f t="shared" si="4"/>
        <v>58683.69999999991</v>
      </c>
      <c r="O54" s="30">
        <f t="shared" si="4"/>
        <v>61620.700000000004</v>
      </c>
      <c r="P54" s="30">
        <f t="shared" si="4"/>
        <v>64512.799999999996</v>
      </c>
      <c r="Q54" s="30">
        <f t="shared" si="4"/>
        <v>61147.899999999951</v>
      </c>
      <c r="R54" s="30">
        <f t="shared" si="4"/>
        <v>69538.000000000029</v>
      </c>
      <c r="S54" s="30">
        <f t="shared" si="4"/>
        <v>76807.39999999998</v>
      </c>
      <c r="T54" s="30">
        <f t="shared" ref="T54:Y54" si="5">SUM(T41:T53)</f>
        <v>78511.899999999994</v>
      </c>
      <c r="U54" s="30">
        <f t="shared" si="5"/>
        <v>79605.099999999977</v>
      </c>
      <c r="V54" s="30">
        <f t="shared" si="5"/>
        <v>83602.100000000035</v>
      </c>
      <c r="W54" s="30">
        <f t="shared" si="5"/>
        <v>90126.299999999988</v>
      </c>
      <c r="X54" s="30">
        <f t="shared" si="5"/>
        <v>86668.499999999985</v>
      </c>
      <c r="Y54" s="30">
        <f t="shared" si="5"/>
        <v>100055.4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5667.4</v>
      </c>
      <c r="E56" s="19">
        <v>5810.3</v>
      </c>
      <c r="F56" s="19">
        <v>5668.1</v>
      </c>
      <c r="G56" s="19">
        <v>5304.6</v>
      </c>
      <c r="H56" s="19">
        <v>5217.8</v>
      </c>
      <c r="I56" s="19">
        <v>7291.8</v>
      </c>
      <c r="J56" s="19">
        <v>8200.9</v>
      </c>
      <c r="K56" s="19">
        <v>8292.4</v>
      </c>
      <c r="L56" s="19">
        <v>9936.5000000000018</v>
      </c>
      <c r="M56" s="19">
        <v>10064</v>
      </c>
      <c r="N56" s="19">
        <v>10530</v>
      </c>
      <c r="O56" s="19">
        <v>9879.4</v>
      </c>
      <c r="P56" s="19">
        <v>10052.299999999999</v>
      </c>
      <c r="Q56" s="19">
        <v>10004.799999999999</v>
      </c>
      <c r="R56" s="19">
        <v>12185.1</v>
      </c>
      <c r="S56" s="19">
        <v>13743</v>
      </c>
      <c r="T56" s="19">
        <v>13621</v>
      </c>
      <c r="U56" s="19">
        <v>13670.4</v>
      </c>
      <c r="V56" s="19">
        <v>14362.8</v>
      </c>
      <c r="W56" s="19">
        <v>15389.5</v>
      </c>
      <c r="X56" s="19">
        <v>13307.4</v>
      </c>
      <c r="Y56" s="19">
        <v>13870.1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1808</v>
      </c>
      <c r="E57" s="23">
        <v>1874.9</v>
      </c>
      <c r="F57" s="23">
        <v>1823.5000000000002</v>
      </c>
      <c r="G57" s="23">
        <v>1682.7</v>
      </c>
      <c r="H57" s="23">
        <v>1678.7</v>
      </c>
      <c r="I57" s="23">
        <v>1826.2</v>
      </c>
      <c r="J57" s="23">
        <v>2026.5</v>
      </c>
      <c r="K57" s="23">
        <v>2328.9</v>
      </c>
      <c r="L57" s="23">
        <v>2464.9</v>
      </c>
      <c r="M57" s="23">
        <v>1970.8</v>
      </c>
      <c r="N57" s="23">
        <v>2150.8000000000002</v>
      </c>
      <c r="O57" s="23">
        <v>2267.4</v>
      </c>
      <c r="P57" s="23">
        <v>2353.8000000000006</v>
      </c>
      <c r="Q57" s="23">
        <v>2039.5</v>
      </c>
      <c r="R57" s="23">
        <v>2384.4</v>
      </c>
      <c r="S57" s="23">
        <v>2506.9</v>
      </c>
      <c r="T57" s="23">
        <v>2683.8</v>
      </c>
      <c r="U57" s="23">
        <v>2620.9</v>
      </c>
      <c r="V57" s="23">
        <v>2631.2</v>
      </c>
      <c r="W57" s="23">
        <v>2754.1</v>
      </c>
      <c r="X57" s="23">
        <v>2651.6</v>
      </c>
      <c r="Y57" s="23">
        <v>3052.7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1191.5999999999999</v>
      </c>
      <c r="E58" s="23">
        <v>1202</v>
      </c>
      <c r="F58" s="23">
        <v>1171</v>
      </c>
      <c r="G58" s="23">
        <v>1211</v>
      </c>
      <c r="H58" s="23">
        <v>1408.7</v>
      </c>
      <c r="I58" s="23">
        <v>1521</v>
      </c>
      <c r="J58" s="23">
        <v>1658.7</v>
      </c>
      <c r="K58" s="23">
        <v>2148.4</v>
      </c>
      <c r="L58" s="23">
        <v>2335.1</v>
      </c>
      <c r="M58" s="23">
        <v>2022.8000000000002</v>
      </c>
      <c r="N58" s="23">
        <v>2505.3000000000002</v>
      </c>
      <c r="O58" s="23">
        <v>2527.9999999999995</v>
      </c>
      <c r="P58" s="23">
        <v>2648</v>
      </c>
      <c r="Q58" s="23">
        <v>2309.1999999999998</v>
      </c>
      <c r="R58" s="23">
        <v>2684.6</v>
      </c>
      <c r="S58" s="23">
        <v>2897.4</v>
      </c>
      <c r="T58" s="23">
        <v>2931.6</v>
      </c>
      <c r="U58" s="23">
        <v>3098.7</v>
      </c>
      <c r="V58" s="23">
        <v>3163.4</v>
      </c>
      <c r="W58" s="23">
        <v>3448.9</v>
      </c>
      <c r="X58" s="23">
        <v>3428.5</v>
      </c>
      <c r="Y58" s="23">
        <v>4540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1078</v>
      </c>
      <c r="E59" s="23">
        <v>1134.8000000000002</v>
      </c>
      <c r="F59" s="23">
        <v>1102.8</v>
      </c>
      <c r="G59" s="23">
        <v>1040.8</v>
      </c>
      <c r="H59" s="23">
        <v>1079.8</v>
      </c>
      <c r="I59" s="23">
        <v>1178.7</v>
      </c>
      <c r="J59" s="23">
        <v>1278.5</v>
      </c>
      <c r="K59" s="23">
        <v>1624.1</v>
      </c>
      <c r="L59" s="23">
        <v>1441</v>
      </c>
      <c r="M59" s="23">
        <v>1420.9</v>
      </c>
      <c r="N59" s="23">
        <v>1448.7</v>
      </c>
      <c r="O59" s="23">
        <v>1680.3</v>
      </c>
      <c r="P59" s="23">
        <v>1911.5</v>
      </c>
      <c r="Q59" s="23">
        <v>1695.1</v>
      </c>
      <c r="R59" s="23">
        <v>2192.5</v>
      </c>
      <c r="S59" s="23">
        <v>2438.5</v>
      </c>
      <c r="T59" s="23">
        <v>2449.3000000000002</v>
      </c>
      <c r="U59" s="23">
        <v>2483</v>
      </c>
      <c r="V59" s="23">
        <v>2772.3</v>
      </c>
      <c r="W59" s="23">
        <v>2877.7</v>
      </c>
      <c r="X59" s="23">
        <v>2901.4</v>
      </c>
      <c r="Y59" s="23">
        <v>3436.9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746.20000000000027</v>
      </c>
      <c r="E60" s="23">
        <v>739.40000000000009</v>
      </c>
      <c r="F60" s="23">
        <v>717.6</v>
      </c>
      <c r="G60" s="23">
        <v>599.40000000000009</v>
      </c>
      <c r="H60" s="23">
        <v>633.99999999999989</v>
      </c>
      <c r="I60" s="23">
        <v>874.00000000000034</v>
      </c>
      <c r="J60" s="23">
        <v>894.3</v>
      </c>
      <c r="K60" s="23">
        <v>1226.0000000000002</v>
      </c>
      <c r="L60" s="23">
        <v>1255.9000000000001</v>
      </c>
      <c r="M60" s="23">
        <v>1091.4000000000008</v>
      </c>
      <c r="N60" s="23">
        <v>1243.899999999999</v>
      </c>
      <c r="O60" s="23">
        <v>1301.8000000000006</v>
      </c>
      <c r="P60" s="23">
        <v>1356.5999999999997</v>
      </c>
      <c r="Q60" s="23">
        <v>1183.5000000000007</v>
      </c>
      <c r="R60" s="23">
        <v>1317.9999999999998</v>
      </c>
      <c r="S60" s="23">
        <v>1608.9999999999993</v>
      </c>
      <c r="T60" s="23">
        <v>1501</v>
      </c>
      <c r="U60" s="23">
        <v>1410.5</v>
      </c>
      <c r="V60" s="23">
        <v>1491.6999999999998</v>
      </c>
      <c r="W60" s="23">
        <v>1584.5999999999997</v>
      </c>
      <c r="X60" s="23">
        <v>1451.3</v>
      </c>
      <c r="Y60" s="23">
        <v>1767.6999999999991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830.99999999999989</v>
      </c>
      <c r="E61" s="23">
        <v>833.9</v>
      </c>
      <c r="F61" s="23">
        <v>818.4</v>
      </c>
      <c r="G61" s="23">
        <v>966</v>
      </c>
      <c r="H61" s="23">
        <v>2686.7</v>
      </c>
      <c r="I61" s="23">
        <v>1566.7</v>
      </c>
      <c r="J61" s="23">
        <v>1294.2</v>
      </c>
      <c r="K61" s="23">
        <v>1332.8</v>
      </c>
      <c r="L61" s="23">
        <v>2382.9</v>
      </c>
      <c r="M61" s="23">
        <v>1777.2</v>
      </c>
      <c r="N61" s="23">
        <v>2083.8000000000002</v>
      </c>
      <c r="O61" s="23">
        <v>2553.3000000000002</v>
      </c>
      <c r="P61" s="23">
        <v>2625</v>
      </c>
      <c r="Q61" s="23">
        <v>2253.1999999999998</v>
      </c>
      <c r="R61" s="23">
        <v>1297.5</v>
      </c>
      <c r="S61" s="23">
        <v>2048.5</v>
      </c>
      <c r="T61" s="23">
        <v>2412.9</v>
      </c>
      <c r="U61" s="23">
        <v>2364.1</v>
      </c>
      <c r="V61" s="23">
        <v>2484.8000000000002</v>
      </c>
      <c r="W61" s="23">
        <v>2689.4</v>
      </c>
      <c r="X61" s="23">
        <v>1995.7</v>
      </c>
      <c r="Y61" s="23">
        <v>3476.5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1677.1</v>
      </c>
      <c r="E62" s="23">
        <v>1750.2</v>
      </c>
      <c r="F62" s="23">
        <v>1700.9</v>
      </c>
      <c r="G62" s="23">
        <v>1574.9</v>
      </c>
      <c r="H62" s="23">
        <v>1774.8</v>
      </c>
      <c r="I62" s="23">
        <v>2102.1999999999998</v>
      </c>
      <c r="J62" s="23">
        <v>2371.0000000000005</v>
      </c>
      <c r="K62" s="23">
        <v>2352.6999999999994</v>
      </c>
      <c r="L62" s="23">
        <v>2600.6999999999998</v>
      </c>
      <c r="M62" s="23">
        <v>2114.6</v>
      </c>
      <c r="N62" s="23">
        <v>2950.2</v>
      </c>
      <c r="O62" s="23">
        <v>3376.2</v>
      </c>
      <c r="P62" s="23">
        <v>3388.8</v>
      </c>
      <c r="Q62" s="23">
        <v>2967.2</v>
      </c>
      <c r="R62" s="23">
        <v>3302.8</v>
      </c>
      <c r="S62" s="23">
        <v>3913.4</v>
      </c>
      <c r="T62" s="23">
        <v>4158.3999999999996</v>
      </c>
      <c r="U62" s="23">
        <v>3753.6</v>
      </c>
      <c r="V62" s="23">
        <v>3738.8</v>
      </c>
      <c r="W62" s="23">
        <v>4063</v>
      </c>
      <c r="X62" s="23">
        <v>4131.8999999999996</v>
      </c>
      <c r="Y62" s="23">
        <v>4878.2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551.6</v>
      </c>
      <c r="E63" s="23">
        <v>571.9</v>
      </c>
      <c r="F63" s="23">
        <v>579.4</v>
      </c>
      <c r="G63" s="23">
        <v>475</v>
      </c>
      <c r="H63" s="23">
        <v>468.8</v>
      </c>
      <c r="I63" s="23">
        <v>620.70000000000005</v>
      </c>
      <c r="J63" s="23">
        <v>663</v>
      </c>
      <c r="K63" s="23">
        <v>1107.0999999999999</v>
      </c>
      <c r="L63" s="23">
        <v>1283.8</v>
      </c>
      <c r="M63" s="23">
        <v>1167.9000000000001</v>
      </c>
      <c r="N63" s="23">
        <v>1257.2</v>
      </c>
      <c r="O63" s="23">
        <v>1085.8000000000002</v>
      </c>
      <c r="P63" s="23">
        <v>1165</v>
      </c>
      <c r="Q63" s="23">
        <v>1191.7</v>
      </c>
      <c r="R63" s="23">
        <v>1340.2</v>
      </c>
      <c r="S63" s="23">
        <v>1373.8</v>
      </c>
      <c r="T63" s="23">
        <v>1303.4000000000001</v>
      </c>
      <c r="U63" s="23">
        <v>1200.4000000000001</v>
      </c>
      <c r="V63" s="23">
        <v>1928</v>
      </c>
      <c r="W63" s="23">
        <v>1445</v>
      </c>
      <c r="X63" s="23">
        <v>1554.6</v>
      </c>
      <c r="Y63" s="23">
        <v>1747.3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1921.1</v>
      </c>
      <c r="E64" s="23">
        <v>1983.3</v>
      </c>
      <c r="F64" s="23">
        <v>1926.7</v>
      </c>
      <c r="G64" s="23">
        <v>1969</v>
      </c>
      <c r="H64" s="23">
        <v>2016.4</v>
      </c>
      <c r="I64" s="23">
        <v>2457.4</v>
      </c>
      <c r="J64" s="23">
        <v>2742.1</v>
      </c>
      <c r="K64" s="23">
        <v>3176</v>
      </c>
      <c r="L64" s="23">
        <v>3578.5</v>
      </c>
      <c r="M64" s="23">
        <v>3379.2</v>
      </c>
      <c r="N64" s="23">
        <v>4206.3</v>
      </c>
      <c r="O64" s="23">
        <v>4392.6000000000004</v>
      </c>
      <c r="P64" s="23">
        <v>4703.3</v>
      </c>
      <c r="Q64" s="23">
        <v>4707.7999999999993</v>
      </c>
      <c r="R64" s="23">
        <v>5167.8999999999996</v>
      </c>
      <c r="S64" s="23">
        <v>5551.3</v>
      </c>
      <c r="T64" s="23">
        <v>6004.1</v>
      </c>
      <c r="U64" s="23">
        <v>6088.1</v>
      </c>
      <c r="V64" s="23">
        <v>6408.1</v>
      </c>
      <c r="W64" s="23">
        <v>7033.9</v>
      </c>
      <c r="X64" s="23">
        <v>7623</v>
      </c>
      <c r="Y64" s="23">
        <v>8470.6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2300.5000000000005</v>
      </c>
      <c r="E65" s="23">
        <v>2415.4999999999995</v>
      </c>
      <c r="F65" s="23">
        <v>2345.6</v>
      </c>
      <c r="G65" s="23">
        <v>2290.4999999999995</v>
      </c>
      <c r="H65" s="23">
        <v>2438.8000000000006</v>
      </c>
      <c r="I65" s="23">
        <v>2703.9</v>
      </c>
      <c r="J65" s="23">
        <v>3281.7</v>
      </c>
      <c r="K65" s="23">
        <v>4414.7</v>
      </c>
      <c r="L65" s="23">
        <v>4543.1000000000004</v>
      </c>
      <c r="M65" s="23">
        <v>3375.1</v>
      </c>
      <c r="N65" s="23">
        <v>3730.0000000000005</v>
      </c>
      <c r="O65" s="23">
        <v>3774.3999999999987</v>
      </c>
      <c r="P65" s="23">
        <v>3599.3000000000006</v>
      </c>
      <c r="Q65" s="23">
        <v>3394.3999999999996</v>
      </c>
      <c r="R65" s="23">
        <v>3906.7000000000012</v>
      </c>
      <c r="S65" s="23">
        <v>4370.0999999999995</v>
      </c>
      <c r="T65" s="23">
        <v>4277.6000000000022</v>
      </c>
      <c r="U65" s="23">
        <v>4418.7999999999993</v>
      </c>
      <c r="V65" s="23">
        <v>4824.5999999999995</v>
      </c>
      <c r="W65" s="23">
        <v>5048.8999999999996</v>
      </c>
      <c r="X65" s="23">
        <v>4969.2</v>
      </c>
      <c r="Y65" s="23">
        <v>5555.2999999999993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767.2</v>
      </c>
      <c r="E66" s="23">
        <v>777.5</v>
      </c>
      <c r="F66" s="23">
        <v>760.4</v>
      </c>
      <c r="G66" s="23">
        <v>678</v>
      </c>
      <c r="H66" s="23">
        <v>1326.5</v>
      </c>
      <c r="I66" s="23">
        <v>1407.9</v>
      </c>
      <c r="J66" s="23">
        <v>2174.6</v>
      </c>
      <c r="K66" s="23">
        <v>2612.3000000000002</v>
      </c>
      <c r="L66" s="23">
        <v>1716.4</v>
      </c>
      <c r="M66" s="23">
        <v>1440.3</v>
      </c>
      <c r="N66" s="23">
        <v>1110.2</v>
      </c>
      <c r="O66" s="23">
        <v>1672.6</v>
      </c>
      <c r="P66" s="23">
        <v>1730.1</v>
      </c>
      <c r="Q66" s="23">
        <v>1684.3</v>
      </c>
      <c r="R66" s="23">
        <v>2055.3000000000002</v>
      </c>
      <c r="S66" s="23">
        <v>2232.6999999999998</v>
      </c>
      <c r="T66" s="23">
        <v>2321.1999999999994</v>
      </c>
      <c r="U66" s="23">
        <v>2248.9999999999995</v>
      </c>
      <c r="V66" s="23">
        <v>2337.4</v>
      </c>
      <c r="W66" s="23">
        <v>2197.3000000000002</v>
      </c>
      <c r="X66" s="23">
        <v>1872.4</v>
      </c>
      <c r="Y66" s="23">
        <v>3221.1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2352.9</v>
      </c>
      <c r="E67" s="23">
        <v>2430.5</v>
      </c>
      <c r="F67" s="23">
        <v>2356.5</v>
      </c>
      <c r="G67" s="23">
        <v>2461.4</v>
      </c>
      <c r="H67" s="23">
        <v>2766</v>
      </c>
      <c r="I67" s="23">
        <v>3272.7000000000012</v>
      </c>
      <c r="J67" s="23">
        <v>3945.7000000000007</v>
      </c>
      <c r="K67" s="23">
        <v>4528.2999999999993</v>
      </c>
      <c r="L67" s="23">
        <v>5846.8999999999987</v>
      </c>
      <c r="M67" s="23">
        <v>4709.3</v>
      </c>
      <c r="N67" s="23">
        <v>6093.6</v>
      </c>
      <c r="O67" s="23">
        <v>7013.4999999999991</v>
      </c>
      <c r="P67" s="23">
        <v>7212</v>
      </c>
      <c r="Q67" s="23">
        <v>6326.9</v>
      </c>
      <c r="R67" s="23">
        <v>7757.3000000000011</v>
      </c>
      <c r="S67" s="23">
        <v>8795.2000000000007</v>
      </c>
      <c r="T67" s="23">
        <v>9333.2999999999993</v>
      </c>
      <c r="U67" s="23">
        <v>9311.7000000000007</v>
      </c>
      <c r="V67" s="23">
        <v>9784.2000000000007</v>
      </c>
      <c r="W67" s="23">
        <v>11080.6</v>
      </c>
      <c r="X67" s="23">
        <v>11111.4</v>
      </c>
      <c r="Y67" s="23">
        <v>12889.9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869</v>
      </c>
      <c r="E68" s="23">
        <v>908.5</v>
      </c>
      <c r="F68" s="23">
        <v>883.8</v>
      </c>
      <c r="G68" s="23">
        <v>951</v>
      </c>
      <c r="H68" s="23">
        <v>944.2</v>
      </c>
      <c r="I68" s="23">
        <v>1124.8</v>
      </c>
      <c r="J68" s="23">
        <v>1324.2</v>
      </c>
      <c r="K68" s="23">
        <v>1253</v>
      </c>
      <c r="L68" s="23">
        <v>1658.6</v>
      </c>
      <c r="M68" s="23">
        <v>2034.8</v>
      </c>
      <c r="N68" s="23">
        <v>1841.7</v>
      </c>
      <c r="O68" s="23">
        <v>1673.5</v>
      </c>
      <c r="P68" s="23">
        <v>1701.2</v>
      </c>
      <c r="Q68" s="23">
        <v>1520.7</v>
      </c>
      <c r="R68" s="23">
        <v>1651.7</v>
      </c>
      <c r="S68" s="23">
        <v>1591</v>
      </c>
      <c r="T68" s="23">
        <v>1681.3</v>
      </c>
      <c r="U68" s="23">
        <v>1688.7</v>
      </c>
      <c r="V68" s="23">
        <v>2016.9</v>
      </c>
      <c r="W68" s="23">
        <v>2143.4999999999995</v>
      </c>
      <c r="X68" s="23">
        <v>2254.3000000000006</v>
      </c>
      <c r="Y68" s="23">
        <v>2531.8000000000006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1259.2</v>
      </c>
      <c r="E69" s="23">
        <v>1333.6</v>
      </c>
      <c r="F69" s="23">
        <v>1294.7</v>
      </c>
      <c r="G69" s="23">
        <v>1389.2</v>
      </c>
      <c r="H69" s="23">
        <v>1310.1999999999998</v>
      </c>
      <c r="I69" s="23">
        <v>1517.8</v>
      </c>
      <c r="J69" s="23">
        <v>1780.8</v>
      </c>
      <c r="K69" s="23">
        <v>1988.0000000000002</v>
      </c>
      <c r="L69" s="23">
        <v>2616.4</v>
      </c>
      <c r="M69" s="23">
        <v>2125.1999999999994</v>
      </c>
      <c r="N69" s="23">
        <v>2330.6</v>
      </c>
      <c r="O69" s="23">
        <v>2462.3000000000002</v>
      </c>
      <c r="P69" s="23">
        <v>2578.1999999999994</v>
      </c>
      <c r="Q69" s="23">
        <v>2366.4</v>
      </c>
      <c r="R69" s="23">
        <v>2739.3</v>
      </c>
      <c r="S69" s="23">
        <v>3166.8</v>
      </c>
      <c r="T69" s="23">
        <v>2894.9</v>
      </c>
      <c r="U69" s="23">
        <v>2837</v>
      </c>
      <c r="V69" s="23">
        <v>3199.3</v>
      </c>
      <c r="W69" s="23">
        <v>3104.1</v>
      </c>
      <c r="X69" s="23">
        <v>4276.6000000000004</v>
      </c>
      <c r="Y69" s="23">
        <v>5215.1000000000013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1586</v>
      </c>
      <c r="E70" s="23">
        <v>1684</v>
      </c>
      <c r="F70" s="23">
        <v>1633.5</v>
      </c>
      <c r="G70" s="23">
        <v>1562.6</v>
      </c>
      <c r="H70" s="23">
        <v>1699.7</v>
      </c>
      <c r="I70" s="23">
        <v>2149.9</v>
      </c>
      <c r="J70" s="23">
        <v>2486.5</v>
      </c>
      <c r="K70" s="23">
        <v>3124.2</v>
      </c>
      <c r="L70" s="23">
        <v>3608.4</v>
      </c>
      <c r="M70" s="23">
        <v>3377.4</v>
      </c>
      <c r="N70" s="23">
        <v>3430.5</v>
      </c>
      <c r="O70" s="23">
        <v>3338.8</v>
      </c>
      <c r="P70" s="23">
        <v>3384.2</v>
      </c>
      <c r="Q70" s="23">
        <v>2951.8</v>
      </c>
      <c r="R70" s="23">
        <v>3224.7</v>
      </c>
      <c r="S70" s="23">
        <v>3512.8</v>
      </c>
      <c r="T70" s="23">
        <v>3365.2</v>
      </c>
      <c r="U70" s="23">
        <v>3751.7</v>
      </c>
      <c r="V70" s="23">
        <v>4025.3</v>
      </c>
      <c r="W70" s="23">
        <v>4520.7</v>
      </c>
      <c r="X70" s="23">
        <v>4211.8</v>
      </c>
      <c r="Y70" s="23">
        <v>4756.3999999999987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1471.2</v>
      </c>
      <c r="E71" s="23">
        <v>1516.3</v>
      </c>
      <c r="F71" s="23">
        <v>1480.3</v>
      </c>
      <c r="G71" s="23">
        <v>2077.1999999999998</v>
      </c>
      <c r="H71" s="23">
        <v>2688.4</v>
      </c>
      <c r="I71" s="23">
        <v>3151.1</v>
      </c>
      <c r="J71" s="23">
        <v>3486.7</v>
      </c>
      <c r="K71" s="23">
        <v>3547.8</v>
      </c>
      <c r="L71" s="23">
        <v>4243</v>
      </c>
      <c r="M71" s="23">
        <v>3666.7</v>
      </c>
      <c r="N71" s="23">
        <v>4735.5</v>
      </c>
      <c r="O71" s="23">
        <v>4912.1000000000004</v>
      </c>
      <c r="P71" s="23">
        <v>4970.5</v>
      </c>
      <c r="Q71" s="23">
        <v>6071.9</v>
      </c>
      <c r="R71" s="23">
        <v>6203.7</v>
      </c>
      <c r="S71" s="23">
        <v>5972.1</v>
      </c>
      <c r="T71" s="23">
        <v>6850.2</v>
      </c>
      <c r="U71" s="23">
        <v>7460.2</v>
      </c>
      <c r="V71" s="23">
        <v>6495.4</v>
      </c>
      <c r="W71" s="23">
        <v>8156.4</v>
      </c>
      <c r="X71" s="23">
        <v>6826.5</v>
      </c>
      <c r="Y71" s="23">
        <v>7541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715.10000000000014</v>
      </c>
      <c r="E72" s="23">
        <v>766.89999999999975</v>
      </c>
      <c r="F72" s="23">
        <v>744.00000000000034</v>
      </c>
      <c r="G72" s="23">
        <v>625.50000000000034</v>
      </c>
      <c r="H72" s="23">
        <v>600.20000000000027</v>
      </c>
      <c r="I72" s="23">
        <v>733.3</v>
      </c>
      <c r="J72" s="23">
        <v>918.40000000000032</v>
      </c>
      <c r="K72" s="23">
        <v>878.59999999999957</v>
      </c>
      <c r="L72" s="23">
        <v>954.19999999999959</v>
      </c>
      <c r="M72" s="23">
        <v>959.90000000000055</v>
      </c>
      <c r="N72" s="23">
        <v>953.00000000000011</v>
      </c>
      <c r="O72" s="23">
        <v>1275.0999999999995</v>
      </c>
      <c r="P72" s="23">
        <v>1405.1000000000004</v>
      </c>
      <c r="Q72" s="23">
        <v>1508.6000000000004</v>
      </c>
      <c r="R72" s="23">
        <v>1819.4</v>
      </c>
      <c r="S72" s="23">
        <v>1597</v>
      </c>
      <c r="T72" s="23">
        <v>1522.1</v>
      </c>
      <c r="U72" s="23">
        <v>1737.799999999999</v>
      </c>
      <c r="V72" s="23">
        <v>1803.3000000000015</v>
      </c>
      <c r="W72" s="23">
        <v>1999</v>
      </c>
      <c r="X72" s="23">
        <v>1528.7000000000014</v>
      </c>
      <c r="Y72" s="23">
        <v>1845.3999999999994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1642.4</v>
      </c>
      <c r="E73" s="23">
        <v>1658.2</v>
      </c>
      <c r="F73" s="23">
        <v>1609.4</v>
      </c>
      <c r="G73" s="23">
        <v>1630.1</v>
      </c>
      <c r="H73" s="23">
        <v>1796.9</v>
      </c>
      <c r="I73" s="23">
        <v>2164.3000000000006</v>
      </c>
      <c r="J73" s="23">
        <v>2349.4</v>
      </c>
      <c r="K73" s="23">
        <v>2821.3</v>
      </c>
      <c r="L73" s="23">
        <v>3200.9</v>
      </c>
      <c r="M73" s="23">
        <v>3317.1</v>
      </c>
      <c r="N73" s="23">
        <v>3586</v>
      </c>
      <c r="O73" s="23">
        <v>3614.8</v>
      </c>
      <c r="P73" s="23">
        <v>3883.9</v>
      </c>
      <c r="Q73" s="23">
        <v>3467.8</v>
      </c>
      <c r="R73" s="23">
        <v>4396.3999999999996</v>
      </c>
      <c r="S73" s="23">
        <v>4699.8999999999996</v>
      </c>
      <c r="T73" s="23">
        <v>4955.5</v>
      </c>
      <c r="U73" s="23">
        <v>4807.3999999999996</v>
      </c>
      <c r="V73" s="23">
        <v>5264.6</v>
      </c>
      <c r="W73" s="23">
        <v>5654.1</v>
      </c>
      <c r="X73" s="23">
        <v>5610.4</v>
      </c>
      <c r="Y73" s="23">
        <v>6100.1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1541.0000000000032</v>
      </c>
      <c r="E74" s="23">
        <v>1560.8000000000131</v>
      </c>
      <c r="F74" s="23">
        <v>1510.9000000000096</v>
      </c>
      <c r="G74" s="23">
        <v>1389.4999999999918</v>
      </c>
      <c r="H74" s="23">
        <v>1328.5000000000039</v>
      </c>
      <c r="I74" s="23">
        <v>1752.900000000011</v>
      </c>
      <c r="J74" s="23">
        <v>1874.099999999976</v>
      </c>
      <c r="K74" s="23">
        <v>2468.1999999999102</v>
      </c>
      <c r="L74" s="23">
        <v>3254.3999999999946</v>
      </c>
      <c r="M74" s="23">
        <v>1757.0000000000009</v>
      </c>
      <c r="N74" s="23">
        <v>2496.3999999999169</v>
      </c>
      <c r="O74" s="23">
        <v>2818.8000000000047</v>
      </c>
      <c r="P74" s="23">
        <v>3844.0000000000091</v>
      </c>
      <c r="Q74" s="23">
        <v>3503.0999999999522</v>
      </c>
      <c r="R74" s="23">
        <v>3910.5000000000418</v>
      </c>
      <c r="S74" s="23">
        <v>4787.9999999999654</v>
      </c>
      <c r="T74" s="23">
        <v>4245.0999999999976</v>
      </c>
      <c r="U74" s="23">
        <v>4653.0999999999804</v>
      </c>
      <c r="V74" s="23">
        <v>4870.0000000000364</v>
      </c>
      <c r="W74" s="23">
        <v>4935.6000000000022</v>
      </c>
      <c r="X74" s="23">
        <v>4961.7999999999874</v>
      </c>
      <c r="Y74" s="23">
        <v>5159.2999999999874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29976.500000000011</v>
      </c>
      <c r="E75" s="30">
        <f t="shared" ref="E75:S75" si="6">SUM(E56:E74)</f>
        <v>30952.500000000011</v>
      </c>
      <c r="F75" s="30">
        <f t="shared" si="6"/>
        <v>30127.500000000011</v>
      </c>
      <c r="G75" s="30">
        <f t="shared" si="6"/>
        <v>29878.399999999991</v>
      </c>
      <c r="H75" s="30">
        <f t="shared" si="6"/>
        <v>33865.100000000013</v>
      </c>
      <c r="I75" s="30">
        <f t="shared" si="6"/>
        <v>39417.300000000025</v>
      </c>
      <c r="J75" s="30">
        <f t="shared" si="6"/>
        <v>44751.299999999981</v>
      </c>
      <c r="K75" s="30">
        <f t="shared" si="6"/>
        <v>51224.799999999908</v>
      </c>
      <c r="L75" s="30">
        <f t="shared" si="6"/>
        <v>58921.599999999999</v>
      </c>
      <c r="M75" s="30">
        <f t="shared" si="6"/>
        <v>51771.6</v>
      </c>
      <c r="N75" s="30">
        <f t="shared" si="6"/>
        <v>58683.699999999903</v>
      </c>
      <c r="O75" s="30">
        <f t="shared" si="6"/>
        <v>61620.700000000004</v>
      </c>
      <c r="P75" s="30">
        <f t="shared" si="6"/>
        <v>64512.799999999996</v>
      </c>
      <c r="Q75" s="30">
        <f t="shared" si="6"/>
        <v>61147.899999999965</v>
      </c>
      <c r="R75" s="30">
        <f t="shared" si="6"/>
        <v>69538.000000000044</v>
      </c>
      <c r="S75" s="30">
        <f t="shared" si="6"/>
        <v>76807.39999999998</v>
      </c>
      <c r="T75" s="30">
        <f t="shared" ref="T75:Y75" si="7">SUM(T56:T74)</f>
        <v>78511.900000000009</v>
      </c>
      <c r="U75" s="30">
        <f t="shared" si="7"/>
        <v>79605.099999999962</v>
      </c>
      <c r="V75" s="30">
        <f t="shared" si="7"/>
        <v>83602.100000000064</v>
      </c>
      <c r="W75" s="30">
        <f t="shared" si="7"/>
        <v>90126.3</v>
      </c>
      <c r="X75" s="30">
        <f t="shared" si="7"/>
        <v>86668.499999999985</v>
      </c>
      <c r="Y75" s="30">
        <f t="shared" si="7"/>
        <v>100055.4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253135.28534634676</v>
      </c>
      <c r="E2" s="19">
        <v>256321.62728520844</v>
      </c>
      <c r="F2" s="19">
        <v>261539.22591543698</v>
      </c>
      <c r="G2" s="19">
        <v>270689.26251862681</v>
      </c>
      <c r="H2" s="19">
        <v>284174.53643068863</v>
      </c>
      <c r="I2" s="19">
        <v>294141.23072144506</v>
      </c>
      <c r="J2" s="19">
        <v>312174.9761179093</v>
      </c>
      <c r="K2" s="19">
        <v>334218.94467813213</v>
      </c>
      <c r="L2" s="19">
        <v>348258.42482826865</v>
      </c>
      <c r="M2" s="19">
        <v>358120.61584339594</v>
      </c>
      <c r="N2" s="19">
        <v>368630.06385643594</v>
      </c>
      <c r="O2" s="19">
        <v>387218.50223883661</v>
      </c>
      <c r="P2" s="19">
        <v>393202.33030312305</v>
      </c>
      <c r="Q2" s="19">
        <v>396569.35126469174</v>
      </c>
      <c r="R2" s="19">
        <v>411786.311363291</v>
      </c>
      <c r="S2" s="19">
        <v>429834.6</v>
      </c>
      <c r="T2" s="19">
        <v>442529.40747455176</v>
      </c>
      <c r="U2" s="19">
        <v>465274.75601106818</v>
      </c>
      <c r="V2" s="19">
        <v>492936.05713664787</v>
      </c>
      <c r="W2" s="19">
        <v>514875.36741955433</v>
      </c>
      <c r="X2" s="19">
        <v>504470.11898712325</v>
      </c>
      <c r="Y2" s="19">
        <v>539456.78319060325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159704.05798266415</v>
      </c>
      <c r="E3" s="23">
        <v>162931.23059788148</v>
      </c>
      <c r="F3" s="23">
        <v>169239.20004833545</v>
      </c>
      <c r="G3" s="23">
        <v>171577.12970069071</v>
      </c>
      <c r="H3" s="23">
        <v>179015.52937370248</v>
      </c>
      <c r="I3" s="23">
        <v>182268.50819652894</v>
      </c>
      <c r="J3" s="23">
        <v>190885.99800723221</v>
      </c>
      <c r="K3" s="23">
        <v>201665.70936243539</v>
      </c>
      <c r="L3" s="23">
        <v>215132.96080905444</v>
      </c>
      <c r="M3" s="23">
        <v>222544.13421810442</v>
      </c>
      <c r="N3" s="23">
        <v>229042.04096298959</v>
      </c>
      <c r="O3" s="23">
        <v>234496.35302329814</v>
      </c>
      <c r="P3" s="23">
        <v>236535.02131559027</v>
      </c>
      <c r="Q3" s="23">
        <v>236372.67501519274</v>
      </c>
      <c r="R3" s="23">
        <v>243998.68510180499</v>
      </c>
      <c r="S3" s="23">
        <v>253236.3</v>
      </c>
      <c r="T3" s="23">
        <v>262600.12821455969</v>
      </c>
      <c r="U3" s="23">
        <v>278814.05932220456</v>
      </c>
      <c r="V3" s="23">
        <v>291695.85125296732</v>
      </c>
      <c r="W3" s="23">
        <v>301628.0414877556</v>
      </c>
      <c r="X3" s="23">
        <v>291262.47343733168</v>
      </c>
      <c r="Y3" s="23">
        <v>309041.16647899686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225203.40779390186</v>
      </c>
      <c r="E4" s="27">
        <v>228245.71773220747</v>
      </c>
      <c r="F4" s="27">
        <v>232702.4013829561</v>
      </c>
      <c r="G4" s="27">
        <v>240410.65026710689</v>
      </c>
      <c r="H4" s="27">
        <v>253166.97910157606</v>
      </c>
      <c r="I4" s="27">
        <v>261707.12531901253</v>
      </c>
      <c r="J4" s="27">
        <v>277691.60626067687</v>
      </c>
      <c r="K4" s="27">
        <v>297447.19896623987</v>
      </c>
      <c r="L4" s="27">
        <v>309230.94055331219</v>
      </c>
      <c r="M4" s="27">
        <v>318874.13316412095</v>
      </c>
      <c r="N4" s="27">
        <v>327889.81483405718</v>
      </c>
      <c r="O4" s="27">
        <v>344191.12294348882</v>
      </c>
      <c r="P4" s="27">
        <v>348903.34990893654</v>
      </c>
      <c r="Q4" s="27">
        <v>351641.54086732556</v>
      </c>
      <c r="R4" s="27">
        <v>364802.1734061857</v>
      </c>
      <c r="S4" s="27">
        <v>381297.5</v>
      </c>
      <c r="T4" s="27">
        <v>392040.42157211271</v>
      </c>
      <c r="U4" s="27">
        <v>411609.98691231251</v>
      </c>
      <c r="V4" s="27">
        <v>435999.52113968757</v>
      </c>
      <c r="W4" s="27">
        <v>454965.44148382894</v>
      </c>
      <c r="X4" s="27">
        <v>445639.36380945053</v>
      </c>
      <c r="Y4" s="27">
        <v>475201.1938035909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7933.5833469210284</v>
      </c>
      <c r="E6" s="19">
        <v>8352.7141133896257</v>
      </c>
      <c r="F6" s="19">
        <v>7189.6178080647387</v>
      </c>
      <c r="G6" s="19">
        <v>7120.7719884938579</v>
      </c>
      <c r="H6" s="19">
        <v>9424.2866069568845</v>
      </c>
      <c r="I6" s="19">
        <v>8692.7440521547705</v>
      </c>
      <c r="J6" s="19">
        <v>8529.4796620342586</v>
      </c>
      <c r="K6" s="19">
        <v>10379.298737118721</v>
      </c>
      <c r="L6" s="19">
        <v>9189.5922300012589</v>
      </c>
      <c r="M6" s="19">
        <v>9192.7661696052219</v>
      </c>
      <c r="N6" s="19">
        <v>10948.897524886219</v>
      </c>
      <c r="O6" s="19">
        <v>12534.682501715926</v>
      </c>
      <c r="P6" s="19">
        <v>11862.708985614014</v>
      </c>
      <c r="Q6" s="19">
        <v>12884.986866446583</v>
      </c>
      <c r="R6" s="19">
        <v>12330.836213975083</v>
      </c>
      <c r="S6" s="19">
        <v>10759.1</v>
      </c>
      <c r="T6" s="19">
        <v>11747.76771711173</v>
      </c>
      <c r="U6" s="19">
        <v>14115.977046209604</v>
      </c>
      <c r="V6" s="19">
        <v>12020.391468305434</v>
      </c>
      <c r="W6" s="19">
        <v>12265.599937784949</v>
      </c>
      <c r="X6" s="19">
        <v>12996.807508125468</v>
      </c>
      <c r="Y6" s="19">
        <v>12242.834809796768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54582.857764008921</v>
      </c>
      <c r="E7" s="23">
        <v>51934.62002412547</v>
      </c>
      <c r="F7" s="23">
        <v>53005.048290721432</v>
      </c>
      <c r="G7" s="23">
        <v>58497.683184310823</v>
      </c>
      <c r="H7" s="23">
        <v>64162.605012844549</v>
      </c>
      <c r="I7" s="23">
        <v>65450.367091210384</v>
      </c>
      <c r="J7" s="23">
        <v>69890.461240131088</v>
      </c>
      <c r="K7" s="23">
        <v>74474.161427283805</v>
      </c>
      <c r="L7" s="23">
        <v>76246.30818541866</v>
      </c>
      <c r="M7" s="23">
        <v>78774.871957576048</v>
      </c>
      <c r="N7" s="23">
        <v>83820.424364596023</v>
      </c>
      <c r="O7" s="23">
        <v>88200.565735560231</v>
      </c>
      <c r="P7" s="23">
        <v>91022.059876808489</v>
      </c>
      <c r="Q7" s="23">
        <v>87090.074713054812</v>
      </c>
      <c r="R7" s="23">
        <v>93977.110302391404</v>
      </c>
      <c r="S7" s="23">
        <v>100731.59999999998</v>
      </c>
      <c r="T7" s="23">
        <v>106041.17437945673</v>
      </c>
      <c r="U7" s="23">
        <v>104938.89056679752</v>
      </c>
      <c r="V7" s="23">
        <v>108668.36928111099</v>
      </c>
      <c r="W7" s="23">
        <v>112990.11363967764</v>
      </c>
      <c r="X7" s="23">
        <v>110148.95090101351</v>
      </c>
      <c r="Y7" s="23">
        <v>122857.54891278601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18475.052992010435</v>
      </c>
      <c r="E8" s="23">
        <v>18376.718938480095</v>
      </c>
      <c r="F8" s="23">
        <v>17261.270966691303</v>
      </c>
      <c r="G8" s="23">
        <v>16419.492426067365</v>
      </c>
      <c r="H8" s="23">
        <v>18171.908630146496</v>
      </c>
      <c r="I8" s="23">
        <v>19833.206333079332</v>
      </c>
      <c r="J8" s="23">
        <v>21243.478461609495</v>
      </c>
      <c r="K8" s="23">
        <v>23223.767794898526</v>
      </c>
      <c r="L8" s="23">
        <v>25357.948658358266</v>
      </c>
      <c r="M8" s="23">
        <v>27231.904092825094</v>
      </c>
      <c r="N8" s="23">
        <v>26898.730231301564</v>
      </c>
      <c r="O8" s="23">
        <v>31248.154079743756</v>
      </c>
      <c r="P8" s="23">
        <v>28428.489573740972</v>
      </c>
      <c r="Q8" s="23">
        <v>26965.99585041036</v>
      </c>
      <c r="R8" s="23">
        <v>29601.609780327835</v>
      </c>
      <c r="S8" s="23">
        <v>33012.1</v>
      </c>
      <c r="T8" s="23">
        <v>30596.286150436001</v>
      </c>
      <c r="U8" s="23">
        <v>30400.986610288935</v>
      </c>
      <c r="V8" s="23">
        <v>34491.210918015131</v>
      </c>
      <c r="W8" s="23">
        <v>35247.839485170458</v>
      </c>
      <c r="X8" s="23">
        <v>33276.631344116002</v>
      </c>
      <c r="Y8" s="23">
        <v>30622.57804727841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59219.794554051849</v>
      </c>
      <c r="E9" s="23">
        <v>60628.950542822677</v>
      </c>
      <c r="F9" s="23">
        <v>62261.083065051556</v>
      </c>
      <c r="G9" s="23">
        <v>61988.352155984758</v>
      </c>
      <c r="H9" s="23">
        <v>63857.251961396927</v>
      </c>
      <c r="I9" s="23">
        <v>66941.833883667758</v>
      </c>
      <c r="J9" s="23">
        <v>71916.062606768552</v>
      </c>
      <c r="K9" s="23">
        <v>75855.621070462919</v>
      </c>
      <c r="L9" s="23">
        <v>77838.460719092851</v>
      </c>
      <c r="M9" s="23">
        <v>81438.607623623262</v>
      </c>
      <c r="N9" s="23">
        <v>83216.712733016073</v>
      </c>
      <c r="O9" s="23">
        <v>85061.253353855107</v>
      </c>
      <c r="P9" s="23">
        <v>90053.103321259754</v>
      </c>
      <c r="Q9" s="23">
        <v>91571.324904692316</v>
      </c>
      <c r="R9" s="23">
        <v>88823.887193731178</v>
      </c>
      <c r="S9" s="23">
        <v>93428.9</v>
      </c>
      <c r="T9" s="23">
        <v>94925.242048472428</v>
      </c>
      <c r="U9" s="23">
        <v>103583.61018826136</v>
      </c>
      <c r="V9" s="23">
        <v>109357.22979309244</v>
      </c>
      <c r="W9" s="23">
        <v>112503.18366077244</v>
      </c>
      <c r="X9" s="23">
        <v>106068.1385464546</v>
      </c>
      <c r="Y9" s="23">
        <v>114183.52361551944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7917.2781129409204</v>
      </c>
      <c r="E10" s="23">
        <v>8950.5428226779241</v>
      </c>
      <c r="F10" s="23">
        <v>10300.266820328452</v>
      </c>
      <c r="G10" s="23">
        <v>10673.364413144209</v>
      </c>
      <c r="H10" s="23">
        <v>11932.930639450115</v>
      </c>
      <c r="I10" s="23">
        <v>11506.223012446024</v>
      </c>
      <c r="J10" s="23">
        <v>11697.793065238469</v>
      </c>
      <c r="K10" s="23">
        <v>12372.653136571436</v>
      </c>
      <c r="L10" s="23">
        <v>13232.238135355237</v>
      </c>
      <c r="M10" s="23">
        <v>13133.979966459685</v>
      </c>
      <c r="N10" s="23">
        <v>11758.5569109915</v>
      </c>
      <c r="O10" s="23">
        <v>11922.668940701762</v>
      </c>
      <c r="P10" s="23">
        <v>12739.783493973438</v>
      </c>
      <c r="Q10" s="23">
        <v>12841.855663781032</v>
      </c>
      <c r="R10" s="23">
        <v>13767.980779952761</v>
      </c>
      <c r="S10" s="23">
        <v>14864.8</v>
      </c>
      <c r="T10" s="23">
        <v>15636.54043202777</v>
      </c>
      <c r="U10" s="23">
        <v>16738.447598912717</v>
      </c>
      <c r="V10" s="23">
        <v>18422.654083281788</v>
      </c>
      <c r="W10" s="23">
        <v>19195.384420962582</v>
      </c>
      <c r="X10" s="23">
        <v>20340.596572879203</v>
      </c>
      <c r="Y10" s="23">
        <v>23265.905537922212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10538.752106092721</v>
      </c>
      <c r="E11" s="23">
        <v>9416.0434258142341</v>
      </c>
      <c r="F11" s="23">
        <v>8718.5108168710631</v>
      </c>
      <c r="G11" s="23">
        <v>9001.4311827804631</v>
      </c>
      <c r="H11" s="23">
        <v>9641.1858640560986</v>
      </c>
      <c r="I11" s="23">
        <v>10479.214291761917</v>
      </c>
      <c r="J11" s="23">
        <v>10696.361789556306</v>
      </c>
      <c r="K11" s="23">
        <v>13305.969095785691</v>
      </c>
      <c r="L11" s="23">
        <v>13105.675468920972</v>
      </c>
      <c r="M11" s="23">
        <v>12751.892308389612</v>
      </c>
      <c r="N11" s="23">
        <v>13855.649535526507</v>
      </c>
      <c r="O11" s="23">
        <v>14654.94290646644</v>
      </c>
      <c r="P11" s="23">
        <v>13570.098430433627</v>
      </c>
      <c r="Q11" s="23">
        <v>14736.766795106347</v>
      </c>
      <c r="R11" s="23">
        <v>16098.107393027663</v>
      </c>
      <c r="S11" s="23">
        <v>15145.7</v>
      </c>
      <c r="T11" s="23">
        <v>16101.60808013216</v>
      </c>
      <c r="U11" s="23">
        <v>17911.20507399577</v>
      </c>
      <c r="V11" s="23">
        <v>18841.6568566811</v>
      </c>
      <c r="W11" s="23">
        <v>19635.167057130915</v>
      </c>
      <c r="X11" s="23">
        <v>18776.467873146528</v>
      </c>
      <c r="Y11" s="23">
        <v>18404.282533516511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14250.502744714386</v>
      </c>
      <c r="E12" s="23">
        <v>14240.651387213509</v>
      </c>
      <c r="F12" s="23">
        <v>15135.47708226334</v>
      </c>
      <c r="G12" s="23">
        <v>15790.480508990946</v>
      </c>
      <c r="H12" s="23">
        <v>15385.683538151774</v>
      </c>
      <c r="I12" s="23">
        <v>15807.419233886085</v>
      </c>
      <c r="J12" s="23">
        <v>16769.125998430216</v>
      </c>
      <c r="K12" s="23">
        <v>17042.92493294676</v>
      </c>
      <c r="L12" s="23">
        <v>17401.543541624302</v>
      </c>
      <c r="M12" s="23">
        <v>16503.195395005212</v>
      </c>
      <c r="N12" s="23">
        <v>17032.253371848958</v>
      </c>
      <c r="O12" s="23">
        <v>17807.150731088415</v>
      </c>
      <c r="P12" s="23">
        <v>18226.001186895042</v>
      </c>
      <c r="Q12" s="23">
        <v>17807.463128954121</v>
      </c>
      <c r="R12" s="23">
        <v>18518.860178211198</v>
      </c>
      <c r="S12" s="23">
        <v>18657.099999999999</v>
      </c>
      <c r="T12" s="23">
        <v>20176.073273248156</v>
      </c>
      <c r="U12" s="23">
        <v>20276.049531863486</v>
      </c>
      <c r="V12" s="23">
        <v>21034.737325166105</v>
      </c>
      <c r="W12" s="23">
        <v>25698.898599189259</v>
      </c>
      <c r="X12" s="23">
        <v>25738.119506894629</v>
      </c>
      <c r="Y12" s="23">
        <v>26268.605807949214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14714.522528398282</v>
      </c>
      <c r="E13" s="23">
        <v>15445.958986731001</v>
      </c>
      <c r="F13" s="23">
        <v>15166.292951183155</v>
      </c>
      <c r="G13" s="23">
        <v>15619.163679131656</v>
      </c>
      <c r="H13" s="23">
        <v>15778.934944108865</v>
      </c>
      <c r="I13" s="23">
        <v>16799.593599187196</v>
      </c>
      <c r="J13" s="23">
        <v>18302.668636594488</v>
      </c>
      <c r="K13" s="23">
        <v>20146.051188498335</v>
      </c>
      <c r="L13" s="23">
        <v>22038.07531785918</v>
      </c>
      <c r="M13" s="23">
        <v>22963.218963876174</v>
      </c>
      <c r="N13" s="23">
        <v>23213.387643134727</v>
      </c>
      <c r="O13" s="23">
        <v>23979.284094927098</v>
      </c>
      <c r="P13" s="23">
        <v>25476.088157652404</v>
      </c>
      <c r="Q13" s="23">
        <v>27198.822579491218</v>
      </c>
      <c r="R13" s="23">
        <v>28740.559773738682</v>
      </c>
      <c r="S13" s="23">
        <v>31711.7</v>
      </c>
      <c r="T13" s="23">
        <v>32089.667719202862</v>
      </c>
      <c r="U13" s="23">
        <v>36177.992550085575</v>
      </c>
      <c r="V13" s="23">
        <v>39560.446138191102</v>
      </c>
      <c r="W13" s="23">
        <v>41540.405758780587</v>
      </c>
      <c r="X13" s="23">
        <v>40711.387195415118</v>
      </c>
      <c r="Y13" s="23">
        <v>42319.579326353691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32664.411109299417</v>
      </c>
      <c r="E14" s="23">
        <v>35774.306393244871</v>
      </c>
      <c r="F14" s="23">
        <v>38082.401132420549</v>
      </c>
      <c r="G14" s="23">
        <v>39603.944963228525</v>
      </c>
      <c r="H14" s="23">
        <v>39479.691730889397</v>
      </c>
      <c r="I14" s="23">
        <v>40187.960375920746</v>
      </c>
      <c r="J14" s="23">
        <v>42420.587284731526</v>
      </c>
      <c r="K14" s="23">
        <v>44184.882344637379</v>
      </c>
      <c r="L14" s="23">
        <v>47552.895835148978</v>
      </c>
      <c r="M14" s="23">
        <v>49446.811403707565</v>
      </c>
      <c r="N14" s="23">
        <v>51332.841497121721</v>
      </c>
      <c r="O14" s="23">
        <v>52884.107406560033</v>
      </c>
      <c r="P14" s="23">
        <v>50960.464116888703</v>
      </c>
      <c r="Q14" s="23">
        <v>53809.241524514269</v>
      </c>
      <c r="R14" s="23">
        <v>55944.123997688723</v>
      </c>
      <c r="S14" s="23">
        <v>55733.1</v>
      </c>
      <c r="T14" s="23">
        <v>57408.356161518997</v>
      </c>
      <c r="U14" s="23">
        <v>59778.214034027988</v>
      </c>
      <c r="V14" s="23">
        <v>65110.33739699515</v>
      </c>
      <c r="W14" s="23">
        <v>67545.324636187768</v>
      </c>
      <c r="X14" s="23">
        <v>69140.431178721847</v>
      </c>
      <c r="Y14" s="23">
        <v>76094.083092519781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4906.6525354638834</v>
      </c>
      <c r="E15" s="23">
        <v>5125.211097708082</v>
      </c>
      <c r="F15" s="23">
        <v>5582.4324493605081</v>
      </c>
      <c r="G15" s="23">
        <v>5695.9657649742812</v>
      </c>
      <c r="H15" s="23">
        <v>5332.5001735749493</v>
      </c>
      <c r="I15" s="23">
        <v>6008.5634456983198</v>
      </c>
      <c r="J15" s="23">
        <v>6225.5875155824369</v>
      </c>
      <c r="K15" s="23">
        <v>6461.8692380362909</v>
      </c>
      <c r="L15" s="23">
        <v>7268.2024615325017</v>
      </c>
      <c r="M15" s="23">
        <v>7436.8852830530759</v>
      </c>
      <c r="N15" s="23">
        <v>5812.3610216338657</v>
      </c>
      <c r="O15" s="23">
        <v>5898.3131928700677</v>
      </c>
      <c r="P15" s="23">
        <v>6564.5527656700842</v>
      </c>
      <c r="Q15" s="23">
        <v>6735.0088408744805</v>
      </c>
      <c r="R15" s="23">
        <v>6999.0977931411999</v>
      </c>
      <c r="S15" s="23">
        <v>7253.4</v>
      </c>
      <c r="T15" s="23">
        <v>7317.7056105058455</v>
      </c>
      <c r="U15" s="23">
        <v>7688.613711869526</v>
      </c>
      <c r="V15" s="23">
        <v>8492.487878848342</v>
      </c>
      <c r="W15" s="23">
        <v>8343.5242881723352</v>
      </c>
      <c r="X15" s="23">
        <v>8441.8331826836165</v>
      </c>
      <c r="Y15" s="23">
        <v>8942.2521199488365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225203.40779390186</v>
      </c>
      <c r="E16" s="30">
        <f t="shared" ref="E16:S16" si="0">SUM(E6:E15)</f>
        <v>228245.7177322075</v>
      </c>
      <c r="F16" s="30">
        <f t="shared" si="0"/>
        <v>232702.40138295607</v>
      </c>
      <c r="G16" s="30">
        <f t="shared" si="0"/>
        <v>240410.65026710686</v>
      </c>
      <c r="H16" s="30">
        <f t="shared" si="0"/>
        <v>253166.97910157609</v>
      </c>
      <c r="I16" s="30">
        <f t="shared" si="0"/>
        <v>261707.12531901253</v>
      </c>
      <c r="J16" s="30">
        <f t="shared" si="0"/>
        <v>277691.60626067687</v>
      </c>
      <c r="K16" s="30">
        <f t="shared" si="0"/>
        <v>297447.19896623981</v>
      </c>
      <c r="L16" s="30">
        <f t="shared" si="0"/>
        <v>309230.94055331219</v>
      </c>
      <c r="M16" s="30">
        <f t="shared" si="0"/>
        <v>318874.13316412095</v>
      </c>
      <c r="N16" s="30">
        <f t="shared" si="0"/>
        <v>327889.81483405718</v>
      </c>
      <c r="O16" s="30">
        <f t="shared" si="0"/>
        <v>344191.12294348882</v>
      </c>
      <c r="P16" s="30">
        <f t="shared" si="0"/>
        <v>348903.34990893654</v>
      </c>
      <c r="Q16" s="30">
        <f t="shared" si="0"/>
        <v>351641.54086732556</v>
      </c>
      <c r="R16" s="30">
        <f t="shared" si="0"/>
        <v>364802.1734061857</v>
      </c>
      <c r="S16" s="30">
        <f t="shared" si="0"/>
        <v>381297.49999999994</v>
      </c>
      <c r="T16" s="30">
        <f t="shared" ref="T16:Y16" si="1">SUM(T6:T15)</f>
        <v>392040.42157211265</v>
      </c>
      <c r="U16" s="30">
        <f t="shared" si="1"/>
        <v>411609.98691231245</v>
      </c>
      <c r="V16" s="30">
        <f t="shared" si="1"/>
        <v>435999.52113968763</v>
      </c>
      <c r="W16" s="30">
        <f t="shared" si="1"/>
        <v>454965.44148382888</v>
      </c>
      <c r="X16" s="30">
        <f t="shared" si="1"/>
        <v>445639.36380945041</v>
      </c>
      <c r="Y16" s="30">
        <f t="shared" si="1"/>
        <v>475201.1938035909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7933.5833469210284</v>
      </c>
      <c r="E18" s="19">
        <v>8352.7141133896257</v>
      </c>
      <c r="F18" s="19">
        <v>7189.6178080647387</v>
      </c>
      <c r="G18" s="19">
        <v>7120.7719884938579</v>
      </c>
      <c r="H18" s="19">
        <v>9424.2866069568845</v>
      </c>
      <c r="I18" s="19">
        <v>8692.7440521547705</v>
      </c>
      <c r="J18" s="19">
        <v>8529.4796620342586</v>
      </c>
      <c r="K18" s="19">
        <v>10379.298737118721</v>
      </c>
      <c r="L18" s="19">
        <v>9189.5922300012589</v>
      </c>
      <c r="M18" s="19">
        <v>9192.7661696052219</v>
      </c>
      <c r="N18" s="19">
        <v>10948.897524886219</v>
      </c>
      <c r="O18" s="19">
        <v>12534.682501715926</v>
      </c>
      <c r="P18" s="19">
        <v>11862.708985614014</v>
      </c>
      <c r="Q18" s="19">
        <v>12884.986866446583</v>
      </c>
      <c r="R18" s="19">
        <v>12330.836213975083</v>
      </c>
      <c r="S18" s="19">
        <v>10759.1</v>
      </c>
      <c r="T18" s="19">
        <v>11747.76771711173</v>
      </c>
      <c r="U18" s="19">
        <v>14115.977046209604</v>
      </c>
      <c r="V18" s="19">
        <v>12020.391468305434</v>
      </c>
      <c r="W18" s="19">
        <v>12265.599937784949</v>
      </c>
      <c r="X18" s="19">
        <v>12996.807508125468</v>
      </c>
      <c r="Y18" s="19">
        <v>12242.834809796768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5538.208598293385</v>
      </c>
      <c r="E19" s="23">
        <v>5276.3570566948138</v>
      </c>
      <c r="F19" s="23">
        <v>5130.3411041100353</v>
      </c>
      <c r="G19" s="23">
        <v>5116.8326933159515</v>
      </c>
      <c r="H19" s="23">
        <v>6509.1994723321541</v>
      </c>
      <c r="I19" s="23">
        <v>6738.8753825126696</v>
      </c>
      <c r="J19" s="23">
        <v>6785.2855625836837</v>
      </c>
      <c r="K19" s="23">
        <v>6816.3012672248105</v>
      </c>
      <c r="L19" s="23">
        <v>7518.2290910147285</v>
      </c>
      <c r="M19" s="23">
        <v>6869.5327018084581</v>
      </c>
      <c r="N19" s="23">
        <v>8159.1471144454372</v>
      </c>
      <c r="O19" s="23">
        <v>9450.0717569001026</v>
      </c>
      <c r="P19" s="23">
        <v>8974.8705670493382</v>
      </c>
      <c r="Q19" s="23">
        <v>7825.8603244038804</v>
      </c>
      <c r="R19" s="23">
        <v>6770.9104179549295</v>
      </c>
      <c r="S19" s="23">
        <v>6681.5</v>
      </c>
      <c r="T19" s="23">
        <v>6520.8799481399392</v>
      </c>
      <c r="U19" s="23">
        <v>7646.7331118493912</v>
      </c>
      <c r="V19" s="23">
        <v>7605.4989125880402</v>
      </c>
      <c r="W19" s="23">
        <v>7456.8626116711548</v>
      </c>
      <c r="X19" s="23">
        <v>6640.4792584187553</v>
      </c>
      <c r="Y19" s="23">
        <v>7618.3618361836179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40731.153867057998</v>
      </c>
      <c r="E20" s="23">
        <v>37337.15319662245</v>
      </c>
      <c r="F20" s="23">
        <v>37740.044344786998</v>
      </c>
      <c r="G20" s="23">
        <v>42338.070878972932</v>
      </c>
      <c r="H20" s="23">
        <v>47025.064222731373</v>
      </c>
      <c r="I20" s="23">
        <v>47676.258209659289</v>
      </c>
      <c r="J20" s="23">
        <v>51654.393092940547</v>
      </c>
      <c r="K20" s="23">
        <v>55624.110933750228</v>
      </c>
      <c r="L20" s="23">
        <v>57056.425451974937</v>
      </c>
      <c r="M20" s="23">
        <v>58663.373068032459</v>
      </c>
      <c r="N20" s="23">
        <v>60977.680334171448</v>
      </c>
      <c r="O20" s="23">
        <v>64082.759624784216</v>
      </c>
      <c r="P20" s="23">
        <v>66008.55382978289</v>
      </c>
      <c r="Q20" s="23">
        <v>62497.214869022137</v>
      </c>
      <c r="R20" s="23">
        <v>70491.753423824397</v>
      </c>
      <c r="S20" s="23">
        <v>76807.39999999998</v>
      </c>
      <c r="T20" s="23">
        <v>82089.354049476184</v>
      </c>
      <c r="U20" s="23">
        <v>80142.051746702884</v>
      </c>
      <c r="V20" s="23">
        <v>83403.599433348674</v>
      </c>
      <c r="W20" s="23">
        <v>87612.691870242736</v>
      </c>
      <c r="X20" s="23">
        <v>83339.90422524375</v>
      </c>
      <c r="Y20" s="23">
        <v>94798.806196409118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5926.6807978694487</v>
      </c>
      <c r="E21" s="23">
        <v>6872.8588661037393</v>
      </c>
      <c r="F21" s="23">
        <v>7464.9563441856972</v>
      </c>
      <c r="G21" s="23">
        <v>8228.4507800654665</v>
      </c>
      <c r="H21" s="23">
        <v>7811.4281746858296</v>
      </c>
      <c r="I21" s="23">
        <v>8079.7561595123179</v>
      </c>
      <c r="J21" s="23">
        <v>8474.6525693707008</v>
      </c>
      <c r="K21" s="23">
        <v>8846.1413167410501</v>
      </c>
      <c r="L21" s="23">
        <v>8116.5693480134405</v>
      </c>
      <c r="M21" s="23">
        <v>9524.9966006436116</v>
      </c>
      <c r="N21" s="23">
        <v>10632.806168041729</v>
      </c>
      <c r="O21" s="23">
        <v>10626.676927556729</v>
      </c>
      <c r="P21" s="23">
        <v>11919.700411320524</v>
      </c>
      <c r="Q21" s="23">
        <v>12528.694514569557</v>
      </c>
      <c r="R21" s="23">
        <v>12216.793212160532</v>
      </c>
      <c r="S21" s="23">
        <v>12484.4</v>
      </c>
      <c r="T21" s="23">
        <v>12343.531084669916</v>
      </c>
      <c r="U21" s="23">
        <v>11869.727172052753</v>
      </c>
      <c r="V21" s="23">
        <v>12040.343981324448</v>
      </c>
      <c r="W21" s="23">
        <v>12164.986536274291</v>
      </c>
      <c r="X21" s="23">
        <v>13957.728330480604</v>
      </c>
      <c r="Y21" s="23">
        <v>13944.383912075418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2386.8145007880862</v>
      </c>
      <c r="E22" s="23">
        <v>2448.2509047044632</v>
      </c>
      <c r="F22" s="23">
        <v>2669.7064976387028</v>
      </c>
      <c r="G22" s="23">
        <v>2814.3288319564695</v>
      </c>
      <c r="H22" s="23">
        <v>2816.9131430951884</v>
      </c>
      <c r="I22" s="23">
        <v>2955.4773395261072</v>
      </c>
      <c r="J22" s="23">
        <v>2976.1300152361605</v>
      </c>
      <c r="K22" s="23">
        <v>3187.6079095677105</v>
      </c>
      <c r="L22" s="23">
        <v>3555.0842944155552</v>
      </c>
      <c r="M22" s="23">
        <v>3716.9695870915107</v>
      </c>
      <c r="N22" s="23">
        <v>4050.7907479374053</v>
      </c>
      <c r="O22" s="23">
        <v>4041.0574263191829</v>
      </c>
      <c r="P22" s="23">
        <v>4118.9350686557391</v>
      </c>
      <c r="Q22" s="23">
        <v>4238.3050050592292</v>
      </c>
      <c r="R22" s="23">
        <v>4497.6532484515492</v>
      </c>
      <c r="S22" s="23">
        <v>4758.3</v>
      </c>
      <c r="T22" s="23">
        <v>5087.4092971706996</v>
      </c>
      <c r="U22" s="23">
        <v>5280.3785361924902</v>
      </c>
      <c r="V22" s="23">
        <v>5618.9269538498374</v>
      </c>
      <c r="W22" s="23">
        <v>5755.5726214894676</v>
      </c>
      <c r="X22" s="23">
        <v>6210.8390868703964</v>
      </c>
      <c r="Y22" s="23">
        <v>6495.9969681178645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18475.052992010435</v>
      </c>
      <c r="E23" s="23">
        <v>18376.718938480095</v>
      </c>
      <c r="F23" s="23">
        <v>17261.270966691303</v>
      </c>
      <c r="G23" s="23">
        <v>16419.492426067365</v>
      </c>
      <c r="H23" s="23">
        <v>18171.908630146496</v>
      </c>
      <c r="I23" s="23">
        <v>19833.206333079332</v>
      </c>
      <c r="J23" s="23">
        <v>21243.478461609495</v>
      </c>
      <c r="K23" s="23">
        <v>23223.767794898526</v>
      </c>
      <c r="L23" s="23">
        <v>25357.948658358266</v>
      </c>
      <c r="M23" s="23">
        <v>27231.904092825094</v>
      </c>
      <c r="N23" s="23">
        <v>26898.730231301564</v>
      </c>
      <c r="O23" s="23">
        <v>31248.154079743756</v>
      </c>
      <c r="P23" s="23">
        <v>28428.489573740972</v>
      </c>
      <c r="Q23" s="23">
        <v>26965.99585041036</v>
      </c>
      <c r="R23" s="23">
        <v>29601.609780327835</v>
      </c>
      <c r="S23" s="23">
        <v>33012.1</v>
      </c>
      <c r="T23" s="23">
        <v>30596.286150436001</v>
      </c>
      <c r="U23" s="23">
        <v>30400.986610288935</v>
      </c>
      <c r="V23" s="23">
        <v>34491.210918015131</v>
      </c>
      <c r="W23" s="23">
        <v>35247.839485170458</v>
      </c>
      <c r="X23" s="23">
        <v>33276.631344116002</v>
      </c>
      <c r="Y23" s="23">
        <v>30622.57804727841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44711.261481602261</v>
      </c>
      <c r="E24" s="23">
        <v>46103.860072376359</v>
      </c>
      <c r="F24" s="23">
        <v>47092.159490911828</v>
      </c>
      <c r="G24" s="23">
        <v>45810.460387411265</v>
      </c>
      <c r="H24" s="23">
        <v>46969.936818718314</v>
      </c>
      <c r="I24" s="23">
        <v>48957.14648572154</v>
      </c>
      <c r="J24" s="23">
        <v>52062.075811440976</v>
      </c>
      <c r="K24" s="23">
        <v>54899.610168203202</v>
      </c>
      <c r="L24" s="23">
        <v>56427.098161113201</v>
      </c>
      <c r="M24" s="23">
        <v>59945.043738385531</v>
      </c>
      <c r="N24" s="23">
        <v>59596.72894282925</v>
      </c>
      <c r="O24" s="23">
        <v>60995.65298779092</v>
      </c>
      <c r="P24" s="23">
        <v>63898.233982032863</v>
      </c>
      <c r="Q24" s="23">
        <v>64945.677170102514</v>
      </c>
      <c r="R24" s="23">
        <v>59786.106014374483</v>
      </c>
      <c r="S24" s="23">
        <v>62777.099999999991</v>
      </c>
      <c r="T24" s="23">
        <v>63352.815708579903</v>
      </c>
      <c r="U24" s="23">
        <v>68300.010067451934</v>
      </c>
      <c r="V24" s="23">
        <v>71096.490352959954</v>
      </c>
      <c r="W24" s="23">
        <v>73067.785241423553</v>
      </c>
      <c r="X24" s="23">
        <v>71148.816277862177</v>
      </c>
      <c r="Y24" s="23">
        <v>77439.291297550808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11760.557639002118</v>
      </c>
      <c r="E25" s="23">
        <v>11782.509047044632</v>
      </c>
      <c r="F25" s="23">
        <v>12517.380901677336</v>
      </c>
      <c r="G25" s="23">
        <v>13490.527270408526</v>
      </c>
      <c r="H25" s="23">
        <v>14344.650420051377</v>
      </c>
      <c r="I25" s="23">
        <v>15102.386395248979</v>
      </c>
      <c r="J25" s="23">
        <v>16961.424811856505</v>
      </c>
      <c r="K25" s="23">
        <v>17813.141349317524</v>
      </c>
      <c r="L25" s="23">
        <v>18090.036700268232</v>
      </c>
      <c r="M25" s="23">
        <v>18076.644155373251</v>
      </c>
      <c r="N25" s="23">
        <v>20081.049065857558</v>
      </c>
      <c r="O25" s="23">
        <v>20200.711329270573</v>
      </c>
      <c r="P25" s="23">
        <v>22209.773466756709</v>
      </c>
      <c r="Q25" s="23">
        <v>22812.522357702805</v>
      </c>
      <c r="R25" s="23">
        <v>24254.462882804342</v>
      </c>
      <c r="S25" s="23">
        <v>25796.5</v>
      </c>
      <c r="T25" s="23">
        <v>26619.895025198137</v>
      </c>
      <c r="U25" s="23">
        <v>29157.253599114065</v>
      </c>
      <c r="V25" s="23">
        <v>32106.885612242862</v>
      </c>
      <c r="W25" s="23">
        <v>32659.88781848759</v>
      </c>
      <c r="X25" s="23">
        <v>29864.415254726235</v>
      </c>
      <c r="Y25" s="23">
        <v>30393.481453408498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2747.9754334474696</v>
      </c>
      <c r="E26" s="23">
        <v>2742.5814234016884</v>
      </c>
      <c r="F26" s="23">
        <v>2651.5426724623881</v>
      </c>
      <c r="G26" s="23">
        <v>2687.3644981649686</v>
      </c>
      <c r="H26" s="23">
        <v>2542.6647226272303</v>
      </c>
      <c r="I26" s="23">
        <v>2882.3010026972433</v>
      </c>
      <c r="J26" s="23">
        <v>2892.5619834710747</v>
      </c>
      <c r="K26" s="23">
        <v>3142.8695529421989</v>
      </c>
      <c r="L26" s="23">
        <v>3321.3258577114138</v>
      </c>
      <c r="M26" s="23">
        <v>3416.919729864479</v>
      </c>
      <c r="N26" s="23">
        <v>3538.9347243292668</v>
      </c>
      <c r="O26" s="23">
        <v>3864.8890367936106</v>
      </c>
      <c r="P26" s="23">
        <v>3945.0958724701745</v>
      </c>
      <c r="Q26" s="23">
        <v>3813.1253768869901</v>
      </c>
      <c r="R26" s="23">
        <v>4783.3182965523538</v>
      </c>
      <c r="S26" s="23">
        <v>4855.3</v>
      </c>
      <c r="T26" s="23">
        <v>4952.5313146943818</v>
      </c>
      <c r="U26" s="23">
        <v>6126.3465216953591</v>
      </c>
      <c r="V26" s="23">
        <v>6153.8538278896231</v>
      </c>
      <c r="W26" s="23">
        <v>6775.5106008612893</v>
      </c>
      <c r="X26" s="23">
        <v>5054.9070138661846</v>
      </c>
      <c r="Y26" s="23">
        <v>6350.7508645601401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7917.2781129409204</v>
      </c>
      <c r="E27" s="23">
        <v>8950.5428226779241</v>
      </c>
      <c r="F27" s="23">
        <v>10300.266820328452</v>
      </c>
      <c r="G27" s="23">
        <v>10673.364413144209</v>
      </c>
      <c r="H27" s="23">
        <v>11932.930639450115</v>
      </c>
      <c r="I27" s="23">
        <v>11506.223012446024</v>
      </c>
      <c r="J27" s="23">
        <v>11697.793065238469</v>
      </c>
      <c r="K27" s="23">
        <v>12372.653136571436</v>
      </c>
      <c r="L27" s="23">
        <v>13232.238135355237</v>
      </c>
      <c r="M27" s="23">
        <v>13133.979966459685</v>
      </c>
      <c r="N27" s="23">
        <v>11758.5569109915</v>
      </c>
      <c r="O27" s="23">
        <v>11922.668940701762</v>
      </c>
      <c r="P27" s="23">
        <v>12739.783493973438</v>
      </c>
      <c r="Q27" s="23">
        <v>12841.855663781032</v>
      </c>
      <c r="R27" s="23">
        <v>13767.980779952761</v>
      </c>
      <c r="S27" s="23">
        <v>14864.8</v>
      </c>
      <c r="T27" s="23">
        <v>15636.54043202777</v>
      </c>
      <c r="U27" s="23">
        <v>16738.447598912717</v>
      </c>
      <c r="V27" s="23">
        <v>18422.654083281788</v>
      </c>
      <c r="W27" s="23">
        <v>19195.384420962582</v>
      </c>
      <c r="X27" s="23">
        <v>20340.596572879203</v>
      </c>
      <c r="Y27" s="23">
        <v>23265.905537922212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10538.752106092721</v>
      </c>
      <c r="E28" s="23">
        <v>9416.0434258142341</v>
      </c>
      <c r="F28" s="23">
        <v>8718.5108168710631</v>
      </c>
      <c r="G28" s="23">
        <v>9001.4311827804631</v>
      </c>
      <c r="H28" s="23">
        <v>9641.1858640560986</v>
      </c>
      <c r="I28" s="23">
        <v>10479.214291761917</v>
      </c>
      <c r="J28" s="23">
        <v>10696.361789556306</v>
      </c>
      <c r="K28" s="23">
        <v>13305.969095785691</v>
      </c>
      <c r="L28" s="23">
        <v>13105.675468920972</v>
      </c>
      <c r="M28" s="23">
        <v>12751.892308389612</v>
      </c>
      <c r="N28" s="23">
        <v>13855.649535526507</v>
      </c>
      <c r="O28" s="23">
        <v>14654.94290646644</v>
      </c>
      <c r="P28" s="23">
        <v>13570.098430433627</v>
      </c>
      <c r="Q28" s="23">
        <v>14736.766795106347</v>
      </c>
      <c r="R28" s="23">
        <v>16098.107393027663</v>
      </c>
      <c r="S28" s="23">
        <v>15145.7</v>
      </c>
      <c r="T28" s="23">
        <v>16101.60808013216</v>
      </c>
      <c r="U28" s="23">
        <v>17911.20507399577</v>
      </c>
      <c r="V28" s="23">
        <v>18841.6568566811</v>
      </c>
      <c r="W28" s="23">
        <v>19635.167057130915</v>
      </c>
      <c r="X28" s="23">
        <v>18776.467873146528</v>
      </c>
      <c r="Y28" s="23">
        <v>18404.282533516511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14250.502744714386</v>
      </c>
      <c r="E29" s="23">
        <v>14240.651387213509</v>
      </c>
      <c r="F29" s="23">
        <v>15135.47708226334</v>
      </c>
      <c r="G29" s="23">
        <v>15790.480508990946</v>
      </c>
      <c r="H29" s="23">
        <v>15385.683538151774</v>
      </c>
      <c r="I29" s="23">
        <v>15807.419233886085</v>
      </c>
      <c r="J29" s="23">
        <v>16769.125998430216</v>
      </c>
      <c r="K29" s="23">
        <v>17042.92493294676</v>
      </c>
      <c r="L29" s="23">
        <v>17401.543541624302</v>
      </c>
      <c r="M29" s="23">
        <v>16503.195395005212</v>
      </c>
      <c r="N29" s="23">
        <v>17032.253371848958</v>
      </c>
      <c r="O29" s="23">
        <v>17807.150731088415</v>
      </c>
      <c r="P29" s="23">
        <v>18226.001186895042</v>
      </c>
      <c r="Q29" s="23">
        <v>17807.463128954121</v>
      </c>
      <c r="R29" s="23">
        <v>18518.860178211198</v>
      </c>
      <c r="S29" s="23">
        <v>18657.099999999999</v>
      </c>
      <c r="T29" s="23">
        <v>20176.073273248156</v>
      </c>
      <c r="U29" s="23">
        <v>20276.049531863486</v>
      </c>
      <c r="V29" s="23">
        <v>21034.737325166105</v>
      </c>
      <c r="W29" s="23">
        <v>25698.898599189259</v>
      </c>
      <c r="X29" s="23">
        <v>25738.119506894629</v>
      </c>
      <c r="Y29" s="23">
        <v>26268.605807949214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11639.763030599488</v>
      </c>
      <c r="E30" s="23">
        <v>11686.007237635706</v>
      </c>
      <c r="F30" s="23">
        <v>11664.933795988927</v>
      </c>
      <c r="G30" s="23">
        <v>12243.414433690894</v>
      </c>
      <c r="H30" s="23">
        <v>12134.694160938692</v>
      </c>
      <c r="I30" s="23">
        <v>13284.95228419028</v>
      </c>
      <c r="J30" s="23">
        <v>14381.434969296828</v>
      </c>
      <c r="K30" s="23">
        <v>15569.708223387737</v>
      </c>
      <c r="L30" s="23">
        <v>16864.499510985868</v>
      </c>
      <c r="M30" s="23">
        <v>17507.138648415901</v>
      </c>
      <c r="N30" s="23">
        <v>16239.427253267939</v>
      </c>
      <c r="O30" s="23">
        <v>16335.926287984357</v>
      </c>
      <c r="P30" s="23">
        <v>17198.109153416415</v>
      </c>
      <c r="Q30" s="23">
        <v>18798.560930489264</v>
      </c>
      <c r="R30" s="23">
        <v>19842.06311393149</v>
      </c>
      <c r="S30" s="23">
        <v>22056.300000000003</v>
      </c>
      <c r="T30" s="23">
        <v>21661.090315969974</v>
      </c>
      <c r="U30" s="23">
        <v>24133.897110641301</v>
      </c>
      <c r="V30" s="23">
        <v>26755.521857978012</v>
      </c>
      <c r="W30" s="23">
        <v>26830.532035890312</v>
      </c>
      <c r="X30" s="23">
        <v>26649.999038406058</v>
      </c>
      <c r="Y30" s="23">
        <v>27341.986830261976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3074.7594977987933</v>
      </c>
      <c r="E31" s="23">
        <v>3759.9517490952953</v>
      </c>
      <c r="F31" s="23">
        <v>3501.3591551942282</v>
      </c>
      <c r="G31" s="23">
        <v>3375.7492454407625</v>
      </c>
      <c r="H31" s="23">
        <v>3644.240783170173</v>
      </c>
      <c r="I31" s="23">
        <v>3514.6413149969153</v>
      </c>
      <c r="J31" s="23">
        <v>3921.2336672976594</v>
      </c>
      <c r="K31" s="23">
        <v>4576.3429651105971</v>
      </c>
      <c r="L31" s="23">
        <v>5173.5758068733112</v>
      </c>
      <c r="M31" s="23">
        <v>5456.0803154602736</v>
      </c>
      <c r="N31" s="23">
        <v>6973.9603898667883</v>
      </c>
      <c r="O31" s="23">
        <v>7643.3578069427404</v>
      </c>
      <c r="P31" s="23">
        <v>8277.9790042359873</v>
      </c>
      <c r="Q31" s="23">
        <v>8400.2616490019518</v>
      </c>
      <c r="R31" s="23">
        <v>8898.4966598071915</v>
      </c>
      <c r="S31" s="23">
        <v>9655.4</v>
      </c>
      <c r="T31" s="23">
        <v>10428.57740323289</v>
      </c>
      <c r="U31" s="23">
        <v>12044.095439444276</v>
      </c>
      <c r="V31" s="23">
        <v>12804.924280213092</v>
      </c>
      <c r="W31" s="23">
        <v>14709.873722890277</v>
      </c>
      <c r="X31" s="23">
        <v>14061.388157009058</v>
      </c>
      <c r="Y31" s="23">
        <v>14977.592496091715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14076.172618077071</v>
      </c>
      <c r="E32" s="23">
        <v>15152.834740651386</v>
      </c>
      <c r="F32" s="23">
        <v>15633.291159854189</v>
      </c>
      <c r="G32" s="23">
        <v>16091.737399214979</v>
      </c>
      <c r="H32" s="23">
        <v>16030.826911060192</v>
      </c>
      <c r="I32" s="23">
        <v>16061.177836641382</v>
      </c>
      <c r="J32" s="23">
        <v>16982.547670714255</v>
      </c>
      <c r="K32" s="23">
        <v>17583.911565733903</v>
      </c>
      <c r="L32" s="23">
        <v>18803.609989445045</v>
      </c>
      <c r="M32" s="23">
        <v>19566.128812944749</v>
      </c>
      <c r="N32" s="23">
        <v>20243.355015690271</v>
      </c>
      <c r="O32" s="23">
        <v>20160.569063416457</v>
      </c>
      <c r="P32" s="23">
        <v>20227.965702826044</v>
      </c>
      <c r="Q32" s="23">
        <v>20798.744902443766</v>
      </c>
      <c r="R32" s="23">
        <v>21064.604093383481</v>
      </c>
      <c r="S32" s="23">
        <v>21338.9</v>
      </c>
      <c r="T32" s="23">
        <v>22258.003805859345</v>
      </c>
      <c r="U32" s="23">
        <v>23052.250075505883</v>
      </c>
      <c r="V32" s="23">
        <v>23798.858716255316</v>
      </c>
      <c r="W32" s="23">
        <v>25099.495474827207</v>
      </c>
      <c r="X32" s="23">
        <v>25868.511644902588</v>
      </c>
      <c r="Y32" s="23">
        <v>26473.068359467528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11598.456437849882</v>
      </c>
      <c r="E33" s="23">
        <v>12479.975874547647</v>
      </c>
      <c r="F33" s="23">
        <v>12867.128487141266</v>
      </c>
      <c r="G33" s="23">
        <v>13218.319139589916</v>
      </c>
      <c r="H33" s="23">
        <v>13238.075400958134</v>
      </c>
      <c r="I33" s="23">
        <v>14069.934806536279</v>
      </c>
      <c r="J33" s="23">
        <v>14416.986010434463</v>
      </c>
      <c r="K33" s="23">
        <v>14977.359351076653</v>
      </c>
      <c r="L33" s="23">
        <v>16054.479078910417</v>
      </c>
      <c r="M33" s="23">
        <v>16872.705434437747</v>
      </c>
      <c r="N33" s="23">
        <v>16998.690745859225</v>
      </c>
      <c r="O33" s="23">
        <v>17349.362507539674</v>
      </c>
      <c r="P33" s="23">
        <v>17015.67520003274</v>
      </c>
      <c r="Q33" s="23">
        <v>17293.670342698868</v>
      </c>
      <c r="R33" s="23">
        <v>17792.026113313124</v>
      </c>
      <c r="S33" s="23">
        <v>18117.599999999999</v>
      </c>
      <c r="T33" s="23">
        <v>18297.923506409319</v>
      </c>
      <c r="U33" s="23">
        <v>18795.429376824726</v>
      </c>
      <c r="V33" s="23">
        <v>20117.320776551805</v>
      </c>
      <c r="W33" s="23">
        <v>21249.258766003364</v>
      </c>
      <c r="X33" s="23">
        <v>21942.419754985865</v>
      </c>
      <c r="Y33" s="23">
        <v>22832.156899900518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6989.7820533724653</v>
      </c>
      <c r="E34" s="23">
        <v>8141.4957780458381</v>
      </c>
      <c r="F34" s="23">
        <v>9581.9814854250963</v>
      </c>
      <c r="G34" s="23">
        <v>10293.888424423631</v>
      </c>
      <c r="H34" s="23">
        <v>10210.789418871069</v>
      </c>
      <c r="I34" s="23">
        <v>10056.847732743085</v>
      </c>
      <c r="J34" s="23">
        <v>11021.053603582808</v>
      </c>
      <c r="K34" s="23">
        <v>11623.611427826825</v>
      </c>
      <c r="L34" s="23">
        <v>12694.806766793519</v>
      </c>
      <c r="M34" s="23">
        <v>13007.977156325071</v>
      </c>
      <c r="N34" s="23">
        <v>14090.795735572226</v>
      </c>
      <c r="O34" s="23">
        <v>15374.175835603901</v>
      </c>
      <c r="P34" s="23">
        <v>13716.823214029919</v>
      </c>
      <c r="Q34" s="23">
        <v>15716.826279371635</v>
      </c>
      <c r="R34" s="23">
        <v>17087.493790992121</v>
      </c>
      <c r="S34" s="23">
        <v>16276.6</v>
      </c>
      <c r="T34" s="23">
        <v>16852.428849250329</v>
      </c>
      <c r="U34" s="23">
        <v>17930.534581697375</v>
      </c>
      <c r="V34" s="23">
        <v>21194.157904188032</v>
      </c>
      <c r="W34" s="23">
        <v>21196.570395357201</v>
      </c>
      <c r="X34" s="23">
        <v>21329.499778833393</v>
      </c>
      <c r="Y34" s="23">
        <v>26788.857833151735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1715.3106147073206</v>
      </c>
      <c r="E35" s="23">
        <v>1724.3667068757536</v>
      </c>
      <c r="F35" s="23">
        <v>1796.8407470969196</v>
      </c>
      <c r="G35" s="23">
        <v>1883.2098170636664</v>
      </c>
      <c r="H35" s="23">
        <v>1773.6582656391024</v>
      </c>
      <c r="I35" s="23">
        <v>2062.8469828368234</v>
      </c>
      <c r="J35" s="23">
        <v>2038.0673161272448</v>
      </c>
      <c r="K35" s="23">
        <v>2382.860431529683</v>
      </c>
      <c r="L35" s="23">
        <v>2824.1776331716192</v>
      </c>
      <c r="M35" s="23">
        <v>2916.5344694737796</v>
      </c>
      <c r="N35" s="23">
        <v>3015.85652237162</v>
      </c>
      <c r="O35" s="23">
        <v>2965.4318933422073</v>
      </c>
      <c r="P35" s="23">
        <v>2810.8948779339839</v>
      </c>
      <c r="Q35" s="23">
        <v>2749.0520334011308</v>
      </c>
      <c r="R35" s="23">
        <v>2786.6027350046115</v>
      </c>
      <c r="S35" s="23">
        <v>3002.4999999999995</v>
      </c>
      <c r="T35" s="23">
        <v>3278.371426779031</v>
      </c>
      <c r="U35" s="23">
        <v>3189.771468841237</v>
      </c>
      <c r="V35" s="23">
        <v>3664.6780662024389</v>
      </c>
      <c r="W35" s="23">
        <v>3587.4753327047015</v>
      </c>
      <c r="X35" s="23">
        <v>3594.2458218743395</v>
      </c>
      <c r="Y35" s="23">
        <v>3683.8315410488412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2798.3857818359693</v>
      </c>
      <c r="E36" s="23">
        <v>2995.5367913148375</v>
      </c>
      <c r="F36" s="23">
        <v>3360.8087286575055</v>
      </c>
      <c r="G36" s="23">
        <v>3381.5589973218462</v>
      </c>
      <c r="H36" s="23">
        <v>3047.8372561271958</v>
      </c>
      <c r="I36" s="23">
        <v>3405.1791913107631</v>
      </c>
      <c r="J36" s="23">
        <v>3640.634378318482</v>
      </c>
      <c r="K36" s="23">
        <v>3605.4554733904511</v>
      </c>
      <c r="L36" s="23">
        <v>3571.6429906361054</v>
      </c>
      <c r="M36" s="23">
        <v>3670.1717808095004</v>
      </c>
      <c r="N36" s="23">
        <v>2778.5282320912738</v>
      </c>
      <c r="O36" s="23">
        <v>2912.7061710934086</v>
      </c>
      <c r="P36" s="23">
        <v>3712.1165612785726</v>
      </c>
      <c r="Q36" s="23">
        <v>3938.0218926625853</v>
      </c>
      <c r="R36" s="23">
        <v>4165.9655133962515</v>
      </c>
      <c r="S36" s="23">
        <v>4204.5</v>
      </c>
      <c r="T36" s="23">
        <v>3991.1336023922545</v>
      </c>
      <c r="U36" s="23">
        <v>4448.2029598308663</v>
      </c>
      <c r="V36" s="23">
        <v>4778.2278177936514</v>
      </c>
      <c r="W36" s="23">
        <v>4710.8458330498015</v>
      </c>
      <c r="X36" s="23">
        <v>4806.4311402580915</v>
      </c>
      <c r="Y36" s="23">
        <v>5216.5427069022689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392.9561389205935</v>
      </c>
      <c r="E37" s="23">
        <v>405.30759951749093</v>
      </c>
      <c r="F37" s="23">
        <v>424.78297360608303</v>
      </c>
      <c r="G37" s="23">
        <v>431.19695058876874</v>
      </c>
      <c r="H37" s="23">
        <v>511.00465180865098</v>
      </c>
      <c r="I37" s="23">
        <v>540.53727155073352</v>
      </c>
      <c r="J37" s="23">
        <v>546.88582113670998</v>
      </c>
      <c r="K37" s="23">
        <v>473.55333311615686</v>
      </c>
      <c r="L37" s="23">
        <v>872.38183772477703</v>
      </c>
      <c r="M37" s="23">
        <v>850.17903276979564</v>
      </c>
      <c r="N37" s="23">
        <v>17.976267170971965</v>
      </c>
      <c r="O37" s="23">
        <v>20.175128434451629</v>
      </c>
      <c r="P37" s="23">
        <v>41.541326457527575</v>
      </c>
      <c r="Q37" s="23">
        <v>47.934914810764404</v>
      </c>
      <c r="R37" s="23">
        <v>46.529544740336753</v>
      </c>
      <c r="S37" s="23">
        <v>46.4</v>
      </c>
      <c r="T37" s="23">
        <v>48.200581334560134</v>
      </c>
      <c r="U37" s="23">
        <v>50.639283197422735</v>
      </c>
      <c r="V37" s="23">
        <v>49.58199485225164</v>
      </c>
      <c r="W37" s="23">
        <v>45.20312241783239</v>
      </c>
      <c r="X37" s="23">
        <v>41.156220551185648</v>
      </c>
      <c r="Y37" s="23">
        <v>41.877871997726089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225203.40779390186</v>
      </c>
      <c r="E39" s="30">
        <f t="shared" ref="E39:S39" si="2">SUM(E18:E38)</f>
        <v>228245.71773220753</v>
      </c>
      <c r="F39" s="30">
        <f t="shared" si="2"/>
        <v>232702.40138295613</v>
      </c>
      <c r="G39" s="30">
        <f t="shared" si="2"/>
        <v>240410.65026710686</v>
      </c>
      <c r="H39" s="30">
        <f t="shared" si="2"/>
        <v>253166.97910157609</v>
      </c>
      <c r="I39" s="30">
        <f t="shared" si="2"/>
        <v>261707.1253190125</v>
      </c>
      <c r="J39" s="30">
        <f t="shared" si="2"/>
        <v>277691.60626067687</v>
      </c>
      <c r="K39" s="30">
        <f t="shared" si="2"/>
        <v>297447.19896623993</v>
      </c>
      <c r="L39" s="30">
        <f t="shared" si="2"/>
        <v>309230.94055331219</v>
      </c>
      <c r="M39" s="30">
        <f t="shared" si="2"/>
        <v>318874.13316412095</v>
      </c>
      <c r="N39" s="30">
        <f t="shared" si="2"/>
        <v>327889.81483405724</v>
      </c>
      <c r="O39" s="30">
        <f t="shared" si="2"/>
        <v>344191.12294348876</v>
      </c>
      <c r="P39" s="30">
        <f t="shared" si="2"/>
        <v>348903.34990893648</v>
      </c>
      <c r="Q39" s="30">
        <f t="shared" si="2"/>
        <v>351641.54086732556</v>
      </c>
      <c r="R39" s="30">
        <f t="shared" si="2"/>
        <v>364802.1734061857</v>
      </c>
      <c r="S39" s="30">
        <f t="shared" si="2"/>
        <v>381297.49999999994</v>
      </c>
      <c r="T39" s="30">
        <f t="shared" ref="T39:Y39" si="3">SUM(T18:T38)</f>
        <v>392040.42157211265</v>
      </c>
      <c r="U39" s="30">
        <f t="shared" si="3"/>
        <v>411609.98691231239</v>
      </c>
      <c r="V39" s="30">
        <f t="shared" si="3"/>
        <v>435999.52113968757</v>
      </c>
      <c r="W39" s="30">
        <f t="shared" si="3"/>
        <v>454965.44148382894</v>
      </c>
      <c r="X39" s="30">
        <f t="shared" si="3"/>
        <v>445639.36380945041</v>
      </c>
      <c r="Y39" s="30">
        <f t="shared" si="3"/>
        <v>475201.19380359101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7700.6902549051574</v>
      </c>
      <c r="E41" s="19">
        <v>7008.805790108564</v>
      </c>
      <c r="F41" s="19">
        <v>7100.301895301207</v>
      </c>
      <c r="G41" s="19">
        <v>7516.6853239999436</v>
      </c>
      <c r="H41" s="19">
        <v>7245.434978823856</v>
      </c>
      <c r="I41" s="19">
        <v>8819.6233535324209</v>
      </c>
      <c r="J41" s="19">
        <v>9465.9264047278266</v>
      </c>
      <c r="K41" s="19">
        <v>9004.571565082364</v>
      </c>
      <c r="L41" s="19">
        <v>9621.9581868711812</v>
      </c>
      <c r="M41" s="19">
        <v>11403.707564701084</v>
      </c>
      <c r="N41" s="19">
        <v>10941.623890770798</v>
      </c>
      <c r="O41" s="19">
        <v>10274.132157490796</v>
      </c>
      <c r="P41" s="19">
        <v>10285.366402684838</v>
      </c>
      <c r="Q41" s="19">
        <v>10225.570057542338</v>
      </c>
      <c r="R41" s="19">
        <v>12352.225612537633</v>
      </c>
      <c r="S41" s="19">
        <v>13743</v>
      </c>
      <c r="T41" s="19">
        <v>14241.651157441293</v>
      </c>
      <c r="U41" s="19">
        <v>13762.609483539716</v>
      </c>
      <c r="V41" s="19">
        <v>14328.697699475249</v>
      </c>
      <c r="W41" s="19">
        <v>14960.289299983475</v>
      </c>
      <c r="X41" s="19">
        <v>12796.315172029155</v>
      </c>
      <c r="Y41" s="19">
        <v>13141.408877729878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2456.6552530028803</v>
      </c>
      <c r="E42" s="23">
        <v>2261.6405307599516</v>
      </c>
      <c r="F42" s="23">
        <v>2284.2576006213285</v>
      </c>
      <c r="G42" s="23">
        <v>2384.4071927562313</v>
      </c>
      <c r="H42" s="23">
        <v>2331.0421439977781</v>
      </c>
      <c r="I42" s="23">
        <v>2208.8367986259782</v>
      </c>
      <c r="J42" s="23">
        <v>2339.0969112147377</v>
      </c>
      <c r="K42" s="23">
        <v>2528.9116200280159</v>
      </c>
      <c r="L42" s="23">
        <v>2386.873117779779</v>
      </c>
      <c r="M42" s="23">
        <v>2233.150523500884</v>
      </c>
      <c r="N42" s="23">
        <v>2234.8760364928617</v>
      </c>
      <c r="O42" s="23">
        <v>2357.9941346533828</v>
      </c>
      <c r="P42" s="23">
        <v>2408.3737491558727</v>
      </c>
      <c r="Q42" s="23">
        <v>2084.5044510992325</v>
      </c>
      <c r="R42" s="23">
        <v>2417.1034091254674</v>
      </c>
      <c r="S42" s="23">
        <v>2506.9</v>
      </c>
      <c r="T42" s="23">
        <v>2806.0893749607912</v>
      </c>
      <c r="U42" s="23">
        <v>2638.5784757877782</v>
      </c>
      <c r="V42" s="23">
        <v>2624.9526127815798</v>
      </c>
      <c r="W42" s="23">
        <v>2677.2885903430579</v>
      </c>
      <c r="X42" s="23">
        <v>2549.7624862972866</v>
      </c>
      <c r="Y42" s="23">
        <v>2892.3208110284713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4097.7770531007118</v>
      </c>
      <c r="E43" s="23">
        <v>3710.7358262967427</v>
      </c>
      <c r="F43" s="23">
        <v>3747.2597677535737</v>
      </c>
      <c r="G43" s="23">
        <v>4040.1864788652565</v>
      </c>
      <c r="H43" s="23">
        <v>4335.9022425883495</v>
      </c>
      <c r="I43" s="23">
        <v>4322.4838830630042</v>
      </c>
      <c r="J43" s="23">
        <v>4422.5264324299369</v>
      </c>
      <c r="K43" s="23">
        <v>5427.7833881703973</v>
      </c>
      <c r="L43" s="23">
        <v>4872.7110749595713</v>
      </c>
      <c r="M43" s="23">
        <v>5138.8070525313888</v>
      </c>
      <c r="N43" s="23">
        <v>5401.0889669361368</v>
      </c>
      <c r="O43" s="23">
        <v>5730.2564529212341</v>
      </c>
      <c r="P43" s="23">
        <v>6053.2670309206624</v>
      </c>
      <c r="Q43" s="23">
        <v>5302.2761419037015</v>
      </c>
      <c r="R43" s="23">
        <v>6280.0693381451028</v>
      </c>
      <c r="S43" s="23">
        <v>6944.9</v>
      </c>
      <c r="T43" s="23">
        <v>7195.4789736726543</v>
      </c>
      <c r="U43" s="23">
        <v>7039.3637370381557</v>
      </c>
      <c r="V43" s="23">
        <v>7409.7647598715057</v>
      </c>
      <c r="W43" s="23">
        <v>7690.5578940205505</v>
      </c>
      <c r="X43" s="23">
        <v>7482.3547512356481</v>
      </c>
      <c r="Y43" s="23">
        <v>9232.6495807475476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1129.1374531224521</v>
      </c>
      <c r="E44" s="23">
        <v>1005.9107358262967</v>
      </c>
      <c r="F44" s="23">
        <v>1025.1913465031505</v>
      </c>
      <c r="G44" s="23">
        <v>1368.8342236896176</v>
      </c>
      <c r="H44" s="23">
        <v>3730.7505380823441</v>
      </c>
      <c r="I44" s="23">
        <v>1894.9647423104368</v>
      </c>
      <c r="J44" s="23">
        <v>1493.8362805300337</v>
      </c>
      <c r="K44" s="23">
        <v>1447.264119186457</v>
      </c>
      <c r="L44" s="23">
        <v>2307.4688435057956</v>
      </c>
      <c r="M44" s="23">
        <v>2013.7787245614832</v>
      </c>
      <c r="N44" s="23">
        <v>2165.2569671023921</v>
      </c>
      <c r="O44" s="23">
        <v>2655.3172902930596</v>
      </c>
      <c r="P44" s="23">
        <v>2685.8616244091104</v>
      </c>
      <c r="Q44" s="23">
        <v>2302.9200437444424</v>
      </c>
      <c r="R44" s="23">
        <v>1315.2959542611534</v>
      </c>
      <c r="S44" s="23">
        <v>2048.5</v>
      </c>
      <c r="T44" s="23">
        <v>2522.8456117605238</v>
      </c>
      <c r="U44" s="23">
        <v>2380.0463102788685</v>
      </c>
      <c r="V44" s="23">
        <v>2478.9002174823922</v>
      </c>
      <c r="W44" s="23">
        <v>2614.3930630219015</v>
      </c>
      <c r="X44" s="23">
        <v>1919.0530222897476</v>
      </c>
      <c r="Y44" s="23">
        <v>3293.8557013596096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2278.7923256698732</v>
      </c>
      <c r="E45" s="23">
        <v>2111.2183353437877</v>
      </c>
      <c r="F45" s="23">
        <v>2130.6793270615944</v>
      </c>
      <c r="G45" s="23">
        <v>2231.6532286633319</v>
      </c>
      <c r="H45" s="23">
        <v>2464.486565298896</v>
      </c>
      <c r="I45" s="23">
        <v>2542.6660377130274</v>
      </c>
      <c r="J45" s="23">
        <v>2736.7376148483313</v>
      </c>
      <c r="K45" s="23">
        <v>2554.755622156345</v>
      </c>
      <c r="L45" s="23">
        <v>2518.3743427359609</v>
      </c>
      <c r="M45" s="23">
        <v>2396.0930063907899</v>
      </c>
      <c r="N45" s="23">
        <v>3065.5250524740745</v>
      </c>
      <c r="O45" s="23">
        <v>3511.0963206389483</v>
      </c>
      <c r="P45" s="23">
        <v>3467.3706182086071</v>
      </c>
      <c r="Q45" s="23">
        <v>3032.6754632516022</v>
      </c>
      <c r="R45" s="23">
        <v>3348.0997901608766</v>
      </c>
      <c r="S45" s="23">
        <v>3913.4</v>
      </c>
      <c r="T45" s="23">
        <v>4347.8806382133371</v>
      </c>
      <c r="U45" s="23">
        <v>3778.9187556629417</v>
      </c>
      <c r="V45" s="23">
        <v>3729.9227837746166</v>
      </c>
      <c r="W45" s="23">
        <v>3949.683578143075</v>
      </c>
      <c r="X45" s="23">
        <v>3973.2099928842044</v>
      </c>
      <c r="Y45" s="23">
        <v>4621.9148230612536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749.49725528561328</v>
      </c>
      <c r="E46" s="23">
        <v>689.86731001206272</v>
      </c>
      <c r="F46" s="23">
        <v>725.80140049355498</v>
      </c>
      <c r="G46" s="23">
        <v>673.08101061342484</v>
      </c>
      <c r="H46" s="23">
        <v>650.97549121710756</v>
      </c>
      <c r="I46" s="23">
        <v>750.75293007728874</v>
      </c>
      <c r="J46" s="23">
        <v>765.27078812502884</v>
      </c>
      <c r="K46" s="23">
        <v>1202.1804519442724</v>
      </c>
      <c r="L46" s="23">
        <v>1243.161064791951</v>
      </c>
      <c r="M46" s="23">
        <v>1323.369442052305</v>
      </c>
      <c r="N46" s="23">
        <v>1306.344687129824</v>
      </c>
      <c r="O46" s="23">
        <v>1129.183219284927</v>
      </c>
      <c r="P46" s="23">
        <v>1192.0109685472814</v>
      </c>
      <c r="Q46" s="23">
        <v>1217.9965454155213</v>
      </c>
      <c r="R46" s="23">
        <v>1358.5816091720985</v>
      </c>
      <c r="S46" s="23">
        <v>1373.8</v>
      </c>
      <c r="T46" s="23">
        <v>1362.7904058886265</v>
      </c>
      <c r="U46" s="23">
        <v>1208.4969294271621</v>
      </c>
      <c r="V46" s="23">
        <v>1923.4222550330214</v>
      </c>
      <c r="W46" s="23">
        <v>1404.6991805111356</v>
      </c>
      <c r="X46" s="23">
        <v>1494.8939361886262</v>
      </c>
      <c r="Y46" s="23">
        <v>1655.5023923444976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5736.1813142018591</v>
      </c>
      <c r="E47" s="23">
        <v>5306.1519903498183</v>
      </c>
      <c r="F47" s="23">
        <v>5351.814503501234</v>
      </c>
      <c r="G47" s="23">
        <v>6035.7653993850163</v>
      </c>
      <c r="H47" s="23">
        <v>6186.4889259182119</v>
      </c>
      <c r="I47" s="23">
        <v>6242.7277235506845</v>
      </c>
      <c r="J47" s="23">
        <v>6952.9987534050515</v>
      </c>
      <c r="K47" s="23">
        <v>8242.6078552735889</v>
      </c>
      <c r="L47" s="23">
        <v>7864.5091944339538</v>
      </c>
      <c r="M47" s="23">
        <v>7653.4242850020401</v>
      </c>
      <c r="N47" s="23">
        <v>8246.5346328892956</v>
      </c>
      <c r="O47" s="23">
        <v>8493.31308887456</v>
      </c>
      <c r="P47" s="23">
        <v>8495.0989420263177</v>
      </c>
      <c r="Q47" s="23">
        <v>8280.9864985026725</v>
      </c>
      <c r="R47" s="23">
        <v>9199.0633268117635</v>
      </c>
      <c r="S47" s="23">
        <v>9921.4</v>
      </c>
      <c r="T47" s="23">
        <v>10750.193429664794</v>
      </c>
      <c r="U47" s="23">
        <v>10577.771066143159</v>
      </c>
      <c r="V47" s="23">
        <v>11206.029649434346</v>
      </c>
      <c r="W47" s="23">
        <v>11745.812635487853</v>
      </c>
      <c r="X47" s="23">
        <v>12108.583187491586</v>
      </c>
      <c r="Y47" s="23">
        <v>13289.023639206025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4239.4967117778142</v>
      </c>
      <c r="E48" s="23">
        <v>3869.7225572979492</v>
      </c>
      <c r="F48" s="23">
        <v>3904.4708063485705</v>
      </c>
      <c r="G48" s="23">
        <v>4448.5695257258649</v>
      </c>
      <c r="H48" s="23">
        <v>5682.8438519752826</v>
      </c>
      <c r="I48" s="23">
        <v>5661.3084654740742</v>
      </c>
      <c r="J48" s="23">
        <v>7064.3843206057536</v>
      </c>
      <c r="K48" s="23">
        <v>7753.8521679642963</v>
      </c>
      <c r="L48" s="23">
        <v>7323.8822880051121</v>
      </c>
      <c r="M48" s="23">
        <v>6968.2273489552645</v>
      </c>
      <c r="N48" s="23">
        <v>7485.4007772397599</v>
      </c>
      <c r="O48" s="23">
        <v>9033.1537677572323</v>
      </c>
      <c r="P48" s="23">
        <v>9149.4259930014123</v>
      </c>
      <c r="Q48" s="23">
        <v>8187.9784548399957</v>
      </c>
      <c r="R48" s="23">
        <v>9947.1854187152167</v>
      </c>
      <c r="S48" s="23">
        <v>11027.9</v>
      </c>
      <c r="T48" s="23">
        <v>12185.546098994166</v>
      </c>
      <c r="U48" s="23">
        <v>11638.679150307058</v>
      </c>
      <c r="V48" s="23">
        <v>12092.819090564457</v>
      </c>
      <c r="W48" s="23">
        <v>12907.581487134123</v>
      </c>
      <c r="X48" s="23">
        <v>12485.143373656172</v>
      </c>
      <c r="Y48" s="23">
        <v>15264.579089487896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1180.7706940594596</v>
      </c>
      <c r="E49" s="23">
        <v>1095.8986731001205</v>
      </c>
      <c r="F49" s="23">
        <v>1107.1164614363202</v>
      </c>
      <c r="G49" s="23">
        <v>1347.5790338807726</v>
      </c>
      <c r="H49" s="23">
        <v>1311.1157397764355</v>
      </c>
      <c r="I49" s="23">
        <v>1360.4751019025846</v>
      </c>
      <c r="J49" s="23">
        <v>1528.4639180017546</v>
      </c>
      <c r="K49" s="23">
        <v>1360.6107002855872</v>
      </c>
      <c r="L49" s="23">
        <v>1606.0966989125486</v>
      </c>
      <c r="M49" s="23">
        <v>2305.6701264560579</v>
      </c>
      <c r="N49" s="23">
        <v>1913.6931357675762</v>
      </c>
      <c r="O49" s="23">
        <v>1740.3648162399384</v>
      </c>
      <c r="P49" s="23">
        <v>1740.6429696932491</v>
      </c>
      <c r="Q49" s="23">
        <v>1554.2563955805849</v>
      </c>
      <c r="R49" s="23">
        <v>1674.3540097519437</v>
      </c>
      <c r="S49" s="23">
        <v>1591</v>
      </c>
      <c r="T49" s="23">
        <v>1757.9097049413438</v>
      </c>
      <c r="U49" s="23">
        <v>1700.0906070673514</v>
      </c>
      <c r="V49" s="23">
        <v>2012.1111754025419</v>
      </c>
      <c r="W49" s="23">
        <v>2083.7181269381445</v>
      </c>
      <c r="X49" s="23">
        <v>2167.7212146854631</v>
      </c>
      <c r="Y49" s="23">
        <v>2398.7872471457677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1710.9625523126256</v>
      </c>
      <c r="E50" s="23">
        <v>1608.6851628468032</v>
      </c>
      <c r="F50" s="23">
        <v>1621.8416866051186</v>
      </c>
      <c r="G50" s="23">
        <v>1968.5139788298311</v>
      </c>
      <c r="H50" s="23">
        <v>1819.3431923904741</v>
      </c>
      <c r="I50" s="23">
        <v>1835.8189097330574</v>
      </c>
      <c r="J50" s="23">
        <v>2055.4965603213445</v>
      </c>
      <c r="K50" s="23">
        <v>2158.7342954251776</v>
      </c>
      <c r="L50" s="23">
        <v>2533.5773562250047</v>
      </c>
      <c r="M50" s="23">
        <v>2408.1040656302403</v>
      </c>
      <c r="N50" s="23">
        <v>2421.7045242004197</v>
      </c>
      <c r="O50" s="23">
        <v>2560.6813785644463</v>
      </c>
      <c r="P50" s="23">
        <v>2637.9765485910734</v>
      </c>
      <c r="Q50" s="23">
        <v>2418.6179617951575</v>
      </c>
      <c r="R50" s="23">
        <v>2776.8710655164373</v>
      </c>
      <c r="S50" s="23">
        <v>3166.8</v>
      </c>
      <c r="T50" s="23">
        <v>3026.8083059743631</v>
      </c>
      <c r="U50" s="23">
        <v>2856.1361119500657</v>
      </c>
      <c r="V50" s="23">
        <v>3191.7037450866937</v>
      </c>
      <c r="W50" s="23">
        <v>3017.5271461762045</v>
      </c>
      <c r="X50" s="23">
        <v>4112.3526357289848</v>
      </c>
      <c r="Y50" s="23">
        <v>4941.1151641479946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2155.0084243708898</v>
      </c>
      <c r="E51" s="23">
        <v>2031.363088057901</v>
      </c>
      <c r="F51" s="23">
        <v>2046.2488569316918</v>
      </c>
      <c r="G51" s="23">
        <v>2214.223973020079</v>
      </c>
      <c r="H51" s="23">
        <v>2360.2027355412065</v>
      </c>
      <c r="I51" s="23">
        <v>2600.3604388161157</v>
      </c>
      <c r="J51" s="23">
        <v>2870.054019114456</v>
      </c>
      <c r="K51" s="23">
        <v>3392.5139264423237</v>
      </c>
      <c r="L51" s="23">
        <v>3494.1754059785608</v>
      </c>
      <c r="M51" s="23">
        <v>3826.9954222000638</v>
      </c>
      <c r="N51" s="23">
        <v>3564.6002618508282</v>
      </c>
      <c r="O51" s="23">
        <v>3472.2020008735622</v>
      </c>
      <c r="P51" s="23">
        <v>3462.6639654572618</v>
      </c>
      <c r="Q51" s="23">
        <v>3016.9356404779182</v>
      </c>
      <c r="R51" s="23">
        <v>3268.9286040122861</v>
      </c>
      <c r="S51" s="23">
        <v>3512.8</v>
      </c>
      <c r="T51" s="23">
        <v>3518.5378808473265</v>
      </c>
      <c r="U51" s="23">
        <v>3777.0059397966374</v>
      </c>
      <c r="V51" s="23">
        <v>4015.7425327720025</v>
      </c>
      <c r="W51" s="23">
        <v>4394.6183981568793</v>
      </c>
      <c r="X51" s="23">
        <v>4050.0413485393387</v>
      </c>
      <c r="Y51" s="23">
        <v>4506.5138092756633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2970.6777542257732</v>
      </c>
      <c r="E52" s="23">
        <v>2754.1616405307595</v>
      </c>
      <c r="F52" s="23">
        <v>2786.3307820466252</v>
      </c>
      <c r="G52" s="23">
        <v>3829.760099757691</v>
      </c>
      <c r="H52" s="23">
        <v>4566.5486357008958</v>
      </c>
      <c r="I52" s="23">
        <v>4698.2836822816498</v>
      </c>
      <c r="J52" s="23">
        <v>5084.6068608892383</v>
      </c>
      <c r="K52" s="23">
        <v>4806.550042892356</v>
      </c>
      <c r="L52" s="23">
        <v>5032.681637277401</v>
      </c>
      <c r="M52" s="23">
        <v>5242.4874223813631</v>
      </c>
      <c r="N52" s="23">
        <v>5910.866809368441</v>
      </c>
      <c r="O52" s="23">
        <v>6434.4100334865534</v>
      </c>
      <c r="P52" s="23">
        <v>6523.4207133648479</v>
      </c>
      <c r="Q52" s="23">
        <v>7747.7744503837866</v>
      </c>
      <c r="R52" s="23">
        <v>8133.1414031850936</v>
      </c>
      <c r="S52" s="23">
        <v>7569.1</v>
      </c>
      <c r="T52" s="23">
        <v>8753.7901758641601</v>
      </c>
      <c r="U52" s="23">
        <v>9260.0422832980967</v>
      </c>
      <c r="V52" s="23">
        <v>8278.9959895448847</v>
      </c>
      <c r="W52" s="23">
        <v>9872.1675140226889</v>
      </c>
      <c r="X52" s="23">
        <v>8034.3096717118306</v>
      </c>
      <c r="Y52" s="23">
        <v>8893.2682741958397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4325.5068210228856</v>
      </c>
      <c r="E53" s="23">
        <v>3882.9915560916925</v>
      </c>
      <c r="F53" s="23">
        <v>3908.7299101830286</v>
      </c>
      <c r="G53" s="23">
        <v>4278.8114097858779</v>
      </c>
      <c r="H53" s="23">
        <v>4339.9291814205426</v>
      </c>
      <c r="I53" s="23">
        <v>4737.9561425789652</v>
      </c>
      <c r="J53" s="23">
        <v>4874.9942287270605</v>
      </c>
      <c r="K53" s="23">
        <v>5743.7751788990354</v>
      </c>
      <c r="L53" s="23">
        <v>6250.9562404981116</v>
      </c>
      <c r="M53" s="23">
        <v>5749.5580836694935</v>
      </c>
      <c r="N53" s="23">
        <v>6320.1645919490402</v>
      </c>
      <c r="O53" s="23">
        <v>6690.6549637055723</v>
      </c>
      <c r="P53" s="23">
        <v>7907.0743037223583</v>
      </c>
      <c r="Q53" s="23">
        <v>7124.7227644851882</v>
      </c>
      <c r="R53" s="23">
        <v>8420.8338824293096</v>
      </c>
      <c r="S53" s="23">
        <v>9487.8999999999651</v>
      </c>
      <c r="T53" s="23">
        <v>9619.8322912527947</v>
      </c>
      <c r="U53" s="23">
        <v>9524.3128964058997</v>
      </c>
      <c r="V53" s="23">
        <v>10110.536922125379</v>
      </c>
      <c r="W53" s="23">
        <v>10294.35495630365</v>
      </c>
      <c r="X53" s="23">
        <v>10166.163432505709</v>
      </c>
      <c r="Y53" s="23">
        <v>10667.866786678656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40731.153867057998</v>
      </c>
      <c r="E54" s="30">
        <f t="shared" ref="E54:S54" si="4">SUM(E41:E53)</f>
        <v>37337.15319662245</v>
      </c>
      <c r="F54" s="30">
        <f t="shared" si="4"/>
        <v>37740.044344786998</v>
      </c>
      <c r="G54" s="30">
        <f t="shared" si="4"/>
        <v>42338.070878972932</v>
      </c>
      <c r="H54" s="30">
        <f t="shared" si="4"/>
        <v>47025.064222731373</v>
      </c>
      <c r="I54" s="30">
        <f t="shared" si="4"/>
        <v>47676.258209659289</v>
      </c>
      <c r="J54" s="30">
        <f t="shared" si="4"/>
        <v>51654.393092940547</v>
      </c>
      <c r="K54" s="30">
        <f t="shared" si="4"/>
        <v>55624.110933750228</v>
      </c>
      <c r="L54" s="30">
        <f t="shared" si="4"/>
        <v>57056.425451974937</v>
      </c>
      <c r="M54" s="30">
        <f t="shared" si="4"/>
        <v>58663.373068032459</v>
      </c>
      <c r="N54" s="30">
        <f t="shared" si="4"/>
        <v>60977.680334171448</v>
      </c>
      <c r="O54" s="30">
        <f t="shared" si="4"/>
        <v>64082.759624784216</v>
      </c>
      <c r="P54" s="30">
        <f t="shared" si="4"/>
        <v>66008.55382978289</v>
      </c>
      <c r="Q54" s="30">
        <f t="shared" si="4"/>
        <v>62497.214869022137</v>
      </c>
      <c r="R54" s="30">
        <f t="shared" si="4"/>
        <v>70491.753423824397</v>
      </c>
      <c r="S54" s="30">
        <f t="shared" si="4"/>
        <v>76807.39999999998</v>
      </c>
      <c r="T54" s="30">
        <f t="shared" ref="T54:Y54" si="5">SUM(T41:T53)</f>
        <v>82089.354049476184</v>
      </c>
      <c r="U54" s="30">
        <f t="shared" si="5"/>
        <v>80142.051746702884</v>
      </c>
      <c r="V54" s="30">
        <f t="shared" si="5"/>
        <v>83403.599433348674</v>
      </c>
      <c r="W54" s="30">
        <f t="shared" si="5"/>
        <v>87612.691870242736</v>
      </c>
      <c r="X54" s="30">
        <f t="shared" si="5"/>
        <v>83339.90422524375</v>
      </c>
      <c r="Y54" s="30">
        <f t="shared" si="5"/>
        <v>94798.806196409118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7700.6902549051574</v>
      </c>
      <c r="E56" s="19">
        <v>7008.805790108564</v>
      </c>
      <c r="F56" s="19">
        <v>7100.301895301207</v>
      </c>
      <c r="G56" s="19">
        <v>7516.6853239999436</v>
      </c>
      <c r="H56" s="19">
        <v>7245.434978823856</v>
      </c>
      <c r="I56" s="19">
        <v>8819.6233535324209</v>
      </c>
      <c r="J56" s="19">
        <v>9465.9264047278266</v>
      </c>
      <c r="K56" s="19">
        <v>9004.571565082364</v>
      </c>
      <c r="L56" s="19">
        <v>9621.9581868711812</v>
      </c>
      <c r="M56" s="19">
        <v>11403.707564701084</v>
      </c>
      <c r="N56" s="19">
        <v>10941.623890770798</v>
      </c>
      <c r="O56" s="19">
        <v>10274.132157490796</v>
      </c>
      <c r="P56" s="19">
        <v>10285.366402684838</v>
      </c>
      <c r="Q56" s="19">
        <v>10225.570057542338</v>
      </c>
      <c r="R56" s="19">
        <v>12352.225612537633</v>
      </c>
      <c r="S56" s="19">
        <v>13743</v>
      </c>
      <c r="T56" s="19">
        <v>14241.651157441293</v>
      </c>
      <c r="U56" s="19">
        <v>13762.609483539716</v>
      </c>
      <c r="V56" s="19">
        <v>14328.697699475249</v>
      </c>
      <c r="W56" s="19">
        <v>14960.289299983475</v>
      </c>
      <c r="X56" s="19">
        <v>12796.315172029155</v>
      </c>
      <c r="Y56" s="19">
        <v>13141.408877729878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2456.6552530028803</v>
      </c>
      <c r="E57" s="23">
        <v>2261.6405307599516</v>
      </c>
      <c r="F57" s="23">
        <v>2284.2576006213285</v>
      </c>
      <c r="G57" s="23">
        <v>2384.4071927562313</v>
      </c>
      <c r="H57" s="23">
        <v>2331.0421439977781</v>
      </c>
      <c r="I57" s="23">
        <v>2208.8367986259782</v>
      </c>
      <c r="J57" s="23">
        <v>2339.0969112147377</v>
      </c>
      <c r="K57" s="23">
        <v>2528.9116200280159</v>
      </c>
      <c r="L57" s="23">
        <v>2386.873117779779</v>
      </c>
      <c r="M57" s="23">
        <v>2233.150523500884</v>
      </c>
      <c r="N57" s="23">
        <v>2234.8760364928617</v>
      </c>
      <c r="O57" s="23">
        <v>2357.9941346533828</v>
      </c>
      <c r="P57" s="23">
        <v>2408.3737491558727</v>
      </c>
      <c r="Q57" s="23">
        <v>2084.5044510992325</v>
      </c>
      <c r="R57" s="23">
        <v>2417.1034091254674</v>
      </c>
      <c r="S57" s="23">
        <v>2506.9</v>
      </c>
      <c r="T57" s="23">
        <v>2806.0893749607912</v>
      </c>
      <c r="U57" s="23">
        <v>2638.5784757877782</v>
      </c>
      <c r="V57" s="23">
        <v>2624.9526127815798</v>
      </c>
      <c r="W57" s="23">
        <v>2677.2885903430579</v>
      </c>
      <c r="X57" s="23">
        <v>2549.7624862972866</v>
      </c>
      <c r="Y57" s="23">
        <v>2892.3208110284713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1619.1097342246858</v>
      </c>
      <c r="E58" s="23">
        <v>1449.9396863691193</v>
      </c>
      <c r="F58" s="23">
        <v>1466.8854676871815</v>
      </c>
      <c r="G58" s="23">
        <v>1716.0023239007526</v>
      </c>
      <c r="H58" s="23">
        <v>1956.1202527251266</v>
      </c>
      <c r="I58" s="23">
        <v>1839.6893936645015</v>
      </c>
      <c r="J58" s="23">
        <v>1914.562075811441</v>
      </c>
      <c r="K58" s="23">
        <v>2332.9098391808106</v>
      </c>
      <c r="L58" s="23">
        <v>2261.1819616729122</v>
      </c>
      <c r="M58" s="23">
        <v>2292.0727009019629</v>
      </c>
      <c r="N58" s="23">
        <v>2603.2336499095995</v>
      </c>
      <c r="O58" s="23">
        <v>2629.0064269223567</v>
      </c>
      <c r="P58" s="23">
        <v>2709.394888165838</v>
      </c>
      <c r="Q58" s="23">
        <v>2360.1557629214744</v>
      </c>
      <c r="R58" s="23">
        <v>2721.4208237452735</v>
      </c>
      <c r="S58" s="23">
        <v>2897.4</v>
      </c>
      <c r="T58" s="23">
        <v>3065.1805692059975</v>
      </c>
      <c r="U58" s="23">
        <v>3119.6013289036546</v>
      </c>
      <c r="V58" s="23">
        <v>3155.8889842175622</v>
      </c>
      <c r="W58" s="23">
        <v>3352.7107291798307</v>
      </c>
      <c r="X58" s="23">
        <v>3296.824816816355</v>
      </c>
      <c r="Y58" s="23">
        <v>4301.4827798569331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1464.7535192130006</v>
      </c>
      <c r="E59" s="23">
        <v>1368.8781664656212</v>
      </c>
      <c r="F59" s="23">
        <v>1381.4528554785857</v>
      </c>
      <c r="G59" s="23">
        <v>1474.826770203058</v>
      </c>
      <c r="H59" s="23">
        <v>1499.409845171145</v>
      </c>
      <c r="I59" s="23">
        <v>1425.6685656228453</v>
      </c>
      <c r="J59" s="23">
        <v>1475.7144835864999</v>
      </c>
      <c r="K59" s="23">
        <v>1763.5816746479027</v>
      </c>
      <c r="L59" s="23">
        <v>1395.3848686440267</v>
      </c>
      <c r="M59" s="23">
        <v>1610.0484974844765</v>
      </c>
      <c r="N59" s="23">
        <v>1505.3305347160165</v>
      </c>
      <c r="O59" s="23">
        <v>1747.4365107427359</v>
      </c>
      <c r="P59" s="23">
        <v>1955.8188552601962</v>
      </c>
      <c r="Q59" s="23">
        <v>1732.5047781604849</v>
      </c>
      <c r="R59" s="23">
        <v>2222.5713909191359</v>
      </c>
      <c r="S59" s="23">
        <v>2438.5</v>
      </c>
      <c r="T59" s="23">
        <v>2560.9042052654695</v>
      </c>
      <c r="U59" s="23">
        <v>2499.7483137018021</v>
      </c>
      <c r="V59" s="23">
        <v>2765.7175921307289</v>
      </c>
      <c r="W59" s="23">
        <v>2797.4414060601348</v>
      </c>
      <c r="X59" s="23">
        <v>2789.9686520376176</v>
      </c>
      <c r="Y59" s="23">
        <v>3256.3361599317827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1013.9137996630254</v>
      </c>
      <c r="E60" s="23">
        <v>891.91797346200246</v>
      </c>
      <c r="F60" s="23">
        <v>898.92144458780649</v>
      </c>
      <c r="G60" s="23">
        <v>849.35738476144616</v>
      </c>
      <c r="H60" s="23">
        <v>880.37214469207788</v>
      </c>
      <c r="I60" s="23">
        <v>1057.1259237756574</v>
      </c>
      <c r="J60" s="23">
        <v>1032.249873031996</v>
      </c>
      <c r="K60" s="23">
        <v>1331.291874341684</v>
      </c>
      <c r="L60" s="23">
        <v>1216.1442446426324</v>
      </c>
      <c r="M60" s="23">
        <v>1236.6858541449494</v>
      </c>
      <c r="N60" s="23">
        <v>1292.5247823105208</v>
      </c>
      <c r="O60" s="23">
        <v>1353.8135152561415</v>
      </c>
      <c r="P60" s="23">
        <v>1388.0532874946282</v>
      </c>
      <c r="Q60" s="23">
        <v>1209.6156008217422</v>
      </c>
      <c r="R60" s="23">
        <v>1336.0771234806934</v>
      </c>
      <c r="S60" s="23">
        <v>1608.9999999999995</v>
      </c>
      <c r="T60" s="23">
        <v>1569.3941992011878</v>
      </c>
      <c r="U60" s="23">
        <v>1420.014094432699</v>
      </c>
      <c r="V60" s="23">
        <v>1488.1581835232146</v>
      </c>
      <c r="W60" s="23">
        <v>1540.4057587805846</v>
      </c>
      <c r="X60" s="23">
        <v>1395.5612823816759</v>
      </c>
      <c r="Y60" s="23">
        <v>1674.8306409588317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1129.1374531224521</v>
      </c>
      <c r="E61" s="23">
        <v>1005.9107358262967</v>
      </c>
      <c r="F61" s="23">
        <v>1025.1913465031505</v>
      </c>
      <c r="G61" s="23">
        <v>1368.8342236896176</v>
      </c>
      <c r="H61" s="23">
        <v>3730.7505380823441</v>
      </c>
      <c r="I61" s="23">
        <v>1894.9647423104368</v>
      </c>
      <c r="J61" s="23">
        <v>1493.8362805300337</v>
      </c>
      <c r="K61" s="23">
        <v>1447.264119186457</v>
      </c>
      <c r="L61" s="23">
        <v>2307.4688435057956</v>
      </c>
      <c r="M61" s="23">
        <v>2013.7787245614832</v>
      </c>
      <c r="N61" s="23">
        <v>2165.2569671023921</v>
      </c>
      <c r="O61" s="23">
        <v>2655.3172902930596</v>
      </c>
      <c r="P61" s="23">
        <v>2685.8616244091104</v>
      </c>
      <c r="Q61" s="23">
        <v>2302.9200437444424</v>
      </c>
      <c r="R61" s="23">
        <v>1315.2959542611534</v>
      </c>
      <c r="S61" s="23">
        <v>2048.5</v>
      </c>
      <c r="T61" s="23">
        <v>2522.8456117605238</v>
      </c>
      <c r="U61" s="23">
        <v>2380.0463102788685</v>
      </c>
      <c r="V61" s="23">
        <v>2478.9002174823922</v>
      </c>
      <c r="W61" s="23">
        <v>2614.3930630219015</v>
      </c>
      <c r="X61" s="23">
        <v>1919.0530222897476</v>
      </c>
      <c r="Y61" s="23">
        <v>3293.8557013596096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2278.7923256698732</v>
      </c>
      <c r="E62" s="23">
        <v>2111.2183353437877</v>
      </c>
      <c r="F62" s="23">
        <v>2130.6793270615944</v>
      </c>
      <c r="G62" s="23">
        <v>2231.6532286633319</v>
      </c>
      <c r="H62" s="23">
        <v>2464.486565298896</v>
      </c>
      <c r="I62" s="23">
        <v>2542.6660377130274</v>
      </c>
      <c r="J62" s="23">
        <v>2736.7376148483313</v>
      </c>
      <c r="K62" s="23">
        <v>2554.755622156345</v>
      </c>
      <c r="L62" s="23">
        <v>2518.3743427359609</v>
      </c>
      <c r="M62" s="23">
        <v>2396.0930063907899</v>
      </c>
      <c r="N62" s="23">
        <v>3065.5250524740745</v>
      </c>
      <c r="O62" s="23">
        <v>3511.0963206389483</v>
      </c>
      <c r="P62" s="23">
        <v>3467.3706182086071</v>
      </c>
      <c r="Q62" s="23">
        <v>3032.6754632516022</v>
      </c>
      <c r="R62" s="23">
        <v>3348.0997901608766</v>
      </c>
      <c r="S62" s="23">
        <v>3913.4</v>
      </c>
      <c r="T62" s="23">
        <v>4347.8806382133371</v>
      </c>
      <c r="U62" s="23">
        <v>3778.9187556629417</v>
      </c>
      <c r="V62" s="23">
        <v>3729.9227837746166</v>
      </c>
      <c r="W62" s="23">
        <v>3949.683578143075</v>
      </c>
      <c r="X62" s="23">
        <v>3973.2099928842044</v>
      </c>
      <c r="Y62" s="23">
        <v>4621.9148230612536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749.49725528561328</v>
      </c>
      <c r="E63" s="23">
        <v>689.86731001206272</v>
      </c>
      <c r="F63" s="23">
        <v>725.80140049355498</v>
      </c>
      <c r="G63" s="23">
        <v>673.08101061342484</v>
      </c>
      <c r="H63" s="23">
        <v>650.97549121710756</v>
      </c>
      <c r="I63" s="23">
        <v>750.75293007728874</v>
      </c>
      <c r="J63" s="23">
        <v>765.27078812502884</v>
      </c>
      <c r="K63" s="23">
        <v>1202.1804519442724</v>
      </c>
      <c r="L63" s="23">
        <v>1243.161064791951</v>
      </c>
      <c r="M63" s="23">
        <v>1323.369442052305</v>
      </c>
      <c r="N63" s="23">
        <v>1306.344687129824</v>
      </c>
      <c r="O63" s="23">
        <v>1129.183219284927</v>
      </c>
      <c r="P63" s="23">
        <v>1192.0109685472814</v>
      </c>
      <c r="Q63" s="23">
        <v>1217.9965454155213</v>
      </c>
      <c r="R63" s="23">
        <v>1358.5816091720985</v>
      </c>
      <c r="S63" s="23">
        <v>1373.8</v>
      </c>
      <c r="T63" s="23">
        <v>1362.7904058886265</v>
      </c>
      <c r="U63" s="23">
        <v>1208.4969294271621</v>
      </c>
      <c r="V63" s="23">
        <v>1923.4222550330214</v>
      </c>
      <c r="W63" s="23">
        <v>1404.6991805111356</v>
      </c>
      <c r="X63" s="23">
        <v>1494.8939361886262</v>
      </c>
      <c r="Y63" s="23">
        <v>1655.5023923444976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2610.3320832653949</v>
      </c>
      <c r="E64" s="23">
        <v>2392.4004825090469</v>
      </c>
      <c r="F64" s="23">
        <v>2413.533928772752</v>
      </c>
      <c r="G64" s="23">
        <v>2790.0979155743862</v>
      </c>
      <c r="H64" s="23">
        <v>2799.9722280080537</v>
      </c>
      <c r="I64" s="23">
        <v>2972.2897541033176</v>
      </c>
      <c r="J64" s="23">
        <v>3165.0814903735168</v>
      </c>
      <c r="K64" s="23">
        <v>3448.7626369569234</v>
      </c>
      <c r="L64" s="23">
        <v>3465.2218962128031</v>
      </c>
      <c r="M64" s="23">
        <v>3829.0350360331781</v>
      </c>
      <c r="N64" s="23">
        <v>4370.7267399571892</v>
      </c>
      <c r="O64" s="23">
        <v>4568.1066577923839</v>
      </c>
      <c r="P64" s="23">
        <v>4812.3478011746174</v>
      </c>
      <c r="Q64" s="23">
        <v>4811.6842632434254</v>
      </c>
      <c r="R64" s="23">
        <v>5238.7807029103769</v>
      </c>
      <c r="S64" s="23">
        <v>5551.3</v>
      </c>
      <c r="T64" s="23">
        <v>6277.6813533803142</v>
      </c>
      <c r="U64" s="23">
        <v>6129.1654082351761</v>
      </c>
      <c r="V64" s="23">
        <v>6392.8849338574191</v>
      </c>
      <c r="W64" s="23">
        <v>6837.7256510707793</v>
      </c>
      <c r="X64" s="23">
        <v>7330.2305902263588</v>
      </c>
      <c r="Y64" s="23">
        <v>8025.5815055189732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3125.8492309364642</v>
      </c>
      <c r="E65" s="23">
        <v>2913.7515078407714</v>
      </c>
      <c r="F65" s="23">
        <v>2938.280574728482</v>
      </c>
      <c r="G65" s="23">
        <v>3245.6674838106301</v>
      </c>
      <c r="H65" s="23">
        <v>3386.5166979101582</v>
      </c>
      <c r="I65" s="23">
        <v>3270.4379694473669</v>
      </c>
      <c r="J65" s="23">
        <v>3787.9172630315347</v>
      </c>
      <c r="K65" s="23">
        <v>4793.8452183166655</v>
      </c>
      <c r="L65" s="23">
        <v>4399.2872982211502</v>
      </c>
      <c r="M65" s="23">
        <v>3824.3892489688619</v>
      </c>
      <c r="N65" s="23">
        <v>3875.8078929321064</v>
      </c>
      <c r="O65" s="23">
        <v>3925.2064310821761</v>
      </c>
      <c r="P65" s="23">
        <v>3682.7511408517003</v>
      </c>
      <c r="Q65" s="23">
        <v>3469.302235259247</v>
      </c>
      <c r="R65" s="23">
        <v>3960.2826239013866</v>
      </c>
      <c r="S65" s="23">
        <v>4370.0999999999995</v>
      </c>
      <c r="T65" s="23">
        <v>4472.5120762844799</v>
      </c>
      <c r="U65" s="23">
        <v>4448.6056579079832</v>
      </c>
      <c r="V65" s="23">
        <v>4813.1447155769265</v>
      </c>
      <c r="W65" s="23">
        <v>4908.0869844170738</v>
      </c>
      <c r="X65" s="23">
        <v>4778.3525972652269</v>
      </c>
      <c r="Y65" s="23">
        <v>5263.4421336870519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1042.4479591282134</v>
      </c>
      <c r="E66" s="23">
        <v>937.87696019300358</v>
      </c>
      <c r="F66" s="23">
        <v>952.53604579789305</v>
      </c>
      <c r="G66" s="23">
        <v>960.73457935979366</v>
      </c>
      <c r="H66" s="23">
        <v>1841.977365826564</v>
      </c>
      <c r="I66" s="23">
        <v>1702.8919772125257</v>
      </c>
      <c r="J66" s="23">
        <v>2510.042014866799</v>
      </c>
      <c r="K66" s="23">
        <v>2836.6507041947643</v>
      </c>
      <c r="L66" s="23">
        <v>1662.0670288276249</v>
      </c>
      <c r="M66" s="23">
        <v>1632.0310021302635</v>
      </c>
      <c r="N66" s="23">
        <v>1153.5983707059581</v>
      </c>
      <c r="O66" s="23">
        <v>1739.4288566733917</v>
      </c>
      <c r="P66" s="23">
        <v>1770.2130271962676</v>
      </c>
      <c r="Q66" s="23">
        <v>1721.4664608906287</v>
      </c>
      <c r="R66" s="23">
        <v>2083.4896144839681</v>
      </c>
      <c r="S66" s="23">
        <v>2232.6999999999998</v>
      </c>
      <c r="T66" s="23">
        <v>2426.9672319692181</v>
      </c>
      <c r="U66" s="23">
        <v>2264.1699385885431</v>
      </c>
      <c r="V66" s="23">
        <v>2331.8501965322534</v>
      </c>
      <c r="W66" s="23">
        <v>2136.0176535204973</v>
      </c>
      <c r="X66" s="23">
        <v>1800.4884897205609</v>
      </c>
      <c r="Y66" s="23">
        <v>3051.873608413473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3197.0487526496008</v>
      </c>
      <c r="E67" s="23">
        <v>2931.8455971049457</v>
      </c>
      <c r="F67" s="23">
        <v>2951.9347605506773</v>
      </c>
      <c r="G67" s="23">
        <v>3487.8349463660711</v>
      </c>
      <c r="H67" s="23">
        <v>3840.8664861487186</v>
      </c>
      <c r="I67" s="23">
        <v>3958.4164882615487</v>
      </c>
      <c r="J67" s="23">
        <v>4554.3423057389546</v>
      </c>
      <c r="K67" s="23">
        <v>4917.201463769532</v>
      </c>
      <c r="L67" s="23">
        <v>5661.815259177487</v>
      </c>
      <c r="M67" s="23">
        <v>5336.1963468250015</v>
      </c>
      <c r="N67" s="23">
        <v>6331.8024065338013</v>
      </c>
      <c r="O67" s="23">
        <v>7293.7249110838402</v>
      </c>
      <c r="P67" s="23">
        <v>7379.2129658051444</v>
      </c>
      <c r="Q67" s="23">
        <v>6466.511993949367</v>
      </c>
      <c r="R67" s="23">
        <v>7863.695804231249</v>
      </c>
      <c r="S67" s="23">
        <v>8795.2000000000007</v>
      </c>
      <c r="T67" s="23">
        <v>9758.5788670249476</v>
      </c>
      <c r="U67" s="23">
        <v>9374.5092117185159</v>
      </c>
      <c r="V67" s="23">
        <v>9760.968894032203</v>
      </c>
      <c r="W67" s="23">
        <v>10771.563833613625</v>
      </c>
      <c r="X67" s="23">
        <v>10684.654883935611</v>
      </c>
      <c r="Y67" s="23">
        <v>12212.705481074423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1180.7706940594596</v>
      </c>
      <c r="E68" s="23">
        <v>1095.8986731001205</v>
      </c>
      <c r="F68" s="23">
        <v>1107.1164614363202</v>
      </c>
      <c r="G68" s="23">
        <v>1347.5790338807726</v>
      </c>
      <c r="H68" s="23">
        <v>1311.1157397764355</v>
      </c>
      <c r="I68" s="23">
        <v>1360.4751019025846</v>
      </c>
      <c r="J68" s="23">
        <v>1528.4639180017546</v>
      </c>
      <c r="K68" s="23">
        <v>1360.6107002855872</v>
      </c>
      <c r="L68" s="23">
        <v>1606.0966989125486</v>
      </c>
      <c r="M68" s="23">
        <v>2305.6701264560579</v>
      </c>
      <c r="N68" s="23">
        <v>1913.6931357675762</v>
      </c>
      <c r="O68" s="23">
        <v>1740.3648162399384</v>
      </c>
      <c r="P68" s="23">
        <v>1740.6429696932491</v>
      </c>
      <c r="Q68" s="23">
        <v>1554.2563955805849</v>
      </c>
      <c r="R68" s="23">
        <v>1674.3540097519437</v>
      </c>
      <c r="S68" s="23">
        <v>1591</v>
      </c>
      <c r="T68" s="23">
        <v>1757.9097049413438</v>
      </c>
      <c r="U68" s="23">
        <v>1700.0906070673514</v>
      </c>
      <c r="V68" s="23">
        <v>2012.1111754025419</v>
      </c>
      <c r="W68" s="23">
        <v>2083.7181269381445</v>
      </c>
      <c r="X68" s="23">
        <v>2167.7212146854631</v>
      </c>
      <c r="Y68" s="23">
        <v>2398.7872471457677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1710.9625523126256</v>
      </c>
      <c r="E69" s="23">
        <v>1608.6851628468032</v>
      </c>
      <c r="F69" s="23">
        <v>1621.8416866051186</v>
      </c>
      <c r="G69" s="23">
        <v>1968.5139788298311</v>
      </c>
      <c r="H69" s="23">
        <v>1819.3431923904741</v>
      </c>
      <c r="I69" s="23">
        <v>1835.8189097330574</v>
      </c>
      <c r="J69" s="23">
        <v>2055.4965603213445</v>
      </c>
      <c r="K69" s="23">
        <v>2158.7342954251776</v>
      </c>
      <c r="L69" s="23">
        <v>2533.5773562250047</v>
      </c>
      <c r="M69" s="23">
        <v>2408.1040656302403</v>
      </c>
      <c r="N69" s="23">
        <v>2421.7045242004197</v>
      </c>
      <c r="O69" s="23">
        <v>2560.6813785644463</v>
      </c>
      <c r="P69" s="23">
        <v>2637.9765485910734</v>
      </c>
      <c r="Q69" s="23">
        <v>2418.6179617951575</v>
      </c>
      <c r="R69" s="23">
        <v>2776.8710655164373</v>
      </c>
      <c r="S69" s="23">
        <v>3166.8</v>
      </c>
      <c r="T69" s="23">
        <v>3026.8083059743631</v>
      </c>
      <c r="U69" s="23">
        <v>2856.1361119500657</v>
      </c>
      <c r="V69" s="23">
        <v>3191.7037450866937</v>
      </c>
      <c r="W69" s="23">
        <v>3017.5271461762045</v>
      </c>
      <c r="X69" s="23">
        <v>4112.3526357289848</v>
      </c>
      <c r="Y69" s="23">
        <v>4941.1151641479946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2155.0084243708898</v>
      </c>
      <c r="E70" s="23">
        <v>2031.363088057901</v>
      </c>
      <c r="F70" s="23">
        <v>2046.2488569316918</v>
      </c>
      <c r="G70" s="23">
        <v>2214.223973020079</v>
      </c>
      <c r="H70" s="23">
        <v>2360.2027355412065</v>
      </c>
      <c r="I70" s="23">
        <v>2600.3604388161157</v>
      </c>
      <c r="J70" s="23">
        <v>2870.054019114456</v>
      </c>
      <c r="K70" s="23">
        <v>3392.5139264423237</v>
      </c>
      <c r="L70" s="23">
        <v>3494.1754059785608</v>
      </c>
      <c r="M70" s="23">
        <v>3826.9954222000638</v>
      </c>
      <c r="N70" s="23">
        <v>3564.6002618508282</v>
      </c>
      <c r="O70" s="23">
        <v>3472.2020008735622</v>
      </c>
      <c r="P70" s="23">
        <v>3462.6639654572618</v>
      </c>
      <c r="Q70" s="23">
        <v>3016.9356404779182</v>
      </c>
      <c r="R70" s="23">
        <v>3268.9286040122861</v>
      </c>
      <c r="S70" s="23">
        <v>3512.8</v>
      </c>
      <c r="T70" s="23">
        <v>3518.5378808473265</v>
      </c>
      <c r="U70" s="23">
        <v>3777.0059397966374</v>
      </c>
      <c r="V70" s="23">
        <v>4015.7425327720025</v>
      </c>
      <c r="W70" s="23">
        <v>4394.6183981568793</v>
      </c>
      <c r="X70" s="23">
        <v>4050.0413485393387</v>
      </c>
      <c r="Y70" s="23">
        <v>4506.5138092756633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1999.0216859611935</v>
      </c>
      <c r="E71" s="23">
        <v>1829.071170084439</v>
      </c>
      <c r="F71" s="23">
        <v>1854.3386488619426</v>
      </c>
      <c r="G71" s="23">
        <v>2943.4186847288543</v>
      </c>
      <c r="H71" s="23">
        <v>3733.1111573977641</v>
      </c>
      <c r="I71" s="23">
        <v>3811.3380988666736</v>
      </c>
      <c r="J71" s="23">
        <v>4024.5394524216263</v>
      </c>
      <c r="K71" s="23">
        <v>3852.4937290288954</v>
      </c>
      <c r="L71" s="23">
        <v>4108.6870212745353</v>
      </c>
      <c r="M71" s="23">
        <v>4154.8066899333726</v>
      </c>
      <c r="N71" s="23">
        <v>4920.6134790831065</v>
      </c>
      <c r="O71" s="23">
        <v>5108.3633187046325</v>
      </c>
      <c r="P71" s="23">
        <v>5085.7429349049462</v>
      </c>
      <c r="Q71" s="23">
        <v>6205.885058411096</v>
      </c>
      <c r="R71" s="23">
        <v>6288.7872920615928</v>
      </c>
      <c r="S71" s="23">
        <v>5972.1</v>
      </c>
      <c r="T71" s="23">
        <v>7162.3345392191713</v>
      </c>
      <c r="U71" s="23">
        <v>7510.5204872646736</v>
      </c>
      <c r="V71" s="23">
        <v>6479.9776531854186</v>
      </c>
      <c r="W71" s="23">
        <v>7928.9193051356579</v>
      </c>
      <c r="X71" s="23">
        <v>6564.3210185202988</v>
      </c>
      <c r="Y71" s="23">
        <v>7144.8197451324077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971.65606826457974</v>
      </c>
      <c r="E72" s="23">
        <v>925.09047044632052</v>
      </c>
      <c r="F72" s="23">
        <v>931.99213318468264</v>
      </c>
      <c r="G72" s="23">
        <v>886.34141502883676</v>
      </c>
      <c r="H72" s="23">
        <v>833.43747830313168</v>
      </c>
      <c r="I72" s="23">
        <v>886.94558341497623</v>
      </c>
      <c r="J72" s="23">
        <v>1060.067408467612</v>
      </c>
      <c r="K72" s="23">
        <v>954.05631386346067</v>
      </c>
      <c r="L72" s="23">
        <v>923.99461600286577</v>
      </c>
      <c r="M72" s="23">
        <v>1087.6807324479905</v>
      </c>
      <c r="N72" s="23">
        <v>990.25333028533441</v>
      </c>
      <c r="O72" s="23">
        <v>1326.0467147819209</v>
      </c>
      <c r="P72" s="23">
        <v>1437.6777784599017</v>
      </c>
      <c r="Q72" s="23">
        <v>1541.8893919726906</v>
      </c>
      <c r="R72" s="23">
        <v>1844.3541111235008</v>
      </c>
      <c r="S72" s="23">
        <v>1597</v>
      </c>
      <c r="T72" s="23">
        <v>1591.4556366449888</v>
      </c>
      <c r="U72" s="23">
        <v>1749.521796033423</v>
      </c>
      <c r="V72" s="23">
        <v>1799.018336359466</v>
      </c>
      <c r="W72" s="23">
        <v>1943.2482088870311</v>
      </c>
      <c r="X72" s="23">
        <v>1469.9886531915317</v>
      </c>
      <c r="Y72" s="23">
        <v>1748.448529063432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2231.6430240773952</v>
      </c>
      <c r="E73" s="23">
        <v>2000.2412545235222</v>
      </c>
      <c r="F73" s="23">
        <v>2016.0593268110588</v>
      </c>
      <c r="G73" s="23">
        <v>2309.8723271598815</v>
      </c>
      <c r="H73" s="23">
        <v>2495.1746163993612</v>
      </c>
      <c r="I73" s="23">
        <v>2617.7776165076143</v>
      </c>
      <c r="J73" s="23">
        <v>2711.805715868692</v>
      </c>
      <c r="K73" s="23">
        <v>3063.6001346494231</v>
      </c>
      <c r="L73" s="23">
        <v>3099.5748966291917</v>
      </c>
      <c r="M73" s="23">
        <v>3758.668358790736</v>
      </c>
      <c r="N73" s="23">
        <v>3726.1788482719926</v>
      </c>
      <c r="O73" s="23">
        <v>3759.2296012812244</v>
      </c>
      <c r="P73" s="23">
        <v>3973.9497002066837</v>
      </c>
      <c r="Q73" s="23">
        <v>3544.3219100377146</v>
      </c>
      <c r="R73" s="23">
        <v>4456.699139355479</v>
      </c>
      <c r="S73" s="23">
        <v>4699.8999999999996</v>
      </c>
      <c r="T73" s="23">
        <v>5181.3011020263066</v>
      </c>
      <c r="U73" s="23">
        <v>4839.8268398268392</v>
      </c>
      <c r="V73" s="23">
        <v>5252.1000019952517</v>
      </c>
      <c r="W73" s="23">
        <v>5496.4080529605617</v>
      </c>
      <c r="X73" s="23">
        <v>5394.9266303825225</v>
      </c>
      <c r="Y73" s="23">
        <v>5779.6200672698851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2093.8637969454903</v>
      </c>
      <c r="E74" s="23">
        <v>1882.7503015681702</v>
      </c>
      <c r="F74" s="23">
        <v>1892.6705833719698</v>
      </c>
      <c r="G74" s="23">
        <v>1968.9390826259964</v>
      </c>
      <c r="H74" s="23">
        <v>1844.7545650211814</v>
      </c>
      <c r="I74" s="23">
        <v>2120.1785260713509</v>
      </c>
      <c r="J74" s="23">
        <v>2163.1885128583685</v>
      </c>
      <c r="K74" s="23">
        <v>2680.1750442496123</v>
      </c>
      <c r="L74" s="23">
        <v>3151.3813438689199</v>
      </c>
      <c r="M74" s="23">
        <v>1990.8897248787575</v>
      </c>
      <c r="N74" s="23">
        <v>2593.9857436770476</v>
      </c>
      <c r="O74" s="23">
        <v>2931.4253624243479</v>
      </c>
      <c r="P74" s="23">
        <v>3933.1246035156746</v>
      </c>
      <c r="Q74" s="23">
        <v>3580.4008544474736</v>
      </c>
      <c r="R74" s="23">
        <v>3964.1347430738306</v>
      </c>
      <c r="S74" s="23">
        <v>4787.9999999999654</v>
      </c>
      <c r="T74" s="23">
        <v>4438.5311892264881</v>
      </c>
      <c r="U74" s="23">
        <v>4684.4860565790605</v>
      </c>
      <c r="V74" s="23">
        <v>4858.436920130127</v>
      </c>
      <c r="W74" s="23">
        <v>4797.9469033430887</v>
      </c>
      <c r="X74" s="23">
        <v>4771.2368021231869</v>
      </c>
      <c r="Y74" s="23">
        <v>4888.2467194087712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40731.15386705799</v>
      </c>
      <c r="E75" s="30">
        <f t="shared" ref="E75:S75" si="6">SUM(E56:E74)</f>
        <v>37337.15319662245</v>
      </c>
      <c r="F75" s="30">
        <f t="shared" si="6"/>
        <v>37740.044344786998</v>
      </c>
      <c r="G75" s="30">
        <f t="shared" si="6"/>
        <v>42338.070878972932</v>
      </c>
      <c r="H75" s="30">
        <f t="shared" si="6"/>
        <v>47025.064222731373</v>
      </c>
      <c r="I75" s="30">
        <f t="shared" si="6"/>
        <v>47676.258209659289</v>
      </c>
      <c r="J75" s="30">
        <f t="shared" si="6"/>
        <v>51654.393092940547</v>
      </c>
      <c r="K75" s="30">
        <f t="shared" si="6"/>
        <v>55624.110933750228</v>
      </c>
      <c r="L75" s="30">
        <f t="shared" si="6"/>
        <v>57056.425451974923</v>
      </c>
      <c r="M75" s="30">
        <f t="shared" si="6"/>
        <v>58663.373068032473</v>
      </c>
      <c r="N75" s="30">
        <f t="shared" si="6"/>
        <v>60977.680334171448</v>
      </c>
      <c r="O75" s="30">
        <f t="shared" si="6"/>
        <v>64082.759624784208</v>
      </c>
      <c r="P75" s="30">
        <f t="shared" si="6"/>
        <v>66008.553829782904</v>
      </c>
      <c r="Q75" s="30">
        <f t="shared" si="6"/>
        <v>62497.214869022144</v>
      </c>
      <c r="R75" s="30">
        <f t="shared" si="6"/>
        <v>70491.753423824382</v>
      </c>
      <c r="S75" s="30">
        <f t="shared" si="6"/>
        <v>76807.39999999998</v>
      </c>
      <c r="T75" s="30">
        <f t="shared" ref="T75:Y75" si="7">SUM(T56:T74)</f>
        <v>82089.354049476184</v>
      </c>
      <c r="U75" s="30">
        <f t="shared" si="7"/>
        <v>80142.051746702899</v>
      </c>
      <c r="V75" s="30">
        <f t="shared" si="7"/>
        <v>83403.599433348674</v>
      </c>
      <c r="W75" s="30">
        <f t="shared" si="7"/>
        <v>87612.691870242736</v>
      </c>
      <c r="X75" s="30">
        <f t="shared" si="7"/>
        <v>83339.904225243736</v>
      </c>
      <c r="Y75" s="30">
        <f t="shared" si="7"/>
        <v>94798.806196409118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38263303</v>
      </c>
      <c r="E3" s="42">
        <v>38253955</v>
      </c>
      <c r="F3" s="42">
        <v>38242197</v>
      </c>
      <c r="G3" s="42">
        <v>38218531</v>
      </c>
      <c r="H3" s="42">
        <v>38190608</v>
      </c>
      <c r="I3" s="42">
        <v>38173835</v>
      </c>
      <c r="J3" s="42">
        <v>38157055</v>
      </c>
      <c r="K3" s="42">
        <v>38125479</v>
      </c>
      <c r="L3" s="42">
        <v>38115641</v>
      </c>
      <c r="M3" s="42">
        <v>38135876</v>
      </c>
      <c r="N3" s="42">
        <v>38022869</v>
      </c>
      <c r="O3" s="42">
        <v>38062718</v>
      </c>
      <c r="P3" s="42">
        <v>38063792</v>
      </c>
      <c r="Q3" s="42">
        <v>38062535</v>
      </c>
      <c r="R3" s="42">
        <v>38017856</v>
      </c>
      <c r="S3" s="42">
        <v>38005614</v>
      </c>
      <c r="T3" s="42">
        <v>37967209</v>
      </c>
      <c r="U3" s="42">
        <v>37972964</v>
      </c>
      <c r="V3" s="42">
        <v>37976687</v>
      </c>
      <c r="W3" s="42">
        <v>37972812</v>
      </c>
      <c r="X3" s="42">
        <v>37958138</v>
      </c>
      <c r="Y3" s="42">
        <v>37840001</v>
      </c>
    </row>
    <row r="4" spans="1:25" x14ac:dyDescent="0.25">
      <c r="A4" s="43" t="s">
        <v>239</v>
      </c>
      <c r="B4" s="44"/>
      <c r="C4" s="44"/>
      <c r="D4" s="45">
        <v>13271599</v>
      </c>
      <c r="E4" s="45">
        <v>13351805</v>
      </c>
      <c r="F4" s="45">
        <v>13432180</v>
      </c>
      <c r="G4" s="45">
        <v>13509370</v>
      </c>
      <c r="H4" s="45">
        <v>13586035</v>
      </c>
      <c r="I4" s="45">
        <v>13667682</v>
      </c>
      <c r="J4" s="45">
        <v>13656784</v>
      </c>
      <c r="K4" s="45">
        <v>13616243</v>
      </c>
      <c r="L4" s="45">
        <v>13622459</v>
      </c>
      <c r="M4" s="45">
        <v>13581152</v>
      </c>
      <c r="N4" s="45">
        <v>13579596</v>
      </c>
      <c r="O4" s="45">
        <v>13584125</v>
      </c>
      <c r="P4" s="45">
        <v>13687088</v>
      </c>
      <c r="Q4" s="45">
        <v>13676800</v>
      </c>
      <c r="R4" s="45">
        <v>13705067</v>
      </c>
      <c r="S4" s="45">
        <v>13730352</v>
      </c>
      <c r="T4" s="45">
        <v>13657269</v>
      </c>
      <c r="U4" s="45">
        <v>13679022</v>
      </c>
      <c r="V4" s="45">
        <v>13719901</v>
      </c>
      <c r="W4" s="45">
        <v>13778234</v>
      </c>
      <c r="X4" s="45">
        <v>13838184</v>
      </c>
      <c r="Y4" s="45">
        <v>13572454</v>
      </c>
    </row>
    <row r="5" spans="1:25" x14ac:dyDescent="0.25">
      <c r="A5" s="46" t="s">
        <v>240</v>
      </c>
      <c r="B5" s="47"/>
      <c r="C5" s="47"/>
      <c r="D5" s="48">
        <f>D3/D4</f>
        <v>2.8830966788553511</v>
      </c>
      <c r="E5" s="48">
        <f t="shared" ref="E5:S5" si="0">E3/E4</f>
        <v>2.8650774183715235</v>
      </c>
      <c r="F5" s="48">
        <f t="shared" si="0"/>
        <v>2.8470581097037115</v>
      </c>
      <c r="G5" s="48">
        <f t="shared" si="0"/>
        <v>2.8290387338565752</v>
      </c>
      <c r="H5" s="48">
        <f t="shared" si="0"/>
        <v>2.8110194033800147</v>
      </c>
      <c r="I5" s="48">
        <f t="shared" si="0"/>
        <v>2.7929999395654654</v>
      </c>
      <c r="J5" s="48">
        <f t="shared" si="0"/>
        <v>2.7940000369047353</v>
      </c>
      <c r="K5" s="48">
        <f t="shared" si="0"/>
        <v>2.7999998971816233</v>
      </c>
      <c r="L5" s="48">
        <f t="shared" si="0"/>
        <v>2.7980000527070774</v>
      </c>
      <c r="M5" s="48">
        <f t="shared" si="0"/>
        <v>2.8080000871796442</v>
      </c>
      <c r="N5" s="48">
        <f t="shared" si="0"/>
        <v>2.8000000147279787</v>
      </c>
      <c r="O5" s="48">
        <f t="shared" si="0"/>
        <v>2.8019999815961647</v>
      </c>
      <c r="P5" s="48">
        <f t="shared" si="0"/>
        <v>2.7810000198727445</v>
      </c>
      <c r="Q5" s="48">
        <f t="shared" si="0"/>
        <v>2.7830000438699112</v>
      </c>
      <c r="R5" s="48">
        <f t="shared" si="0"/>
        <v>2.7740000103611315</v>
      </c>
      <c r="S5" s="48">
        <f t="shared" si="0"/>
        <v>2.7679999755286682</v>
      </c>
      <c r="T5" s="48">
        <f t="shared" ref="T5:Y5" si="1">T3/T4</f>
        <v>2.7800000864008756</v>
      </c>
      <c r="U5" s="48">
        <f t="shared" si="1"/>
        <v>2.7759999216318243</v>
      </c>
      <c r="V5" s="48">
        <f t="shared" si="1"/>
        <v>2.7680000752192018</v>
      </c>
      <c r="W5" s="48">
        <f t="shared" si="1"/>
        <v>2.7559999343892692</v>
      </c>
      <c r="X5" s="48">
        <f t="shared" si="1"/>
        <v>2.742999948548162</v>
      </c>
      <c r="Y5" s="48">
        <f t="shared" si="1"/>
        <v>2.7879999445936599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3104.32</v>
      </c>
      <c r="E8" s="42">
        <v>3588.96</v>
      </c>
      <c r="F8" s="42">
        <v>3344.88</v>
      </c>
      <c r="G8" s="42">
        <v>3597.66</v>
      </c>
      <c r="H8" s="42">
        <v>3515.39</v>
      </c>
      <c r="I8" s="42">
        <v>3544.15</v>
      </c>
      <c r="J8" s="42">
        <v>3462.59</v>
      </c>
      <c r="K8" s="42">
        <v>3232.13</v>
      </c>
      <c r="L8" s="42">
        <v>3174.47</v>
      </c>
      <c r="M8" s="42">
        <v>3448.86</v>
      </c>
      <c r="N8" s="42">
        <v>3923.03</v>
      </c>
      <c r="O8" s="42">
        <v>3315.94</v>
      </c>
      <c r="P8" s="42">
        <v>3551.16</v>
      </c>
      <c r="Q8" s="42">
        <v>3502.91</v>
      </c>
      <c r="R8" s="42">
        <v>3094.64</v>
      </c>
      <c r="S8" s="42">
        <v>3112.56</v>
      </c>
      <c r="T8" s="42">
        <v>3286.01</v>
      </c>
      <c r="U8" s="42">
        <v>3288.37</v>
      </c>
      <c r="V8" s="42">
        <v>3123.43</v>
      </c>
      <c r="W8" s="42">
        <v>2951.82</v>
      </c>
      <c r="X8" s="42">
        <v>3006.1</v>
      </c>
      <c r="Y8" s="42">
        <v>3491.49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3341.3990476190484</v>
      </c>
      <c r="E9" s="45">
        <f t="shared" si="2"/>
        <v>3341.3990476190484</v>
      </c>
      <c r="F9" s="45">
        <f t="shared" si="2"/>
        <v>3341.3990476190484</v>
      </c>
      <c r="G9" s="45">
        <f t="shared" si="2"/>
        <v>3341.3990476190484</v>
      </c>
      <c r="H9" s="45">
        <f t="shared" si="2"/>
        <v>3341.3990476190484</v>
      </c>
      <c r="I9" s="45">
        <f t="shared" si="2"/>
        <v>3341.3990476190484</v>
      </c>
      <c r="J9" s="45">
        <f t="shared" si="2"/>
        <v>3341.3990476190484</v>
      </c>
      <c r="K9" s="45">
        <f t="shared" si="2"/>
        <v>3341.3990476190484</v>
      </c>
      <c r="L9" s="45">
        <f t="shared" si="2"/>
        <v>3341.3990476190484</v>
      </c>
      <c r="M9" s="45">
        <f t="shared" si="2"/>
        <v>3341.3990476190484</v>
      </c>
      <c r="N9" s="45">
        <f t="shared" si="2"/>
        <v>3341.3990476190484</v>
      </c>
      <c r="O9" s="45">
        <f t="shared" si="2"/>
        <v>3341.3990476190484</v>
      </c>
      <c r="P9" s="45">
        <f t="shared" si="2"/>
        <v>3341.3990476190484</v>
      </c>
      <c r="Q9" s="45">
        <f t="shared" si="2"/>
        <v>3341.3990476190484</v>
      </c>
      <c r="R9" s="45">
        <f t="shared" si="2"/>
        <v>3341.3990476190484</v>
      </c>
      <c r="S9" s="45">
        <f t="shared" si="2"/>
        <v>3341.3990476190484</v>
      </c>
      <c r="T9" s="45">
        <f t="shared" si="2"/>
        <v>3341.3990476190484</v>
      </c>
      <c r="U9" s="45">
        <f t="shared" si="2"/>
        <v>3341.3990476190484</v>
      </c>
      <c r="V9" s="45">
        <f t="shared" si="2"/>
        <v>3341.3990476190484</v>
      </c>
      <c r="W9" s="45">
        <f t="shared" si="2"/>
        <v>3341.3990476190484</v>
      </c>
      <c r="X9" s="45">
        <f>AVERAGE($D8:$X8)</f>
        <v>3341.3990476190484</v>
      </c>
      <c r="Y9" s="45">
        <f t="shared" ref="Y9" si="3">AVERAGE($D8:$X8)</f>
        <v>3341.3990476190484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0.92904796935643419</v>
      </c>
      <c r="E10" s="53">
        <f t="shared" si="4"/>
        <v>1.0740890114748054</v>
      </c>
      <c r="F10" s="53">
        <f t="shared" si="4"/>
        <v>1.0010417649407759</v>
      </c>
      <c r="G10" s="53">
        <f t="shared" si="4"/>
        <v>1.0766927112652267</v>
      </c>
      <c r="H10" s="53">
        <f t="shared" si="4"/>
        <v>1.0520712880746557</v>
      </c>
      <c r="I10" s="53">
        <f t="shared" si="4"/>
        <v>1.0606784611749454</v>
      </c>
      <c r="J10" s="53">
        <f t="shared" si="4"/>
        <v>1.0362695238293396</v>
      </c>
      <c r="K10" s="53">
        <f t="shared" si="4"/>
        <v>0.96729841420859053</v>
      </c>
      <c r="L10" s="53">
        <f t="shared" si="4"/>
        <v>0.95004216939069408</v>
      </c>
      <c r="M10" s="53">
        <f t="shared" si="4"/>
        <v>1.0321604665738815</v>
      </c>
      <c r="N10" s="53">
        <f t="shared" si="4"/>
        <v>1.1740680906686076</v>
      </c>
      <c r="O10" s="53">
        <f t="shared" si="4"/>
        <v>0.99238072218965001</v>
      </c>
      <c r="P10" s="53">
        <f t="shared" si="4"/>
        <v>1.0627763847991814</v>
      </c>
      <c r="Q10" s="53">
        <f t="shared" si="4"/>
        <v>1.0483363256166718</v>
      </c>
      <c r="R10" s="53">
        <f t="shared" si="4"/>
        <v>0.92615097924479284</v>
      </c>
      <c r="S10" s="53">
        <f t="shared" si="4"/>
        <v>0.93151400226138503</v>
      </c>
      <c r="T10" s="53">
        <f t="shared" ref="T10:Y10" si="5">IF(T8=0,0,T8/T9)</f>
        <v>0.98342339635892451</v>
      </c>
      <c r="U10" s="53">
        <f t="shared" si="5"/>
        <v>0.98412968733655593</v>
      </c>
      <c r="V10" s="53">
        <f t="shared" si="5"/>
        <v>0.93476713062022188</v>
      </c>
      <c r="W10" s="53">
        <f t="shared" si="5"/>
        <v>0.88340840406456478</v>
      </c>
      <c r="X10" s="53">
        <f t="shared" si="5"/>
        <v>0.8996530965500904</v>
      </c>
      <c r="Y10" s="53">
        <f t="shared" si="5"/>
        <v>1.0449185955469462</v>
      </c>
    </row>
    <row r="11" spans="1:25" x14ac:dyDescent="0.25">
      <c r="A11" s="43" t="s">
        <v>251</v>
      </c>
      <c r="B11" s="44"/>
      <c r="C11" s="44"/>
      <c r="D11" s="45">
        <v>9.4600000000000009</v>
      </c>
      <c r="E11" s="45">
        <v>11.62</v>
      </c>
      <c r="F11" s="45">
        <v>20.34</v>
      </c>
      <c r="G11" s="45">
        <v>8.74</v>
      </c>
      <c r="H11" s="45">
        <v>2.71</v>
      </c>
      <c r="I11" s="45">
        <v>11.27</v>
      </c>
      <c r="J11" s="45">
        <v>32.869999999999997</v>
      </c>
      <c r="K11" s="45">
        <v>18.73</v>
      </c>
      <c r="L11" s="45">
        <v>3.86</v>
      </c>
      <c r="M11" s="45">
        <v>5.72</v>
      </c>
      <c r="N11" s="45">
        <v>48.11</v>
      </c>
      <c r="O11" s="45">
        <v>6.8</v>
      </c>
      <c r="P11" s="45">
        <v>29.53</v>
      </c>
      <c r="Q11" s="45">
        <v>28.53</v>
      </c>
      <c r="R11" s="45">
        <v>22.12</v>
      </c>
      <c r="S11" s="45">
        <v>63.67</v>
      </c>
      <c r="T11" s="45">
        <v>16.899999999999999</v>
      </c>
      <c r="U11" s="45">
        <v>19.77</v>
      </c>
      <c r="V11" s="45">
        <v>29.74</v>
      </c>
      <c r="W11" s="45">
        <v>48.99</v>
      </c>
      <c r="X11" s="45">
        <v>11.18</v>
      </c>
      <c r="Y11" s="45">
        <v>29.1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21.46</v>
      </c>
      <c r="E12" s="45">
        <f t="shared" ref="E12" si="7">AVERAGE($D11:$X11)</f>
        <v>21.46</v>
      </c>
      <c r="F12" s="45">
        <f t="shared" ref="F12" si="8">AVERAGE($D11:$X11)</f>
        <v>21.46</v>
      </c>
      <c r="G12" s="45">
        <f t="shared" ref="G12" si="9">AVERAGE($D11:$X11)</f>
        <v>21.46</v>
      </c>
      <c r="H12" s="45">
        <f t="shared" ref="H12" si="10">AVERAGE($D11:$X11)</f>
        <v>21.46</v>
      </c>
      <c r="I12" s="45">
        <f t="shared" ref="I12" si="11">AVERAGE($D11:$X11)</f>
        <v>21.46</v>
      </c>
      <c r="J12" s="45">
        <f t="shared" ref="J12" si="12">AVERAGE($D11:$X11)</f>
        <v>21.46</v>
      </c>
      <c r="K12" s="45">
        <f t="shared" ref="K12" si="13">AVERAGE($D11:$X11)</f>
        <v>21.46</v>
      </c>
      <c r="L12" s="45">
        <f t="shared" ref="L12" si="14">AVERAGE($D11:$X11)</f>
        <v>21.46</v>
      </c>
      <c r="M12" s="45">
        <f t="shared" ref="M12" si="15">AVERAGE($D11:$X11)</f>
        <v>21.46</v>
      </c>
      <c r="N12" s="45">
        <f t="shared" ref="N12" si="16">AVERAGE($D11:$X11)</f>
        <v>21.46</v>
      </c>
      <c r="O12" s="45">
        <f t="shared" ref="O12" si="17">AVERAGE($D11:$X11)</f>
        <v>21.46</v>
      </c>
      <c r="P12" s="45">
        <f t="shared" ref="P12" si="18">AVERAGE($D11:$X11)</f>
        <v>21.46</v>
      </c>
      <c r="Q12" s="45">
        <f t="shared" ref="Q12" si="19">AVERAGE($D11:$X11)</f>
        <v>21.46</v>
      </c>
      <c r="R12" s="45">
        <f t="shared" ref="R12" si="20">AVERAGE($D11:$X11)</f>
        <v>21.46</v>
      </c>
      <c r="S12" s="45">
        <f t="shared" ref="S12" si="21">AVERAGE($D11:$X11)</f>
        <v>21.46</v>
      </c>
      <c r="T12" s="45">
        <f t="shared" ref="T12" si="22">AVERAGE($D11:$X11)</f>
        <v>21.46</v>
      </c>
      <c r="U12" s="45">
        <f t="shared" ref="U12" si="23">AVERAGE($D11:$X11)</f>
        <v>21.46</v>
      </c>
      <c r="V12" s="45">
        <f t="shared" ref="V12" si="24">AVERAGE($D11:$X11)</f>
        <v>21.46</v>
      </c>
      <c r="W12" s="45">
        <f t="shared" ref="W12" si="25">AVERAGE($D11:$X11)</f>
        <v>21.46</v>
      </c>
      <c r="X12" s="45">
        <f>AVERAGE($D11:$X11)</f>
        <v>21.46</v>
      </c>
      <c r="Y12" s="45">
        <f t="shared" ref="Y12" si="26">AVERAGE($D11:$X11)</f>
        <v>21.46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0.44082013047530288</v>
      </c>
      <c r="E13" s="55">
        <f t="shared" si="27"/>
        <v>0.54147250698974836</v>
      </c>
      <c r="F13" s="55">
        <f t="shared" ref="F13" si="28">IF(F11=0,0,F11/F12)</f>
        <v>0.94780987884436152</v>
      </c>
      <c r="G13" s="55">
        <f t="shared" ref="G13" si="29">IF(G11=0,0,G11/G12)</f>
        <v>0.40726933830382106</v>
      </c>
      <c r="H13" s="55">
        <f t="shared" ref="H13" si="30">IF(H11=0,0,H11/H12)</f>
        <v>0.12628145386766076</v>
      </c>
      <c r="I13" s="55">
        <f t="shared" ref="I13" si="31">IF(I11=0,0,I11/I12)</f>
        <v>0.52516309412861129</v>
      </c>
      <c r="J13" s="55">
        <f t="shared" ref="J13" si="32">IF(J11=0,0,J11/J12)</f>
        <v>1.5316868592730659</v>
      </c>
      <c r="K13" s="55">
        <f t="shared" ref="K13" si="33">IF(K11=0,0,K11/K12)</f>
        <v>0.87278657968313145</v>
      </c>
      <c r="L13" s="55">
        <f t="shared" ref="L13" si="34">IF(L11=0,0,L11/L12)</f>
        <v>0.1798695246971109</v>
      </c>
      <c r="M13" s="55">
        <f t="shared" ref="M13" si="35">IF(M11=0,0,M11/M12)</f>
        <v>0.26654240447343891</v>
      </c>
      <c r="N13" s="55">
        <f t="shared" ref="N13" si="36">IF(N11=0,0,N11/N12)</f>
        <v>2.2418452935694315</v>
      </c>
      <c r="O13" s="55">
        <f t="shared" ref="O13" si="37">IF(O11=0,0,O11/O12)</f>
        <v>0.3168685927306617</v>
      </c>
      <c r="P13" s="55">
        <f t="shared" ref="P13" si="38">IF(P11=0,0,P11/P12)</f>
        <v>1.3760484622553588</v>
      </c>
      <c r="Q13" s="55">
        <f t="shared" ref="Q13" si="39">IF(Q11=0,0,Q11/Q12)</f>
        <v>1.3294501397949674</v>
      </c>
      <c r="R13" s="55">
        <f t="shared" ref="R13" si="40">IF(R11=0,0,R11/R12)</f>
        <v>1.0307548928238583</v>
      </c>
      <c r="S13" s="55">
        <f t="shared" ref="S13:Y13" si="41">IF(S11=0,0,S11/S12)</f>
        <v>2.966915191053122</v>
      </c>
      <c r="T13" s="55">
        <f t="shared" si="41"/>
        <v>0.78751164958061504</v>
      </c>
      <c r="U13" s="55">
        <f t="shared" si="41"/>
        <v>0.92124883504193844</v>
      </c>
      <c r="V13" s="55">
        <f t="shared" si="41"/>
        <v>1.3858341099720408</v>
      </c>
      <c r="W13" s="55">
        <f t="shared" si="41"/>
        <v>2.282851817334576</v>
      </c>
      <c r="X13" s="55">
        <f t="shared" si="41"/>
        <v>0.52096924510717613</v>
      </c>
      <c r="Y13" s="55">
        <f t="shared" si="41"/>
        <v>1.3560111835973905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253135.28534634676</v>
      </c>
      <c r="E16" s="42">
        <v>256321.62728520844</v>
      </c>
      <c r="F16" s="42">
        <v>261539.22591543698</v>
      </c>
      <c r="G16" s="42">
        <v>270689.26251862681</v>
      </c>
      <c r="H16" s="42">
        <v>284174.53643068863</v>
      </c>
      <c r="I16" s="42">
        <v>294141.23072144506</v>
      </c>
      <c r="J16" s="42">
        <v>312174.9761179093</v>
      </c>
      <c r="K16" s="42">
        <v>334218.94467813213</v>
      </c>
      <c r="L16" s="42">
        <v>348258.42482826865</v>
      </c>
      <c r="M16" s="42">
        <v>358120.61584339594</v>
      </c>
      <c r="N16" s="42">
        <v>368630.06385643594</v>
      </c>
      <c r="O16" s="42">
        <v>387218.50223883661</v>
      </c>
      <c r="P16" s="42">
        <v>393202.33030312305</v>
      </c>
      <c r="Q16" s="42">
        <v>396569.35126469174</v>
      </c>
      <c r="R16" s="42">
        <v>411786.311363291</v>
      </c>
      <c r="S16" s="42">
        <v>429834.6</v>
      </c>
      <c r="T16" s="42">
        <v>442529.40747455176</v>
      </c>
      <c r="U16" s="42">
        <v>465274.75601106818</v>
      </c>
      <c r="V16" s="42">
        <v>492936.05713664787</v>
      </c>
      <c r="W16" s="42">
        <v>514875.36741955433</v>
      </c>
      <c r="X16" s="42">
        <v>504470.11898712325</v>
      </c>
      <c r="Y16" s="42">
        <v>539456.78319060325</v>
      </c>
    </row>
    <row r="17" spans="1:25" x14ac:dyDescent="0.25">
      <c r="A17" s="46" t="s">
        <v>141</v>
      </c>
      <c r="B17" s="47"/>
      <c r="C17" s="47"/>
      <c r="D17" s="57">
        <v>159704.05798266415</v>
      </c>
      <c r="E17" s="57">
        <v>162931.23059788148</v>
      </c>
      <c r="F17" s="57">
        <v>169239.20004833545</v>
      </c>
      <c r="G17" s="57">
        <v>171577.12970069071</v>
      </c>
      <c r="H17" s="57">
        <v>179015.52937370248</v>
      </c>
      <c r="I17" s="57">
        <v>182268.50819652894</v>
      </c>
      <c r="J17" s="57">
        <v>190885.99800723221</v>
      </c>
      <c r="K17" s="57">
        <v>201665.70936243539</v>
      </c>
      <c r="L17" s="57">
        <v>215132.96080905444</v>
      </c>
      <c r="M17" s="57">
        <v>222544.13421810442</v>
      </c>
      <c r="N17" s="57">
        <v>229042.04096298959</v>
      </c>
      <c r="O17" s="57">
        <v>234496.35302329814</v>
      </c>
      <c r="P17" s="57">
        <v>236535.02131559027</v>
      </c>
      <c r="Q17" s="57">
        <v>236372.67501519274</v>
      </c>
      <c r="R17" s="57">
        <v>243998.68510180499</v>
      </c>
      <c r="S17" s="57">
        <v>253236.3</v>
      </c>
      <c r="T17" s="57">
        <v>262600.12821455969</v>
      </c>
      <c r="U17" s="57">
        <v>278814.05932220456</v>
      </c>
      <c r="V17" s="57">
        <v>291695.85125296732</v>
      </c>
      <c r="W17" s="57">
        <v>301628.0414877556</v>
      </c>
      <c r="X17" s="57">
        <v>291262.47343733168</v>
      </c>
      <c r="Y17" s="57">
        <v>309041.16647899686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6615.615106368281</v>
      </c>
      <c r="E20" s="42">
        <f t="shared" ref="E20:S20" si="42">1000000*E16/E$3</f>
        <v>6700.5261883433604</v>
      </c>
      <c r="F20" s="42">
        <f t="shared" si="42"/>
        <v>6839.0219818029018</v>
      </c>
      <c r="G20" s="42">
        <f t="shared" si="42"/>
        <v>7082.6705118160298</v>
      </c>
      <c r="H20" s="42">
        <f t="shared" si="42"/>
        <v>7440.9534519766921</v>
      </c>
      <c r="I20" s="42">
        <f t="shared" si="42"/>
        <v>7705.3099517364462</v>
      </c>
      <c r="J20" s="42">
        <f t="shared" si="42"/>
        <v>8181.3173505635932</v>
      </c>
      <c r="K20" s="42">
        <f t="shared" si="42"/>
        <v>8766.2884098618706</v>
      </c>
      <c r="L20" s="42">
        <f t="shared" si="42"/>
        <v>9136.8901503786492</v>
      </c>
      <c r="M20" s="42">
        <f t="shared" si="42"/>
        <v>9390.6487383008043</v>
      </c>
      <c r="N20" s="42">
        <f t="shared" si="42"/>
        <v>9694.9565761709327</v>
      </c>
      <c r="O20" s="42">
        <f t="shared" si="42"/>
        <v>10173.17003580345</v>
      </c>
      <c r="P20" s="42">
        <f t="shared" si="42"/>
        <v>10330.08824509978</v>
      </c>
      <c r="Q20" s="42">
        <f t="shared" si="42"/>
        <v>10418.889631620483</v>
      </c>
      <c r="R20" s="42">
        <f t="shared" si="42"/>
        <v>10831.392263763928</v>
      </c>
      <c r="S20" s="42">
        <f t="shared" si="42"/>
        <v>11309.765972995463</v>
      </c>
      <c r="T20" s="42">
        <f t="shared" ref="T20:Y20" si="43">1000000*T16/T$3</f>
        <v>11655.568558504045</v>
      </c>
      <c r="U20" s="42">
        <f t="shared" si="43"/>
        <v>12252.790064295959</v>
      </c>
      <c r="V20" s="42">
        <f t="shared" si="43"/>
        <v>12979.964711946777</v>
      </c>
      <c r="W20" s="42">
        <f t="shared" si="43"/>
        <v>13559.052919745694</v>
      </c>
      <c r="X20" s="42">
        <f t="shared" si="43"/>
        <v>13290.170318341832</v>
      </c>
      <c r="Y20" s="42">
        <f t="shared" si="43"/>
        <v>14256.257107144454</v>
      </c>
    </row>
    <row r="21" spans="1:25" x14ac:dyDescent="0.25">
      <c r="A21" s="46" t="s">
        <v>141</v>
      </c>
      <c r="B21" s="47"/>
      <c r="C21" s="47"/>
      <c r="D21" s="57">
        <f>1000000*D17/D$3</f>
        <v>4173.8178740780468</v>
      </c>
      <c r="E21" s="57">
        <f t="shared" ref="E21:S21" si="44">1000000*E17/E$3</f>
        <v>4259.1996199577661</v>
      </c>
      <c r="F21" s="57">
        <f t="shared" si="44"/>
        <v>4425.4570428664301</v>
      </c>
      <c r="G21" s="57">
        <f t="shared" si="44"/>
        <v>4489.3700833423109</v>
      </c>
      <c r="H21" s="57">
        <f t="shared" si="44"/>
        <v>4687.4228704005573</v>
      </c>
      <c r="I21" s="57">
        <f t="shared" si="44"/>
        <v>4774.69733382902</v>
      </c>
      <c r="J21" s="57">
        <f t="shared" si="44"/>
        <v>5002.6396955224191</v>
      </c>
      <c r="K21" s="57">
        <f t="shared" si="44"/>
        <v>5289.5259194628188</v>
      </c>
      <c r="L21" s="57">
        <f t="shared" si="44"/>
        <v>5644.2173124952678</v>
      </c>
      <c r="M21" s="57">
        <f t="shared" si="44"/>
        <v>5835.5584704047296</v>
      </c>
      <c r="N21" s="57">
        <f t="shared" si="44"/>
        <v>6023.7969145092547</v>
      </c>
      <c r="O21" s="57">
        <f t="shared" si="44"/>
        <v>6160.7884393147688</v>
      </c>
      <c r="P21" s="57">
        <f t="shared" si="44"/>
        <v>6214.1738614899505</v>
      </c>
      <c r="Q21" s="57">
        <f t="shared" si="44"/>
        <v>6210.113830179539</v>
      </c>
      <c r="R21" s="57">
        <f t="shared" si="44"/>
        <v>6418.0022435195979</v>
      </c>
      <c r="S21" s="57">
        <f t="shared" si="44"/>
        <v>6663.1287682919683</v>
      </c>
      <c r="T21" s="57">
        <f t="shared" ref="T21:Y21" si="45">1000000*T17/T$3</f>
        <v>6916.4980816619864</v>
      </c>
      <c r="U21" s="57">
        <f t="shared" si="45"/>
        <v>7342.4360374450762</v>
      </c>
      <c r="V21" s="57">
        <f t="shared" si="45"/>
        <v>7680.9188556381278</v>
      </c>
      <c r="W21" s="57">
        <f t="shared" si="45"/>
        <v>7943.2632349628366</v>
      </c>
      <c r="X21" s="57">
        <f t="shared" si="45"/>
        <v>7673.2550326186092</v>
      </c>
      <c r="Y21" s="57">
        <f t="shared" si="45"/>
        <v>8167.0496382649908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225203.40779390186</v>
      </c>
      <c r="E23" s="60">
        <v>228245.71773220747</v>
      </c>
      <c r="F23" s="60">
        <v>232702.4013829561</v>
      </c>
      <c r="G23" s="60">
        <v>240410.65026710689</v>
      </c>
      <c r="H23" s="60">
        <v>253166.97910157606</v>
      </c>
      <c r="I23" s="60">
        <v>261707.12531901253</v>
      </c>
      <c r="J23" s="60">
        <v>277691.60626067687</v>
      </c>
      <c r="K23" s="60">
        <v>297447.19896623987</v>
      </c>
      <c r="L23" s="60">
        <v>309230.94055331219</v>
      </c>
      <c r="M23" s="60">
        <v>318874.13316412095</v>
      </c>
      <c r="N23" s="60">
        <v>327889.81483405718</v>
      </c>
      <c r="O23" s="60">
        <v>344191.12294348882</v>
      </c>
      <c r="P23" s="60">
        <v>348903.34990893654</v>
      </c>
      <c r="Q23" s="60">
        <v>351641.54086732556</v>
      </c>
      <c r="R23" s="60">
        <v>364802.1734061857</v>
      </c>
      <c r="S23" s="60">
        <v>381297.5</v>
      </c>
      <c r="T23" s="60">
        <v>392040.42157211271</v>
      </c>
      <c r="U23" s="60">
        <v>411609.98691231251</v>
      </c>
      <c r="V23" s="60">
        <v>435999.52113968757</v>
      </c>
      <c r="W23" s="60">
        <v>454965.44148382894</v>
      </c>
      <c r="X23" s="60">
        <v>445639.36380945053</v>
      </c>
      <c r="Y23" s="60">
        <v>475201.1938035909</v>
      </c>
    </row>
    <row r="24" spans="1:25" x14ac:dyDescent="0.25">
      <c r="A24" s="61" t="s">
        <v>33</v>
      </c>
      <c r="B24" s="62"/>
      <c r="C24" s="62"/>
      <c r="D24" s="63">
        <v>7933.5833469210284</v>
      </c>
      <c r="E24" s="63">
        <v>8352.7141133896257</v>
      </c>
      <c r="F24" s="63">
        <v>7189.6178080647387</v>
      </c>
      <c r="G24" s="63">
        <v>7120.7719884938579</v>
      </c>
      <c r="H24" s="63">
        <v>9424.2866069568845</v>
      </c>
      <c r="I24" s="63">
        <v>8692.7440521547705</v>
      </c>
      <c r="J24" s="63">
        <v>8529.4796620342586</v>
      </c>
      <c r="K24" s="63">
        <v>10379.298737118721</v>
      </c>
      <c r="L24" s="63">
        <v>9189.5922300012589</v>
      </c>
      <c r="M24" s="63">
        <v>9192.7661696052219</v>
      </c>
      <c r="N24" s="63">
        <v>10948.897524886219</v>
      </c>
      <c r="O24" s="63">
        <v>12534.682501715926</v>
      </c>
      <c r="P24" s="63">
        <v>11862.708985614014</v>
      </c>
      <c r="Q24" s="63">
        <v>12884.986866446583</v>
      </c>
      <c r="R24" s="63">
        <v>12330.836213975083</v>
      </c>
      <c r="S24" s="63">
        <v>10759.1</v>
      </c>
      <c r="T24" s="63">
        <v>11747.76771711173</v>
      </c>
      <c r="U24" s="63">
        <v>14115.977046209604</v>
      </c>
      <c r="V24" s="63">
        <v>12020.391468305434</v>
      </c>
      <c r="W24" s="63">
        <v>12265.599937784949</v>
      </c>
      <c r="X24" s="63">
        <v>12996.807508125468</v>
      </c>
      <c r="Y24" s="63">
        <v>12242.834809796768</v>
      </c>
    </row>
    <row r="25" spans="1:25" x14ac:dyDescent="0.25">
      <c r="A25" s="64" t="s">
        <v>56</v>
      </c>
      <c r="B25" s="65"/>
      <c r="C25" s="65"/>
      <c r="D25" s="66">
        <v>5538.208598293385</v>
      </c>
      <c r="E25" s="66">
        <v>5276.3570566948138</v>
      </c>
      <c r="F25" s="66">
        <v>5130.3411041100353</v>
      </c>
      <c r="G25" s="66">
        <v>5116.8326933159515</v>
      </c>
      <c r="H25" s="66">
        <v>6509.1994723321541</v>
      </c>
      <c r="I25" s="66">
        <v>6738.8753825126696</v>
      </c>
      <c r="J25" s="66">
        <v>6785.2855625836837</v>
      </c>
      <c r="K25" s="66">
        <v>6816.3012672248105</v>
      </c>
      <c r="L25" s="66">
        <v>7518.2290910147285</v>
      </c>
      <c r="M25" s="66">
        <v>6869.5327018084581</v>
      </c>
      <c r="N25" s="66">
        <v>8159.1471144454372</v>
      </c>
      <c r="O25" s="66">
        <v>9450.0717569001026</v>
      </c>
      <c r="P25" s="66">
        <v>8974.8705670493382</v>
      </c>
      <c r="Q25" s="66">
        <v>7825.8603244038804</v>
      </c>
      <c r="R25" s="66">
        <v>6770.9104179549295</v>
      </c>
      <c r="S25" s="66">
        <v>6681.5</v>
      </c>
      <c r="T25" s="66">
        <v>6520.8799481399392</v>
      </c>
      <c r="U25" s="66">
        <v>7646.7331118493912</v>
      </c>
      <c r="V25" s="66">
        <v>7605.4989125880402</v>
      </c>
      <c r="W25" s="66">
        <v>7456.8626116711548</v>
      </c>
      <c r="X25" s="66">
        <v>6640.4792584187553</v>
      </c>
      <c r="Y25" s="66">
        <v>7618.3618361836179</v>
      </c>
    </row>
    <row r="26" spans="1:25" x14ac:dyDescent="0.25">
      <c r="A26" s="67" t="s">
        <v>146</v>
      </c>
      <c r="B26" s="44"/>
      <c r="C26" s="44"/>
      <c r="D26" s="45">
        <v>148692.59198869503</v>
      </c>
      <c r="E26" s="45">
        <v>153912.66586248495</v>
      </c>
      <c r="F26" s="45">
        <v>159808.84139848928</v>
      </c>
      <c r="G26" s="45">
        <v>163155.9705828173</v>
      </c>
      <c r="H26" s="45">
        <v>166069.84655974447</v>
      </c>
      <c r="I26" s="45">
        <v>172806.46370816551</v>
      </c>
      <c r="J26" s="45">
        <v>183167.50542499655</v>
      </c>
      <c r="K26" s="45">
        <v>195237.75396075612</v>
      </c>
      <c r="L26" s="45">
        <v>205143.55711781848</v>
      </c>
      <c r="M26" s="45">
        <v>209382.45025608485</v>
      </c>
      <c r="N26" s="45">
        <v>212866.53920488778</v>
      </c>
      <c r="O26" s="45">
        <v>219180.20341521245</v>
      </c>
      <c r="P26" s="45">
        <v>225642.15114494445</v>
      </c>
      <c r="Q26" s="45">
        <v>232519.18929692049</v>
      </c>
      <c r="R26" s="45">
        <v>237354.4051010168</v>
      </c>
      <c r="S26" s="45">
        <v>246340.99999999997</v>
      </c>
      <c r="T26" s="45">
        <v>253181.13381150542</v>
      </c>
      <c r="U26" s="45">
        <v>272118.99728178792</v>
      </c>
      <c r="V26" s="45">
        <v>291296.91334623599</v>
      </c>
      <c r="W26" s="45">
        <v>305015.4079460284</v>
      </c>
      <c r="X26" s="45">
        <v>300199.04994518915</v>
      </c>
      <c r="Y26" s="45">
        <v>320862.47572125634</v>
      </c>
    </row>
    <row r="27" spans="1:25" x14ac:dyDescent="0.25">
      <c r="A27" s="68" t="s">
        <v>148</v>
      </c>
      <c r="B27" s="69"/>
      <c r="C27" s="69"/>
      <c r="D27" s="70">
        <v>48888.254796456327</v>
      </c>
      <c r="E27" s="70">
        <v>52023.763570566945</v>
      </c>
      <c r="F27" s="70">
        <v>55048.165453657188</v>
      </c>
      <c r="G27" s="70">
        <v>57665.046548865692</v>
      </c>
      <c r="H27" s="70">
        <v>58140.665139207107</v>
      </c>
      <c r="I27" s="70">
        <v>60235.494756703789</v>
      </c>
      <c r="J27" s="70">
        <v>64312.641396186344</v>
      </c>
      <c r="K27" s="70">
        <v>67523.753678426787</v>
      </c>
      <c r="L27" s="70">
        <v>71788.43602630026</v>
      </c>
      <c r="M27" s="70">
        <v>73856.909758419089</v>
      </c>
      <c r="N27" s="70">
        <v>77968.681809680158</v>
      </c>
      <c r="O27" s="70">
        <v>79915.139665966417</v>
      </c>
      <c r="P27" s="70">
        <v>79926.228334049578</v>
      </c>
      <c r="Q27" s="70">
        <v>83183.941292505187</v>
      </c>
      <c r="R27" s="70">
        <v>87768.507912050016</v>
      </c>
      <c r="S27" s="70">
        <v>89387.4</v>
      </c>
      <c r="T27" s="70">
        <v>92259.153928190543</v>
      </c>
      <c r="U27" s="70">
        <v>98251.585623678649</v>
      </c>
      <c r="V27" s="70">
        <v>107035.75490333007</v>
      </c>
      <c r="W27" s="70">
        <v>110568.19838824136</v>
      </c>
      <c r="X27" s="70">
        <v>107653.9992691886</v>
      </c>
      <c r="Y27" s="70">
        <v>116522.14695153726</v>
      </c>
    </row>
    <row r="28" spans="1:25" x14ac:dyDescent="0.25">
      <c r="A28" s="68" t="s">
        <v>150</v>
      </c>
      <c r="B28" s="71"/>
      <c r="C28" s="71"/>
      <c r="D28" s="70">
        <v>50612.397412902865</v>
      </c>
      <c r="E28" s="70">
        <v>51454.041013268994</v>
      </c>
      <c r="F28" s="70">
        <v>53106.139372909594</v>
      </c>
      <c r="G28" s="70">
        <v>54897.195731957887</v>
      </c>
      <c r="H28" s="70">
        <v>56297.576893702702</v>
      </c>
      <c r="I28" s="70">
        <v>58538.166600142722</v>
      </c>
      <c r="J28" s="70">
        <v>61653.469689274665</v>
      </c>
      <c r="K28" s="70">
        <v>66946.60716030882</v>
      </c>
      <c r="L28" s="70">
        <v>70221.557292120575</v>
      </c>
      <c r="M28" s="70">
        <v>69872.637447309986</v>
      </c>
      <c r="N28" s="70">
        <v>68656.351960763946</v>
      </c>
      <c r="O28" s="70">
        <v>71296.927972711579</v>
      </c>
      <c r="P28" s="70">
        <v>73765.629156690615</v>
      </c>
      <c r="Q28" s="70">
        <v>76570.864974806056</v>
      </c>
      <c r="R28" s="70">
        <v>81338.003183066889</v>
      </c>
      <c r="S28" s="70">
        <v>84630.199999999983</v>
      </c>
      <c r="T28" s="70">
        <v>88043.223688337763</v>
      </c>
      <c r="U28" s="70">
        <v>95602.536997885851</v>
      </c>
      <c r="V28" s="70">
        <v>102687.304215966</v>
      </c>
      <c r="W28" s="70">
        <v>110825.90479153098</v>
      </c>
      <c r="X28" s="70">
        <v>110414.15850914475</v>
      </c>
      <c r="Y28" s="70">
        <v>115516.79378464162</v>
      </c>
    </row>
    <row r="29" spans="1:25" x14ac:dyDescent="0.25">
      <c r="A29" s="68" t="s">
        <v>152</v>
      </c>
      <c r="B29" s="71"/>
      <c r="C29" s="71"/>
      <c r="D29" s="70">
        <v>49191.939779335837</v>
      </c>
      <c r="E29" s="70">
        <v>50434.861278648998</v>
      </c>
      <c r="F29" s="70">
        <v>51654.536571922501</v>
      </c>
      <c r="G29" s="70">
        <v>50593.728301993731</v>
      </c>
      <c r="H29" s="70">
        <v>51631.604526834686</v>
      </c>
      <c r="I29" s="70">
        <v>54032.802351318998</v>
      </c>
      <c r="J29" s="70">
        <v>57201.394339535502</v>
      </c>
      <c r="K29" s="70">
        <v>60767.393122020527</v>
      </c>
      <c r="L29" s="70">
        <v>63133.563799397671</v>
      </c>
      <c r="M29" s="70">
        <v>65652.903050355802</v>
      </c>
      <c r="N29" s="70">
        <v>66241.505434443709</v>
      </c>
      <c r="O29" s="70">
        <v>67968.135776534444</v>
      </c>
      <c r="P29" s="70">
        <v>71950.293654204288</v>
      </c>
      <c r="Q29" s="70">
        <v>72764.38302960922</v>
      </c>
      <c r="R29" s="70">
        <v>68247.894005899856</v>
      </c>
      <c r="S29" s="70">
        <v>72323.399999999965</v>
      </c>
      <c r="T29" s="70">
        <v>72878.75619497709</v>
      </c>
      <c r="U29" s="70">
        <v>78264.87466022349</v>
      </c>
      <c r="V29" s="70">
        <v>81573.854226939919</v>
      </c>
      <c r="W29" s="70">
        <v>83621.304766256115</v>
      </c>
      <c r="X29" s="70">
        <v>82130.89216685576</v>
      </c>
      <c r="Y29" s="70">
        <v>88823.534985077436</v>
      </c>
    </row>
    <row r="30" spans="1:25" x14ac:dyDescent="0.25">
      <c r="A30" s="64" t="s">
        <v>154</v>
      </c>
      <c r="B30" s="65"/>
      <c r="C30" s="65"/>
      <c r="D30" s="66">
        <v>7055.8182509919006</v>
      </c>
      <c r="E30" s="66">
        <v>7878.7696019300356</v>
      </c>
      <c r="F30" s="66">
        <v>8490.1476906888474</v>
      </c>
      <c r="G30" s="66">
        <v>9597.2850037550834</v>
      </c>
      <c r="H30" s="66">
        <v>11542.178712768175</v>
      </c>
      <c r="I30" s="66">
        <v>9974.720901822755</v>
      </c>
      <c r="J30" s="66">
        <v>9968.4888499007338</v>
      </c>
      <c r="K30" s="66">
        <v>10293.405435927507</v>
      </c>
      <c r="L30" s="66">
        <v>10424.038191519236</v>
      </c>
      <c r="M30" s="66">
        <v>11538.775325205095</v>
      </c>
      <c r="N30" s="66">
        <v>12798.063135144121</v>
      </c>
      <c r="O30" s="66">
        <v>13281.994217849789</v>
      </c>
      <c r="P30" s="66">
        <v>14605.562035729634</v>
      </c>
      <c r="Q30" s="66">
        <v>14831.614558313999</v>
      </c>
      <c r="R30" s="66">
        <v>13532.089166421685</v>
      </c>
      <c r="S30" s="66">
        <v>14532.9</v>
      </c>
      <c r="T30" s="66">
        <v>14866.37669643044</v>
      </c>
      <c r="U30" s="66">
        <v>14249.773482331622</v>
      </c>
      <c r="V30" s="66">
        <v>14519.24419880684</v>
      </c>
      <c r="W30" s="66">
        <v>14779.379599296193</v>
      </c>
      <c r="X30" s="66">
        <v>15876.781352770351</v>
      </c>
      <c r="Y30" s="66">
        <v>17238.239613435027</v>
      </c>
    </row>
    <row r="31" spans="1:25" x14ac:dyDescent="0.25">
      <c r="A31" s="64" t="s">
        <v>37</v>
      </c>
      <c r="B31" s="65"/>
      <c r="C31" s="65"/>
      <c r="D31" s="66">
        <v>18475.052992010435</v>
      </c>
      <c r="E31" s="66">
        <v>18376.718938480095</v>
      </c>
      <c r="F31" s="66">
        <v>17261.270966691303</v>
      </c>
      <c r="G31" s="66">
        <v>16419.492426067365</v>
      </c>
      <c r="H31" s="66">
        <v>18171.908630146496</v>
      </c>
      <c r="I31" s="66">
        <v>19833.206333079332</v>
      </c>
      <c r="J31" s="66">
        <v>21243.478461609495</v>
      </c>
      <c r="K31" s="66">
        <v>23223.767794898526</v>
      </c>
      <c r="L31" s="66">
        <v>25357.948658358266</v>
      </c>
      <c r="M31" s="66">
        <v>27231.904092825094</v>
      </c>
      <c r="N31" s="66">
        <v>26898.730231301564</v>
      </c>
      <c r="O31" s="66">
        <v>31248.154079743756</v>
      </c>
      <c r="P31" s="66">
        <v>28428.489573740972</v>
      </c>
      <c r="Q31" s="66">
        <v>26965.99585041036</v>
      </c>
      <c r="R31" s="66">
        <v>29601.609780327835</v>
      </c>
      <c r="S31" s="66">
        <v>33012.1</v>
      </c>
      <c r="T31" s="66">
        <v>30596.286150436001</v>
      </c>
      <c r="U31" s="66">
        <v>30400.986610288935</v>
      </c>
      <c r="V31" s="66">
        <v>34491.210918015131</v>
      </c>
      <c r="W31" s="66">
        <v>35247.839485170458</v>
      </c>
      <c r="X31" s="66">
        <v>33276.631344116002</v>
      </c>
      <c r="Y31" s="66">
        <v>30622.57804727841</v>
      </c>
    </row>
    <row r="32" spans="1:25" x14ac:dyDescent="0.25">
      <c r="A32" s="64" t="s">
        <v>58</v>
      </c>
      <c r="B32" s="65"/>
      <c r="C32" s="65"/>
      <c r="D32" s="66">
        <v>37508.152616990054</v>
      </c>
      <c r="E32" s="66">
        <v>34448.492159227979</v>
      </c>
      <c r="F32" s="66">
        <v>34822.182414911877</v>
      </c>
      <c r="G32" s="66">
        <v>39000.297572657313</v>
      </c>
      <c r="H32" s="66">
        <v>41449.559119627847</v>
      </c>
      <c r="I32" s="66">
        <v>43661.114941277498</v>
      </c>
      <c r="J32" s="66">
        <v>47997.368299552145</v>
      </c>
      <c r="K32" s="66">
        <v>51496.671770314155</v>
      </c>
      <c r="L32" s="66">
        <v>51597.575264600222</v>
      </c>
      <c r="M32" s="66">
        <v>54658.704618592223</v>
      </c>
      <c r="N32" s="66">
        <v>56218.437623392005</v>
      </c>
      <c r="O32" s="66">
        <v>58496.016972066805</v>
      </c>
      <c r="P32" s="66">
        <v>59389.567601858107</v>
      </c>
      <c r="Q32" s="66">
        <v>56613.89397083022</v>
      </c>
      <c r="R32" s="66">
        <v>65212.322726489423</v>
      </c>
      <c r="S32" s="66">
        <v>69970.900000000009</v>
      </c>
      <c r="T32" s="66">
        <v>75127.977248489173</v>
      </c>
      <c r="U32" s="66">
        <v>73077.519379844962</v>
      </c>
      <c r="V32" s="66">
        <v>76066.262295736145</v>
      </c>
      <c r="W32" s="66">
        <v>80200.351903877745</v>
      </c>
      <c r="X32" s="66">
        <v>76649.614400830818</v>
      </c>
      <c r="Y32" s="66">
        <v>86616.703775640737</v>
      </c>
    </row>
    <row r="33" spans="1:25" x14ac:dyDescent="0.25">
      <c r="A33" s="72" t="s">
        <v>158</v>
      </c>
      <c r="B33" s="65"/>
      <c r="C33" s="65"/>
      <c r="D33" s="66">
        <v>1042.4479591282134</v>
      </c>
      <c r="E33" s="66">
        <v>937.87696019300358</v>
      </c>
      <c r="F33" s="66">
        <v>952.53604579789305</v>
      </c>
      <c r="G33" s="66">
        <v>960.73457935979366</v>
      </c>
      <c r="H33" s="66">
        <v>1841.977365826564</v>
      </c>
      <c r="I33" s="66">
        <v>1702.8919772125257</v>
      </c>
      <c r="J33" s="66">
        <v>2510.042014866799</v>
      </c>
      <c r="K33" s="66">
        <v>2836.6507041947643</v>
      </c>
      <c r="L33" s="66">
        <v>1662.0670288276249</v>
      </c>
      <c r="M33" s="66">
        <v>1632.0310021302635</v>
      </c>
      <c r="N33" s="66">
        <v>1153.5983707059581</v>
      </c>
      <c r="O33" s="66">
        <v>1739.4288566733917</v>
      </c>
      <c r="P33" s="66">
        <v>1770.2130271962676</v>
      </c>
      <c r="Q33" s="66">
        <v>1721.4664608906287</v>
      </c>
      <c r="R33" s="66">
        <v>2083.4896144839681</v>
      </c>
      <c r="S33" s="66">
        <v>2232.6999999999998</v>
      </c>
      <c r="T33" s="66">
        <v>2426.9672319692181</v>
      </c>
      <c r="U33" s="66">
        <v>2264.1699385885431</v>
      </c>
      <c r="V33" s="66">
        <v>2331.8501965322534</v>
      </c>
      <c r="W33" s="66">
        <v>2136.0176535204973</v>
      </c>
      <c r="X33" s="66">
        <v>1800.4884897205609</v>
      </c>
      <c r="Y33" s="66">
        <v>3051.873608413473</v>
      </c>
    </row>
    <row r="34" spans="1:25" x14ac:dyDescent="0.25">
      <c r="A34" s="73" t="s">
        <v>5</v>
      </c>
      <c r="B34" s="65"/>
      <c r="C34" s="65"/>
      <c r="D34" s="66">
        <v>867.25552028030347</v>
      </c>
      <c r="E34" s="66">
        <v>780.25858648264011</v>
      </c>
      <c r="F34" s="66">
        <v>792.45408535793536</v>
      </c>
      <c r="G34" s="66">
        <v>799.2747841060127</v>
      </c>
      <c r="H34" s="66">
        <v>1532.4170619321851</v>
      </c>
      <c r="I34" s="66">
        <v>1416.7061815859556</v>
      </c>
      <c r="J34" s="66">
        <v>2088.2076409350911</v>
      </c>
      <c r="K34" s="66">
        <v>2359.9269016529825</v>
      </c>
      <c r="L34" s="66">
        <v>1382.7422205633131</v>
      </c>
      <c r="M34" s="66">
        <v>1184.6472889227828</v>
      </c>
      <c r="N34" s="66">
        <v>862.94017997100559</v>
      </c>
      <c r="O34" s="66">
        <v>1290.6599509964014</v>
      </c>
      <c r="P34" s="66">
        <v>1318.7899859956945</v>
      </c>
      <c r="Q34" s="66">
        <v>1287.2541868799306</v>
      </c>
      <c r="R34" s="66">
        <v>1551.5076385077371</v>
      </c>
      <c r="S34" s="66">
        <v>1616.5778767565935</v>
      </c>
      <c r="T34" s="66">
        <v>1717.3755930423749</v>
      </c>
      <c r="U34" s="66">
        <v>1540.302947488912</v>
      </c>
      <c r="V34" s="66">
        <v>1648.2220314281408</v>
      </c>
      <c r="W34" s="66">
        <v>1347.2050991407461</v>
      </c>
      <c r="X34" s="66">
        <v>1134.8377370962035</v>
      </c>
      <c r="Y34" s="66">
        <v>1647.7073733977388</v>
      </c>
    </row>
    <row r="35" spans="1:25" x14ac:dyDescent="0.25">
      <c r="A35" s="74" t="s">
        <v>270</v>
      </c>
      <c r="B35" s="44"/>
      <c r="C35" s="44"/>
      <c r="D35" s="45">
        <v>633.41682889565504</v>
      </c>
      <c r="E35" s="45">
        <v>564.52153398878806</v>
      </c>
      <c r="F35" s="45">
        <v>582.78042178049645</v>
      </c>
      <c r="G35" s="45">
        <v>567.49925075016802</v>
      </c>
      <c r="H35" s="45">
        <v>1051.4897309899613</v>
      </c>
      <c r="I35" s="45">
        <v>883.58876679571358</v>
      </c>
      <c r="J35" s="45">
        <v>1275.1904715119158</v>
      </c>
      <c r="K35" s="45">
        <v>1454.9052127145569</v>
      </c>
      <c r="L35" s="45">
        <v>797.42235270472406</v>
      </c>
      <c r="M35" s="45">
        <v>582.11048653859382</v>
      </c>
      <c r="N35" s="45">
        <v>467.96365927711889</v>
      </c>
      <c r="O35" s="45">
        <v>700.92740262596521</v>
      </c>
      <c r="P35" s="45">
        <v>718.20341494555657</v>
      </c>
      <c r="Q35" s="45">
        <v>761.11060539468679</v>
      </c>
      <c r="R35" s="45">
        <v>974.14104887843246</v>
      </c>
      <c r="S35" s="45">
        <v>994.16799308909299</v>
      </c>
      <c r="T35" s="45">
        <v>1036.3770880413767</v>
      </c>
      <c r="U35" s="45">
        <v>910.57056964756055</v>
      </c>
      <c r="V35" s="45">
        <v>938.54336659852731</v>
      </c>
      <c r="W35" s="45">
        <v>792.3065673359423</v>
      </c>
      <c r="X35" s="45">
        <v>613.2430778474378</v>
      </c>
      <c r="Y35" s="45">
        <v>885.06995436327622</v>
      </c>
    </row>
    <row r="36" spans="1:25" x14ac:dyDescent="0.25">
      <c r="A36" s="74" t="s">
        <v>15</v>
      </c>
      <c r="B36" s="44"/>
      <c r="C36" s="44"/>
      <c r="D36" s="45">
        <v>233.83869138464843</v>
      </c>
      <c r="E36" s="45">
        <v>215.73705249385205</v>
      </c>
      <c r="F36" s="45">
        <v>209.6736635774389</v>
      </c>
      <c r="G36" s="45">
        <v>231.77553335584469</v>
      </c>
      <c r="H36" s="45">
        <v>480.92733094222376</v>
      </c>
      <c r="I36" s="45">
        <v>533.11741479024204</v>
      </c>
      <c r="J36" s="45">
        <v>813.01716942317535</v>
      </c>
      <c r="K36" s="45">
        <v>905.02168893842554</v>
      </c>
      <c r="L36" s="45">
        <v>585.31986785858908</v>
      </c>
      <c r="M36" s="45">
        <v>602.53680238418895</v>
      </c>
      <c r="N36" s="45">
        <v>394.9765206938867</v>
      </c>
      <c r="O36" s="45">
        <v>589.73254837043623</v>
      </c>
      <c r="P36" s="45">
        <v>600.58657105013788</v>
      </c>
      <c r="Q36" s="45">
        <v>526.14358148524377</v>
      </c>
      <c r="R36" s="45">
        <v>577.3665896293046</v>
      </c>
      <c r="S36" s="45">
        <v>622.40988366750048</v>
      </c>
      <c r="T36" s="45">
        <v>680.99850500099819</v>
      </c>
      <c r="U36" s="45">
        <v>629.73237784135142</v>
      </c>
      <c r="V36" s="45">
        <v>709.67866482961347</v>
      </c>
      <c r="W36" s="45">
        <v>554.89853180480384</v>
      </c>
      <c r="X36" s="45">
        <v>521.59465924876565</v>
      </c>
      <c r="Y36" s="45">
        <v>762.6374190344626</v>
      </c>
    </row>
    <row r="37" spans="1:25" x14ac:dyDescent="0.25">
      <c r="A37" s="73" t="s">
        <v>269</v>
      </c>
      <c r="B37" s="65"/>
      <c r="C37" s="65"/>
      <c r="D37" s="66">
        <v>175.1924388479099</v>
      </c>
      <c r="E37" s="66">
        <v>157.61837371036347</v>
      </c>
      <c r="F37" s="66">
        <v>160.0819604399577</v>
      </c>
      <c r="G37" s="66">
        <v>161.45979525378095</v>
      </c>
      <c r="H37" s="66">
        <v>309.56030389437888</v>
      </c>
      <c r="I37" s="66">
        <v>286.1857956265701</v>
      </c>
      <c r="J37" s="66">
        <v>421.83437393170789</v>
      </c>
      <c r="K37" s="66">
        <v>476.72380254178188</v>
      </c>
      <c r="L37" s="66">
        <v>279.32480826431151</v>
      </c>
      <c r="M37" s="66">
        <v>447.3837132074807</v>
      </c>
      <c r="N37" s="66">
        <v>290.65819073495254</v>
      </c>
      <c r="O37" s="66">
        <v>448.76890567699024</v>
      </c>
      <c r="P37" s="66">
        <v>451.42304120057315</v>
      </c>
      <c r="Q37" s="66">
        <v>434.21227401069814</v>
      </c>
      <c r="R37" s="66">
        <v>531.98197597623107</v>
      </c>
      <c r="S37" s="66">
        <v>616.12212324340635</v>
      </c>
      <c r="T37" s="66">
        <v>709.59163892684319</v>
      </c>
      <c r="U37" s="66">
        <v>723.86699109963115</v>
      </c>
      <c r="V37" s="66">
        <v>683.62816510411267</v>
      </c>
      <c r="W37" s="66">
        <v>788.81255437975119</v>
      </c>
      <c r="X37" s="66">
        <v>665.65075262435744</v>
      </c>
      <c r="Y37" s="66">
        <v>1404.1662350157342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100.11292469111405</v>
      </c>
      <c r="E39" s="45">
        <v>90.070304865727067</v>
      </c>
      <c r="F39" s="45">
        <v>91.478110330117033</v>
      </c>
      <c r="G39" s="45">
        <v>92.265467786067688</v>
      </c>
      <c r="H39" s="45">
        <v>176.89683182069626</v>
      </c>
      <c r="I39" s="45">
        <v>163.5395750732263</v>
      </c>
      <c r="J39" s="45">
        <v>241.05533998650736</v>
      </c>
      <c r="K39" s="45">
        <v>272.42165504505346</v>
      </c>
      <c r="L39" s="45">
        <v>159.61889495928156</v>
      </c>
      <c r="M39" s="45">
        <v>151.91820910565087</v>
      </c>
      <c r="N39" s="45">
        <v>172.32677276982048</v>
      </c>
      <c r="O39" s="45">
        <v>237.98339414314597</v>
      </c>
      <c r="P39" s="45">
        <v>228.55733617490353</v>
      </c>
      <c r="Q39" s="45">
        <v>280.76974755637599</v>
      </c>
      <c r="R39" s="45">
        <v>402.2950413807921</v>
      </c>
      <c r="S39" s="45">
        <v>388.87709707333852</v>
      </c>
      <c r="T39" s="45">
        <v>428.61969782288338</v>
      </c>
      <c r="U39" s="45">
        <v>457.93520232648871</v>
      </c>
      <c r="V39" s="45">
        <v>503.90867242648528</v>
      </c>
      <c r="W39" s="45">
        <v>552.07400994670684</v>
      </c>
      <c r="X39" s="45">
        <v>333.85850414494342</v>
      </c>
      <c r="Y39" s="45">
        <v>642.49509337520499</v>
      </c>
    </row>
    <row r="40" spans="1:25" x14ac:dyDescent="0.25">
      <c r="A40" s="75" t="s">
        <v>273</v>
      </c>
      <c r="B40" s="76"/>
      <c r="C40" s="76"/>
      <c r="D40" s="45">
        <v>34.031257086876565</v>
      </c>
      <c r="E40" s="45">
        <v>28.349834938432341</v>
      </c>
      <c r="F40" s="45">
        <v>29.345046075738743</v>
      </c>
      <c r="G40" s="45">
        <v>26.748631301559183</v>
      </c>
      <c r="H40" s="45">
        <v>47.224058353963365</v>
      </c>
      <c r="I40" s="45">
        <v>50.049894744677268</v>
      </c>
      <c r="J40" s="45">
        <v>45.922307073833885</v>
      </c>
      <c r="K40" s="45">
        <v>47.348037806284189</v>
      </c>
      <c r="L40" s="45">
        <v>27.011665449671543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66.081667604237481</v>
      </c>
      <c r="E41" s="45">
        <v>61.720469927294729</v>
      </c>
      <c r="F41" s="45">
        <v>62.13306425437829</v>
      </c>
      <c r="G41" s="45">
        <v>65.516836484508502</v>
      </c>
      <c r="H41" s="45">
        <v>129.67277346673291</v>
      </c>
      <c r="I41" s="45">
        <v>113.48968032854904</v>
      </c>
      <c r="J41" s="45">
        <v>195.13303291267349</v>
      </c>
      <c r="K41" s="45">
        <v>225.07361723876926</v>
      </c>
      <c r="L41" s="45">
        <v>132.60722950961002</v>
      </c>
      <c r="M41" s="45">
        <v>151.91820910565087</v>
      </c>
      <c r="N41" s="45">
        <v>172.32677276982048</v>
      </c>
      <c r="O41" s="45">
        <v>237.98339414314597</v>
      </c>
      <c r="P41" s="45">
        <v>228.55733617490353</v>
      </c>
      <c r="Q41" s="45">
        <v>280.76974755637599</v>
      </c>
      <c r="R41" s="45">
        <v>402.2950413807921</v>
      </c>
      <c r="S41" s="45">
        <v>388.87709707333852</v>
      </c>
      <c r="T41" s="45">
        <v>428.61969782288338</v>
      </c>
      <c r="U41" s="45">
        <v>457.93520232648871</v>
      </c>
      <c r="V41" s="45">
        <v>503.90867242648528</v>
      </c>
      <c r="W41" s="45">
        <v>552.07400994670684</v>
      </c>
      <c r="X41" s="45">
        <v>333.85850414494342</v>
      </c>
      <c r="Y41" s="45">
        <v>642.49509337520499</v>
      </c>
    </row>
    <row r="42" spans="1:25" x14ac:dyDescent="0.25">
      <c r="A42" s="74" t="s">
        <v>13</v>
      </c>
      <c r="B42" s="44"/>
      <c r="C42" s="44"/>
      <c r="D42" s="45">
        <v>75.079514156795852</v>
      </c>
      <c r="E42" s="45">
        <v>67.548068844636418</v>
      </c>
      <c r="F42" s="45">
        <v>68.603850109840664</v>
      </c>
      <c r="G42" s="45">
        <v>69.194327467713251</v>
      </c>
      <c r="H42" s="45">
        <v>132.66347207368261</v>
      </c>
      <c r="I42" s="45">
        <v>122.64622055334378</v>
      </c>
      <c r="J42" s="45">
        <v>180.77903394520055</v>
      </c>
      <c r="K42" s="45">
        <v>204.30214749672842</v>
      </c>
      <c r="L42" s="45">
        <v>119.70591330502997</v>
      </c>
      <c r="M42" s="45">
        <v>295.46550410182982</v>
      </c>
      <c r="N42" s="45">
        <v>118.33141796513206</v>
      </c>
      <c r="O42" s="45">
        <v>210.78551153384427</v>
      </c>
      <c r="P42" s="45">
        <v>222.86570502566963</v>
      </c>
      <c r="Q42" s="45">
        <v>153.44252645432215</v>
      </c>
      <c r="R42" s="45">
        <v>129.68693459543897</v>
      </c>
      <c r="S42" s="45">
        <v>227.24502617006783</v>
      </c>
      <c r="T42" s="45">
        <v>280.97194110395981</v>
      </c>
      <c r="U42" s="45">
        <v>265.93178877314244</v>
      </c>
      <c r="V42" s="45">
        <v>179.71949267762739</v>
      </c>
      <c r="W42" s="45">
        <v>236.73854443304435</v>
      </c>
      <c r="X42" s="45">
        <v>331.79224847941396</v>
      </c>
      <c r="Y42" s="45">
        <v>761.67114164052919</v>
      </c>
    </row>
    <row r="43" spans="1:25" x14ac:dyDescent="0.25">
      <c r="A43" s="72" t="s">
        <v>271</v>
      </c>
      <c r="B43" s="65"/>
      <c r="C43" s="65"/>
      <c r="D43" s="66">
        <v>3028.2895809554866</v>
      </c>
      <c r="E43" s="66">
        <v>2801.0856453558504</v>
      </c>
      <c r="F43" s="66">
        <v>2856.4807275551493</v>
      </c>
      <c r="G43" s="66">
        <v>2904.7342392767569</v>
      </c>
      <c r="H43" s="66">
        <v>3115.4620565160035</v>
      </c>
      <c r="I43" s="66">
        <v>3293.4189677903159</v>
      </c>
      <c r="J43" s="66">
        <v>3502.0084029733603</v>
      </c>
      <c r="K43" s="66">
        <v>3756.9360741006176</v>
      </c>
      <c r="L43" s="66">
        <v>3761.535407527912</v>
      </c>
      <c r="M43" s="66">
        <v>3719.4624484430951</v>
      </c>
      <c r="N43" s="66">
        <v>4371.8697396038988</v>
      </c>
      <c r="O43" s="66">
        <v>4640.2795399238748</v>
      </c>
      <c r="P43" s="66">
        <v>4659.3815867558887</v>
      </c>
      <c r="Q43" s="66">
        <v>4250.672008667123</v>
      </c>
      <c r="R43" s="66">
        <v>4706.6813993329752</v>
      </c>
      <c r="S43" s="66">
        <v>5287.2</v>
      </c>
      <c r="T43" s="66">
        <v>5710.6710441019641</v>
      </c>
      <c r="U43" s="66">
        <v>4987.4156850901036</v>
      </c>
      <c r="V43" s="66">
        <v>5653.345038807638</v>
      </c>
      <c r="W43" s="66">
        <v>5354.3827586542102</v>
      </c>
      <c r="X43" s="66">
        <v>5468.1039290728304</v>
      </c>
      <c r="Y43" s="66">
        <v>6277.4172154057514</v>
      </c>
    </row>
    <row r="44" spans="1:25" x14ac:dyDescent="0.25">
      <c r="A44" s="73" t="s">
        <v>272</v>
      </c>
      <c r="B44" s="65"/>
      <c r="C44" s="65"/>
      <c r="D44" s="66">
        <v>2278.7923256698732</v>
      </c>
      <c r="E44" s="66">
        <v>2111.2183353437877</v>
      </c>
      <c r="F44" s="66">
        <v>2130.6793270615944</v>
      </c>
      <c r="G44" s="66">
        <v>2231.6532286633319</v>
      </c>
      <c r="H44" s="66">
        <v>2464.486565298896</v>
      </c>
      <c r="I44" s="66">
        <v>2542.6660377130274</v>
      </c>
      <c r="J44" s="66">
        <v>2736.7376148483313</v>
      </c>
      <c r="K44" s="66">
        <v>2554.755622156345</v>
      </c>
      <c r="L44" s="66">
        <v>2518.3743427359609</v>
      </c>
      <c r="M44" s="66">
        <v>2396.0930063907899</v>
      </c>
      <c r="N44" s="66">
        <v>3065.5250524740745</v>
      </c>
      <c r="O44" s="66">
        <v>3511.0963206389483</v>
      </c>
      <c r="P44" s="66">
        <v>3467.3706182086071</v>
      </c>
      <c r="Q44" s="66">
        <v>3032.6754632516022</v>
      </c>
      <c r="R44" s="66">
        <v>3348.0997901608766</v>
      </c>
      <c r="S44" s="66">
        <v>3913.4</v>
      </c>
      <c r="T44" s="66">
        <v>4347.8806382133371</v>
      </c>
      <c r="U44" s="66">
        <v>3778.9187556629417</v>
      </c>
      <c r="V44" s="66">
        <v>3729.9227837746166</v>
      </c>
      <c r="W44" s="66">
        <v>3949.683578143075</v>
      </c>
      <c r="X44" s="66">
        <v>3973.2099928842044</v>
      </c>
      <c r="Y44" s="66">
        <v>4621.9148230612536</v>
      </c>
    </row>
    <row r="45" spans="1:25" x14ac:dyDescent="0.25">
      <c r="A45" s="74" t="s">
        <v>20</v>
      </c>
      <c r="B45" s="44"/>
      <c r="C45" s="44"/>
      <c r="D45" s="45">
        <v>1158.6589841617135</v>
      </c>
      <c r="E45" s="45">
        <v>1115.2438418784698</v>
      </c>
      <c r="F45" s="45">
        <v>1120.3721519816904</v>
      </c>
      <c r="G45" s="45">
        <v>1146.612349829262</v>
      </c>
      <c r="H45" s="45">
        <v>1169.8475292942728</v>
      </c>
      <c r="I45" s="45">
        <v>1188.2578601671958</v>
      </c>
      <c r="J45" s="45">
        <v>1232.7715846198771</v>
      </c>
      <c r="K45" s="45">
        <v>1191.0794081177623</v>
      </c>
      <c r="L45" s="45">
        <v>1182.5681491958771</v>
      </c>
      <c r="M45" s="45">
        <v>916.78515722329792</v>
      </c>
      <c r="N45" s="45">
        <v>1236.8708860250183</v>
      </c>
      <c r="O45" s="45">
        <v>1724.71997484196</v>
      </c>
      <c r="P45" s="45">
        <v>1725.8975734606443</v>
      </c>
      <c r="Q45" s="45">
        <v>1472.7689991728628</v>
      </c>
      <c r="R45" s="45">
        <v>1593.1867025953013</v>
      </c>
      <c r="S45" s="45">
        <v>1859.9673561478999</v>
      </c>
      <c r="T45" s="45">
        <v>2005.7228170883486</v>
      </c>
      <c r="U45" s="45">
        <v>1925.85016758196</v>
      </c>
      <c r="V45" s="45">
        <v>1768.4933392875521</v>
      </c>
      <c r="W45" s="45">
        <v>1883.8429130668778</v>
      </c>
      <c r="X45" s="45">
        <v>1862.6303489670695</v>
      </c>
      <c r="Y45" s="45">
        <v>2163.6391498030998</v>
      </c>
    </row>
    <row r="46" spans="1:25" x14ac:dyDescent="0.25">
      <c r="A46" s="74" t="s">
        <v>12</v>
      </c>
      <c r="B46" s="44"/>
      <c r="C46" s="44"/>
      <c r="D46" s="45">
        <v>1120.1333415081597</v>
      </c>
      <c r="E46" s="45">
        <v>995.97449346531789</v>
      </c>
      <c r="F46" s="45">
        <v>1010.307175079904</v>
      </c>
      <c r="G46" s="45">
        <v>1085.0408788340699</v>
      </c>
      <c r="H46" s="45">
        <v>1294.6390360046232</v>
      </c>
      <c r="I46" s="45">
        <v>1354.4081775458317</v>
      </c>
      <c r="J46" s="45">
        <v>1503.9660302284542</v>
      </c>
      <c r="K46" s="45">
        <v>1363.6762140385827</v>
      </c>
      <c r="L46" s="45">
        <v>1335.8061935400838</v>
      </c>
      <c r="M46" s="45">
        <v>1479.3078491674919</v>
      </c>
      <c r="N46" s="45">
        <v>1828.6541664490562</v>
      </c>
      <c r="O46" s="45">
        <v>1786.3763457969883</v>
      </c>
      <c r="P46" s="45">
        <v>1741.4730447479628</v>
      </c>
      <c r="Q46" s="45">
        <v>1559.9064640787394</v>
      </c>
      <c r="R46" s="45">
        <v>1754.9130875655753</v>
      </c>
      <c r="S46" s="45">
        <v>2053.4326438521002</v>
      </c>
      <c r="T46" s="45">
        <v>2342.1578211249885</v>
      </c>
      <c r="U46" s="45">
        <v>1853.0685880809817</v>
      </c>
      <c r="V46" s="45">
        <v>1961.4294444870645</v>
      </c>
      <c r="W46" s="45">
        <v>2065.8406650761972</v>
      </c>
      <c r="X46" s="45">
        <v>2110.5796439171349</v>
      </c>
      <c r="Y46" s="45">
        <v>2458.2756732581538</v>
      </c>
    </row>
    <row r="47" spans="1:25" x14ac:dyDescent="0.25">
      <c r="A47" s="73" t="s">
        <v>11</v>
      </c>
      <c r="B47" s="65"/>
      <c r="C47" s="65"/>
      <c r="D47" s="66">
        <v>749.49725528561328</v>
      </c>
      <c r="E47" s="66">
        <v>689.86731001206272</v>
      </c>
      <c r="F47" s="66">
        <v>725.80140049355498</v>
      </c>
      <c r="G47" s="66">
        <v>673.08101061342484</v>
      </c>
      <c r="H47" s="66">
        <v>650.97549121710756</v>
      </c>
      <c r="I47" s="66">
        <v>750.75293007728874</v>
      </c>
      <c r="J47" s="66">
        <v>765.27078812502884</v>
      </c>
      <c r="K47" s="66">
        <v>1202.1804519442724</v>
      </c>
      <c r="L47" s="66">
        <v>1243.161064791951</v>
      </c>
      <c r="M47" s="66">
        <v>1323.369442052305</v>
      </c>
      <c r="N47" s="66">
        <v>1306.344687129824</v>
      </c>
      <c r="O47" s="66">
        <v>1129.183219284927</v>
      </c>
      <c r="P47" s="66">
        <v>1192.0109685472814</v>
      </c>
      <c r="Q47" s="66">
        <v>1217.9965454155213</v>
      </c>
      <c r="R47" s="66">
        <v>1358.5816091720985</v>
      </c>
      <c r="S47" s="66">
        <v>1373.8</v>
      </c>
      <c r="T47" s="66">
        <v>1362.7904058886265</v>
      </c>
      <c r="U47" s="66">
        <v>1208.4969294271621</v>
      </c>
      <c r="V47" s="66">
        <v>1923.4222550330214</v>
      </c>
      <c r="W47" s="66">
        <v>1404.6991805111356</v>
      </c>
      <c r="X47" s="66">
        <v>1494.8939361886262</v>
      </c>
      <c r="Y47" s="66">
        <v>1655.5023923444976</v>
      </c>
    </row>
    <row r="48" spans="1:25" x14ac:dyDescent="0.25">
      <c r="A48" s="72" t="s">
        <v>4</v>
      </c>
      <c r="B48" s="65"/>
      <c r="C48" s="65"/>
      <c r="D48" s="66">
        <v>3125.8492309364642</v>
      </c>
      <c r="E48" s="66">
        <v>2913.7515078407714</v>
      </c>
      <c r="F48" s="66">
        <v>2938.280574728482</v>
      </c>
      <c r="G48" s="66">
        <v>3245.6674838106301</v>
      </c>
      <c r="H48" s="66">
        <v>3386.5166979101582</v>
      </c>
      <c r="I48" s="66">
        <v>3270.4379694473669</v>
      </c>
      <c r="J48" s="66">
        <v>3787.9172630315347</v>
      </c>
      <c r="K48" s="66">
        <v>4793.8452183166655</v>
      </c>
      <c r="L48" s="66">
        <v>4399.2872982211502</v>
      </c>
      <c r="M48" s="66">
        <v>3824.3892489688619</v>
      </c>
      <c r="N48" s="66">
        <v>3875.8078929321064</v>
      </c>
      <c r="O48" s="66">
        <v>3925.2064310821761</v>
      </c>
      <c r="P48" s="66">
        <v>3682.7511408517003</v>
      </c>
      <c r="Q48" s="66">
        <v>3469.302235259247</v>
      </c>
      <c r="R48" s="66">
        <v>3960.2826239013866</v>
      </c>
      <c r="S48" s="66">
        <v>4370.0999999999995</v>
      </c>
      <c r="T48" s="66">
        <v>4472.5120762844799</v>
      </c>
      <c r="U48" s="66">
        <v>4448.6056579079832</v>
      </c>
      <c r="V48" s="66">
        <v>4813.1447155769265</v>
      </c>
      <c r="W48" s="66">
        <v>4908.0869844170738</v>
      </c>
      <c r="X48" s="66">
        <v>4778.3525972652269</v>
      </c>
      <c r="Y48" s="66">
        <v>5263.4421336870519</v>
      </c>
    </row>
    <row r="49" spans="1:25" x14ac:dyDescent="0.25">
      <c r="A49" s="77" t="s">
        <v>10</v>
      </c>
      <c r="B49" s="44"/>
      <c r="C49" s="44"/>
      <c r="D49" s="45">
        <v>1683.5163372765062</v>
      </c>
      <c r="E49" s="45">
        <v>1288.3559129625387</v>
      </c>
      <c r="F49" s="45">
        <v>1249.2325634305926</v>
      </c>
      <c r="G49" s="45">
        <v>1401.6748785868976</v>
      </c>
      <c r="H49" s="45">
        <v>1439.1591601586049</v>
      </c>
      <c r="I49" s="45">
        <v>1382.4821566575381</v>
      </c>
      <c r="J49" s="45">
        <v>1858.295886201214</v>
      </c>
      <c r="K49" s="45">
        <v>2228.5708784124208</v>
      </c>
      <c r="L49" s="45">
        <v>2260.0670286440409</v>
      </c>
      <c r="M49" s="45">
        <v>1894.5737801183516</v>
      </c>
      <c r="N49" s="45">
        <v>1801.6161482211764</v>
      </c>
      <c r="O49" s="45">
        <v>1921.500019700864</v>
      </c>
      <c r="P49" s="45">
        <v>1663.6811041861733</v>
      </c>
      <c r="Q49" s="45">
        <v>1538.0572519652508</v>
      </c>
      <c r="R49" s="45">
        <v>1714.3630744076897</v>
      </c>
      <c r="S49" s="45">
        <v>1868.981357930681</v>
      </c>
      <c r="T49" s="45">
        <v>1725.3913356176677</v>
      </c>
      <c r="U49" s="45">
        <v>1784.7636696161946</v>
      </c>
      <c r="V49" s="45">
        <v>2150.0888065910103</v>
      </c>
      <c r="W49" s="45">
        <v>2222.2216929848478</v>
      </c>
      <c r="X49" s="45">
        <v>2130.0693552707339</v>
      </c>
      <c r="Y49" s="45">
        <v>2198.5013019837224</v>
      </c>
    </row>
    <row r="50" spans="1:25" x14ac:dyDescent="0.25">
      <c r="A50" s="77" t="s">
        <v>18</v>
      </c>
      <c r="B50" s="44"/>
      <c r="C50" s="44"/>
      <c r="D50" s="45">
        <v>497.23676643346664</v>
      </c>
      <c r="E50" s="45">
        <v>472.56741913388828</v>
      </c>
      <c r="F50" s="45">
        <v>528.52761023595951</v>
      </c>
      <c r="G50" s="45">
        <v>587.90833746067938</v>
      </c>
      <c r="H50" s="45">
        <v>626.54582739360603</v>
      </c>
      <c r="I50" s="45">
        <v>578.26077090727131</v>
      </c>
      <c r="J50" s="45">
        <v>722.49324969780457</v>
      </c>
      <c r="K50" s="45">
        <v>782.56507705250567</v>
      </c>
      <c r="L50" s="45">
        <v>827.43723124240228</v>
      </c>
      <c r="M50" s="45">
        <v>746.63086615491261</v>
      </c>
      <c r="N50" s="45">
        <v>897.75608366301708</v>
      </c>
      <c r="O50" s="45">
        <v>833.05268064161771</v>
      </c>
      <c r="P50" s="45">
        <v>882.49509803080787</v>
      </c>
      <c r="Q50" s="45">
        <v>852.60491395252882</v>
      </c>
      <c r="R50" s="45">
        <v>1050.6378052575583</v>
      </c>
      <c r="S50" s="45">
        <v>1149.3848851789462</v>
      </c>
      <c r="T50" s="45">
        <v>1277.2561329031862</v>
      </c>
      <c r="U50" s="45">
        <v>1317.366456314176</v>
      </c>
      <c r="V50" s="45">
        <v>1140.7146896566244</v>
      </c>
      <c r="W50" s="45">
        <v>1227.4620825307172</v>
      </c>
      <c r="X50" s="45">
        <v>1169.7192003614807</v>
      </c>
      <c r="Y50" s="45">
        <v>1186.750432666694</v>
      </c>
    </row>
    <row r="51" spans="1:25" x14ac:dyDescent="0.25">
      <c r="A51" s="77" t="s">
        <v>9</v>
      </c>
      <c r="B51" s="44"/>
      <c r="C51" s="44"/>
      <c r="D51" s="45">
        <v>945.09612722649138</v>
      </c>
      <c r="E51" s="45">
        <v>1152.8281757443444</v>
      </c>
      <c r="F51" s="45">
        <v>1160.52040106193</v>
      </c>
      <c r="G51" s="45">
        <v>1256.084267763053</v>
      </c>
      <c r="H51" s="45">
        <v>1320.8117103579473</v>
      </c>
      <c r="I51" s="45">
        <v>1309.6950418825575</v>
      </c>
      <c r="J51" s="45">
        <v>1207.1281271325161</v>
      </c>
      <c r="K51" s="45">
        <v>1782.7092628517389</v>
      </c>
      <c r="L51" s="45">
        <v>1311.783038334707</v>
      </c>
      <c r="M51" s="45">
        <v>1183.1846026955977</v>
      </c>
      <c r="N51" s="45">
        <v>1176.4356610479128</v>
      </c>
      <c r="O51" s="45">
        <v>1170.6537307396943</v>
      </c>
      <c r="P51" s="45">
        <v>1136.574938634719</v>
      </c>
      <c r="Q51" s="45">
        <v>1078.6400693414676</v>
      </c>
      <c r="R51" s="45">
        <v>1195.2817442361384</v>
      </c>
      <c r="S51" s="45">
        <v>1351.7337568903722</v>
      </c>
      <c r="T51" s="45">
        <v>1469.8646077636261</v>
      </c>
      <c r="U51" s="45">
        <v>1346.4755319776127</v>
      </c>
      <c r="V51" s="45">
        <v>1522.3412193292918</v>
      </c>
      <c r="W51" s="45">
        <v>1458.4032089015088</v>
      </c>
      <c r="X51" s="45">
        <v>1478.5640416330123</v>
      </c>
      <c r="Y51" s="45">
        <v>1878.1903990366354</v>
      </c>
    </row>
    <row r="52" spans="1:25" x14ac:dyDescent="0.25">
      <c r="A52" s="72" t="s">
        <v>3</v>
      </c>
      <c r="B52" s="65"/>
      <c r="C52" s="65"/>
      <c r="D52" s="66">
        <v>2478.667318876026</v>
      </c>
      <c r="E52" s="66">
        <v>2260.7961399276237</v>
      </c>
      <c r="F52" s="66">
        <v>2280.3743000663922</v>
      </c>
      <c r="G52" s="66">
        <v>2324.1841549645042</v>
      </c>
      <c r="H52" s="66">
        <v>2379.7819898632229</v>
      </c>
      <c r="I52" s="66">
        <v>2482.7944893985027</v>
      </c>
      <c r="J52" s="66">
        <v>2507.9643566184959</v>
      </c>
      <c r="K52" s="66">
        <v>3094.8735489895867</v>
      </c>
      <c r="L52" s="66">
        <v>2611.5291132866591</v>
      </c>
      <c r="M52" s="66">
        <v>2846.7343516294259</v>
      </c>
      <c r="N52" s="66">
        <v>2797.8553170265373</v>
      </c>
      <c r="O52" s="66">
        <v>3101.2500259988774</v>
      </c>
      <c r="P52" s="66">
        <v>3343.8721427548244</v>
      </c>
      <c r="Q52" s="66">
        <v>2942.1203789822271</v>
      </c>
      <c r="R52" s="66">
        <v>3558.6485143998293</v>
      </c>
      <c r="S52" s="66">
        <v>4047.4999999999995</v>
      </c>
      <c r="T52" s="66">
        <v>4130.2984044666573</v>
      </c>
      <c r="U52" s="66">
        <v>3919.7624081345011</v>
      </c>
      <c r="V52" s="66">
        <v>4253.8757756539435</v>
      </c>
      <c r="W52" s="66">
        <v>4337.8471648407194</v>
      </c>
      <c r="X52" s="66">
        <v>4185.5299344192936</v>
      </c>
      <c r="Y52" s="66">
        <v>4931.1668008906145</v>
      </c>
    </row>
    <row r="53" spans="1:25" x14ac:dyDescent="0.25">
      <c r="A53" s="73" t="s">
        <v>21</v>
      </c>
      <c r="B53" s="65"/>
      <c r="C53" s="65"/>
      <c r="D53" s="66">
        <v>1464.7535192130006</v>
      </c>
      <c r="E53" s="66">
        <v>1368.8781664656212</v>
      </c>
      <c r="F53" s="66">
        <v>1381.4528554785857</v>
      </c>
      <c r="G53" s="66">
        <v>1474.826770203058</v>
      </c>
      <c r="H53" s="66">
        <v>1499.409845171145</v>
      </c>
      <c r="I53" s="66">
        <v>1425.6685656228453</v>
      </c>
      <c r="J53" s="66">
        <v>1475.7144835864999</v>
      </c>
      <c r="K53" s="66">
        <v>1763.5816746479027</v>
      </c>
      <c r="L53" s="66">
        <v>1395.3848686440267</v>
      </c>
      <c r="M53" s="66">
        <v>1610.0484974844765</v>
      </c>
      <c r="N53" s="66">
        <v>1505.3305347160165</v>
      </c>
      <c r="O53" s="66">
        <v>1747.4365107427359</v>
      </c>
      <c r="P53" s="66">
        <v>1955.8188552601962</v>
      </c>
      <c r="Q53" s="66">
        <v>1732.5047781604849</v>
      </c>
      <c r="R53" s="66">
        <v>2222.5713909191359</v>
      </c>
      <c r="S53" s="66">
        <v>2438.5</v>
      </c>
      <c r="T53" s="66">
        <v>2560.9042052654695</v>
      </c>
      <c r="U53" s="66">
        <v>2499.7483137018021</v>
      </c>
      <c r="V53" s="66">
        <v>2765.7175921307289</v>
      </c>
      <c r="W53" s="66">
        <v>2797.4414060601348</v>
      </c>
      <c r="X53" s="66">
        <v>2789.9686520376176</v>
      </c>
      <c r="Y53" s="66">
        <v>3256.3361599317827</v>
      </c>
    </row>
    <row r="54" spans="1:25" x14ac:dyDescent="0.25">
      <c r="A54" s="74" t="s">
        <v>8</v>
      </c>
      <c r="B54" s="44"/>
      <c r="C54" s="44"/>
      <c r="D54" s="45">
        <v>107.03300949538658</v>
      </c>
      <c r="E54" s="45">
        <v>91.152446253893658</v>
      </c>
      <c r="F54" s="45">
        <v>85.960348899967144</v>
      </c>
      <c r="G54" s="45">
        <v>87.673439621352429</v>
      </c>
      <c r="H54" s="45">
        <v>83.087071924382258</v>
      </c>
      <c r="I54" s="45">
        <v>77.860664847833206</v>
      </c>
      <c r="J54" s="45">
        <v>77.928696503677003</v>
      </c>
      <c r="K54" s="45">
        <v>88.477061635601956</v>
      </c>
      <c r="L54" s="45">
        <v>67.610253323305557</v>
      </c>
      <c r="M54" s="45">
        <v>73.437568268880085</v>
      </c>
      <c r="N54" s="45">
        <v>64.481748309518977</v>
      </c>
      <c r="O54" s="45">
        <v>74.683425683741632</v>
      </c>
      <c r="P54" s="45">
        <v>79.133835779584885</v>
      </c>
      <c r="Q54" s="45">
        <v>69.611065366201643</v>
      </c>
      <c r="R54" s="45">
        <v>87.104046529121192</v>
      </c>
      <c r="S54" s="45">
        <v>93.377077584527072</v>
      </c>
      <c r="T54" s="45">
        <v>37.199508530511395</v>
      </c>
      <c r="U54" s="45">
        <v>54.873304218014155</v>
      </c>
      <c r="V54" s="45">
        <v>59.170037757916376</v>
      </c>
      <c r="W54" s="45">
        <v>3.1277703769532899</v>
      </c>
      <c r="X54" s="45">
        <v>2.5688074566647998</v>
      </c>
      <c r="Y54" s="45">
        <v>2.618160773166847</v>
      </c>
    </row>
    <row r="55" spans="1:25" x14ac:dyDescent="0.25">
      <c r="A55" s="74" t="s">
        <v>17</v>
      </c>
      <c r="B55" s="44"/>
      <c r="C55" s="44"/>
      <c r="D55" s="45">
        <v>1357.720509717614</v>
      </c>
      <c r="E55" s="45">
        <v>1277.7257202117275</v>
      </c>
      <c r="F55" s="45">
        <v>1295.4925065786185</v>
      </c>
      <c r="G55" s="45">
        <v>1387.1533305817056</v>
      </c>
      <c r="H55" s="45">
        <v>1416.3227732467626</v>
      </c>
      <c r="I55" s="45">
        <v>1347.8079007750121</v>
      </c>
      <c r="J55" s="45">
        <v>1397.7857870828229</v>
      </c>
      <c r="K55" s="45">
        <v>1675.1046130123007</v>
      </c>
      <c r="L55" s="45">
        <v>1327.7746153207211</v>
      </c>
      <c r="M55" s="45">
        <v>1536.6109292155963</v>
      </c>
      <c r="N55" s="45">
        <v>1440.8487864064975</v>
      </c>
      <c r="O55" s="45">
        <v>1672.7530850589942</v>
      </c>
      <c r="P55" s="45">
        <v>1876.6850194806113</v>
      </c>
      <c r="Q55" s="45">
        <v>1662.8937127942831</v>
      </c>
      <c r="R55" s="45">
        <v>2135.4673443900147</v>
      </c>
      <c r="S55" s="45">
        <v>2345.1229224154731</v>
      </c>
      <c r="T55" s="45">
        <v>2523.7046967349579</v>
      </c>
      <c r="U55" s="45">
        <v>2444.8750094837878</v>
      </c>
      <c r="V55" s="45">
        <v>2706.5475543728126</v>
      </c>
      <c r="W55" s="45">
        <v>2794.3136356831815</v>
      </c>
      <c r="X55" s="45">
        <v>2787.399844580953</v>
      </c>
      <c r="Y55" s="45">
        <v>3253.7179991586158</v>
      </c>
    </row>
    <row r="56" spans="1:25" x14ac:dyDescent="0.25">
      <c r="A56" s="73" t="s">
        <v>16</v>
      </c>
      <c r="B56" s="65"/>
      <c r="C56" s="65"/>
      <c r="D56" s="66">
        <v>1013.9137996630254</v>
      </c>
      <c r="E56" s="66">
        <v>891.91797346200246</v>
      </c>
      <c r="F56" s="66">
        <v>898.92144458780649</v>
      </c>
      <c r="G56" s="66">
        <v>849.35738476144616</v>
      </c>
      <c r="H56" s="66">
        <v>880.37214469207788</v>
      </c>
      <c r="I56" s="66">
        <v>1057.1259237756574</v>
      </c>
      <c r="J56" s="66">
        <v>1032.249873031996</v>
      </c>
      <c r="K56" s="66">
        <v>1331.291874341684</v>
      </c>
      <c r="L56" s="66">
        <v>1216.1442446426324</v>
      </c>
      <c r="M56" s="66">
        <v>1236.6858541449494</v>
      </c>
      <c r="N56" s="66">
        <v>1292.5247823105208</v>
      </c>
      <c r="O56" s="66">
        <v>1353.8135152561415</v>
      </c>
      <c r="P56" s="66">
        <v>1388.0532874946282</v>
      </c>
      <c r="Q56" s="66">
        <v>1209.6156008217422</v>
      </c>
      <c r="R56" s="66">
        <v>1336.0771234806934</v>
      </c>
      <c r="S56" s="66">
        <v>1608.9999999999995</v>
      </c>
      <c r="T56" s="66">
        <v>1569.3941992011878</v>
      </c>
      <c r="U56" s="66">
        <v>1420.014094432699</v>
      </c>
      <c r="V56" s="66">
        <v>1488.1581835232146</v>
      </c>
      <c r="W56" s="66">
        <v>1540.4057587805846</v>
      </c>
      <c r="X56" s="66">
        <v>1395.5612823816759</v>
      </c>
      <c r="Y56" s="66">
        <v>1674.8306409588317</v>
      </c>
    </row>
    <row r="57" spans="1:25" x14ac:dyDescent="0.25">
      <c r="A57" s="72" t="s">
        <v>2</v>
      </c>
      <c r="B57" s="65"/>
      <c r="C57" s="65"/>
      <c r="D57" s="66">
        <v>7700.6902549051574</v>
      </c>
      <c r="E57" s="66">
        <v>7008.805790108564</v>
      </c>
      <c r="F57" s="66">
        <v>7100.301895301207</v>
      </c>
      <c r="G57" s="66">
        <v>7516.6853239999436</v>
      </c>
      <c r="H57" s="66">
        <v>7245.434978823856</v>
      </c>
      <c r="I57" s="66">
        <v>8819.6233535324209</v>
      </c>
      <c r="J57" s="66">
        <v>9465.9264047278266</v>
      </c>
      <c r="K57" s="66">
        <v>9004.571565082364</v>
      </c>
      <c r="L57" s="66">
        <v>9621.9581868711812</v>
      </c>
      <c r="M57" s="66">
        <v>11403.707564701084</v>
      </c>
      <c r="N57" s="66">
        <v>10941.623890770798</v>
      </c>
      <c r="O57" s="66">
        <v>10274.132157490796</v>
      </c>
      <c r="P57" s="66">
        <v>10285.366402684838</v>
      </c>
      <c r="Q57" s="66">
        <v>10225.570057542338</v>
      </c>
      <c r="R57" s="66">
        <v>12352.225612537633</v>
      </c>
      <c r="S57" s="66">
        <v>13743</v>
      </c>
      <c r="T57" s="66">
        <v>14241.651157441293</v>
      </c>
      <c r="U57" s="66">
        <v>13762.609483539716</v>
      </c>
      <c r="V57" s="66">
        <v>14328.697699475249</v>
      </c>
      <c r="W57" s="66">
        <v>14960.289299983475</v>
      </c>
      <c r="X57" s="66">
        <v>12796.315172029155</v>
      </c>
      <c r="Y57" s="66">
        <v>13141.408877729878</v>
      </c>
    </row>
    <row r="58" spans="1:25" x14ac:dyDescent="0.25">
      <c r="A58" s="72" t="s">
        <v>275</v>
      </c>
      <c r="B58" s="65"/>
      <c r="C58" s="65"/>
      <c r="D58" s="66">
        <v>2970.6777542257732</v>
      </c>
      <c r="E58" s="66">
        <v>2754.1616405307595</v>
      </c>
      <c r="F58" s="66">
        <v>2786.3307820466252</v>
      </c>
      <c r="G58" s="66">
        <v>3829.760099757691</v>
      </c>
      <c r="H58" s="66">
        <v>4566.5486357008958</v>
      </c>
      <c r="I58" s="66">
        <v>4698.2836822816498</v>
      </c>
      <c r="J58" s="66">
        <v>5084.6068608892383</v>
      </c>
      <c r="K58" s="66">
        <v>4806.550042892356</v>
      </c>
      <c r="L58" s="66">
        <v>5032.681637277401</v>
      </c>
      <c r="M58" s="66">
        <v>5242.4874223813631</v>
      </c>
      <c r="N58" s="66">
        <v>5910.866809368441</v>
      </c>
      <c r="O58" s="66">
        <v>6434.4100334865534</v>
      </c>
      <c r="P58" s="66">
        <v>6523.4207133648479</v>
      </c>
      <c r="Q58" s="66">
        <v>7747.7744503837866</v>
      </c>
      <c r="R58" s="66">
        <v>8133.1414031850936</v>
      </c>
      <c r="S58" s="66">
        <v>7569.1</v>
      </c>
      <c r="T58" s="66">
        <v>8753.7901758641601</v>
      </c>
      <c r="U58" s="66">
        <v>9260.0422832980967</v>
      </c>
      <c r="V58" s="66">
        <v>8278.9959895448847</v>
      </c>
      <c r="W58" s="66">
        <v>9872.1675140226889</v>
      </c>
      <c r="X58" s="66">
        <v>8034.3096717118306</v>
      </c>
      <c r="Y58" s="66">
        <v>8893.2682741958397</v>
      </c>
    </row>
    <row r="59" spans="1:25" x14ac:dyDescent="0.25">
      <c r="A59" s="72" t="s">
        <v>276</v>
      </c>
      <c r="B59" s="65"/>
      <c r="C59" s="65"/>
      <c r="D59" s="66">
        <v>8243.7904233925765</v>
      </c>
      <c r="E59" s="66">
        <v>7667.79252110977</v>
      </c>
      <c r="F59" s="66">
        <v>7727.1417655238083</v>
      </c>
      <c r="G59" s="66">
        <v>9018.1519320967545</v>
      </c>
      <c r="H59" s="66">
        <v>9331.5281538568343</v>
      </c>
      <c r="I59" s="66">
        <v>9755.0709387133065</v>
      </c>
      <c r="J59" s="66">
        <v>11008.35680317651</v>
      </c>
      <c r="K59" s="66">
        <v>11829.060385922621</v>
      </c>
      <c r="L59" s="66">
        <v>13295.6647202936</v>
      </c>
      <c r="M59" s="66">
        <v>13876.965961111364</v>
      </c>
      <c r="N59" s="66">
        <v>14231.800328352625</v>
      </c>
      <c r="O59" s="66">
        <v>15066.973106761787</v>
      </c>
      <c r="P59" s="66">
        <v>15220.496449546728</v>
      </c>
      <c r="Q59" s="66">
        <v>13456.321991803028</v>
      </c>
      <c r="R59" s="66">
        <v>15583.849483511916</v>
      </c>
      <c r="S59" s="66">
        <v>17065.800000000003</v>
      </c>
      <c r="T59" s="66">
        <v>18061.834758787983</v>
      </c>
      <c r="U59" s="66">
        <v>17707.741870532569</v>
      </c>
      <c r="V59" s="66">
        <v>18980.526347293442</v>
      </c>
      <c r="W59" s="66">
        <v>20267.427504884854</v>
      </c>
      <c r="X59" s="66">
        <v>21014.770082889398</v>
      </c>
      <c r="Y59" s="66">
        <v>24059.12170164385</v>
      </c>
    </row>
    <row r="60" spans="1:25" x14ac:dyDescent="0.25">
      <c r="A60" s="72" t="s">
        <v>1</v>
      </c>
      <c r="B60" s="65"/>
      <c r="C60" s="65"/>
      <c r="D60" s="66">
        <v>2456.6552530028803</v>
      </c>
      <c r="E60" s="66">
        <v>2261.6405307599516</v>
      </c>
      <c r="F60" s="66">
        <v>2284.2576006213285</v>
      </c>
      <c r="G60" s="66">
        <v>2384.4071927562313</v>
      </c>
      <c r="H60" s="66">
        <v>2331.0421439977781</v>
      </c>
      <c r="I60" s="66">
        <v>2208.8367986259782</v>
      </c>
      <c r="J60" s="66">
        <v>2339.0969112147377</v>
      </c>
      <c r="K60" s="66">
        <v>2528.9116200280159</v>
      </c>
      <c r="L60" s="66">
        <v>2386.873117779779</v>
      </c>
      <c r="M60" s="66">
        <v>2233.150523500884</v>
      </c>
      <c r="N60" s="66">
        <v>2234.8760364928617</v>
      </c>
      <c r="O60" s="66">
        <v>2357.9941346533828</v>
      </c>
      <c r="P60" s="66">
        <v>2408.3737491558727</v>
      </c>
      <c r="Q60" s="66">
        <v>2084.5044510992325</v>
      </c>
      <c r="R60" s="66">
        <v>2417.1034091254674</v>
      </c>
      <c r="S60" s="66">
        <v>2506.9</v>
      </c>
      <c r="T60" s="66">
        <v>2806.0893749607912</v>
      </c>
      <c r="U60" s="66">
        <v>2638.5784757877782</v>
      </c>
      <c r="V60" s="66">
        <v>2624.9526127815798</v>
      </c>
      <c r="W60" s="66">
        <v>2677.2885903430579</v>
      </c>
      <c r="X60" s="66">
        <v>2549.7624862972866</v>
      </c>
      <c r="Y60" s="66">
        <v>2892.3208110284713</v>
      </c>
    </row>
    <row r="61" spans="1:25" x14ac:dyDescent="0.25">
      <c r="A61" s="72" t="s">
        <v>0</v>
      </c>
      <c r="B61" s="65"/>
      <c r="C61" s="65"/>
      <c r="D61" s="66">
        <v>1619.1097342246858</v>
      </c>
      <c r="E61" s="66">
        <v>1449.9396863691193</v>
      </c>
      <c r="F61" s="66">
        <v>1466.8854676871815</v>
      </c>
      <c r="G61" s="66">
        <v>1716.0023239007526</v>
      </c>
      <c r="H61" s="66">
        <v>1956.1202527251266</v>
      </c>
      <c r="I61" s="66">
        <v>1839.6893936645015</v>
      </c>
      <c r="J61" s="66">
        <v>1914.562075811441</v>
      </c>
      <c r="K61" s="66">
        <v>2332.9098391808106</v>
      </c>
      <c r="L61" s="66">
        <v>2261.1819616729122</v>
      </c>
      <c r="M61" s="66">
        <v>2292.0727009019629</v>
      </c>
      <c r="N61" s="66">
        <v>2603.2336499095995</v>
      </c>
      <c r="O61" s="66">
        <v>2629.0064269223567</v>
      </c>
      <c r="P61" s="66">
        <v>2709.394888165838</v>
      </c>
      <c r="Q61" s="66">
        <v>2360.1557629214744</v>
      </c>
      <c r="R61" s="66">
        <v>2721.4208237452735</v>
      </c>
      <c r="S61" s="66">
        <v>2897.4</v>
      </c>
      <c r="T61" s="66">
        <v>3065.1805692059975</v>
      </c>
      <c r="U61" s="66">
        <v>3119.6013289036546</v>
      </c>
      <c r="V61" s="66">
        <v>3155.8889842175622</v>
      </c>
      <c r="W61" s="66">
        <v>3352.7107291798307</v>
      </c>
      <c r="X61" s="66">
        <v>3296.824816816355</v>
      </c>
      <c r="Y61" s="66">
        <v>4301.4827798569331</v>
      </c>
    </row>
    <row r="62" spans="1:25" x14ac:dyDescent="0.25">
      <c r="A62" s="78" t="s">
        <v>277</v>
      </c>
      <c r="B62" s="79"/>
      <c r="C62" s="79"/>
      <c r="D62" s="80">
        <v>4841.9751073427906</v>
      </c>
      <c r="E62" s="80">
        <v>4392.6417370325689</v>
      </c>
      <c r="F62" s="80">
        <v>4429.5932555838108</v>
      </c>
      <c r="G62" s="80">
        <v>5099.9702427342672</v>
      </c>
      <c r="H62" s="80">
        <v>5295.1468444074144</v>
      </c>
      <c r="I62" s="80">
        <v>5590.0673706109319</v>
      </c>
      <c r="J62" s="80">
        <v>5876.8872062422088</v>
      </c>
      <c r="K62" s="80">
        <v>6512.3627716063465</v>
      </c>
      <c r="L62" s="80">
        <v>6564.7967928419948</v>
      </c>
      <c r="M62" s="80">
        <v>7587.7033948239141</v>
      </c>
      <c r="N62" s="80">
        <v>8096.9055882291814</v>
      </c>
      <c r="O62" s="80">
        <v>8327.3362590736087</v>
      </c>
      <c r="P62" s="80">
        <v>8786.2975013813011</v>
      </c>
      <c r="Q62" s="80">
        <v>8356.0061732811409</v>
      </c>
      <c r="R62" s="80">
        <v>9695.4798422658569</v>
      </c>
      <c r="S62" s="80">
        <v>10251.200000000001</v>
      </c>
      <c r="T62" s="80">
        <v>11458.982455406622</v>
      </c>
      <c r="U62" s="80">
        <v>10968.992248062015</v>
      </c>
      <c r="V62" s="80">
        <v>11644.98493585267</v>
      </c>
      <c r="W62" s="80">
        <v>12334.133704031341</v>
      </c>
      <c r="X62" s="80">
        <v>12725.157220608882</v>
      </c>
      <c r="Y62" s="80">
        <v>13805.201572788857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3.5228522626005558E-2</v>
      </c>
      <c r="E66" s="83">
        <f t="shared" ref="E66:S66" si="49">E24/E$23</f>
        <v>3.659527195681965E-2</v>
      </c>
      <c r="F66" s="83">
        <f t="shared" si="49"/>
        <v>3.0896190865829759E-2</v>
      </c>
      <c r="G66" s="83">
        <f t="shared" si="49"/>
        <v>2.9619203561000167E-2</v>
      </c>
      <c r="H66" s="83">
        <f t="shared" si="49"/>
        <v>3.7225575943597516E-2</v>
      </c>
      <c r="I66" s="83">
        <f t="shared" si="49"/>
        <v>3.3215542150633451E-2</v>
      </c>
      <c r="J66" s="83">
        <f t="shared" si="49"/>
        <v>3.0715655315945695E-2</v>
      </c>
      <c r="K66" s="83">
        <f t="shared" si="49"/>
        <v>3.4894592294670651E-2</v>
      </c>
      <c r="L66" s="83">
        <f t="shared" si="49"/>
        <v>2.9717570349067156E-2</v>
      </c>
      <c r="M66" s="83">
        <f t="shared" si="49"/>
        <v>2.8828823706668637E-2</v>
      </c>
      <c r="N66" s="83">
        <f t="shared" si="49"/>
        <v>3.3392002525078075E-2</v>
      </c>
      <c r="O66" s="83">
        <f t="shared" si="49"/>
        <v>3.6417797166064442E-2</v>
      </c>
      <c r="P66" s="83">
        <f t="shared" si="49"/>
        <v>3.3999985923638079E-2</v>
      </c>
      <c r="Q66" s="83">
        <f t="shared" si="49"/>
        <v>3.6642391097097632E-2</v>
      </c>
      <c r="R66" s="83">
        <f t="shared" si="49"/>
        <v>3.3801432976237847E-2</v>
      </c>
      <c r="S66" s="83">
        <f t="shared" si="49"/>
        <v>2.8217074593985012E-2</v>
      </c>
      <c r="T66" s="83">
        <f t="shared" ref="T66:Y66" si="50">T24/T$23</f>
        <v>2.9965705245398586E-2</v>
      </c>
      <c r="U66" s="83">
        <f t="shared" si="50"/>
        <v>3.4294544581146925E-2</v>
      </c>
      <c r="V66" s="83">
        <f t="shared" si="50"/>
        <v>2.7569735482471516E-2</v>
      </c>
      <c r="W66" s="83">
        <f t="shared" si="50"/>
        <v>2.6959410142849083E-2</v>
      </c>
      <c r="X66" s="83">
        <f t="shared" si="50"/>
        <v>2.9164406386871001E-2</v>
      </c>
      <c r="Y66" s="83">
        <f t="shared" si="50"/>
        <v>2.5763476543068091E-2</v>
      </c>
    </row>
    <row r="67" spans="1:25" x14ac:dyDescent="0.25">
      <c r="A67" s="64" t="s">
        <v>56</v>
      </c>
      <c r="B67" s="65"/>
      <c r="C67" s="65"/>
      <c r="D67" s="83">
        <f t="shared" si="46"/>
        <v>2.4592028391336583E-2</v>
      </c>
      <c r="E67" s="83">
        <f t="shared" ref="E67:S67" si="51">E25/E$23</f>
        <v>2.311700350446607E-2</v>
      </c>
      <c r="F67" s="83">
        <f t="shared" si="51"/>
        <v>2.2046790551452377E-2</v>
      </c>
      <c r="G67" s="83">
        <f t="shared" si="51"/>
        <v>2.1283718868656289E-2</v>
      </c>
      <c r="H67" s="83">
        <f t="shared" si="51"/>
        <v>2.5711091926094054E-2</v>
      </c>
      <c r="I67" s="83">
        <f t="shared" si="51"/>
        <v>2.5749682490678074E-2</v>
      </c>
      <c r="J67" s="83">
        <f t="shared" si="51"/>
        <v>2.4434608067390222E-2</v>
      </c>
      <c r="K67" s="83">
        <f t="shared" si="51"/>
        <v>2.2916004221638201E-2</v>
      </c>
      <c r="L67" s="83">
        <f t="shared" si="51"/>
        <v>2.4312667670195721E-2</v>
      </c>
      <c r="M67" s="83">
        <f t="shared" si="51"/>
        <v>2.1543085460220716E-2</v>
      </c>
      <c r="N67" s="83">
        <f t="shared" si="51"/>
        <v>2.4883807746741773E-2</v>
      </c>
      <c r="O67" s="83">
        <f t="shared" si="51"/>
        <v>2.7455884614582773E-2</v>
      </c>
      <c r="P67" s="83">
        <f t="shared" si="51"/>
        <v>2.5723085116241422E-2</v>
      </c>
      <c r="Q67" s="83">
        <f t="shared" si="51"/>
        <v>2.2255221340178859E-2</v>
      </c>
      <c r="R67" s="83">
        <f t="shared" si="51"/>
        <v>1.8560499118561776E-2</v>
      </c>
      <c r="S67" s="83">
        <f t="shared" si="51"/>
        <v>1.7523062700384871E-2</v>
      </c>
      <c r="T67" s="83">
        <f t="shared" ref="T67:Y67" si="52">T25/T$23</f>
        <v>1.6633182675374905E-2</v>
      </c>
      <c r="U67" s="83">
        <f t="shared" si="52"/>
        <v>1.8577618024312941E-2</v>
      </c>
      <c r="V67" s="83">
        <f t="shared" si="52"/>
        <v>1.7443824003997827E-2</v>
      </c>
      <c r="W67" s="83">
        <f t="shared" si="52"/>
        <v>1.6389953899248407E-2</v>
      </c>
      <c r="X67" s="83">
        <f t="shared" si="52"/>
        <v>1.4901015928337372E-2</v>
      </c>
      <c r="Y67" s="83">
        <f t="shared" si="52"/>
        <v>1.6031865945463981E-2</v>
      </c>
    </row>
    <row r="68" spans="1:25" x14ac:dyDescent="0.25">
      <c r="A68" s="64" t="s">
        <v>146</v>
      </c>
      <c r="B68" s="65"/>
      <c r="C68" s="65"/>
      <c r="D68" s="83">
        <f t="shared" si="46"/>
        <v>0.66025906732625106</v>
      </c>
      <c r="E68" s="83">
        <f t="shared" ref="E68:S68" si="53">E26/E$23</f>
        <v>0.67432882155127738</v>
      </c>
      <c r="F68" s="83">
        <f t="shared" si="53"/>
        <v>0.68675200792403257</v>
      </c>
      <c r="G68" s="83">
        <f t="shared" si="53"/>
        <v>0.67865533578293558</v>
      </c>
      <c r="H68" s="83">
        <f t="shared" si="53"/>
        <v>0.65596961795366548</v>
      </c>
      <c r="I68" s="83">
        <f t="shared" si="53"/>
        <v>0.66030477197561976</v>
      </c>
      <c r="J68" s="83">
        <f t="shared" si="53"/>
        <v>0.65960764133811123</v>
      </c>
      <c r="K68" s="83">
        <f t="shared" si="53"/>
        <v>0.65637785341160848</v>
      </c>
      <c r="L68" s="83">
        <f t="shared" si="53"/>
        <v>0.66339919527700431</v>
      </c>
      <c r="M68" s="83">
        <f t="shared" si="53"/>
        <v>0.65663040202862122</v>
      </c>
      <c r="N68" s="83">
        <f t="shared" si="53"/>
        <v>0.64920143772266337</v>
      </c>
      <c r="O68" s="83">
        <f t="shared" si="53"/>
        <v>0.63679795556842023</v>
      </c>
      <c r="P68" s="83">
        <f t="shared" si="53"/>
        <v>0.64671821352198788</v>
      </c>
      <c r="Q68" s="83">
        <f t="shared" si="53"/>
        <v>0.66123925154977647</v>
      </c>
      <c r="R68" s="83">
        <f t="shared" si="53"/>
        <v>0.65063868146623316</v>
      </c>
      <c r="S68" s="83">
        <f t="shared" si="53"/>
        <v>0.6460598351680773</v>
      </c>
      <c r="T68" s="83">
        <f t="shared" ref="T68:Y68" si="54">T26/T$23</f>
        <v>0.64580364646132482</v>
      </c>
      <c r="U68" s="83">
        <f t="shared" si="54"/>
        <v>0.66110883101521756</v>
      </c>
      <c r="V68" s="83">
        <f t="shared" si="54"/>
        <v>0.66811292036467385</v>
      </c>
      <c r="W68" s="83">
        <f t="shared" si="54"/>
        <v>0.67041445379070552</v>
      </c>
      <c r="X68" s="83">
        <f t="shared" si="54"/>
        <v>0.67363674379884964</v>
      </c>
      <c r="Y68" s="83">
        <f t="shared" si="54"/>
        <v>0.67521395128033812</v>
      </c>
    </row>
    <row r="69" spans="1:25" x14ac:dyDescent="0.25">
      <c r="A69" s="68" t="s">
        <v>148</v>
      </c>
      <c r="B69" s="69"/>
      <c r="C69" s="69"/>
      <c r="D69" s="84">
        <f t="shared" si="46"/>
        <v>0.21708488017728897</v>
      </c>
      <c r="E69" s="84">
        <f t="shared" ref="E69:S69" si="55">E27/E$23</f>
        <v>0.22792876066838005</v>
      </c>
      <c r="F69" s="84">
        <f t="shared" si="55"/>
        <v>0.23656036691716367</v>
      </c>
      <c r="G69" s="84">
        <f t="shared" si="55"/>
        <v>0.23986061551265417</v>
      </c>
      <c r="H69" s="84">
        <f t="shared" si="55"/>
        <v>0.22965343010187683</v>
      </c>
      <c r="I69" s="84">
        <f t="shared" si="55"/>
        <v>0.23016375531724123</v>
      </c>
      <c r="J69" s="84">
        <f t="shared" si="55"/>
        <v>0.23159735456971023</v>
      </c>
      <c r="K69" s="84">
        <f t="shared" si="55"/>
        <v>0.22701089105260225</v>
      </c>
      <c r="L69" s="84">
        <f t="shared" si="55"/>
        <v>0.23215153017304152</v>
      </c>
      <c r="M69" s="84">
        <f t="shared" si="55"/>
        <v>0.23161775157348924</v>
      </c>
      <c r="N69" s="84">
        <f t="shared" si="55"/>
        <v>0.23778927640414688</v>
      </c>
      <c r="O69" s="84">
        <f t="shared" si="55"/>
        <v>0.23218245427871573</v>
      </c>
      <c r="P69" s="84">
        <f t="shared" si="55"/>
        <v>0.2290784205852717</v>
      </c>
      <c r="Q69" s="84">
        <f t="shared" si="55"/>
        <v>0.23655891476112748</v>
      </c>
      <c r="R69" s="84">
        <f t="shared" si="55"/>
        <v>0.2405920641660349</v>
      </c>
      <c r="S69" s="84">
        <f t="shared" si="55"/>
        <v>0.23442954648273329</v>
      </c>
      <c r="T69" s="84">
        <f t="shared" ref="T69:Y69" si="56">T27/T$23</f>
        <v>0.23533071808826275</v>
      </c>
      <c r="U69" s="84">
        <f t="shared" si="56"/>
        <v>0.23870068450163653</v>
      </c>
      <c r="V69" s="84">
        <f t="shared" si="56"/>
        <v>0.24549512032385343</v>
      </c>
      <c r="W69" s="84">
        <f t="shared" si="56"/>
        <v>0.24302548788680106</v>
      </c>
      <c r="X69" s="84">
        <f t="shared" si="56"/>
        <v>0.2415720154272997</v>
      </c>
      <c r="Y69" s="84">
        <f t="shared" si="56"/>
        <v>0.24520592218818779</v>
      </c>
    </row>
    <row r="70" spans="1:25" x14ac:dyDescent="0.25">
      <c r="A70" s="68" t="s">
        <v>150</v>
      </c>
      <c r="B70" s="71"/>
      <c r="C70" s="71"/>
      <c r="D70" s="84">
        <f t="shared" si="46"/>
        <v>0.22474081502008855</v>
      </c>
      <c r="E70" s="84">
        <f t="shared" ref="E70:S70" si="57">E28/E$23</f>
        <v>0.22543266758519509</v>
      </c>
      <c r="F70" s="84">
        <f t="shared" si="57"/>
        <v>0.22821483172196977</v>
      </c>
      <c r="G70" s="84">
        <f t="shared" si="57"/>
        <v>0.22834760303241419</v>
      </c>
      <c r="H70" s="84">
        <f t="shared" si="57"/>
        <v>0.22237330118441276</v>
      </c>
      <c r="I70" s="84">
        <f t="shared" si="57"/>
        <v>0.2236781536948472</v>
      </c>
      <c r="J70" s="84">
        <f t="shared" si="57"/>
        <v>0.22202136578589571</v>
      </c>
      <c r="K70" s="84">
        <f t="shared" si="57"/>
        <v>0.22507055838137924</v>
      </c>
      <c r="L70" s="84">
        <f t="shared" si="57"/>
        <v>0.22708451219813885</v>
      </c>
      <c r="M70" s="84">
        <f t="shared" si="57"/>
        <v>0.21912293968149282</v>
      </c>
      <c r="N70" s="84">
        <f t="shared" si="57"/>
        <v>0.20938848617640185</v>
      </c>
      <c r="O70" s="84">
        <f t="shared" si="57"/>
        <v>0.20714342474316949</v>
      </c>
      <c r="P70" s="84">
        <f t="shared" si="57"/>
        <v>0.21142138410520672</v>
      </c>
      <c r="Q70" s="84">
        <f t="shared" si="57"/>
        <v>0.21775261473927013</v>
      </c>
      <c r="R70" s="84">
        <f t="shared" si="57"/>
        <v>0.22296468911796152</v>
      </c>
      <c r="S70" s="84">
        <f t="shared" si="57"/>
        <v>0.22195319927353307</v>
      </c>
      <c r="T70" s="84">
        <f t="shared" ref="T70:Y70" si="58">T28/T$23</f>
        <v>0.22457690290015903</v>
      </c>
      <c r="U70" s="84">
        <f t="shared" si="58"/>
        <v>0.23226486246130024</v>
      </c>
      <c r="V70" s="84">
        <f t="shared" si="58"/>
        <v>0.23552159861906491</v>
      </c>
      <c r="W70" s="84">
        <f t="shared" si="58"/>
        <v>0.24359191860832824</v>
      </c>
      <c r="X70" s="84">
        <f t="shared" si="58"/>
        <v>0.24776572151367754</v>
      </c>
      <c r="Y70" s="84">
        <f t="shared" si="58"/>
        <v>0.24309028531688992</v>
      </c>
    </row>
    <row r="71" spans="1:25" x14ac:dyDescent="0.25">
      <c r="A71" s="68" t="s">
        <v>152</v>
      </c>
      <c r="B71" s="71"/>
      <c r="C71" s="71"/>
      <c r="D71" s="84">
        <f t="shared" si="46"/>
        <v>0.21843337212887359</v>
      </c>
      <c r="E71" s="84">
        <f t="shared" ref="E71:S71" si="59">E29/E$23</f>
        <v>0.22096739329770215</v>
      </c>
      <c r="F71" s="84">
        <f t="shared" si="59"/>
        <v>0.22197680928489916</v>
      </c>
      <c r="G71" s="84">
        <f t="shared" si="59"/>
        <v>0.21044711723786719</v>
      </c>
      <c r="H71" s="84">
        <f t="shared" si="59"/>
        <v>0.20394288666737606</v>
      </c>
      <c r="I71" s="84">
        <f t="shared" si="59"/>
        <v>0.20646286296353131</v>
      </c>
      <c r="J71" s="84">
        <f t="shared" si="59"/>
        <v>0.20598892098250515</v>
      </c>
      <c r="K71" s="84">
        <f t="shared" si="59"/>
        <v>0.20429640397762697</v>
      </c>
      <c r="L71" s="84">
        <f t="shared" si="59"/>
        <v>0.20416315290582407</v>
      </c>
      <c r="M71" s="84">
        <f t="shared" si="59"/>
        <v>0.2058897107736393</v>
      </c>
      <c r="N71" s="84">
        <f t="shared" si="59"/>
        <v>0.20202367514211469</v>
      </c>
      <c r="O71" s="84">
        <f t="shared" si="59"/>
        <v>0.19747207654653495</v>
      </c>
      <c r="P71" s="84">
        <f t="shared" si="59"/>
        <v>0.20621840883150949</v>
      </c>
      <c r="Q71" s="84">
        <f t="shared" si="59"/>
        <v>0.20692772204937881</v>
      </c>
      <c r="R71" s="84">
        <f t="shared" si="59"/>
        <v>0.1870819281822366</v>
      </c>
      <c r="S71" s="84">
        <f t="shared" si="59"/>
        <v>0.18967708941181088</v>
      </c>
      <c r="T71" s="84">
        <f t="shared" ref="T71:Y71" si="60">T29/T$23</f>
        <v>0.18589602547290299</v>
      </c>
      <c r="U71" s="84">
        <f t="shared" si="60"/>
        <v>0.19014328405228098</v>
      </c>
      <c r="V71" s="84">
        <f t="shared" si="60"/>
        <v>0.18709620142175548</v>
      </c>
      <c r="W71" s="84">
        <f t="shared" si="60"/>
        <v>0.18379704729557642</v>
      </c>
      <c r="X71" s="84">
        <f t="shared" si="60"/>
        <v>0.18429900685787226</v>
      </c>
      <c r="Y71" s="84">
        <f t="shared" si="60"/>
        <v>0.18691774377526035</v>
      </c>
    </row>
    <row r="72" spans="1:25" x14ac:dyDescent="0.25">
      <c r="A72" s="64" t="s">
        <v>154</v>
      </c>
      <c r="B72" s="65"/>
      <c r="C72" s="65"/>
      <c r="D72" s="83">
        <f t="shared" si="46"/>
        <v>3.1330868036637947E-2</v>
      </c>
      <c r="E72" s="83">
        <f t="shared" ref="E72:S72" si="61">E30/E$23</f>
        <v>3.4518805786200618E-2</v>
      </c>
      <c r="F72" s="83">
        <f t="shared" si="61"/>
        <v>3.6485002476260193E-2</v>
      </c>
      <c r="G72" s="83">
        <f t="shared" si="61"/>
        <v>3.9920382034207197E-2</v>
      </c>
      <c r="H72" s="83">
        <f t="shared" si="61"/>
        <v>4.5591169724141643E-2</v>
      </c>
      <c r="I72" s="83">
        <f t="shared" si="61"/>
        <v>3.8114059331261586E-2</v>
      </c>
      <c r="J72" s="83">
        <f t="shared" si="61"/>
        <v>3.5897695951756764E-2</v>
      </c>
      <c r="K72" s="83">
        <f t="shared" si="61"/>
        <v>3.4605824064578954E-2</v>
      </c>
      <c r="L72" s="83">
        <f t="shared" si="61"/>
        <v>3.3709557565188418E-2</v>
      </c>
      <c r="M72" s="83">
        <f t="shared" si="61"/>
        <v>3.6185987275632096E-2</v>
      </c>
      <c r="N72" s="83">
        <f t="shared" si="61"/>
        <v>3.9031597067512247E-2</v>
      </c>
      <c r="O72" s="83">
        <f t="shared" si="61"/>
        <v>3.8589008642243509E-2</v>
      </c>
      <c r="P72" s="83">
        <f t="shared" si="61"/>
        <v>4.1861340796933225E-2</v>
      </c>
      <c r="Q72" s="83">
        <f t="shared" si="61"/>
        <v>4.2178220814673234E-2</v>
      </c>
      <c r="R72" s="83">
        <f t="shared" si="61"/>
        <v>3.7094321670486603E-2</v>
      </c>
      <c r="S72" s="83">
        <f t="shared" si="61"/>
        <v>3.8114333296179491E-2</v>
      </c>
      <c r="T72" s="83">
        <f t="shared" ref="T72:Y72" si="62">T30/T$23</f>
        <v>3.7920520125999016E-2</v>
      </c>
      <c r="U72" s="83">
        <f t="shared" si="62"/>
        <v>3.4619600921800102E-2</v>
      </c>
      <c r="V72" s="83">
        <f t="shared" si="62"/>
        <v>3.3301055379267488E-2</v>
      </c>
      <c r="W72" s="83">
        <f t="shared" si="62"/>
        <v>3.2484620262793092E-2</v>
      </c>
      <c r="X72" s="83">
        <f t="shared" si="62"/>
        <v>3.5626972485220253E-2</v>
      </c>
      <c r="Y72" s="83">
        <f t="shared" si="62"/>
        <v>3.627566563008236E-2</v>
      </c>
    </row>
    <row r="73" spans="1:25" x14ac:dyDescent="0.25">
      <c r="A73" s="64" t="s">
        <v>37</v>
      </c>
      <c r="B73" s="65"/>
      <c r="C73" s="65"/>
      <c r="D73" s="83">
        <f t="shared" si="46"/>
        <v>8.2037182176737514E-2</v>
      </c>
      <c r="E73" s="83">
        <f t="shared" ref="E73:S73" si="63">E31/E$23</f>
        <v>8.0512874988703367E-2</v>
      </c>
      <c r="F73" s="83">
        <f t="shared" si="63"/>
        <v>7.417745095928166E-2</v>
      </c>
      <c r="G73" s="83">
        <f t="shared" si="63"/>
        <v>6.8297691503369673E-2</v>
      </c>
      <c r="H73" s="83">
        <f t="shared" si="63"/>
        <v>7.1778352353193478E-2</v>
      </c>
      <c r="I73" s="83">
        <f t="shared" si="63"/>
        <v>7.5783975346117513E-2</v>
      </c>
      <c r="J73" s="83">
        <f t="shared" si="63"/>
        <v>7.6500254176453744E-2</v>
      </c>
      <c r="K73" s="83">
        <f t="shared" si="63"/>
        <v>7.8076942313161313E-2</v>
      </c>
      <c r="L73" s="83">
        <f t="shared" si="63"/>
        <v>8.2003271124761495E-2</v>
      </c>
      <c r="M73" s="83">
        <f t="shared" si="63"/>
        <v>8.5400166588015899E-2</v>
      </c>
      <c r="N73" s="83">
        <f t="shared" si="63"/>
        <v>8.2035882221333498E-2</v>
      </c>
      <c r="O73" s="83">
        <f t="shared" si="63"/>
        <v>9.0787216743164659E-2</v>
      </c>
      <c r="P73" s="83">
        <f t="shared" si="63"/>
        <v>8.1479554670830137E-2</v>
      </c>
      <c r="Q73" s="83">
        <f t="shared" si="63"/>
        <v>7.6686035966907096E-2</v>
      </c>
      <c r="R73" s="83">
        <f t="shared" si="63"/>
        <v>8.114428021065595E-2</v>
      </c>
      <c r="S73" s="83">
        <f t="shared" si="63"/>
        <v>8.6578327946026393E-2</v>
      </c>
      <c r="T73" s="83">
        <f t="shared" ref="T73:Y73" si="64">T31/T$23</f>
        <v>7.8043702809374865E-2</v>
      </c>
      <c r="U73" s="83">
        <f t="shared" si="64"/>
        <v>7.3858719605764622E-2</v>
      </c>
      <c r="V73" s="83">
        <f t="shared" si="64"/>
        <v>7.9108368807048926E-2</v>
      </c>
      <c r="W73" s="83">
        <f t="shared" si="64"/>
        <v>7.7473663428617334E-2</v>
      </c>
      <c r="X73" s="83">
        <f t="shared" si="64"/>
        <v>7.4671660644288707E-2</v>
      </c>
      <c r="Y73" s="83">
        <f t="shared" si="64"/>
        <v>6.4441290229450193E-2</v>
      </c>
    </row>
    <row r="74" spans="1:25" x14ac:dyDescent="0.25">
      <c r="A74" s="64" t="s">
        <v>58</v>
      </c>
      <c r="B74" s="65"/>
      <c r="C74" s="65"/>
      <c r="D74" s="83">
        <f t="shared" si="46"/>
        <v>0.16655233144303117</v>
      </c>
      <c r="E74" s="83">
        <f t="shared" ref="E74:S74" si="65">E32/E$23</f>
        <v>0.15092722221253307</v>
      </c>
      <c r="F74" s="83">
        <f t="shared" si="65"/>
        <v>0.14964255722314335</v>
      </c>
      <c r="G74" s="83">
        <f t="shared" si="65"/>
        <v>0.16222366824983109</v>
      </c>
      <c r="H74" s="83">
        <f t="shared" si="65"/>
        <v>0.16372419209930766</v>
      </c>
      <c r="I74" s="83">
        <f t="shared" si="65"/>
        <v>0.16683196870568964</v>
      </c>
      <c r="J74" s="83">
        <f t="shared" si="65"/>
        <v>0.17284414515034233</v>
      </c>
      <c r="K74" s="83">
        <f t="shared" si="65"/>
        <v>0.17312878369434234</v>
      </c>
      <c r="L74" s="83">
        <f t="shared" si="65"/>
        <v>0.16685773801378284</v>
      </c>
      <c r="M74" s="83">
        <f t="shared" si="65"/>
        <v>0.17141153494084138</v>
      </c>
      <c r="N74" s="83">
        <f t="shared" si="65"/>
        <v>0.17145527271667094</v>
      </c>
      <c r="O74" s="83">
        <f t="shared" si="65"/>
        <v>0.16995213726552441</v>
      </c>
      <c r="P74" s="83">
        <f t="shared" si="65"/>
        <v>0.17021781997036925</v>
      </c>
      <c r="Q74" s="83">
        <f t="shared" si="65"/>
        <v>0.16099887923136663</v>
      </c>
      <c r="R74" s="83">
        <f t="shared" si="65"/>
        <v>0.17876078455782485</v>
      </c>
      <c r="S74" s="83">
        <f t="shared" si="65"/>
        <v>0.18350736629534684</v>
      </c>
      <c r="T74" s="83">
        <f t="shared" ref="T74:Y74" si="66">T32/T$23</f>
        <v>0.19163324268252777</v>
      </c>
      <c r="U74" s="83">
        <f t="shared" si="66"/>
        <v>0.17754068585175767</v>
      </c>
      <c r="V74" s="83">
        <f t="shared" si="66"/>
        <v>0.17446409596254048</v>
      </c>
      <c r="W74" s="83">
        <f t="shared" si="66"/>
        <v>0.17627789847578643</v>
      </c>
      <c r="X74" s="83">
        <f t="shared" si="66"/>
        <v>0.17199920075643313</v>
      </c>
      <c r="Y74" s="83">
        <f t="shared" si="66"/>
        <v>0.18227375037159727</v>
      </c>
    </row>
    <row r="75" spans="1:25" x14ac:dyDescent="0.25">
      <c r="A75" s="85" t="s">
        <v>158</v>
      </c>
      <c r="B75" s="86"/>
      <c r="C75" s="86"/>
      <c r="D75" s="87">
        <f t="shared" si="46"/>
        <v>4.6289173389517475E-3</v>
      </c>
      <c r="E75" s="87">
        <f t="shared" ref="E75:S75" si="67">E33/E$23</f>
        <v>4.1090670594459127E-3</v>
      </c>
      <c r="F75" s="87">
        <f t="shared" si="67"/>
        <v>4.0933657759307509E-3</v>
      </c>
      <c r="G75" s="87">
        <f t="shared" si="67"/>
        <v>3.99622303875629E-3</v>
      </c>
      <c r="H75" s="87">
        <f t="shared" si="67"/>
        <v>7.275740984717928E-3</v>
      </c>
      <c r="I75" s="87">
        <f t="shared" si="67"/>
        <v>6.5068613440950659E-3</v>
      </c>
      <c r="J75" s="87">
        <f t="shared" si="67"/>
        <v>9.0389552952873653E-3</v>
      </c>
      <c r="K75" s="87">
        <f t="shared" si="67"/>
        <v>9.5366529389194991E-3</v>
      </c>
      <c r="L75" s="87">
        <f t="shared" si="67"/>
        <v>5.3748406477490901E-3</v>
      </c>
      <c r="M75" s="87">
        <f t="shared" si="67"/>
        <v>5.11810408055355E-3</v>
      </c>
      <c r="N75" s="87">
        <f t="shared" si="67"/>
        <v>3.5182500904756267E-3</v>
      </c>
      <c r="O75" s="87">
        <f t="shared" si="67"/>
        <v>5.0536714654287598E-3</v>
      </c>
      <c r="P75" s="87">
        <f t="shared" si="67"/>
        <v>5.0736486985816891E-3</v>
      </c>
      <c r="Q75" s="87">
        <f t="shared" si="67"/>
        <v>4.8955150652696591E-3</v>
      </c>
      <c r="R75" s="87">
        <f t="shared" si="67"/>
        <v>5.7112861884299282E-3</v>
      </c>
      <c r="S75" s="87">
        <f t="shared" si="67"/>
        <v>5.85553275329631E-3</v>
      </c>
      <c r="T75" s="87">
        <f t="shared" ref="T75:Y75" si="68">T33/T$23</f>
        <v>6.1906045867334038E-3</v>
      </c>
      <c r="U75" s="87">
        <f t="shared" si="68"/>
        <v>5.5007653132354423E-3</v>
      </c>
      <c r="V75" s="87">
        <f t="shared" si="68"/>
        <v>5.3482861413170326E-3</v>
      </c>
      <c r="W75" s="87">
        <f t="shared" si="68"/>
        <v>4.6949008842387405E-3</v>
      </c>
      <c r="X75" s="87">
        <f t="shared" si="68"/>
        <v>4.0402366485973755E-3</v>
      </c>
      <c r="Y75" s="87">
        <f t="shared" si="68"/>
        <v>6.4222768128711109E-3</v>
      </c>
    </row>
    <row r="76" spans="1:25" x14ac:dyDescent="0.25">
      <c r="A76" s="88" t="s">
        <v>5</v>
      </c>
      <c r="B76" s="44"/>
      <c r="C76" s="44"/>
      <c r="D76" s="89">
        <f t="shared" si="46"/>
        <v>3.8509875528792391E-3</v>
      </c>
      <c r="E76" s="89">
        <f t="shared" ref="E76:S76" si="69">E34/E$23</f>
        <v>3.4185026305645285E-3</v>
      </c>
      <c r="F76" s="89">
        <f t="shared" si="69"/>
        <v>3.4054400841949254E-3</v>
      </c>
      <c r="G76" s="89">
        <f t="shared" si="69"/>
        <v>3.3246230282143615E-3</v>
      </c>
      <c r="H76" s="89">
        <f t="shared" si="69"/>
        <v>6.0529894829504851E-3</v>
      </c>
      <c r="I76" s="89">
        <f t="shared" si="69"/>
        <v>5.4133267478255953E-3</v>
      </c>
      <c r="J76" s="89">
        <f t="shared" si="69"/>
        <v>7.5198803055459744E-3</v>
      </c>
      <c r="K76" s="89">
        <f t="shared" si="69"/>
        <v>7.9339355349613942E-3</v>
      </c>
      <c r="L76" s="89">
        <f t="shared" si="69"/>
        <v>4.4715519672421811E-3</v>
      </c>
      <c r="M76" s="89">
        <f t="shared" si="69"/>
        <v>3.7150937179123841E-3</v>
      </c>
      <c r="N76" s="89">
        <f t="shared" si="69"/>
        <v>2.6317992841825046E-3</v>
      </c>
      <c r="O76" s="89">
        <f t="shared" si="69"/>
        <v>3.7498350915003377E-3</v>
      </c>
      <c r="P76" s="89">
        <f t="shared" si="69"/>
        <v>3.7798146287213851E-3</v>
      </c>
      <c r="Q76" s="89">
        <f t="shared" si="69"/>
        <v>3.660699994957683E-3</v>
      </c>
      <c r="R76" s="89">
        <f t="shared" si="69"/>
        <v>4.2530109511716777E-3</v>
      </c>
      <c r="S76" s="89">
        <f t="shared" si="69"/>
        <v>4.2396760449690688E-3</v>
      </c>
      <c r="T76" s="89">
        <f t="shared" ref="T76:Y76" si="70">T34/T$23</f>
        <v>4.3806084743903823E-3</v>
      </c>
      <c r="U76" s="89">
        <f t="shared" si="70"/>
        <v>3.7421418247003103E-3</v>
      </c>
      <c r="V76" s="89">
        <f t="shared" si="70"/>
        <v>3.7803299121057423E-3</v>
      </c>
      <c r="W76" s="89">
        <f t="shared" si="70"/>
        <v>2.9611152327239576E-3</v>
      </c>
      <c r="X76" s="89">
        <f t="shared" si="70"/>
        <v>2.5465383654515875E-3</v>
      </c>
      <c r="Y76" s="89">
        <f t="shared" si="70"/>
        <v>3.4673889604721103E-3</v>
      </c>
    </row>
    <row r="77" spans="1:25" x14ac:dyDescent="0.25">
      <c r="A77" s="88" t="s">
        <v>269</v>
      </c>
      <c r="B77" s="44"/>
      <c r="C77" s="44"/>
      <c r="D77" s="89">
        <f>D37/D$23</f>
        <v>7.779297860725082E-4</v>
      </c>
      <c r="E77" s="89">
        <f t="shared" ref="E77:S77" si="71">E37/E$23</f>
        <v>6.9056442888138414E-4</v>
      </c>
      <c r="F77" s="89">
        <f t="shared" si="71"/>
        <v>6.8792569173582513E-4</v>
      </c>
      <c r="G77" s="89">
        <f t="shared" si="71"/>
        <v>6.7160001054192883E-4</v>
      </c>
      <c r="H77" s="89">
        <f t="shared" si="71"/>
        <v>1.2227515017674425E-3</v>
      </c>
      <c r="I77" s="89">
        <f t="shared" si="71"/>
        <v>1.0935345962694706E-3</v>
      </c>
      <c r="J77" s="89">
        <f t="shared" si="71"/>
        <v>1.5190749897413902E-3</v>
      </c>
      <c r="K77" s="89">
        <f t="shared" si="71"/>
        <v>1.6027174039581048E-3</v>
      </c>
      <c r="L77" s="89">
        <f t="shared" si="71"/>
        <v>9.0328868050690812E-4</v>
      </c>
      <c r="M77" s="89">
        <f t="shared" si="71"/>
        <v>1.4030103626411657E-3</v>
      </c>
      <c r="N77" s="89">
        <f t="shared" si="71"/>
        <v>8.8645080629312222E-4</v>
      </c>
      <c r="O77" s="89">
        <f t="shared" si="71"/>
        <v>1.3038363739284221E-3</v>
      </c>
      <c r="P77" s="89">
        <f t="shared" si="71"/>
        <v>1.2938340698603042E-3</v>
      </c>
      <c r="Q77" s="89">
        <f t="shared" si="71"/>
        <v>1.2348150703119759E-3</v>
      </c>
      <c r="R77" s="89">
        <f t="shared" si="71"/>
        <v>1.458275237258251E-3</v>
      </c>
      <c r="S77" s="89">
        <f t="shared" si="71"/>
        <v>1.6158567083272414E-3</v>
      </c>
      <c r="T77" s="89">
        <f t="shared" ref="T77:Y77" si="72">T37/T$23</f>
        <v>1.8099961123430213E-3</v>
      </c>
      <c r="U77" s="89">
        <f t="shared" si="72"/>
        <v>1.7586234885351322E-3</v>
      </c>
      <c r="V77" s="89">
        <f t="shared" si="72"/>
        <v>1.56795622921129E-3</v>
      </c>
      <c r="W77" s="89">
        <f t="shared" si="72"/>
        <v>1.7337856515147829E-3</v>
      </c>
      <c r="X77" s="89">
        <f t="shared" si="72"/>
        <v>1.493698283145788E-3</v>
      </c>
      <c r="Y77" s="89">
        <f t="shared" si="72"/>
        <v>2.954887852399001E-3</v>
      </c>
    </row>
    <row r="78" spans="1:25" x14ac:dyDescent="0.25">
      <c r="A78" s="68" t="s">
        <v>271</v>
      </c>
      <c r="B78" s="44"/>
      <c r="C78" s="44"/>
      <c r="D78" s="89">
        <f>D43/D$23</f>
        <v>1.3446908333318248E-2</v>
      </c>
      <c r="E78" s="89">
        <f t="shared" ref="E78:S78" si="73">E43/E$23</f>
        <v>1.2272237451754797E-2</v>
      </c>
      <c r="F78" s="89">
        <f t="shared" si="73"/>
        <v>1.2275252470877025E-2</v>
      </c>
      <c r="G78" s="89">
        <f t="shared" si="73"/>
        <v>1.2082385851248555E-2</v>
      </c>
      <c r="H78" s="89">
        <f t="shared" si="73"/>
        <v>1.2305957386591135E-2</v>
      </c>
      <c r="I78" s="89">
        <f t="shared" si="73"/>
        <v>1.2584368743402552E-2</v>
      </c>
      <c r="J78" s="89">
        <f t="shared" si="73"/>
        <v>1.2611142447301512E-2</v>
      </c>
      <c r="K78" s="89">
        <f t="shared" si="73"/>
        <v>1.2630598261330504E-2</v>
      </c>
      <c r="L78" s="89">
        <f t="shared" si="73"/>
        <v>1.2164162489035969E-2</v>
      </c>
      <c r="M78" s="89">
        <f t="shared" si="73"/>
        <v>1.1664359261554557E-2</v>
      </c>
      <c r="N78" s="89">
        <f t="shared" si="73"/>
        <v>1.3333350234792967E-2</v>
      </c>
      <c r="O78" s="89">
        <f t="shared" si="73"/>
        <v>1.3481694415128019E-2</v>
      </c>
      <c r="P78" s="89">
        <f t="shared" si="73"/>
        <v>1.3354361853997628E-2</v>
      </c>
      <c r="Q78" s="89">
        <f t="shared" si="73"/>
        <v>1.2088082648548349E-2</v>
      </c>
      <c r="R78" s="89">
        <f t="shared" si="73"/>
        <v>1.2902010301600816E-2</v>
      </c>
      <c r="S78" s="89">
        <f t="shared" si="73"/>
        <v>1.386633796445033E-2</v>
      </c>
      <c r="T78" s="89">
        <f t="shared" ref="T78:Y78" si="74">T43/T$23</f>
        <v>1.4566536331130671E-2</v>
      </c>
      <c r="U78" s="89">
        <f t="shared" si="74"/>
        <v>1.2116848093271846E-2</v>
      </c>
      <c r="V78" s="89">
        <f t="shared" si="74"/>
        <v>1.2966401944731478E-2</v>
      </c>
      <c r="W78" s="89">
        <f t="shared" si="74"/>
        <v>1.1768768065529046E-2</v>
      </c>
      <c r="X78" s="89">
        <f t="shared" si="74"/>
        <v>1.2270244446832392E-2</v>
      </c>
      <c r="Y78" s="89">
        <f t="shared" si="74"/>
        <v>1.3210019876339619E-2</v>
      </c>
    </row>
    <row r="79" spans="1:25" x14ac:dyDescent="0.25">
      <c r="A79" s="88" t="s">
        <v>272</v>
      </c>
      <c r="B79" s="44"/>
      <c r="C79" s="44"/>
      <c r="D79" s="89">
        <f>D44/D$23</f>
        <v>1.0118818129765349E-2</v>
      </c>
      <c r="E79" s="89">
        <f t="shared" ref="E79:S79" si="75">E44/E$23</f>
        <v>9.2497609870639697E-3</v>
      </c>
      <c r="F79" s="89">
        <f t="shared" si="75"/>
        <v>9.1562412523416813E-3</v>
      </c>
      <c r="G79" s="89">
        <f t="shared" si="75"/>
        <v>9.2826720704089708E-3</v>
      </c>
      <c r="H79" s="89">
        <f t="shared" si="75"/>
        <v>9.7346287973444235E-3</v>
      </c>
      <c r="I79" s="89">
        <f t="shared" si="75"/>
        <v>9.7156928173568052E-3</v>
      </c>
      <c r="J79" s="89">
        <f t="shared" si="75"/>
        <v>9.8553127035437976E-3</v>
      </c>
      <c r="K79" s="89">
        <f t="shared" si="75"/>
        <v>8.5889382419308269E-3</v>
      </c>
      <c r="L79" s="89">
        <f t="shared" si="75"/>
        <v>8.1439921187375069E-3</v>
      </c>
      <c r="M79" s="89">
        <f t="shared" si="75"/>
        <v>7.5142282085249841E-3</v>
      </c>
      <c r="N79" s="89">
        <f t="shared" si="75"/>
        <v>9.3492536632329253E-3</v>
      </c>
      <c r="O79" s="89">
        <f t="shared" si="75"/>
        <v>1.0201007773275487E-2</v>
      </c>
      <c r="P79" s="89">
        <f t="shared" si="75"/>
        <v>9.9379115136429257E-3</v>
      </c>
      <c r="Q79" s="89">
        <f t="shared" si="75"/>
        <v>8.6243378861652516E-3</v>
      </c>
      <c r="R79" s="89">
        <f t="shared" si="75"/>
        <v>9.1778504467213383E-3</v>
      </c>
      <c r="S79" s="89">
        <f t="shared" si="75"/>
        <v>1.0263377021879242E-2</v>
      </c>
      <c r="T79" s="89">
        <f t="shared" ref="T79:Y79" si="76">T44/T$23</f>
        <v>1.1090388640992672E-2</v>
      </c>
      <c r="U79" s="89">
        <f t="shared" si="76"/>
        <v>9.1808237793510709E-3</v>
      </c>
      <c r="V79" s="89">
        <f t="shared" si="76"/>
        <v>8.5548781659776328E-3</v>
      </c>
      <c r="W79" s="89">
        <f t="shared" si="76"/>
        <v>8.6812826162390201E-3</v>
      </c>
      <c r="X79" s="89">
        <f t="shared" si="76"/>
        <v>8.9157518737126105E-3</v>
      </c>
      <c r="Y79" s="89">
        <f t="shared" si="76"/>
        <v>9.7262272976771456E-3</v>
      </c>
    </row>
    <row r="80" spans="1:25" x14ac:dyDescent="0.25">
      <c r="A80" s="88" t="s">
        <v>11</v>
      </c>
      <c r="B80" s="44"/>
      <c r="C80" s="44"/>
      <c r="D80" s="89">
        <f>D47/D$23</f>
        <v>3.3280902035528986E-3</v>
      </c>
      <c r="E80" s="89">
        <f t="shared" ref="E80:S80" si="77">E47/E$23</f>
        <v>3.0224764646908263E-3</v>
      </c>
      <c r="F80" s="89">
        <f t="shared" si="77"/>
        <v>3.1190112185353457E-3</v>
      </c>
      <c r="G80" s="89">
        <f t="shared" si="77"/>
        <v>2.7997137808395841E-3</v>
      </c>
      <c r="H80" s="89">
        <f t="shared" si="77"/>
        <v>2.5713285892467125E-3</v>
      </c>
      <c r="I80" s="89">
        <f t="shared" si="77"/>
        <v>2.8686759260457472E-3</v>
      </c>
      <c r="J80" s="89">
        <f t="shared" si="77"/>
        <v>2.755829743757713E-3</v>
      </c>
      <c r="K80" s="89">
        <f t="shared" si="77"/>
        <v>4.0416600193996762E-3</v>
      </c>
      <c r="L80" s="89">
        <f t="shared" si="77"/>
        <v>4.0201703702984629E-3</v>
      </c>
      <c r="M80" s="89">
        <f t="shared" si="77"/>
        <v>4.1501310530295708E-3</v>
      </c>
      <c r="N80" s="89">
        <f t="shared" si="77"/>
        <v>3.9840965715600418E-3</v>
      </c>
      <c r="O80" s="89">
        <f t="shared" si="77"/>
        <v>3.2806866418525339E-3</v>
      </c>
      <c r="P80" s="89">
        <f t="shared" si="77"/>
        <v>3.4164503403547007E-3</v>
      </c>
      <c r="Q80" s="89">
        <f t="shared" si="77"/>
        <v>3.4637447623830989E-3</v>
      </c>
      <c r="R80" s="89">
        <f t="shared" si="77"/>
        <v>3.7241598548794774E-3</v>
      </c>
      <c r="S80" s="89">
        <f t="shared" si="77"/>
        <v>3.6029609425710894E-3</v>
      </c>
      <c r="T80" s="89">
        <f t="shared" ref="T80:Y80" si="78">T47/T$23</f>
        <v>3.4761476901379981E-3</v>
      </c>
      <c r="U80" s="89">
        <f t="shared" si="78"/>
        <v>2.9360243139207763E-3</v>
      </c>
      <c r="V80" s="89">
        <f t="shared" si="78"/>
        <v>4.4115237787538449E-3</v>
      </c>
      <c r="W80" s="89">
        <f t="shared" si="78"/>
        <v>3.0874854492900284E-3</v>
      </c>
      <c r="X80" s="89">
        <f t="shared" si="78"/>
        <v>3.3544925731197814E-3</v>
      </c>
      <c r="Y80" s="89">
        <f t="shared" si="78"/>
        <v>3.4837925786624733E-3</v>
      </c>
    </row>
    <row r="81" spans="1:25" x14ac:dyDescent="0.25">
      <c r="A81" s="68" t="s">
        <v>4</v>
      </c>
      <c r="B81" s="44"/>
      <c r="C81" s="44"/>
      <c r="D81" s="89">
        <f>D48/D$23</f>
        <v>1.3880115143715455E-2</v>
      </c>
      <c r="E81" s="89">
        <f t="shared" ref="E81:S81" si="79">E48/E$23</f>
        <v>1.2765853996259293E-2</v>
      </c>
      <c r="F81" s="89">
        <f t="shared" si="79"/>
        <v>1.2626773755948405E-2</v>
      </c>
      <c r="G81" s="89">
        <f t="shared" si="79"/>
        <v>1.3500514557922245E-2</v>
      </c>
      <c r="H81" s="89">
        <f t="shared" si="79"/>
        <v>1.3376612976652909E-2</v>
      </c>
      <c r="I81" s="89">
        <f t="shared" si="79"/>
        <v>1.2496556849420163E-2</v>
      </c>
      <c r="J81" s="89">
        <f t="shared" si="79"/>
        <v>1.3640733740708427E-2</v>
      </c>
      <c r="K81" s="89">
        <f t="shared" si="79"/>
        <v>1.6116625858227582E-2</v>
      </c>
      <c r="L81" s="89">
        <f t="shared" si="79"/>
        <v>1.422654308249178E-2</v>
      </c>
      <c r="M81" s="89">
        <f t="shared" si="79"/>
        <v>1.1993413234934587E-2</v>
      </c>
      <c r="N81" s="89">
        <f t="shared" si="79"/>
        <v>1.1820458329556917E-2</v>
      </c>
      <c r="O81" s="89">
        <f t="shared" si="79"/>
        <v>1.1404147781366917E-2</v>
      </c>
      <c r="P81" s="89">
        <f t="shared" si="79"/>
        <v>1.0555218635226331E-2</v>
      </c>
      <c r="Q81" s="89">
        <f t="shared" si="79"/>
        <v>9.8660193181448249E-3</v>
      </c>
      <c r="R81" s="89">
        <f t="shared" si="79"/>
        <v>1.0855973216727099E-2</v>
      </c>
      <c r="S81" s="89">
        <f t="shared" si="79"/>
        <v>1.146112943305424E-2</v>
      </c>
      <c r="T81" s="89">
        <f t="shared" ref="T81:Y81" si="80">T48/T$23</f>
        <v>1.1408293201883003E-2</v>
      </c>
      <c r="U81" s="89">
        <f t="shared" si="80"/>
        <v>1.080781759276335E-2</v>
      </c>
      <c r="V81" s="89">
        <f t="shared" si="80"/>
        <v>1.1039334866688693E-2</v>
      </c>
      <c r="W81" s="89">
        <f t="shared" si="80"/>
        <v>1.0787823726588527E-2</v>
      </c>
      <c r="X81" s="89">
        <f t="shared" si="80"/>
        <v>1.0722465260740267E-2</v>
      </c>
      <c r="Y81" s="89">
        <f t="shared" si="80"/>
        <v>1.1076239290473092E-2</v>
      </c>
    </row>
    <row r="82" spans="1:25" x14ac:dyDescent="0.25">
      <c r="A82" s="68" t="s">
        <v>3</v>
      </c>
      <c r="B82" s="44"/>
      <c r="C82" s="44"/>
      <c r="D82" s="89">
        <f>D52/D$23</f>
        <v>1.1006349074186364E-2</v>
      </c>
      <c r="E82" s="89">
        <f t="shared" ref="E82:S82" si="81">E52/E$23</f>
        <v>9.9050977270913575E-3</v>
      </c>
      <c r="F82" s="89">
        <f t="shared" si="81"/>
        <v>9.7995305871966584E-3</v>
      </c>
      <c r="G82" s="89">
        <f t="shared" si="81"/>
        <v>9.6675590385959711E-3</v>
      </c>
      <c r="H82" s="89">
        <f t="shared" si="81"/>
        <v>9.4000489254501187E-3</v>
      </c>
      <c r="I82" s="89">
        <f t="shared" si="81"/>
        <v>9.4869197251395299E-3</v>
      </c>
      <c r="J82" s="89">
        <f t="shared" si="81"/>
        <v>9.031473404580331E-3</v>
      </c>
      <c r="K82" s="89">
        <f t="shared" si="81"/>
        <v>1.0404782965667979E-2</v>
      </c>
      <c r="L82" s="89">
        <f t="shared" si="81"/>
        <v>8.4452387222759967E-3</v>
      </c>
      <c r="M82" s="89">
        <f t="shared" si="81"/>
        <v>8.9274546147154674E-3</v>
      </c>
      <c r="N82" s="89">
        <f t="shared" si="81"/>
        <v>8.5329131630469002E-3</v>
      </c>
      <c r="O82" s="89">
        <f t="shared" si="81"/>
        <v>9.0102556959554634E-3</v>
      </c>
      <c r="P82" s="89">
        <f t="shared" si="81"/>
        <v>9.5839496629297836E-3</v>
      </c>
      <c r="Q82" s="89">
        <f t="shared" si="81"/>
        <v>8.3668168775664926E-3</v>
      </c>
      <c r="R82" s="89">
        <f t="shared" si="81"/>
        <v>9.7550090811478907E-3</v>
      </c>
      <c r="S82" s="89">
        <f t="shared" si="81"/>
        <v>1.0615070909198197E-2</v>
      </c>
      <c r="T82" s="89">
        <f t="shared" ref="T82:Y82" si="82">T52/T$23</f>
        <v>1.0535389151720219E-2</v>
      </c>
      <c r="U82" s="89">
        <f t="shared" si="82"/>
        <v>9.5230012214682948E-3</v>
      </c>
      <c r="V82" s="89">
        <f t="shared" si="82"/>
        <v>9.756606531434852E-3</v>
      </c>
      <c r="W82" s="89">
        <f t="shared" si="82"/>
        <v>9.5344542009459451E-3</v>
      </c>
      <c r="X82" s="89">
        <f t="shared" si="82"/>
        <v>9.3921908034339859E-3</v>
      </c>
      <c r="Y82" s="89">
        <f t="shared" si="82"/>
        <v>1.0377008444403769E-2</v>
      </c>
    </row>
    <row r="83" spans="1:25" x14ac:dyDescent="0.25">
      <c r="A83" s="88" t="s">
        <v>21</v>
      </c>
      <c r="B83" s="44"/>
      <c r="C83" s="44"/>
      <c r="D83" s="89">
        <f>D53/D$23</f>
        <v>6.5041356769942431E-3</v>
      </c>
      <c r="E83" s="89">
        <f t="shared" ref="E83:S83" si="83">E53/E$23</f>
        <v>5.9973881659925688E-3</v>
      </c>
      <c r="F83" s="89">
        <f t="shared" si="83"/>
        <v>5.9365646734566438E-3</v>
      </c>
      <c r="G83" s="89">
        <f t="shared" si="83"/>
        <v>6.1346149538901882E-3</v>
      </c>
      <c r="H83" s="89">
        <f t="shared" si="83"/>
        <v>5.9226122241224409E-3</v>
      </c>
      <c r="I83" s="89">
        <f t="shared" si="83"/>
        <v>5.4475726019496086E-3</v>
      </c>
      <c r="J83" s="89">
        <f t="shared" si="83"/>
        <v>5.3142207049686821E-3</v>
      </c>
      <c r="K83" s="89">
        <f t="shared" si="83"/>
        <v>5.9290579328940612E-3</v>
      </c>
      <c r="L83" s="89">
        <f t="shared" si="83"/>
        <v>4.5124361299268461E-3</v>
      </c>
      <c r="M83" s="89">
        <f t="shared" si="83"/>
        <v>5.0491662070808437E-3</v>
      </c>
      <c r="N83" s="89">
        <f t="shared" si="83"/>
        <v>4.5909646064421191E-3</v>
      </c>
      <c r="O83" s="89">
        <f t="shared" si="83"/>
        <v>5.076936603706771E-3</v>
      </c>
      <c r="P83" s="89">
        <f t="shared" si="83"/>
        <v>5.6056178760412112E-3</v>
      </c>
      <c r="Q83" s="89">
        <f t="shared" si="83"/>
        <v>4.9269058879882434E-3</v>
      </c>
      <c r="R83" s="89">
        <f t="shared" si="83"/>
        <v>6.0925387866163664E-3</v>
      </c>
      <c r="S83" s="89">
        <f t="shared" si="83"/>
        <v>6.3952687861840163E-3</v>
      </c>
      <c r="T83" s="89">
        <f t="shared" ref="T83:Y83" si="84">T53/T$23</f>
        <v>6.5322453103076553E-3</v>
      </c>
      <c r="U83" s="89">
        <f t="shared" si="84"/>
        <v>6.0730992764622517E-3</v>
      </c>
      <c r="V83" s="89">
        <f t="shared" si="84"/>
        <v>6.3433959397506661E-3</v>
      </c>
      <c r="W83" s="89">
        <f t="shared" si="84"/>
        <v>6.1486898805687982E-3</v>
      </c>
      <c r="X83" s="89">
        <f t="shared" si="84"/>
        <v>6.2605974216195385E-3</v>
      </c>
      <c r="Y83" s="89">
        <f t="shared" si="84"/>
        <v>6.8525420440708829E-3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4.5022133971921209E-3</v>
      </c>
      <c r="E84" s="89">
        <f t="shared" ref="E84:S84" si="86">E56/E$23</f>
        <v>3.9077095610987886E-3</v>
      </c>
      <c r="F84" s="89">
        <f t="shared" si="86"/>
        <v>3.8629659137400141E-3</v>
      </c>
      <c r="G84" s="89">
        <f t="shared" si="86"/>
        <v>3.5329440847057833E-3</v>
      </c>
      <c r="H84" s="89">
        <f t="shared" si="86"/>
        <v>3.4774367013276782E-3</v>
      </c>
      <c r="I84" s="89">
        <f t="shared" si="86"/>
        <v>4.0393471231899214E-3</v>
      </c>
      <c r="J84" s="89">
        <f t="shared" si="86"/>
        <v>3.7172526996116484E-3</v>
      </c>
      <c r="K84" s="89">
        <f t="shared" si="86"/>
        <v>4.475725032773918E-3</v>
      </c>
      <c r="L84" s="89">
        <f t="shared" si="86"/>
        <v>3.9328025923491515E-3</v>
      </c>
      <c r="M84" s="89">
        <f t="shared" si="86"/>
        <v>3.8782884076346232E-3</v>
      </c>
      <c r="N84" s="89">
        <f t="shared" si="86"/>
        <v>3.9419485566047812E-3</v>
      </c>
      <c r="O84" s="89">
        <f t="shared" si="86"/>
        <v>3.9333190922486924E-3</v>
      </c>
      <c r="P84" s="89">
        <f t="shared" si="86"/>
        <v>3.9783317868885724E-3</v>
      </c>
      <c r="Q84" s="89">
        <f t="shared" si="86"/>
        <v>3.4399109895782492E-3</v>
      </c>
      <c r="R84" s="89">
        <f t="shared" si="86"/>
        <v>3.6624702945315252E-3</v>
      </c>
      <c r="S84" s="89">
        <f t="shared" si="86"/>
        <v>4.2198021230141804E-3</v>
      </c>
      <c r="T84" s="89">
        <f t="shared" ref="T84:Y84" si="87">T56/T$23</f>
        <v>4.0031438414125627E-3</v>
      </c>
      <c r="U84" s="89">
        <f t="shared" si="87"/>
        <v>3.4499019450060435E-3</v>
      </c>
      <c r="V84" s="89">
        <f t="shared" si="87"/>
        <v>3.4132105916841854E-3</v>
      </c>
      <c r="W84" s="89">
        <f t="shared" si="87"/>
        <v>3.3857643203771466E-3</v>
      </c>
      <c r="X84" s="89">
        <f t="shared" si="87"/>
        <v>3.131593381814447E-3</v>
      </c>
      <c r="Y84" s="89">
        <f t="shared" si="87"/>
        <v>3.5244664003328853E-3</v>
      </c>
    </row>
    <row r="85" spans="1:25" x14ac:dyDescent="0.25">
      <c r="A85" s="68" t="s">
        <v>2</v>
      </c>
      <c r="B85" s="44"/>
      <c r="C85" s="44"/>
      <c r="D85" s="89">
        <f t="shared" si="85"/>
        <v>3.4194377120405545E-2</v>
      </c>
      <c r="E85" s="89">
        <f t="shared" ref="E85:S85" si="88">E57/E$23</f>
        <v>3.0707282746621975E-2</v>
      </c>
      <c r="F85" s="89">
        <f t="shared" si="88"/>
        <v>3.0512370534656875E-2</v>
      </c>
      <c r="G85" s="89">
        <f t="shared" si="88"/>
        <v>3.1266024677561385E-2</v>
      </c>
      <c r="H85" s="89">
        <f t="shared" si="88"/>
        <v>2.8619194353608143E-2</v>
      </c>
      <c r="I85" s="89">
        <f t="shared" si="88"/>
        <v>3.370035623898885E-2</v>
      </c>
      <c r="J85" s="89">
        <f t="shared" si="88"/>
        <v>3.4087909721844084E-2</v>
      </c>
      <c r="K85" s="89">
        <f t="shared" si="88"/>
        <v>3.0272840344024821E-2</v>
      </c>
      <c r="L85" s="89">
        <f t="shared" si="88"/>
        <v>3.1115767942413677E-2</v>
      </c>
      <c r="M85" s="89">
        <f t="shared" si="88"/>
        <v>3.5762410238624538E-2</v>
      </c>
      <c r="N85" s="89">
        <f t="shared" si="88"/>
        <v>3.3369819359312151E-2</v>
      </c>
      <c r="O85" s="89">
        <f t="shared" si="88"/>
        <v>2.9850078844647191E-2</v>
      </c>
      <c r="P85" s="89">
        <f t="shared" si="88"/>
        <v>2.9479127687851978E-2</v>
      </c>
      <c r="Q85" s="89">
        <f t="shared" si="88"/>
        <v>2.9079528068046E-2</v>
      </c>
      <c r="R85" s="89">
        <f t="shared" si="88"/>
        <v>3.3860065846658648E-2</v>
      </c>
      <c r="S85" s="89">
        <f t="shared" si="88"/>
        <v>3.6042722546043446E-2</v>
      </c>
      <c r="T85" s="89">
        <f t="shared" ref="T85:Y85" si="89">T57/T$23</f>
        <v>3.6326996844690554E-2</v>
      </c>
      <c r="U85" s="89">
        <f t="shared" si="89"/>
        <v>3.3436043636306714E-2</v>
      </c>
      <c r="V85" s="89">
        <f t="shared" si="89"/>
        <v>3.286402164392413E-2</v>
      </c>
      <c r="W85" s="89">
        <f t="shared" si="89"/>
        <v>3.288225420197155E-2</v>
      </c>
      <c r="X85" s="89">
        <f t="shared" si="89"/>
        <v>2.8714508212745519E-2</v>
      </c>
      <c r="Y85" s="89">
        <f t="shared" si="89"/>
        <v>2.7654410487784793E-2</v>
      </c>
    </row>
    <row r="86" spans="1:25" x14ac:dyDescent="0.25">
      <c r="A86" s="68" t="s">
        <v>275</v>
      </c>
      <c r="B86" s="44"/>
      <c r="C86" s="44"/>
      <c r="D86" s="89">
        <f t="shared" si="85"/>
        <v>1.3191087041384523E-2</v>
      </c>
      <c r="E86" s="89">
        <f t="shared" ref="E86:S86" si="90">E58/E$23</f>
        <v>1.2066651974439752E-2</v>
      </c>
      <c r="F86" s="89">
        <f t="shared" si="90"/>
        <v>1.197379470726298E-2</v>
      </c>
      <c r="G86" s="89">
        <f t="shared" si="90"/>
        <v>1.5930076706263462E-2</v>
      </c>
      <c r="H86" s="89">
        <f t="shared" si="90"/>
        <v>1.8037694536255845E-2</v>
      </c>
      <c r="I86" s="89">
        <f t="shared" si="90"/>
        <v>1.7952448472904947E-2</v>
      </c>
      <c r="J86" s="89">
        <f t="shared" si="90"/>
        <v>1.8310264863087636E-2</v>
      </c>
      <c r="K86" s="89">
        <f t="shared" si="90"/>
        <v>1.6159338731705108E-2</v>
      </c>
      <c r="L86" s="89">
        <f t="shared" si="90"/>
        <v>1.627483209885899E-2</v>
      </c>
      <c r="M86" s="89">
        <f t="shared" si="90"/>
        <v>1.6440616773650666E-2</v>
      </c>
      <c r="N86" s="89">
        <f t="shared" si="90"/>
        <v>1.8026991208494509E-2</v>
      </c>
      <c r="O86" s="89">
        <f t="shared" si="90"/>
        <v>1.8694293968014364E-2</v>
      </c>
      <c r="P86" s="89">
        <f t="shared" si="90"/>
        <v>1.8696927716708524E-2</v>
      </c>
      <c r="Q86" s="89">
        <f t="shared" si="90"/>
        <v>2.2033160335021465E-2</v>
      </c>
      <c r="R86" s="89">
        <f t="shared" si="90"/>
        <v>2.2294662685930111E-2</v>
      </c>
      <c r="S86" s="89">
        <f t="shared" si="90"/>
        <v>1.9850903821818922E-2</v>
      </c>
      <c r="T86" s="89">
        <f t="shared" ref="T86:Y86" si="91">T58/T$23</f>
        <v>2.2328794925688473E-2</v>
      </c>
      <c r="U86" s="89">
        <f t="shared" si="91"/>
        <v>2.2497127323761495E-2</v>
      </c>
      <c r="V86" s="89">
        <f t="shared" si="91"/>
        <v>1.8988543766983682E-2</v>
      </c>
      <c r="W86" s="89">
        <f t="shared" si="91"/>
        <v>2.1698719537522455E-2</v>
      </c>
      <c r="X86" s="89">
        <f t="shared" si="91"/>
        <v>1.8028725297137789E-2</v>
      </c>
      <c r="Y86" s="89">
        <f t="shared" si="91"/>
        <v>1.8714743123881095E-2</v>
      </c>
    </row>
    <row r="87" spans="1:25" x14ac:dyDescent="0.25">
      <c r="A87" s="68" t="s">
        <v>276</v>
      </c>
      <c r="B87" s="44"/>
      <c r="C87" s="44"/>
      <c r="D87" s="89">
        <f t="shared" si="85"/>
        <v>3.6605975478563806E-2</v>
      </c>
      <c r="E87" s="89">
        <f t="shared" ref="E87:S87" si="92">E59/E$23</f>
        <v>3.3594463884339405E-2</v>
      </c>
      <c r="F87" s="89">
        <f t="shared" si="92"/>
        <v>3.3206110979522405E-2</v>
      </c>
      <c r="G87" s="89">
        <f t="shared" si="92"/>
        <v>3.7511449355830069E-2</v>
      </c>
      <c r="H87" s="89">
        <f t="shared" si="92"/>
        <v>3.685918355929358E-2</v>
      </c>
      <c r="I87" s="89">
        <f t="shared" si="92"/>
        <v>3.7274762491935176E-2</v>
      </c>
      <c r="J87" s="89">
        <f t="shared" si="92"/>
        <v>3.9642382250627543E-2</v>
      </c>
      <c r="K87" s="89">
        <f t="shared" si="92"/>
        <v>3.976860574594019E-2</v>
      </c>
      <c r="L87" s="89">
        <f t="shared" si="92"/>
        <v>4.2995906866575E-2</v>
      </c>
      <c r="M87" s="89">
        <f t="shared" si="92"/>
        <v>4.3518631704030517E-2</v>
      </c>
      <c r="N87" s="89">
        <f t="shared" si="92"/>
        <v>4.3404215942344053E-2</v>
      </c>
      <c r="O87" s="89">
        <f t="shared" si="92"/>
        <v>4.3775019465669265E-2</v>
      </c>
      <c r="P87" s="89">
        <f t="shared" si="92"/>
        <v>4.3623818612000327E-2</v>
      </c>
      <c r="Q87" s="89">
        <f t="shared" si="92"/>
        <v>3.8267156828550301E-2</v>
      </c>
      <c r="R87" s="89">
        <f t="shared" si="92"/>
        <v>4.2718631136443967E-2</v>
      </c>
      <c r="S87" s="89">
        <f t="shared" si="92"/>
        <v>4.4757177794242035E-2</v>
      </c>
      <c r="T87" s="89">
        <f t="shared" ref="T87:Y87" si="93">T59/T$23</f>
        <v>4.6071358372584685E-2</v>
      </c>
      <c r="U87" s="89">
        <f t="shared" si="93"/>
        <v>4.3020680823045589E-2</v>
      </c>
      <c r="V87" s="89">
        <f t="shared" si="93"/>
        <v>4.3533365123151986E-2</v>
      </c>
      <c r="W87" s="89">
        <f t="shared" si="93"/>
        <v>4.4547180196334163E-2</v>
      </c>
      <c r="X87" s="89">
        <f t="shared" si="93"/>
        <v>4.7156449338876257E-2</v>
      </c>
      <c r="Y87" s="89">
        <f t="shared" si="93"/>
        <v>5.0629337668684209E-2</v>
      </c>
    </row>
    <row r="88" spans="1:25" x14ac:dyDescent="0.25">
      <c r="A88" s="68" t="s">
        <v>1</v>
      </c>
      <c r="B88" s="44"/>
      <c r="C88" s="44"/>
      <c r="D88" s="89">
        <f t="shared" si="85"/>
        <v>1.0908606033400364E-2</v>
      </c>
      <c r="E88" s="89">
        <f t="shared" ref="E88:S88" si="94">E60/E$23</f>
        <v>9.9087972086882858E-3</v>
      </c>
      <c r="F88" s="89">
        <f t="shared" si="94"/>
        <v>9.8162184276824362E-3</v>
      </c>
      <c r="G88" s="89">
        <f t="shared" si="94"/>
        <v>9.9180597453026702E-3</v>
      </c>
      <c r="H88" s="89">
        <f t="shared" si="94"/>
        <v>9.207528376212578E-3</v>
      </c>
      <c r="I88" s="89">
        <f t="shared" si="94"/>
        <v>8.4401095152968324E-3</v>
      </c>
      <c r="J88" s="89">
        <f t="shared" si="94"/>
        <v>8.4233619543363589E-3</v>
      </c>
      <c r="K88" s="89">
        <f t="shared" si="94"/>
        <v>8.5020522257970438E-3</v>
      </c>
      <c r="L88" s="89">
        <f t="shared" si="94"/>
        <v>7.7187396368193504E-3</v>
      </c>
      <c r="M88" s="89">
        <f t="shared" si="94"/>
        <v>7.0032351051551311E-3</v>
      </c>
      <c r="N88" s="89">
        <f t="shared" si="94"/>
        <v>6.8159361327643471E-3</v>
      </c>
      <c r="O88" s="89">
        <f t="shared" si="94"/>
        <v>6.8508278612418811E-3</v>
      </c>
      <c r="P88" s="89">
        <f t="shared" si="94"/>
        <v>6.9026959752162198E-3</v>
      </c>
      <c r="Q88" s="89">
        <f t="shared" si="94"/>
        <v>5.927924345792002E-3</v>
      </c>
      <c r="R88" s="89">
        <f t="shared" si="94"/>
        <v>6.6257922384529364E-3</v>
      </c>
      <c r="S88" s="89">
        <f t="shared" si="94"/>
        <v>6.5746562723332834E-3</v>
      </c>
      <c r="T88" s="89">
        <f t="shared" ref="T88:Y88" si="95">T60/T$23</f>
        <v>7.1576531922605165E-3</v>
      </c>
      <c r="U88" s="89">
        <f t="shared" si="95"/>
        <v>6.4103849753040336E-3</v>
      </c>
      <c r="V88" s="89">
        <f t="shared" si="95"/>
        <v>6.0205401279341889E-3</v>
      </c>
      <c r="W88" s="89">
        <f t="shared" si="95"/>
        <v>5.8845976995776242E-3</v>
      </c>
      <c r="X88" s="89">
        <f t="shared" si="95"/>
        <v>5.7215827266720795E-3</v>
      </c>
      <c r="Y88" s="89">
        <f t="shared" si="95"/>
        <v>6.086518402611419E-3</v>
      </c>
    </row>
    <row r="89" spans="1:25" x14ac:dyDescent="0.25">
      <c r="A89" s="68" t="s">
        <v>0</v>
      </c>
      <c r="B89" s="44"/>
      <c r="C89" s="44"/>
      <c r="D89" s="89">
        <f t="shared" si="85"/>
        <v>7.189543666703469E-3</v>
      </c>
      <c r="E89" s="89">
        <f t="shared" ref="E89:S89" si="96">E61/E$23</f>
        <v>6.3525383992977325E-3</v>
      </c>
      <c r="F89" s="89">
        <f t="shared" si="96"/>
        <v>6.303697164143752E-3</v>
      </c>
      <c r="G89" s="89">
        <f t="shared" si="96"/>
        <v>7.1377966075720769E-3</v>
      </c>
      <c r="H89" s="89">
        <f t="shared" si="96"/>
        <v>7.7266010743853326E-3</v>
      </c>
      <c r="I89" s="89">
        <f t="shared" si="96"/>
        <v>7.0295731972218169E-3</v>
      </c>
      <c r="J89" s="89">
        <f t="shared" si="96"/>
        <v>6.8945622865323056E-3</v>
      </c>
      <c r="K89" s="89">
        <f t="shared" si="96"/>
        <v>7.843105758900069E-3</v>
      </c>
      <c r="L89" s="89">
        <f t="shared" si="96"/>
        <v>7.3122759243526561E-3</v>
      </c>
      <c r="M89" s="89">
        <f t="shared" si="96"/>
        <v>7.1880170340510455E-3</v>
      </c>
      <c r="N89" s="89">
        <f t="shared" si="96"/>
        <v>7.9393550276243823E-3</v>
      </c>
      <c r="O89" s="89">
        <f t="shared" si="96"/>
        <v>7.6382168268587253E-3</v>
      </c>
      <c r="P89" s="89">
        <f t="shared" si="96"/>
        <v>7.7654596577332591E-3</v>
      </c>
      <c r="Q89" s="89">
        <f t="shared" si="96"/>
        <v>6.7118229464588819E-3</v>
      </c>
      <c r="R89" s="89">
        <f t="shared" si="96"/>
        <v>7.4599907076626209E-3</v>
      </c>
      <c r="S89" s="89">
        <f t="shared" si="96"/>
        <v>7.5987909703053389E-3</v>
      </c>
      <c r="T89" s="89">
        <f t="shared" ref="T89:Y89" si="97">T61/T$23</f>
        <v>7.8185319690107051E-3</v>
      </c>
      <c r="U89" s="89">
        <f t="shared" si="97"/>
        <v>7.579022443807322E-3</v>
      </c>
      <c r="V89" s="89">
        <f t="shared" si="97"/>
        <v>7.2382854365715321E-3</v>
      </c>
      <c r="W89" s="89">
        <f t="shared" si="97"/>
        <v>7.3691547169940329E-3</v>
      </c>
      <c r="X89" s="89">
        <f t="shared" si="97"/>
        <v>7.3979658992288514E-3</v>
      </c>
      <c r="Y89" s="89">
        <f t="shared" si="97"/>
        <v>9.0519191364548893E-3</v>
      </c>
    </row>
    <row r="90" spans="1:25" x14ac:dyDescent="0.25">
      <c r="A90" s="90" t="s">
        <v>278</v>
      </c>
      <c r="B90" s="47"/>
      <c r="C90" s="47"/>
      <c r="D90" s="91">
        <f t="shared" si="85"/>
        <v>2.1500452212401662E-2</v>
      </c>
      <c r="E90" s="91">
        <f t="shared" ref="E90:S90" si="98">E62/E$23</f>
        <v>1.9245231764594587E-2</v>
      </c>
      <c r="F90" s="91">
        <f t="shared" si="98"/>
        <v>1.903544281992205E-2</v>
      </c>
      <c r="G90" s="91">
        <f t="shared" si="98"/>
        <v>2.1213578670778412E-2</v>
      </c>
      <c r="H90" s="91">
        <f t="shared" si="98"/>
        <v>2.0915629926140121E-2</v>
      </c>
      <c r="I90" s="91">
        <f t="shared" si="98"/>
        <v>2.1360012127284729E-2</v>
      </c>
      <c r="J90" s="91">
        <f t="shared" si="98"/>
        <v>2.1163359186036797E-2</v>
      </c>
      <c r="K90" s="91">
        <f t="shared" si="98"/>
        <v>2.1894180863829538E-2</v>
      </c>
      <c r="L90" s="91">
        <f t="shared" si="98"/>
        <v>2.1229430603210312E-2</v>
      </c>
      <c r="M90" s="91">
        <f t="shared" si="98"/>
        <v>2.3795292893571296E-2</v>
      </c>
      <c r="N90" s="91">
        <f t="shared" si="98"/>
        <v>2.4693983228259074E-2</v>
      </c>
      <c r="O90" s="91">
        <f t="shared" si="98"/>
        <v>2.4193930941213835E-2</v>
      </c>
      <c r="P90" s="91">
        <f t="shared" si="98"/>
        <v>2.5182611470123507E-2</v>
      </c>
      <c r="Q90" s="91">
        <f t="shared" si="98"/>
        <v>2.3762852797968668E-2</v>
      </c>
      <c r="R90" s="91">
        <f t="shared" si="98"/>
        <v>2.6577363154770769E-2</v>
      </c>
      <c r="S90" s="91">
        <f t="shared" si="98"/>
        <v>2.6885043830604714E-2</v>
      </c>
      <c r="T90" s="91">
        <f t="shared" ref="T90:Y90" si="99">T62/T$23</f>
        <v>2.9229084106825533E-2</v>
      </c>
      <c r="U90" s="91">
        <f t="shared" si="99"/>
        <v>2.6648994428793583E-2</v>
      </c>
      <c r="V90" s="91">
        <f t="shared" si="99"/>
        <v>2.6708710379802904E-2</v>
      </c>
      <c r="W90" s="91">
        <f t="shared" si="99"/>
        <v>2.7110045246084343E-2</v>
      </c>
      <c r="X90" s="91">
        <f t="shared" si="99"/>
        <v>2.8554832122168611E-2</v>
      </c>
      <c r="Y90" s="91">
        <f t="shared" si="99"/>
        <v>2.9051277128093227E-2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1.2587506062230913E-2</v>
      </c>
      <c r="F93" s="92">
        <f t="shared" ref="F93:F94" si="101">IF(E16=0,"",F16/E16-1)</f>
        <v>2.0355670668487758E-2</v>
      </c>
      <c r="G93" s="92">
        <f t="shared" ref="G93:G94" si="102">IF(F16=0,"",G16/F16-1)</f>
        <v>3.498533182226482E-2</v>
      </c>
      <c r="H93" s="92">
        <f t="shared" ref="H93:H94" si="103">IF(G16=0,"",H16/G16-1)</f>
        <v>4.9818281621473171E-2</v>
      </c>
      <c r="I93" s="92">
        <f t="shared" ref="I93:I94" si="104">IF(H16=0,"",I16/H16-1)</f>
        <v>3.5072439691257618E-2</v>
      </c>
      <c r="J93" s="92">
        <f t="shared" ref="J93:J94" si="105">IF(I16=0,"",J16/I16-1)</f>
        <v>6.1309818253743487E-2</v>
      </c>
      <c r="K93" s="92">
        <f t="shared" ref="K93:K94" si="106">IF(J16=0,"",K16/J16-1)</f>
        <v>7.0614143498474169E-2</v>
      </c>
      <c r="L93" s="92">
        <f t="shared" ref="L93:L94" si="107">IF(K16=0,"",L16/K16-1)</f>
        <v>4.2006835260811393E-2</v>
      </c>
      <c r="M93" s="92">
        <f t="shared" ref="M93:M94" si="108">IF(L16=0,"",M16/L16-1)</f>
        <v>2.8318599959183954E-2</v>
      </c>
      <c r="N93" s="92">
        <f t="shared" ref="N93:N94" si="109">IF(M16=0,"",N16/M16-1)</f>
        <v>2.9346112868396723E-2</v>
      </c>
      <c r="O93" s="92">
        <f t="shared" ref="O93:O94" si="110">IF(N16=0,"",O16/N16-1)</f>
        <v>5.0425725422221568E-2</v>
      </c>
      <c r="P93" s="92">
        <f t="shared" ref="P93:P94" si="111">IF(O16=0,"",P16/O16-1)</f>
        <v>1.5453362971265205E-2</v>
      </c>
      <c r="Q93" s="92">
        <f t="shared" ref="Q93:Q94" si="112">IF(P16=0,"",Q16/P16-1)</f>
        <v>8.563074788933811E-3</v>
      </c>
      <c r="R93" s="92">
        <f t="shared" ref="R93:R94" si="113">IF(Q16=0,"",R16/Q16-1)</f>
        <v>3.8371498074854182E-2</v>
      </c>
      <c r="S93" s="92">
        <f t="shared" ref="S93:S94" si="114">IF(R16=0,"",S16/R16-1)</f>
        <v>4.3829258376649083E-2</v>
      </c>
      <c r="T93" s="92">
        <f t="shared" ref="T93:T94" si="115">IF(S16=0,"",T16/S16-1)</f>
        <v>2.9534168432582719E-2</v>
      </c>
      <c r="U93" s="92">
        <f t="shared" ref="U93:U94" si="116">IF(T16=0,"",U16/T16-1)</f>
        <v>5.1398501777137673E-2</v>
      </c>
      <c r="V93" s="92">
        <f t="shared" ref="V93:V94" si="117">IF(U16=0,"",V16/U16-1)</f>
        <v>5.9451540768572508E-2</v>
      </c>
      <c r="W93" s="92">
        <f t="shared" ref="W93:W94" si="118">IF(V16=0,"",W16/V16-1)</f>
        <v>4.450741625667809E-2</v>
      </c>
      <c r="X93" s="92">
        <f t="shared" ref="X93:X94" si="119">IF(W16=0,"",X16/W16-1)</f>
        <v>-2.0209256629580064E-2</v>
      </c>
      <c r="Y93" s="92">
        <f t="shared" ref="Y93:Y94" si="120">IF(X16=0,"",Y16/X16-1)</f>
        <v>6.9353293459137655E-2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2.0207204851160565E-2</v>
      </c>
      <c r="F94" s="93">
        <f t="shared" si="101"/>
        <v>3.8715533095200039E-2</v>
      </c>
      <c r="G94" s="93">
        <f t="shared" si="102"/>
        <v>1.3814350645048767E-2</v>
      </c>
      <c r="H94" s="93">
        <f t="shared" si="103"/>
        <v>4.335309540372756E-2</v>
      </c>
      <c r="I94" s="93">
        <f t="shared" si="104"/>
        <v>1.8171489558516107E-2</v>
      </c>
      <c r="J94" s="93">
        <f t="shared" si="105"/>
        <v>4.7279093333070676E-2</v>
      </c>
      <c r="K94" s="93">
        <f t="shared" si="106"/>
        <v>5.6471985728333784E-2</v>
      </c>
      <c r="L94" s="93">
        <f t="shared" si="107"/>
        <v>6.6780076241993003E-2</v>
      </c>
      <c r="M94" s="93">
        <f t="shared" si="108"/>
        <v>3.4449269796588355E-2</v>
      </c>
      <c r="N94" s="93">
        <f t="shared" si="109"/>
        <v>2.9198283602105191E-2</v>
      </c>
      <c r="O94" s="93">
        <f t="shared" si="110"/>
        <v>2.3813584778481278E-2</v>
      </c>
      <c r="P94" s="93">
        <f t="shared" si="111"/>
        <v>8.6938166244725501E-3</v>
      </c>
      <c r="Q94" s="93">
        <f t="shared" si="112"/>
        <v>-6.8635206530764936E-4</v>
      </c>
      <c r="R94" s="93">
        <f t="shared" si="113"/>
        <v>3.226265508956172E-2</v>
      </c>
      <c r="S94" s="93">
        <f t="shared" si="114"/>
        <v>3.7859281472524042E-2</v>
      </c>
      <c r="T94" s="93">
        <f t="shared" si="115"/>
        <v>3.6976642821584749E-2</v>
      </c>
      <c r="U94" s="93">
        <f t="shared" si="116"/>
        <v>6.1743804993107831E-2</v>
      </c>
      <c r="V94" s="93">
        <f t="shared" si="117"/>
        <v>4.6202088811727604E-2</v>
      </c>
      <c r="W94" s="93">
        <f t="shared" si="118"/>
        <v>3.4049816588494375E-2</v>
      </c>
      <c r="X94" s="93">
        <f t="shared" si="119"/>
        <v>-3.4365399182703982E-2</v>
      </c>
      <c r="Y94" s="93">
        <f t="shared" si="120"/>
        <v>6.1040108709680574E-2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1.2834948921581546E-2</v>
      </c>
      <c r="F95" s="92">
        <f t="shared" ref="F95:F96" si="122">IF(E20=0,"",F20/E20-1)</f>
        <v>2.0669390666732568E-2</v>
      </c>
      <c r="G95" s="92">
        <f t="shared" ref="G95:G96" si="123">IF(F20=0,"",G20/F20-1)</f>
        <v>3.5626224138688434E-2</v>
      </c>
      <c r="H95" s="92">
        <f t="shared" ref="H95:H96" si="124">IF(G20=0,"",H20/G20-1)</f>
        <v>5.0585854525201812E-2</v>
      </c>
      <c r="I95" s="92">
        <f t="shared" ref="I95:I96" si="125">IF(H20=0,"",I20/H20-1)</f>
        <v>3.5527234710697853E-2</v>
      </c>
      <c r="J95" s="92">
        <f t="shared" ref="J95:J96" si="126">IF(I20=0,"",J20/I20-1)</f>
        <v>6.1776541347291936E-2</v>
      </c>
      <c r="K95" s="92">
        <f t="shared" ref="K95:K96" si="127">IF(J20=0,"",K20/J20-1)</f>
        <v>7.1500839563200635E-2</v>
      </c>
      <c r="L95" s="92">
        <f t="shared" ref="L95:L96" si="128">IF(K20=0,"",L20/K20-1)</f>
        <v>4.2275786876902144E-2</v>
      </c>
      <c r="M95" s="92">
        <f t="shared" ref="M95:M96" si="129">IF(L20=0,"",M20/L20-1)</f>
        <v>2.7772971300485505E-2</v>
      </c>
      <c r="N95" s="92">
        <f t="shared" ref="N95:N96" si="130">IF(M20=0,"",N20/M20-1)</f>
        <v>3.2405411633487535E-2</v>
      </c>
      <c r="O95" s="92">
        <f t="shared" ref="O95:O96" si="131">IF(N20=0,"",O20/N20-1)</f>
        <v>4.9326003254920314E-2</v>
      </c>
      <c r="P95" s="92">
        <f t="shared" ref="P95:P96" si="132">IF(O20=0,"",P20/O20-1)</f>
        <v>1.5424711151398318E-2</v>
      </c>
      <c r="Q95" s="92">
        <f t="shared" ref="Q95:Q96" si="133">IF(P20=0,"",Q20/P20-1)</f>
        <v>8.5963821812293784E-3</v>
      </c>
      <c r="R95" s="92">
        <f t="shared" ref="R95:R96" si="134">IF(Q20=0,"",R20/Q20-1)</f>
        <v>3.9591803611349619E-2</v>
      </c>
      <c r="S95" s="92">
        <f t="shared" ref="S95:S96" si="135">IF(R20=0,"",S20/R20-1)</f>
        <v>4.4165486539705423E-2</v>
      </c>
      <c r="T95" s="92">
        <f t="shared" ref="T95:T96" si="136">IF(S20=0,"",T20/S20-1)</f>
        <v>3.0575573918528498E-2</v>
      </c>
      <c r="U95" s="92">
        <f t="shared" ref="U95:U96" si="137">IF(T20=0,"",U20/T20-1)</f>
        <v>5.1239156871174307E-2</v>
      </c>
      <c r="V95" s="92">
        <f t="shared" ref="V95:V96" si="138">IF(U20=0,"",V20/U20-1)</f>
        <v>5.9347678678489002E-2</v>
      </c>
      <c r="W95" s="92">
        <f t="shared" ref="W95:W96" si="139">IF(V20=0,"",W20/V20-1)</f>
        <v>4.4614004787387751E-2</v>
      </c>
      <c r="X95" s="92">
        <f t="shared" ref="X95:X96" si="140">IF(W20=0,"",X20/W20-1)</f>
        <v>-1.9830485432525746E-2</v>
      </c>
      <c r="Y95" s="92">
        <f t="shared" ref="Y95:Y96" si="141">IF(X20=0,"",Y20/X20-1)</f>
        <v>7.2691829048219248E-2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2.0456509712604376E-2</v>
      </c>
      <c r="F96" s="93">
        <f t="shared" si="122"/>
        <v>3.9034898042724864E-2</v>
      </c>
      <c r="G96" s="93">
        <f t="shared" si="123"/>
        <v>1.4442133288561587E-2</v>
      </c>
      <c r="H96" s="93">
        <f t="shared" si="124"/>
        <v>4.4115941297224737E-2</v>
      </c>
      <c r="I96" s="93">
        <f t="shared" si="125"/>
        <v>1.8618858558627327E-2</v>
      </c>
      <c r="J96" s="93">
        <f t="shared" si="126"/>
        <v>4.7739646255358092E-2</v>
      </c>
      <c r="K96" s="93">
        <f t="shared" si="127"/>
        <v>5.7346969080578791E-2</v>
      </c>
      <c r="L96" s="93">
        <f t="shared" si="128"/>
        <v>6.7055422061051084E-2</v>
      </c>
      <c r="M96" s="93">
        <f t="shared" si="129"/>
        <v>3.3900388187724007E-2</v>
      </c>
      <c r="N96" s="93">
        <f t="shared" si="130"/>
        <v>3.2257143006823474E-2</v>
      </c>
      <c r="O96" s="93">
        <f t="shared" si="131"/>
        <v>2.2741723658636026E-2</v>
      </c>
      <c r="P96" s="93">
        <f t="shared" si="132"/>
        <v>8.6653555305526986E-3</v>
      </c>
      <c r="Q96" s="93">
        <f t="shared" si="133"/>
        <v>-6.5335013163569933E-4</v>
      </c>
      <c r="R96" s="93">
        <f t="shared" si="134"/>
        <v>3.3475781446996145E-2</v>
      </c>
      <c r="S96" s="93">
        <f t="shared" si="135"/>
        <v>3.81935866444858E-2</v>
      </c>
      <c r="T96" s="93">
        <f t="shared" si="136"/>
        <v>3.8025576599349797E-2</v>
      </c>
      <c r="U96" s="93">
        <f t="shared" si="137"/>
        <v>6.15828922026882E-2</v>
      </c>
      <c r="V96" s="93">
        <f t="shared" si="138"/>
        <v>4.6099525616137615E-2</v>
      </c>
      <c r="W96" s="93">
        <f t="shared" si="139"/>
        <v>3.4155337955710463E-2</v>
      </c>
      <c r="X96" s="93">
        <f t="shared" si="140"/>
        <v>-3.3992100520572888E-2</v>
      </c>
      <c r="Y96" s="93">
        <f t="shared" si="141"/>
        <v>6.4352690422420089E-2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1.3509164750694191E-2</v>
      </c>
      <c r="F97" s="89">
        <f t="shared" ref="F97:F106" si="143">IF(E23=0,"",F23/E23-1)</f>
        <v>1.9525814963930577E-2</v>
      </c>
      <c r="G97" s="89">
        <f t="shared" ref="G97:G106" si="144">IF(F23=0,"",G23/F23-1)</f>
        <v>3.3124921953277875E-2</v>
      </c>
      <c r="H97" s="89">
        <f t="shared" ref="H97:H106" si="145">IF(G23=0,"",H23/G23-1)</f>
        <v>5.3060581219244396E-2</v>
      </c>
      <c r="I97" s="89">
        <f t="shared" ref="I97:I106" si="146">IF(H23=0,"",I23/H23-1)</f>
        <v>3.3733254817603919E-2</v>
      </c>
      <c r="J97" s="89">
        <f t="shared" ref="J97:J106" si="147">IF(I23=0,"",J23/I23-1)</f>
        <v>6.1077744529040912E-2</v>
      </c>
      <c r="K97" s="89">
        <f t="shared" ref="K97:K106" si="148">IF(J23=0,"",K23/J23-1)</f>
        <v>7.1142203293742545E-2</v>
      </c>
      <c r="L97" s="89">
        <f t="shared" ref="L97:L106" si="149">IF(K23=0,"",L23/K23-1)</f>
        <v>3.9616246607888872E-2</v>
      </c>
      <c r="M97" s="89">
        <f t="shared" ref="M97:M106" si="150">IF(L23=0,"",M23/L23-1)</f>
        <v>3.118443643949087E-2</v>
      </c>
      <c r="N97" s="89">
        <f t="shared" ref="N97:N106" si="151">IF(M23=0,"",N23/M23-1)</f>
        <v>2.8273480763320258E-2</v>
      </c>
      <c r="O97" s="89">
        <f t="shared" ref="O97:O106" si="152">IF(N23=0,"",O23/N23-1)</f>
        <v>4.9715811141256783E-2</v>
      </c>
      <c r="P97" s="89">
        <f t="shared" ref="P97:P106" si="153">IF(O23=0,"",P23/O23-1)</f>
        <v>1.3690727771097588E-2</v>
      </c>
      <c r="Q97" s="89">
        <f t="shared" ref="Q97:Q106" si="154">IF(P23=0,"",Q23/P23-1)</f>
        <v>7.8479927438463992E-3</v>
      </c>
      <c r="R97" s="89">
        <f t="shared" ref="R97:R106" si="155">IF(Q23=0,"",R23/Q23-1)</f>
        <v>3.7426273660385423E-2</v>
      </c>
      <c r="S97" s="89">
        <f t="shared" ref="S97:S106" si="156">IF(R23=0,"",S23/R23-1)</f>
        <v>4.5217182890650465E-2</v>
      </c>
      <c r="T97" s="89">
        <f t="shared" ref="T97:T106" si="157">IF(S23=0,"",T23/S23-1)</f>
        <v>2.8174644659649584E-2</v>
      </c>
      <c r="U97" s="89">
        <f t="shared" ref="U97:U106" si="158">IF(T23=0,"",U23/T23-1)</f>
        <v>4.991721328562071E-2</v>
      </c>
      <c r="V97" s="89">
        <f t="shared" ref="V97:V106" si="159">IF(U23=0,"",V23/U23-1)</f>
        <v>5.9253990434811499E-2</v>
      </c>
      <c r="W97" s="89">
        <f t="shared" ref="W97:W106" si="160">IF(V23=0,"",W23/V23-1)</f>
        <v>4.3499865079129174E-2</v>
      </c>
      <c r="X97" s="89">
        <f t="shared" ref="X97:X106" si="161">IF(W23=0,"",X23/W23-1)</f>
        <v>-2.0498430922494371E-2</v>
      </c>
      <c r="Y97" s="89">
        <f t="shared" ref="Y97:Y106" si="162">IF(X23=0,"",Y23/X23-1)</f>
        <v>6.6335769222533481E-2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5.2829944319077393E-2</v>
      </c>
      <c r="F98" s="83">
        <f t="shared" si="143"/>
        <v>-0.1392477091321026</v>
      </c>
      <c r="G98" s="83">
        <f t="shared" si="144"/>
        <v>-9.5757273069029258E-3</v>
      </c>
      <c r="H98" s="83">
        <f t="shared" si="145"/>
        <v>0.32349225929227532</v>
      </c>
      <c r="I98" s="83">
        <f t="shared" si="146"/>
        <v>-7.7623122609842832E-2</v>
      </c>
      <c r="J98" s="83">
        <f t="shared" si="147"/>
        <v>-1.878168609830877E-2</v>
      </c>
      <c r="K98" s="83">
        <f t="shared" si="148"/>
        <v>0.21687361344188782</v>
      </c>
      <c r="L98" s="83">
        <f t="shared" si="149"/>
        <v>-0.11462301425652222</v>
      </c>
      <c r="M98" s="83">
        <f t="shared" si="150"/>
        <v>3.4538416118201631E-4</v>
      </c>
      <c r="N98" s="83">
        <f t="shared" si="151"/>
        <v>0.19103405034791754</v>
      </c>
      <c r="O98" s="83">
        <f t="shared" si="152"/>
        <v>0.14483512821499223</v>
      </c>
      <c r="P98" s="83">
        <f t="shared" si="153"/>
        <v>-5.3609137368251902E-2</v>
      </c>
      <c r="Q98" s="83">
        <f t="shared" si="154"/>
        <v>8.6175753116113141E-2</v>
      </c>
      <c r="R98" s="83">
        <f t="shared" si="155"/>
        <v>-4.3007467389396203E-2</v>
      </c>
      <c r="S98" s="83">
        <f t="shared" si="156"/>
        <v>-0.12746387890496547</v>
      </c>
      <c r="T98" s="83">
        <f t="shared" si="157"/>
        <v>9.1891302907467054E-2</v>
      </c>
      <c r="U98" s="83">
        <f t="shared" si="158"/>
        <v>0.20158802813647347</v>
      </c>
      <c r="V98" s="83">
        <f t="shared" si="159"/>
        <v>-0.14845487287519166</v>
      </c>
      <c r="W98" s="83">
        <f t="shared" si="160"/>
        <v>2.0399374689756611E-2</v>
      </c>
      <c r="X98" s="83">
        <f t="shared" si="161"/>
        <v>5.9614496971158282E-2</v>
      </c>
      <c r="Y98" s="83">
        <f t="shared" si="162"/>
        <v>-5.8012146279563193E-2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-4.7280909873864574E-2</v>
      </c>
      <c r="F99" s="83">
        <f t="shared" si="143"/>
        <v>-2.7673629933650634E-2</v>
      </c>
      <c r="G99" s="83">
        <f t="shared" si="144"/>
        <v>-2.6330434019800064E-3</v>
      </c>
      <c r="H99" s="83">
        <f t="shared" si="145"/>
        <v>0.27211497081681646</v>
      </c>
      <c r="I99" s="83">
        <f t="shared" si="146"/>
        <v>3.5284816690096976E-2</v>
      </c>
      <c r="J99" s="83">
        <f t="shared" si="147"/>
        <v>6.8869325275622284E-3</v>
      </c>
      <c r="K99" s="83">
        <f t="shared" si="148"/>
        <v>4.5710242192542605E-3</v>
      </c>
      <c r="L99" s="83">
        <f t="shared" si="149"/>
        <v>0.10297781689389751</v>
      </c>
      <c r="M99" s="83">
        <f t="shared" si="150"/>
        <v>-8.6283136806983962E-2</v>
      </c>
      <c r="N99" s="83">
        <f t="shared" si="151"/>
        <v>0.18772956889738346</v>
      </c>
      <c r="O99" s="83">
        <f t="shared" si="152"/>
        <v>0.15821808632046053</v>
      </c>
      <c r="P99" s="83">
        <f t="shared" si="153"/>
        <v>-5.0285458362132496E-2</v>
      </c>
      <c r="Q99" s="83">
        <f t="shared" si="154"/>
        <v>-0.12802527168068312</v>
      </c>
      <c r="R99" s="83">
        <f t="shared" si="155"/>
        <v>-0.13480305841381213</v>
      </c>
      <c r="S99" s="83">
        <f t="shared" si="156"/>
        <v>-1.3205080622220811E-2</v>
      </c>
      <c r="T99" s="83">
        <f t="shared" si="157"/>
        <v>-2.4039519847348756E-2</v>
      </c>
      <c r="U99" s="83">
        <f t="shared" si="158"/>
        <v>0.17265356403787169</v>
      </c>
      <c r="V99" s="83">
        <f t="shared" si="159"/>
        <v>-5.3923941973932354E-3</v>
      </c>
      <c r="W99" s="83">
        <f t="shared" si="160"/>
        <v>-1.9543267657414765E-2</v>
      </c>
      <c r="X99" s="83">
        <f t="shared" si="161"/>
        <v>-0.10948080925812309</v>
      </c>
      <c r="Y99" s="83">
        <f t="shared" si="162"/>
        <v>0.14726084363942693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3.5106482468116429E-2</v>
      </c>
      <c r="F100" s="83">
        <f t="shared" si="143"/>
        <v>3.830857910857266E-2</v>
      </c>
      <c r="G100" s="83">
        <f t="shared" si="144"/>
        <v>2.0944580756842024E-2</v>
      </c>
      <c r="H100" s="83">
        <f t="shared" si="145"/>
        <v>1.7859450478694638E-2</v>
      </c>
      <c r="I100" s="83">
        <f t="shared" si="146"/>
        <v>4.0564962803151028E-2</v>
      </c>
      <c r="J100" s="83">
        <f t="shared" si="147"/>
        <v>5.9957489404613318E-2</v>
      </c>
      <c r="K100" s="83">
        <f t="shared" si="148"/>
        <v>6.5897324461309026E-2</v>
      </c>
      <c r="L100" s="83">
        <f t="shared" si="149"/>
        <v>5.0737129249363688E-2</v>
      </c>
      <c r="M100" s="83">
        <f t="shared" si="150"/>
        <v>2.0663057606200574E-2</v>
      </c>
      <c r="N100" s="83">
        <f t="shared" si="151"/>
        <v>1.6639832729733239E-2</v>
      </c>
      <c r="O100" s="83">
        <f t="shared" si="152"/>
        <v>2.9660200395552394E-2</v>
      </c>
      <c r="P100" s="83">
        <f t="shared" si="153"/>
        <v>2.9482351184292765E-2</v>
      </c>
      <c r="Q100" s="83">
        <f t="shared" si="154"/>
        <v>3.0477630695687097E-2</v>
      </c>
      <c r="R100" s="83">
        <f t="shared" si="155"/>
        <v>2.0794910814530221E-2</v>
      </c>
      <c r="S100" s="83">
        <f t="shared" si="156"/>
        <v>3.7861504593346362E-2</v>
      </c>
      <c r="T100" s="83">
        <f t="shared" si="157"/>
        <v>2.7766932063706173E-2</v>
      </c>
      <c r="U100" s="83">
        <f t="shared" si="158"/>
        <v>7.4799662933739075E-2</v>
      </c>
      <c r="V100" s="83">
        <f t="shared" si="159"/>
        <v>7.0476211716261394E-2</v>
      </c>
      <c r="W100" s="83">
        <f t="shared" si="160"/>
        <v>4.7094541587148875E-2</v>
      </c>
      <c r="X100" s="83">
        <f t="shared" si="161"/>
        <v>-1.5790540003446263E-2</v>
      </c>
      <c r="Y100" s="83">
        <f t="shared" si="162"/>
        <v>6.8832415625032617E-2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6.4136238594835193E-2</v>
      </c>
      <c r="F101" s="84">
        <f t="shared" si="143"/>
        <v>5.8135007456502796E-2</v>
      </c>
      <c r="G101" s="84">
        <f t="shared" si="144"/>
        <v>4.7538025538953699E-2</v>
      </c>
      <c r="H101" s="84">
        <f t="shared" si="145"/>
        <v>8.2479529421410902E-3</v>
      </c>
      <c r="I101" s="84">
        <f t="shared" si="146"/>
        <v>3.6030368976361027E-2</v>
      </c>
      <c r="J101" s="84">
        <f t="shared" si="147"/>
        <v>6.7686779297663202E-2</v>
      </c>
      <c r="K101" s="84">
        <f t="shared" si="148"/>
        <v>4.9929721630604051E-2</v>
      </c>
      <c r="L101" s="84">
        <f t="shared" si="149"/>
        <v>6.3158253437501033E-2</v>
      </c>
      <c r="M101" s="84">
        <f t="shared" si="150"/>
        <v>2.8813466995729398E-2</v>
      </c>
      <c r="N101" s="84">
        <f t="shared" si="151"/>
        <v>5.5672137714810832E-2</v>
      </c>
      <c r="O101" s="84">
        <f t="shared" si="152"/>
        <v>2.4964611573625506E-2</v>
      </c>
      <c r="P101" s="84">
        <f t="shared" si="153"/>
        <v>1.3875553655418038E-4</v>
      </c>
      <c r="Q101" s="84">
        <f t="shared" si="154"/>
        <v>4.0758997720248713E-2</v>
      </c>
      <c r="R101" s="84">
        <f t="shared" si="155"/>
        <v>5.5113601836005888E-2</v>
      </c>
      <c r="S101" s="84">
        <f t="shared" si="156"/>
        <v>1.8445022325914717E-2</v>
      </c>
      <c r="T101" s="84">
        <f t="shared" si="157"/>
        <v>3.212705513518177E-2</v>
      </c>
      <c r="U101" s="84">
        <f t="shared" si="158"/>
        <v>6.4952163989627332E-2</v>
      </c>
      <c r="V101" s="84">
        <f t="shared" si="159"/>
        <v>8.9404860225832827E-2</v>
      </c>
      <c r="W101" s="84">
        <f t="shared" si="160"/>
        <v>3.3002462477156769E-2</v>
      </c>
      <c r="X101" s="84">
        <f t="shared" si="161"/>
        <v>-2.6356575955231221E-2</v>
      </c>
      <c r="Y101" s="84">
        <f t="shared" si="162"/>
        <v>8.2376388639068265E-2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1.662919844519295E-2</v>
      </c>
      <c r="F102" s="84">
        <f t="shared" si="143"/>
        <v>3.2108233427468935E-2</v>
      </c>
      <c r="G102" s="84">
        <f t="shared" si="144"/>
        <v>3.3725975568880129E-2</v>
      </c>
      <c r="H102" s="84">
        <f t="shared" si="145"/>
        <v>2.5509156580280523E-2</v>
      </c>
      <c r="I102" s="84">
        <f t="shared" si="146"/>
        <v>3.9799043405909895E-2</v>
      </c>
      <c r="J102" s="84">
        <f t="shared" si="147"/>
        <v>5.3218323532605361E-2</v>
      </c>
      <c r="K102" s="84">
        <f t="shared" si="148"/>
        <v>8.5853034674461481E-2</v>
      </c>
      <c r="L102" s="84">
        <f t="shared" si="149"/>
        <v>4.8918836528483611E-2</v>
      </c>
      <c r="M102" s="84">
        <f t="shared" si="150"/>
        <v>-4.9688423080549438E-3</v>
      </c>
      <c r="N102" s="84">
        <f t="shared" si="151"/>
        <v>-1.7407178703726767E-2</v>
      </c>
      <c r="O102" s="84">
        <f t="shared" si="152"/>
        <v>3.8460767817327213E-2</v>
      </c>
      <c r="P102" s="84">
        <f t="shared" si="153"/>
        <v>3.4625631905541798E-2</v>
      </c>
      <c r="Q102" s="84">
        <f t="shared" si="154"/>
        <v>3.802903669616442E-2</v>
      </c>
      <c r="R102" s="84">
        <f t="shared" si="155"/>
        <v>6.2257860216537342E-2</v>
      </c>
      <c r="S102" s="84">
        <f t="shared" si="156"/>
        <v>4.0475505767253228E-2</v>
      </c>
      <c r="T102" s="84">
        <f t="shared" si="157"/>
        <v>4.0328673314464325E-2</v>
      </c>
      <c r="U102" s="84">
        <f t="shared" si="158"/>
        <v>8.5859115476133896E-2</v>
      </c>
      <c r="V102" s="84">
        <f t="shared" si="159"/>
        <v>7.4106477093142553E-2</v>
      </c>
      <c r="W102" s="84">
        <f t="shared" si="160"/>
        <v>7.9256151845688239E-2</v>
      </c>
      <c r="X102" s="84">
        <f t="shared" si="161"/>
        <v>-3.715253064351165E-3</v>
      </c>
      <c r="Y102" s="84">
        <f t="shared" si="162"/>
        <v>4.6213595651088957E-2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2.5266771444440561E-2</v>
      </c>
      <c r="F103" s="84">
        <f t="shared" si="143"/>
        <v>2.4183179300026003E-2</v>
      </c>
      <c r="G103" s="84">
        <f t="shared" si="144"/>
        <v>-2.0536594466426528E-2</v>
      </c>
      <c r="H103" s="84">
        <f t="shared" si="145"/>
        <v>2.0513930474660436E-2</v>
      </c>
      <c r="I103" s="84">
        <f t="shared" si="146"/>
        <v>4.6506356842664687E-2</v>
      </c>
      <c r="J103" s="84">
        <f t="shared" si="147"/>
        <v>5.8642007268371099E-2</v>
      </c>
      <c r="K103" s="84">
        <f t="shared" si="148"/>
        <v>6.234111639513551E-2</v>
      </c>
      <c r="L103" s="84">
        <f t="shared" si="149"/>
        <v>3.8938163311134533E-2</v>
      </c>
      <c r="M103" s="84">
        <f t="shared" si="150"/>
        <v>3.9904911101853013E-2</v>
      </c>
      <c r="N103" s="84">
        <f t="shared" si="151"/>
        <v>8.9653672075467039E-3</v>
      </c>
      <c r="O103" s="84">
        <f t="shared" si="152"/>
        <v>2.6065686924937159E-2</v>
      </c>
      <c r="P103" s="84">
        <f t="shared" si="153"/>
        <v>5.8588599380780204E-2</v>
      </c>
      <c r="Q103" s="84">
        <f t="shared" si="154"/>
        <v>1.1314608100384982E-2</v>
      </c>
      <c r="R103" s="84">
        <f t="shared" si="155"/>
        <v>-6.2070051798165049E-2</v>
      </c>
      <c r="S103" s="84">
        <f t="shared" si="156"/>
        <v>5.9716216206580519E-2</v>
      </c>
      <c r="T103" s="84">
        <f t="shared" si="157"/>
        <v>7.6787899210646327E-3</v>
      </c>
      <c r="U103" s="84">
        <f t="shared" si="158"/>
        <v>7.3905191944228399E-2</v>
      </c>
      <c r="V103" s="84">
        <f t="shared" si="159"/>
        <v>4.2279241883180996E-2</v>
      </c>
      <c r="W103" s="84">
        <f t="shared" si="160"/>
        <v>2.5099347808430705E-2</v>
      </c>
      <c r="X103" s="84">
        <f t="shared" si="161"/>
        <v>-1.7823359771369951E-2</v>
      </c>
      <c r="Y103" s="84">
        <f t="shared" si="162"/>
        <v>8.1487521219482328E-2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0.11663443156609721</v>
      </c>
      <c r="F104" s="83">
        <f t="shared" si="143"/>
        <v>7.7598168197359652E-2</v>
      </c>
      <c r="G104" s="83">
        <f t="shared" si="144"/>
        <v>0.13040259762270501</v>
      </c>
      <c r="H104" s="83">
        <f t="shared" si="145"/>
        <v>0.2026504066777346</v>
      </c>
      <c r="I104" s="83">
        <f t="shared" si="146"/>
        <v>-0.13580259411608908</v>
      </c>
      <c r="J104" s="83">
        <f t="shared" si="147"/>
        <v>-6.247845913044392E-4</v>
      </c>
      <c r="K104" s="83">
        <f t="shared" si="148"/>
        <v>3.2594367202407826E-2</v>
      </c>
      <c r="L104" s="83">
        <f t="shared" si="149"/>
        <v>1.2690917151264136E-2</v>
      </c>
      <c r="M104" s="83">
        <f t="shared" si="150"/>
        <v>0.10693908763618931</v>
      </c>
      <c r="N104" s="83">
        <f t="shared" si="151"/>
        <v>0.1091353089429048</v>
      </c>
      <c r="O104" s="83">
        <f t="shared" si="152"/>
        <v>3.7812837582959613E-2</v>
      </c>
      <c r="P104" s="83">
        <f t="shared" si="153"/>
        <v>9.9651287010883438E-2</v>
      </c>
      <c r="Q104" s="83">
        <f t="shared" si="154"/>
        <v>1.5477153294845669E-2</v>
      </c>
      <c r="R104" s="83">
        <f t="shared" si="155"/>
        <v>-8.7618605970572028E-2</v>
      </c>
      <c r="S104" s="83">
        <f t="shared" si="156"/>
        <v>7.3958338677054369E-2</v>
      </c>
      <c r="T104" s="83">
        <f t="shared" si="157"/>
        <v>2.2946328429318319E-2</v>
      </c>
      <c r="U104" s="83">
        <f t="shared" si="158"/>
        <v>-4.1476361502858272E-2</v>
      </c>
      <c r="V104" s="83">
        <f t="shared" si="159"/>
        <v>1.8910526318845378E-2</v>
      </c>
      <c r="W104" s="83">
        <f t="shared" si="160"/>
        <v>1.791659379285937E-2</v>
      </c>
      <c r="X104" s="83">
        <f t="shared" si="161"/>
        <v>7.4252220541545455E-2</v>
      </c>
      <c r="Y104" s="83">
        <f t="shared" si="162"/>
        <v>8.575152799639163E-2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-5.322531609130654E-3</v>
      </c>
      <c r="F105" s="83">
        <f t="shared" si="143"/>
        <v>-6.0698973278254242E-2</v>
      </c>
      <c r="G105" s="83">
        <f t="shared" si="144"/>
        <v>-4.8766892209055723E-2</v>
      </c>
      <c r="H105" s="83">
        <f t="shared" si="145"/>
        <v>0.10672779392967224</v>
      </c>
      <c r="I105" s="83">
        <f t="shared" si="146"/>
        <v>9.1421200532386893E-2</v>
      </c>
      <c r="J105" s="83">
        <f t="shared" si="147"/>
        <v>7.1106613063264712E-2</v>
      </c>
      <c r="K105" s="83">
        <f t="shared" si="148"/>
        <v>9.3218694709896299E-2</v>
      </c>
      <c r="L105" s="83">
        <f t="shared" si="149"/>
        <v>9.189640898530449E-2</v>
      </c>
      <c r="M105" s="83">
        <f t="shared" si="150"/>
        <v>7.3900119434509248E-2</v>
      </c>
      <c r="N105" s="83">
        <f t="shared" si="151"/>
        <v>-1.2234688415023953E-2</v>
      </c>
      <c r="O105" s="83">
        <f t="shared" si="152"/>
        <v>0.16169625149743494</v>
      </c>
      <c r="P105" s="83">
        <f t="shared" si="153"/>
        <v>-9.0234594299782866E-2</v>
      </c>
      <c r="Q105" s="83">
        <f t="shared" si="154"/>
        <v>-5.1444650956113391E-2</v>
      </c>
      <c r="R105" s="83">
        <f t="shared" si="155"/>
        <v>9.7738423774079486E-2</v>
      </c>
      <c r="S105" s="83">
        <f t="shared" si="156"/>
        <v>0.11521299838019794</v>
      </c>
      <c r="T105" s="83">
        <f t="shared" si="157"/>
        <v>-7.3179647752308896E-2</v>
      </c>
      <c r="U105" s="83">
        <f t="shared" si="158"/>
        <v>-6.3831126165709851E-3</v>
      </c>
      <c r="V105" s="83">
        <f t="shared" si="159"/>
        <v>0.1345424857475479</v>
      </c>
      <c r="W105" s="83">
        <f t="shared" si="160"/>
        <v>2.193685136059198E-2</v>
      </c>
      <c r="X105" s="83">
        <f t="shared" si="161"/>
        <v>-5.5924225990752863E-2</v>
      </c>
      <c r="Y105" s="83">
        <f t="shared" si="162"/>
        <v>-7.9757270782364942E-2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-8.1573211269705181E-2</v>
      </c>
      <c r="F106" s="83">
        <f t="shared" si="143"/>
        <v>1.0847797167917284E-2</v>
      </c>
      <c r="G106" s="83">
        <f t="shared" si="144"/>
        <v>0.11998429931709986</v>
      </c>
      <c r="H106" s="83">
        <f t="shared" si="145"/>
        <v>6.2801098950785672E-2</v>
      </c>
      <c r="I106" s="83">
        <f t="shared" si="146"/>
        <v>5.3355352110425747E-2</v>
      </c>
      <c r="J106" s="83">
        <f t="shared" si="147"/>
        <v>9.9316138951255351E-2</v>
      </c>
      <c r="K106" s="83">
        <f t="shared" si="148"/>
        <v>7.2906152873274621E-2</v>
      </c>
      <c r="L106" s="83">
        <f t="shared" si="149"/>
        <v>1.9594177801649515E-3</v>
      </c>
      <c r="M106" s="83">
        <f t="shared" si="150"/>
        <v>5.9327000121499163E-2</v>
      </c>
      <c r="N106" s="83">
        <f t="shared" si="151"/>
        <v>2.8535857475649573E-2</v>
      </c>
      <c r="O106" s="83">
        <f t="shared" si="152"/>
        <v>4.051303175538834E-2</v>
      </c>
      <c r="P106" s="83">
        <f t="shared" si="153"/>
        <v>1.5275409780771687E-2</v>
      </c>
      <c r="Q106" s="83">
        <f t="shared" si="154"/>
        <v>-4.6736720658344111E-2</v>
      </c>
      <c r="R106" s="83">
        <f t="shared" si="155"/>
        <v>0.15187841981138872</v>
      </c>
      <c r="S106" s="83">
        <f t="shared" si="156"/>
        <v>7.2970522664386639E-2</v>
      </c>
      <c r="T106" s="83">
        <f t="shared" si="157"/>
        <v>7.3703171582603089E-2</v>
      </c>
      <c r="U106" s="83">
        <f t="shared" si="158"/>
        <v>-2.7292866702137153E-2</v>
      </c>
      <c r="V106" s="83">
        <f t="shared" si="159"/>
        <v>4.0898253543010687E-2</v>
      </c>
      <c r="W106" s="83">
        <f t="shared" si="160"/>
        <v>5.4348530917277982E-2</v>
      </c>
      <c r="X106" s="83">
        <f t="shared" si="161"/>
        <v>-4.4273340686866058E-2</v>
      </c>
      <c r="Y106" s="83">
        <f t="shared" si="162"/>
        <v>0.13003443595538666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-0.1003129201985884</v>
      </c>
      <c r="F107" s="87">
        <f t="shared" ref="F107:F108" si="164">IF(E33=0,"",F33/E33-1)</f>
        <v>1.5630073268750211E-2</v>
      </c>
      <c r="G107" s="87">
        <f t="shared" ref="G107:G108" si="165">IF(F33=0,"",G33/F33-1)</f>
        <v>8.6070585969615365E-3</v>
      </c>
      <c r="H107" s="87">
        <f t="shared" ref="H107:H108" si="166">IF(G33=0,"",H33/G33-1)</f>
        <v>0.91725936111720419</v>
      </c>
      <c r="I107" s="87">
        <f t="shared" ref="I107:I108" si="167">IF(H33=0,"",I33/H33-1)</f>
        <v>-7.550873924643775E-2</v>
      </c>
      <c r="J107" s="87">
        <f t="shared" ref="J107:J108" si="168">IF(I33=0,"",J33/I33-1)</f>
        <v>0.47398780924172423</v>
      </c>
      <c r="K107" s="87">
        <f t="shared" ref="K107:K108" si="169">IF(J33=0,"",K33/J33-1)</f>
        <v>0.13012080570503826</v>
      </c>
      <c r="L107" s="87">
        <f t="shared" ref="L107:L108" si="170">IF(K33=0,"",L33/K33-1)</f>
        <v>-0.41407413102719914</v>
      </c>
      <c r="M107" s="87">
        <f t="shared" ref="M107:M108" si="171">IF(L33=0,"",M33/L33-1)</f>
        <v>-1.8071489402294416E-2</v>
      </c>
      <c r="N107" s="87">
        <f t="shared" ref="N107:N108" si="172">IF(M33=0,"",N33/M33-1)</f>
        <v>-0.29315168081967502</v>
      </c>
      <c r="O107" s="87">
        <f t="shared" ref="O107:O108" si="173">IF(N33=0,"",O33/N33-1)</f>
        <v>0.50782880839969269</v>
      </c>
      <c r="P107" s="87">
        <f t="shared" ref="P107:P108" si="174">IF(O33=0,"",P33/O33-1)</f>
        <v>1.7697861228857414E-2</v>
      </c>
      <c r="Q107" s="87">
        <f t="shared" ref="Q107:Q108" si="175">IF(P33=0,"",Q33/P33-1)</f>
        <v>-2.7537118729063725E-2</v>
      </c>
      <c r="R107" s="87">
        <f t="shared" ref="R107:R108" si="176">IF(Q33=0,"",R33/Q33-1)</f>
        <v>0.21029927786454872</v>
      </c>
      <c r="S107" s="87">
        <f t="shared" ref="S107:S108" si="177">IF(R33=0,"",S33/R33-1)</f>
        <v>7.1615612805916218E-2</v>
      </c>
      <c r="T107" s="87">
        <f t="shared" ref="T107:T108" si="178">IF(S33=0,"",T33/S33-1)</f>
        <v>8.7010002225654359E-2</v>
      </c>
      <c r="U107" s="87">
        <f t="shared" ref="U107:U108" si="179">IF(T33=0,"",U33/T33-1)</f>
        <v>-6.7078488426307592E-2</v>
      </c>
      <c r="V107" s="87">
        <f t="shared" ref="V107:V108" si="180">IF(U33=0,"",V33/U33-1)</f>
        <v>2.9891863146059405E-2</v>
      </c>
      <c r="W107" s="87">
        <f t="shared" ref="W107:W108" si="181">IF(V33=0,"",W33/V33-1)</f>
        <v>-8.3981613957441636E-2</v>
      </c>
      <c r="X107" s="87">
        <f t="shared" ref="X107:X108" si="182">IF(W33=0,"",X33/W33-1)</f>
        <v>-0.15708164361232269</v>
      </c>
      <c r="Y107" s="87">
        <f t="shared" ref="Y107:Y108" si="183">IF(X33=0,"",Y33/X33-1)</f>
        <v>0.69502533664468436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-0.1003129201985884</v>
      </c>
      <c r="F108" s="89">
        <f t="shared" si="164"/>
        <v>1.5630073268750433E-2</v>
      </c>
      <c r="G108" s="89">
        <f t="shared" si="165"/>
        <v>8.6070585969615365E-3</v>
      </c>
      <c r="H108" s="89">
        <f t="shared" si="166"/>
        <v>0.91725936111720396</v>
      </c>
      <c r="I108" s="89">
        <f t="shared" si="167"/>
        <v>-7.5508739246437639E-2</v>
      </c>
      <c r="J108" s="89">
        <f t="shared" si="168"/>
        <v>0.47398780924172423</v>
      </c>
      <c r="K108" s="89">
        <f t="shared" si="169"/>
        <v>0.13012080570503826</v>
      </c>
      <c r="L108" s="89">
        <f t="shared" si="170"/>
        <v>-0.41407413102719925</v>
      </c>
      <c r="M108" s="89">
        <f t="shared" si="171"/>
        <v>-0.14326237290984634</v>
      </c>
      <c r="N108" s="89">
        <f t="shared" si="172"/>
        <v>-0.27156362232028586</v>
      </c>
      <c r="O108" s="89">
        <f t="shared" si="173"/>
        <v>0.49565402208965059</v>
      </c>
      <c r="P108" s="89">
        <f t="shared" si="174"/>
        <v>2.1795078539142976E-2</v>
      </c>
      <c r="Q108" s="89">
        <f t="shared" si="175"/>
        <v>-2.391267711359979E-2</v>
      </c>
      <c r="R108" s="89">
        <f t="shared" si="176"/>
        <v>0.20528459283423173</v>
      </c>
      <c r="S108" s="89">
        <f t="shared" si="177"/>
        <v>4.194000508527429E-2</v>
      </c>
      <c r="T108" s="89">
        <f t="shared" si="178"/>
        <v>6.2352527357367959E-2</v>
      </c>
      <c r="U108" s="89">
        <f t="shared" si="179"/>
        <v>-0.10310653433694972</v>
      </c>
      <c r="V108" s="89">
        <f t="shared" si="180"/>
        <v>7.0063544392461541E-2</v>
      </c>
      <c r="W108" s="89">
        <f t="shared" si="181"/>
        <v>-0.18263129999941297</v>
      </c>
      <c r="X108" s="89">
        <f t="shared" si="182"/>
        <v>-0.15763550938160165</v>
      </c>
      <c r="Y108" s="89">
        <f t="shared" si="183"/>
        <v>0.45193213050339187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-0.10031292019858817</v>
      </c>
      <c r="F109" s="89">
        <f t="shared" ref="F109" si="185">IF(E37=0,"",F37/E37-1)</f>
        <v>1.5630073268750211E-2</v>
      </c>
      <c r="G109" s="89">
        <f t="shared" ref="G109" si="186">IF(F37=0,"",G37/F37-1)</f>
        <v>8.6070585969619806E-3</v>
      </c>
      <c r="H109" s="89">
        <f t="shared" ref="H109" si="187">IF(G37=0,"",H37/G37-1)</f>
        <v>0.91725936111720552</v>
      </c>
      <c r="I109" s="89">
        <f t="shared" ref="I109" si="188">IF(H37=0,"",I37/H37-1)</f>
        <v>-7.5508739246438084E-2</v>
      </c>
      <c r="J109" s="89">
        <f t="shared" ref="J109" si="189">IF(I37=0,"",J37/I37-1)</f>
        <v>0.47398780924172423</v>
      </c>
      <c r="K109" s="89">
        <f t="shared" ref="K109" si="190">IF(J37=0,"",K37/J37-1)</f>
        <v>0.13012080570503781</v>
      </c>
      <c r="L109" s="89">
        <f t="shared" ref="L109" si="191">IF(K37=0,"",L37/K37-1)</f>
        <v>-0.41407413102719903</v>
      </c>
      <c r="M109" s="89">
        <f t="shared" ref="M109" si="192">IF(L37=0,"",M37/L37-1)</f>
        <v>0.60166122009522049</v>
      </c>
      <c r="N109" s="89">
        <f t="shared" ref="N109" si="193">IF(M37=0,"",N37/M37-1)</f>
        <v>-0.35031566381551404</v>
      </c>
      <c r="O109" s="89">
        <f t="shared" ref="O109" si="194">IF(N37=0,"",O37/N37-1)</f>
        <v>0.54397474415650238</v>
      </c>
      <c r="P109" s="89">
        <f t="shared" ref="P109" si="195">IF(O37=0,"",P37/O37-1)</f>
        <v>5.9142589649321398E-3</v>
      </c>
      <c r="Q109" s="89">
        <f t="shared" ref="Q109" si="196">IF(P37=0,"",Q37/P37-1)</f>
        <v>-3.8125584250423894E-2</v>
      </c>
      <c r="R109" s="89">
        <f t="shared" ref="R109" si="197">IF(Q37=0,"",R37/Q37-1)</f>
        <v>0.22516568005427695</v>
      </c>
      <c r="S109" s="89">
        <f t="shared" ref="S109" si="198">IF(R37=0,"",S37/R37-1)</f>
        <v>0.15816353009473882</v>
      </c>
      <c r="T109" s="89">
        <f t="shared" ref="T109" si="199">IF(S37=0,"",T37/S37-1)</f>
        <v>0.15170615070822668</v>
      </c>
      <c r="U109" s="89">
        <f t="shared" ref="U109" si="200">IF(T37=0,"",U37/T37-1)</f>
        <v>2.01177006459341E-2</v>
      </c>
      <c r="V109" s="89">
        <f t="shared" ref="V109" si="201">IF(U37=0,"",V37/U37-1)</f>
        <v>-5.5588701364032933E-2</v>
      </c>
      <c r="W109" s="89">
        <f t="shared" ref="W109" si="202">IF(V37=0,"",W37/V37-1)</f>
        <v>0.15386198908235382</v>
      </c>
      <c r="X109" s="89">
        <f t="shared" ref="X109" si="203">IF(W37=0,"",X37/W37-1)</f>
        <v>-0.15613570178562475</v>
      </c>
      <c r="Y109" s="89">
        <f t="shared" ref="Y109" si="204">IF(X37=0,"",Y37/X37-1)</f>
        <v>1.1094639035256053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-7.5027149658504211E-2</v>
      </c>
      <c r="F110" s="89">
        <f t="shared" ref="F110:F111" si="206">IF(E43=0,"",F43/E43-1)</f>
        <v>1.9776290057800683E-2</v>
      </c>
      <c r="G110" s="89">
        <f t="shared" ref="G110:G111" si="207">IF(F43=0,"",G43/F43-1)</f>
        <v>1.689264389433065E-2</v>
      </c>
      <c r="H110" s="89">
        <f t="shared" ref="H110:H111" si="208">IF(G43=0,"",H43/G43-1)</f>
        <v>7.2546332944977143E-2</v>
      </c>
      <c r="I110" s="89">
        <f t="shared" ref="I110:I111" si="209">IF(H43=0,"",I43/H43-1)</f>
        <v>5.7120551637634298E-2</v>
      </c>
      <c r="J110" s="89">
        <f t="shared" ref="J110:J111" si="210">IF(I43=0,"",J43/I43-1)</f>
        <v>6.3335226165590175E-2</v>
      </c>
      <c r="K110" s="89">
        <f t="shared" ref="K110:K111" si="211">IF(J43=0,"",K43/J43-1)</f>
        <v>7.2794705721097808E-2</v>
      </c>
      <c r="L110" s="89">
        <f t="shared" ref="L110:L111" si="212">IF(K43=0,"",L43/K43-1)</f>
        <v>1.22422456400062E-3</v>
      </c>
      <c r="M110" s="89">
        <f t="shared" ref="M110:M111" si="213">IF(L43=0,"",M43/L43-1)</f>
        <v>-1.1185049328690799E-2</v>
      </c>
      <c r="N110" s="89">
        <f t="shared" ref="N110:N111" si="214">IF(M43=0,"",N43/M43-1)</f>
        <v>0.17540365044790018</v>
      </c>
      <c r="O110" s="89">
        <f t="shared" ref="O110:O111" si="215">IF(N43=0,"",O43/N43-1)</f>
        <v>6.1394738706074703E-2</v>
      </c>
      <c r="P110" s="89">
        <f t="shared" ref="P110:P111" si="216">IF(O43=0,"",P43/O43-1)</f>
        <v>4.1165724322562713E-3</v>
      </c>
      <c r="Q110" s="89">
        <f t="shared" ref="Q110:Q111" si="217">IF(P43=0,"",Q43/P43-1)</f>
        <v>-8.7717558752969937E-2</v>
      </c>
      <c r="R110" s="89">
        <f t="shared" ref="R110:R111" si="218">IF(Q43=0,"",R43/Q43-1)</f>
        <v>0.10727936423606632</v>
      </c>
      <c r="S110" s="89">
        <f t="shared" ref="S110:S111" si="219">IF(R43=0,"",S43/R43-1)</f>
        <v>0.12333925996123196</v>
      </c>
      <c r="T110" s="89">
        <f t="shared" ref="T110:T111" si="220">IF(S43=0,"",T43/S43-1)</f>
        <v>8.009363067445241E-2</v>
      </c>
      <c r="U110" s="89">
        <f t="shared" ref="U110:U111" si="221">IF(T43=0,"",U43/T43-1)</f>
        <v>-0.12664980234833267</v>
      </c>
      <c r="V110" s="89">
        <f t="shared" ref="V110:V111" si="222">IF(U43=0,"",V43/U43-1)</f>
        <v>0.13352192713920608</v>
      </c>
      <c r="W110" s="89">
        <f t="shared" ref="W110:W111" si="223">IF(V43=0,"",W43/V43-1)</f>
        <v>-5.2882369305462196E-2</v>
      </c>
      <c r="X110" s="89">
        <f t="shared" ref="X110:X111" si="224">IF(W43=0,"",X43/W43-1)</f>
        <v>2.1238894480379633E-2</v>
      </c>
      <c r="Y110" s="89">
        <f t="shared" ref="Y110:Y111" si="225">IF(X43=0,"",Y43/X43-1)</f>
        <v>0.1480062004728846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-7.3536315020205079E-2</v>
      </c>
      <c r="F111" s="89">
        <f t="shared" si="206"/>
        <v>9.2178963170277406E-3</v>
      </c>
      <c r="G111" s="89">
        <f t="shared" si="207"/>
        <v>4.7390473225733976E-2</v>
      </c>
      <c r="H111" s="89">
        <f t="shared" si="208"/>
        <v>0.10433222045659019</v>
      </c>
      <c r="I111" s="89">
        <f t="shared" si="209"/>
        <v>3.1722417770473799E-2</v>
      </c>
      <c r="J111" s="89">
        <f t="shared" si="210"/>
        <v>7.6326019326493855E-2</v>
      </c>
      <c r="K111" s="89">
        <f t="shared" si="211"/>
        <v>-6.6495959168548779E-2</v>
      </c>
      <c r="L111" s="89">
        <f t="shared" si="212"/>
        <v>-1.4240610375749529E-2</v>
      </c>
      <c r="M111" s="89">
        <f t="shared" si="213"/>
        <v>-4.8555663179257413E-2</v>
      </c>
      <c r="N111" s="89">
        <f t="shared" si="214"/>
        <v>0.27938483368458344</v>
      </c>
      <c r="O111" s="89">
        <f t="shared" si="215"/>
        <v>0.1453490871996852</v>
      </c>
      <c r="P111" s="89">
        <f t="shared" si="216"/>
        <v>-1.2453575304474662E-2</v>
      </c>
      <c r="Q111" s="89">
        <f t="shared" si="217"/>
        <v>-0.12536737569218581</v>
      </c>
      <c r="R111" s="89">
        <f t="shared" si="218"/>
        <v>0.10400859924888883</v>
      </c>
      <c r="S111" s="89">
        <f t="shared" si="219"/>
        <v>0.168842103064067</v>
      </c>
      <c r="T111" s="89">
        <f t="shared" si="220"/>
        <v>0.1110238253726521</v>
      </c>
      <c r="U111" s="89">
        <f t="shared" si="221"/>
        <v>-0.13085959111890366</v>
      </c>
      <c r="V111" s="89">
        <f t="shared" si="222"/>
        <v>-1.2965606051969725E-2</v>
      </c>
      <c r="W111" s="89">
        <f t="shared" si="223"/>
        <v>5.8918322739663909E-2</v>
      </c>
      <c r="X111" s="89">
        <f t="shared" si="224"/>
        <v>5.9565315235177163E-3</v>
      </c>
      <c r="Y111" s="89">
        <f t="shared" si="225"/>
        <v>0.16326970669530261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-7.9559924806965721E-2</v>
      </c>
      <c r="F112" s="89">
        <f t="shared" ref="F112:F113" si="227">IF(E47=0,"",F47/E47-1)</f>
        <v>5.2088408828741217E-2</v>
      </c>
      <c r="G112" s="89">
        <f t="shared" ref="G112:G113" si="228">IF(F47=0,"",G47/F47-1)</f>
        <v>-7.2637487120139954E-2</v>
      </c>
      <c r="H112" s="89">
        <f t="shared" ref="H112:H113" si="229">IF(G47=0,"",H47/G47-1)</f>
        <v>-3.2842286511947538E-2</v>
      </c>
      <c r="I112" s="89">
        <f t="shared" ref="I112:I113" si="230">IF(H47=0,"",I47/H47-1)</f>
        <v>0.15327372567226849</v>
      </c>
      <c r="J112" s="89">
        <f t="shared" ref="J112:J113" si="231">IF(I47=0,"",J47/I47-1)</f>
        <v>1.9337730784807716E-2</v>
      </c>
      <c r="K112" s="89">
        <f t="shared" ref="K112:K113" si="232">IF(J47=0,"",K47/J47-1)</f>
        <v>0.57092165361453961</v>
      </c>
      <c r="L112" s="89">
        <f t="shared" ref="L112:L113" si="233">IF(K47=0,"",L47/K47-1)</f>
        <v>3.4088570298578036E-2</v>
      </c>
      <c r="M112" s="89">
        <f t="shared" ref="M112:M113" si="234">IF(L47=0,"",M47/L47-1)</f>
        <v>6.4519698639192269E-2</v>
      </c>
      <c r="N112" s="89">
        <f t="shared" ref="N112:N113" si="235">IF(M47=0,"",N47/M47-1)</f>
        <v>-1.2864703068916739E-2</v>
      </c>
      <c r="O112" s="89">
        <f t="shared" ref="O112:O113" si="236">IF(N47=0,"",O47/N47-1)</f>
        <v>-0.1356161735798378</v>
      </c>
      <c r="P112" s="89">
        <f t="shared" ref="P112:P113" si="237">IF(O47=0,"",P47/O47-1)</f>
        <v>5.5639995520072594E-2</v>
      </c>
      <c r="Q112" s="89">
        <f t="shared" ref="Q112:Q113" si="238">IF(P47=0,"",Q47/P47-1)</f>
        <v>2.1799779996914515E-2</v>
      </c>
      <c r="R112" s="89">
        <f t="shared" ref="R112:R113" si="239">IF(Q47=0,"",R47/Q47-1)</f>
        <v>0.1154232040195291</v>
      </c>
      <c r="S112" s="89">
        <f t="shared" ref="S112:S113" si="240">IF(R47=0,"",S47/R47-1)</f>
        <v>1.1201675869273231E-2</v>
      </c>
      <c r="T112" s="89">
        <f t="shared" ref="T112:T113" si="241">IF(S47=0,"",T47/S47-1)</f>
        <v>-8.0139715470762818E-3</v>
      </c>
      <c r="U112" s="89">
        <f t="shared" ref="U112:U113" si="242">IF(T47=0,"",U47/T47-1)</f>
        <v>-0.11321878683234143</v>
      </c>
      <c r="V112" s="89">
        <f t="shared" ref="V112:V113" si="243">IF(U47=0,"",V47/U47-1)</f>
        <v>0.59158224418885386</v>
      </c>
      <c r="W112" s="89">
        <f t="shared" ref="W112:W113" si="244">IF(V47=0,"",W47/V47-1)</f>
        <v>-0.26968757024857259</v>
      </c>
      <c r="X112" s="89">
        <f t="shared" ref="X112:X113" si="245">IF(W47=0,"",X47/W47-1)</f>
        <v>6.4209303264967321E-2</v>
      </c>
      <c r="Y112" s="89">
        <f t="shared" ref="Y112:Y113" si="246">IF(X47=0,"",Y47/X47-1)</f>
        <v>0.10743802772078803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-6.7852832118889816E-2</v>
      </c>
      <c r="F113" s="89">
        <f t="shared" si="227"/>
        <v>8.4183798178065761E-3</v>
      </c>
      <c r="G113" s="89">
        <f t="shared" si="228"/>
        <v>0.10461455305729372</v>
      </c>
      <c r="H113" s="89">
        <f t="shared" si="229"/>
        <v>4.339607023889025E-2</v>
      </c>
      <c r="I113" s="89">
        <f t="shared" si="230"/>
        <v>-3.4276732943447241E-2</v>
      </c>
      <c r="J113" s="89">
        <f t="shared" si="231"/>
        <v>0.1582293559512491</v>
      </c>
      <c r="K113" s="89">
        <f t="shared" si="232"/>
        <v>0.26556228276223481</v>
      </c>
      <c r="L113" s="89">
        <f t="shared" si="233"/>
        <v>-8.2305102089646143E-2</v>
      </c>
      <c r="M113" s="89">
        <f t="shared" si="234"/>
        <v>-0.13067981477016699</v>
      </c>
      <c r="N113" s="89">
        <f t="shared" si="235"/>
        <v>1.3444929534070837E-2</v>
      </c>
      <c r="O113" s="89">
        <f t="shared" si="236"/>
        <v>1.2745352585754377E-2</v>
      </c>
      <c r="P113" s="89">
        <f t="shared" si="237"/>
        <v>-6.1768799803894936E-2</v>
      </c>
      <c r="Q113" s="89">
        <f t="shared" si="238"/>
        <v>-5.795909020968748E-2</v>
      </c>
      <c r="R113" s="89">
        <f t="shared" si="239"/>
        <v>0.14152136520485392</v>
      </c>
      <c r="S113" s="89">
        <f t="shared" si="240"/>
        <v>0.10348185092277329</v>
      </c>
      <c r="T113" s="89">
        <f t="shared" si="241"/>
        <v>2.3434721467353148E-2</v>
      </c>
      <c r="U113" s="89">
        <f t="shared" si="242"/>
        <v>-5.3451881110082589E-3</v>
      </c>
      <c r="V113" s="89">
        <f t="shared" si="243"/>
        <v>8.1944565488947463E-2</v>
      </c>
      <c r="W113" s="89">
        <f t="shared" si="244"/>
        <v>1.972562107531961E-2</v>
      </c>
      <c r="X113" s="89">
        <f t="shared" si="245"/>
        <v>-2.6432780748129936E-2</v>
      </c>
      <c r="Y113" s="89">
        <f t="shared" si="246"/>
        <v>0.10151815433198763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-8.789851598446774E-2</v>
      </c>
      <c r="F114" s="89">
        <f t="shared" ref="F114:F115" si="248">IF(E52=0,"",F52/E52-1)</f>
        <v>8.6598520729053163E-3</v>
      </c>
      <c r="G114" s="89">
        <f t="shared" ref="G114:G115" si="249">IF(F52=0,"",G52/F52-1)</f>
        <v>1.9211694719080352E-2</v>
      </c>
      <c r="H114" s="89">
        <f t="shared" ref="H114:H115" si="250">IF(G52=0,"",H52/G52-1)</f>
        <v>2.3921441328115245E-2</v>
      </c>
      <c r="I114" s="89">
        <f t="shared" ref="I114:I115" si="251">IF(H52=0,"",I52/H52-1)</f>
        <v>4.328652791476939E-2</v>
      </c>
      <c r="J114" s="89">
        <f t="shared" ref="J114:J115" si="252">IF(I52=0,"",J52/I52-1)</f>
        <v>1.0137716725032275E-2</v>
      </c>
      <c r="K114" s="89">
        <f t="shared" ref="K114:K115" si="253">IF(J52=0,"",K52/J52-1)</f>
        <v>0.23401815533073367</v>
      </c>
      <c r="L114" s="89">
        <f t="shared" ref="L114:L115" si="254">IF(K52=0,"",L52/K52-1)</f>
        <v>-0.15617582691245324</v>
      </c>
      <c r="M114" s="89">
        <f t="shared" ref="M114:M115" si="255">IF(L52=0,"",M52/L52-1)</f>
        <v>9.0064183909003503E-2</v>
      </c>
      <c r="N114" s="89">
        <f t="shared" ref="N114:N115" si="256">IF(M52=0,"",N52/M52-1)</f>
        <v>-1.7170212800119877E-2</v>
      </c>
      <c r="O114" s="89">
        <f t="shared" ref="O114:O115" si="257">IF(N52=0,"",O52/N52-1)</f>
        <v>0.10843831241952051</v>
      </c>
      <c r="P114" s="89">
        <f t="shared" ref="P114:P115" si="258">IF(O52=0,"",P52/O52-1)</f>
        <v>7.8233652469797521E-2</v>
      </c>
      <c r="Q114" s="89">
        <f t="shared" ref="Q114:Q115" si="259">IF(P52=0,"",Q52/P52-1)</f>
        <v>-0.12014567143156885</v>
      </c>
      <c r="R114" s="89">
        <f t="shared" ref="R114:R115" si="260">IF(Q52=0,"",R52/Q52-1)</f>
        <v>0.20955231465779756</v>
      </c>
      <c r="S114" s="89">
        <f t="shared" ref="S114:S115" si="261">IF(R52=0,"",S52/R52-1)</f>
        <v>0.13736998290841762</v>
      </c>
      <c r="T114" s="89">
        <f t="shared" ref="T114:T115" si="262">IF(S52=0,"",T52/S52-1)</f>
        <v>2.0456678064646683E-2</v>
      </c>
      <c r="U114" s="89">
        <f t="shared" ref="U114:U115" si="263">IF(T52=0,"",U52/T52-1)</f>
        <v>-5.097355583424068E-2</v>
      </c>
      <c r="V114" s="89">
        <f t="shared" ref="V114:V115" si="264">IF(U52=0,"",V52/U52-1)</f>
        <v>8.5238168218071619E-2</v>
      </c>
      <c r="W114" s="89">
        <f t="shared" ref="W114:W115" si="265">IF(V52=0,"",W52/V52-1)</f>
        <v>1.9739972113752557E-2</v>
      </c>
      <c r="X114" s="89">
        <f t="shared" ref="X114:X115" si="266">IF(W52=0,"",X52/W52-1)</f>
        <v>-3.5113553943530551E-2</v>
      </c>
      <c r="Y114" s="89">
        <f t="shared" ref="Y114:Y115" si="267">IF(X52=0,"",Y52/X52-1)</f>
        <v>0.17814634661662532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-6.5454939339481766E-2</v>
      </c>
      <c r="F115" s="89">
        <f t="shared" si="248"/>
        <v>9.186127239819708E-3</v>
      </c>
      <c r="G115" s="89">
        <f t="shared" si="249"/>
        <v>6.7591097556582325E-2</v>
      </c>
      <c r="H115" s="89">
        <f t="shared" si="250"/>
        <v>1.6668449111960637E-2</v>
      </c>
      <c r="I115" s="89">
        <f t="shared" si="251"/>
        <v>-4.9180202321455813E-2</v>
      </c>
      <c r="J115" s="89">
        <f t="shared" si="252"/>
        <v>3.5103472974302719E-2</v>
      </c>
      <c r="K115" s="89">
        <f t="shared" si="253"/>
        <v>0.19506970641216803</v>
      </c>
      <c r="L115" s="89">
        <f t="shared" si="254"/>
        <v>-0.2087778588861704</v>
      </c>
      <c r="M115" s="89">
        <f t="shared" si="255"/>
        <v>0.15383829484194589</v>
      </c>
      <c r="N115" s="89">
        <f t="shared" si="256"/>
        <v>-6.5040253714139795E-2</v>
      </c>
      <c r="O115" s="89">
        <f t="shared" si="257"/>
        <v>0.16083243543079595</v>
      </c>
      <c r="P115" s="89">
        <f t="shared" si="258"/>
        <v>0.11925030937398051</v>
      </c>
      <c r="Q115" s="89">
        <f t="shared" si="259"/>
        <v>-0.11417932519624996</v>
      </c>
      <c r="R115" s="89">
        <f t="shared" si="260"/>
        <v>0.28286595161889672</v>
      </c>
      <c r="S115" s="89">
        <f t="shared" si="261"/>
        <v>9.7152608893956716E-2</v>
      </c>
      <c r="T115" s="89">
        <f t="shared" si="262"/>
        <v>5.0196516409870551E-2</v>
      </c>
      <c r="U115" s="89">
        <f t="shared" si="263"/>
        <v>-2.3880585395550935E-2</v>
      </c>
      <c r="V115" s="89">
        <f t="shared" si="264"/>
        <v>0.10639842298165636</v>
      </c>
      <c r="W115" s="89">
        <f t="shared" si="265"/>
        <v>1.1470373555011237E-2</v>
      </c>
      <c r="X115" s="89">
        <f t="shared" si="266"/>
        <v>-2.671281695598271E-3</v>
      </c>
      <c r="Y115" s="89">
        <f t="shared" si="267"/>
        <v>0.16715869103172887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-0.12032169425208372</v>
      </c>
      <c r="F116" s="89">
        <f t="shared" ref="F116:F122" si="269">IF(E56=0,"",F56/E56-1)</f>
        <v>7.8521470966885776E-3</v>
      </c>
      <c r="G116" s="89">
        <f t="shared" ref="G116:G122" si="270">IF(F56=0,"",G56/F56-1)</f>
        <v>-5.5137253788719587E-2</v>
      </c>
      <c r="H116" s="89">
        <f t="shared" ref="H116:H122" si="271">IF(G56=0,"",H56/G56-1)</f>
        <v>3.6515559277020548E-2</v>
      </c>
      <c r="I116" s="89">
        <f t="shared" ref="I116:I122" si="272">IF(H56=0,"",I56/H56-1)</f>
        <v>0.20077166247167155</v>
      </c>
      <c r="J116" s="89">
        <f t="shared" ref="J116:J122" si="273">IF(I56=0,"",J56/I56-1)</f>
        <v>-2.3531776285282469E-2</v>
      </c>
      <c r="K116" s="89">
        <f t="shared" ref="K116:K122" si="274">IF(J56=0,"",K56/J56-1)</f>
        <v>0.28969923767713435</v>
      </c>
      <c r="L116" s="89">
        <f t="shared" ref="L116:L122" si="275">IF(K56=0,"",L56/K56-1)</f>
        <v>-8.6493151440582006E-2</v>
      </c>
      <c r="M116" s="89">
        <f t="shared" ref="M116:M122" si="276">IF(L56=0,"",M56/L56-1)</f>
        <v>1.6890767351658287E-2</v>
      </c>
      <c r="N116" s="89">
        <f t="shared" ref="N116:N122" si="277">IF(M56=0,"",N56/M56-1)</f>
        <v>4.5152071545427885E-2</v>
      </c>
      <c r="O116" s="89">
        <f t="shared" ref="O116:O122" si="278">IF(N56=0,"",O56/N56-1)</f>
        <v>4.741783970753799E-2</v>
      </c>
      <c r="P116" s="89">
        <f t="shared" ref="P116:P122" si="279">IF(O56=0,"",P56/O56-1)</f>
        <v>2.5291350583103389E-2</v>
      </c>
      <c r="Q116" s="89">
        <f t="shared" ref="Q116:Q122" si="280">IF(P56=0,"",Q56/P56-1)</f>
        <v>-0.12855247581665807</v>
      </c>
      <c r="R116" s="89">
        <f t="shared" ref="R116:R122" si="281">IF(Q56=0,"",R56/Q56-1)</f>
        <v>0.10454686809019376</v>
      </c>
      <c r="S116" s="89">
        <f t="shared" ref="S116:S122" si="282">IF(R56=0,"",S56/R56-1)</f>
        <v>0.20427179817905916</v>
      </c>
      <c r="T116" s="89">
        <f t="shared" ref="T116:T122" si="283">IF(S56=0,"",T56/S56-1)</f>
        <v>-2.461516519503526E-2</v>
      </c>
      <c r="U116" s="89">
        <f t="shared" ref="U116:U122" si="284">IF(T56=0,"",U56/T56-1)</f>
        <v>-9.5183291007780113E-2</v>
      </c>
      <c r="V116" s="89">
        <f t="shared" ref="V116:V122" si="285">IF(U56=0,"",V56/U56-1)</f>
        <v>4.7988318818581455E-2</v>
      </c>
      <c r="W116" s="89">
        <f t="shared" ref="W116:W122" si="286">IF(V56=0,"",W56/V56-1)</f>
        <v>3.5108885490703567E-2</v>
      </c>
      <c r="X116" s="89">
        <f t="shared" ref="X116:X122" si="287">IF(W56=0,"",X56/W56-1)</f>
        <v>-9.403007978467337E-2</v>
      </c>
      <c r="Y116" s="89">
        <f t="shared" ref="Y116:Y122" si="288">IF(X56=0,"",Y56/X56-1)</f>
        <v>0.20011257269946081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-8.9847071092864605E-2</v>
      </c>
      <c r="F117" s="89">
        <f t="shared" si="269"/>
        <v>1.3054450063628487E-2</v>
      </c>
      <c r="G117" s="89">
        <f t="shared" si="270"/>
        <v>5.8643059807680586E-2</v>
      </c>
      <c r="H117" s="89">
        <f t="shared" si="271"/>
        <v>-3.6086430851377416E-2</v>
      </c>
      <c r="I117" s="89">
        <f t="shared" si="272"/>
        <v>0.21726623443719051</v>
      </c>
      <c r="J117" s="89">
        <f t="shared" si="273"/>
        <v>7.3280119262298049E-2</v>
      </c>
      <c r="K117" s="89">
        <f t="shared" si="274"/>
        <v>-4.8738477347028075E-2</v>
      </c>
      <c r="L117" s="89">
        <f t="shared" si="275"/>
        <v>6.8563686492636666E-2</v>
      </c>
      <c r="M117" s="89">
        <f t="shared" si="276"/>
        <v>0.1851753399075291</v>
      </c>
      <c r="N117" s="89">
        <f t="shared" si="277"/>
        <v>-4.0520477336740468E-2</v>
      </c>
      <c r="O117" s="89">
        <f t="shared" si="278"/>
        <v>-6.1004814271035879E-2</v>
      </c>
      <c r="P117" s="89">
        <f t="shared" si="279"/>
        <v>1.0934495509531406E-3</v>
      </c>
      <c r="Q117" s="89">
        <f t="shared" si="280"/>
        <v>-5.8137301872777103E-3</v>
      </c>
      <c r="R117" s="89">
        <f t="shared" si="281"/>
        <v>0.20797427850261352</v>
      </c>
      <c r="S117" s="89">
        <f t="shared" si="282"/>
        <v>0.11259302016397088</v>
      </c>
      <c r="T117" s="89">
        <f t="shared" si="283"/>
        <v>3.6284010582936288E-2</v>
      </c>
      <c r="U117" s="89">
        <f t="shared" si="284"/>
        <v>-3.3636666746416966E-2</v>
      </c>
      <c r="V117" s="89">
        <f t="shared" si="285"/>
        <v>4.113233152568796E-2</v>
      </c>
      <c r="W117" s="89">
        <f t="shared" si="286"/>
        <v>4.407878606660498E-2</v>
      </c>
      <c r="X117" s="89">
        <f t="shared" si="287"/>
        <v>-0.14464787976772009</v>
      </c>
      <c r="Y117" s="89">
        <f t="shared" si="288"/>
        <v>2.6968209290049838E-2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-7.2884416152852904E-2</v>
      </c>
      <c r="F118" s="89">
        <f t="shared" si="269"/>
        <v>1.1680193726634869E-2</v>
      </c>
      <c r="G118" s="89">
        <f t="shared" si="270"/>
        <v>0.37448149531788277</v>
      </c>
      <c r="H118" s="89">
        <f t="shared" si="271"/>
        <v>0.19238503633421367</v>
      </c>
      <c r="I118" s="89">
        <f t="shared" si="272"/>
        <v>2.8847836098987445E-2</v>
      </c>
      <c r="J118" s="89">
        <f t="shared" si="273"/>
        <v>8.2226447939809377E-2</v>
      </c>
      <c r="K118" s="89">
        <f t="shared" si="274"/>
        <v>-5.4686001416489716E-2</v>
      </c>
      <c r="L118" s="89">
        <f t="shared" si="275"/>
        <v>4.7046549472512966E-2</v>
      </c>
      <c r="M118" s="89">
        <f t="shared" si="276"/>
        <v>4.1688666247019723E-2</v>
      </c>
      <c r="N118" s="89">
        <f t="shared" si="277"/>
        <v>0.12749279743306885</v>
      </c>
      <c r="O118" s="89">
        <f t="shared" si="278"/>
        <v>8.8573003081091617E-2</v>
      </c>
      <c r="P118" s="89">
        <f t="shared" si="279"/>
        <v>1.3833541756751E-2</v>
      </c>
      <c r="Q118" s="89">
        <f t="shared" si="280"/>
        <v>0.18768584624789653</v>
      </c>
      <c r="R118" s="89">
        <f t="shared" si="281"/>
        <v>4.9739051552051494E-2</v>
      </c>
      <c r="S118" s="89">
        <f t="shared" si="282"/>
        <v>-6.9350989393127227E-2</v>
      </c>
      <c r="T118" s="89">
        <f t="shared" si="283"/>
        <v>0.15651665004612969</v>
      </c>
      <c r="U118" s="89">
        <f t="shared" si="284"/>
        <v>5.7832332882477466E-2</v>
      </c>
      <c r="V118" s="89">
        <f t="shared" si="285"/>
        <v>-0.10594404039846328</v>
      </c>
      <c r="W118" s="89">
        <f t="shared" si="286"/>
        <v>0.19243535405618495</v>
      </c>
      <c r="X118" s="89">
        <f t="shared" si="287"/>
        <v>-0.18616558518687165</v>
      </c>
      <c r="Y118" s="89">
        <f t="shared" si="288"/>
        <v>0.10691131380065344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-6.9870517407666588E-2</v>
      </c>
      <c r="F119" s="89">
        <f t="shared" si="269"/>
        <v>7.7400691594937676E-3</v>
      </c>
      <c r="G119" s="89">
        <f t="shared" si="270"/>
        <v>0.16707473549055973</v>
      </c>
      <c r="H119" s="89">
        <f t="shared" si="271"/>
        <v>3.4749494588213192E-2</v>
      </c>
      <c r="I119" s="89">
        <f t="shared" si="272"/>
        <v>4.5388362749719358E-2</v>
      </c>
      <c r="J119" s="89">
        <f t="shared" si="273"/>
        <v>0.12847532040894749</v>
      </c>
      <c r="K119" s="89">
        <f t="shared" si="274"/>
        <v>7.4552778168426981E-2</v>
      </c>
      <c r="L119" s="89">
        <f t="shared" si="275"/>
        <v>0.12398316404879783</v>
      </c>
      <c r="M119" s="89">
        <f t="shared" si="276"/>
        <v>4.372111158387626E-2</v>
      </c>
      <c r="N119" s="89">
        <f t="shared" si="277"/>
        <v>2.5570025049830303E-2</v>
      </c>
      <c r="O119" s="89">
        <f t="shared" si="278"/>
        <v>5.8683564913802888E-2</v>
      </c>
      <c r="P119" s="89">
        <f t="shared" si="279"/>
        <v>1.0189395155689507E-2</v>
      </c>
      <c r="Q119" s="89">
        <f t="shared" si="280"/>
        <v>-0.1159078130987139</v>
      </c>
      <c r="R119" s="89">
        <f t="shared" si="281"/>
        <v>0.15810616697526125</v>
      </c>
      <c r="S119" s="89">
        <f t="shared" si="282"/>
        <v>9.5095279125740007E-2</v>
      </c>
      <c r="T119" s="89">
        <f t="shared" si="283"/>
        <v>5.8364375463674678E-2</v>
      </c>
      <c r="U119" s="89">
        <f t="shared" si="284"/>
        <v>-1.9604480551629999E-2</v>
      </c>
      <c r="V119" s="89">
        <f t="shared" si="285"/>
        <v>7.1877288819017116E-2</v>
      </c>
      <c r="W119" s="89">
        <f t="shared" si="286"/>
        <v>6.7801131224947353E-2</v>
      </c>
      <c r="X119" s="89">
        <f t="shared" si="287"/>
        <v>3.6874071848754353E-2</v>
      </c>
      <c r="Y119" s="89">
        <f t="shared" si="288"/>
        <v>0.14486723417608149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-7.9382209613885979E-2</v>
      </c>
      <c r="F120" s="89">
        <f t="shared" si="269"/>
        <v>1.0000293837048035E-2</v>
      </c>
      <c r="G120" s="89">
        <f t="shared" si="270"/>
        <v>4.3843387938234946E-2</v>
      </c>
      <c r="H120" s="89">
        <f t="shared" si="271"/>
        <v>-2.2380845402821703E-2</v>
      </c>
      <c r="I120" s="89">
        <f t="shared" si="272"/>
        <v>-5.2425197753917741E-2</v>
      </c>
      <c r="J120" s="89">
        <f t="shared" si="273"/>
        <v>5.897226661100019E-2</v>
      </c>
      <c r="K120" s="89">
        <f t="shared" si="274"/>
        <v>8.1148715088809054E-2</v>
      </c>
      <c r="L120" s="89">
        <f t="shared" si="275"/>
        <v>-5.6165862469588101E-2</v>
      </c>
      <c r="M120" s="89">
        <f t="shared" si="276"/>
        <v>-6.4403337208759792E-2</v>
      </c>
      <c r="N120" s="89">
        <f t="shared" si="277"/>
        <v>7.7268100552063679E-4</v>
      </c>
      <c r="O120" s="89">
        <f t="shared" si="278"/>
        <v>5.5089452904836467E-2</v>
      </c>
      <c r="P120" s="89">
        <f t="shared" si="279"/>
        <v>2.1365453697320458E-2</v>
      </c>
      <c r="Q120" s="89">
        <f t="shared" si="280"/>
        <v>-0.13447634453338286</v>
      </c>
      <c r="R120" s="89">
        <f t="shared" si="281"/>
        <v>0.15955780658124463</v>
      </c>
      <c r="S120" s="89">
        <f t="shared" si="282"/>
        <v>3.7150496141587164E-2</v>
      </c>
      <c r="T120" s="89">
        <f t="shared" si="283"/>
        <v>0.11934635404714644</v>
      </c>
      <c r="U120" s="89">
        <f t="shared" si="284"/>
        <v>-5.9695496753503718E-2</v>
      </c>
      <c r="V120" s="89">
        <f t="shared" si="285"/>
        <v>-5.1640923820278628E-3</v>
      </c>
      <c r="W120" s="89">
        <f t="shared" si="286"/>
        <v>1.9937875185495058E-2</v>
      </c>
      <c r="X120" s="89">
        <f t="shared" si="287"/>
        <v>-4.7632557993843472E-2</v>
      </c>
      <c r="Y120" s="89">
        <f t="shared" si="288"/>
        <v>0.13434911156318763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-0.10448337396759211</v>
      </c>
      <c r="F121" s="89">
        <f t="shared" si="269"/>
        <v>1.1687231874104587E-2</v>
      </c>
      <c r="G121" s="89">
        <f t="shared" si="270"/>
        <v>0.16982706673503989</v>
      </c>
      <c r="H121" s="89">
        <f t="shared" si="271"/>
        <v>0.1399286734522287</v>
      </c>
      <c r="I121" s="89">
        <f t="shared" si="272"/>
        <v>-5.9521319764683223E-2</v>
      </c>
      <c r="J121" s="89">
        <f t="shared" si="273"/>
        <v>4.069854531139061E-2</v>
      </c>
      <c r="K121" s="89">
        <f t="shared" si="274"/>
        <v>0.2185083307847635</v>
      </c>
      <c r="L121" s="89">
        <f t="shared" si="275"/>
        <v>-3.0746099271922733E-2</v>
      </c>
      <c r="M121" s="89">
        <f t="shared" si="276"/>
        <v>1.3661323923792823E-2</v>
      </c>
      <c r="N121" s="89">
        <f t="shared" si="277"/>
        <v>0.13575527027794121</v>
      </c>
      <c r="O121" s="89">
        <f t="shared" si="278"/>
        <v>9.9002934345335802E-3</v>
      </c>
      <c r="P121" s="89">
        <f t="shared" si="279"/>
        <v>3.05775065516245E-2</v>
      </c>
      <c r="Q121" s="89">
        <f t="shared" si="280"/>
        <v>-0.12889930765344648</v>
      </c>
      <c r="R121" s="89">
        <f t="shared" si="281"/>
        <v>0.15306831290516776</v>
      </c>
      <c r="S121" s="89">
        <f t="shared" si="282"/>
        <v>6.4664448334947444E-2</v>
      </c>
      <c r="T121" s="89">
        <f t="shared" si="283"/>
        <v>5.7907285568439715E-2</v>
      </c>
      <c r="U121" s="89">
        <f t="shared" si="284"/>
        <v>1.7754503680595279E-2</v>
      </c>
      <c r="V121" s="89">
        <f t="shared" si="285"/>
        <v>1.1632145100624269E-2</v>
      </c>
      <c r="W121" s="89">
        <f t="shared" si="286"/>
        <v>6.2366498297805828E-2</v>
      </c>
      <c r="X121" s="89">
        <f t="shared" si="287"/>
        <v>-1.6668873898687653E-2</v>
      </c>
      <c r="Y121" s="89">
        <f t="shared" si="288"/>
        <v>0.30473501592078711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-9.2799603539641007E-2</v>
      </c>
      <c r="F122" s="91">
        <f t="shared" si="269"/>
        <v>8.4121402935546374E-3</v>
      </c>
      <c r="G122" s="91">
        <f t="shared" si="270"/>
        <v>0.15134052913445251</v>
      </c>
      <c r="H122" s="91">
        <f t="shared" si="271"/>
        <v>3.8270145193730842E-2</v>
      </c>
      <c r="I122" s="91">
        <f t="shared" si="272"/>
        <v>5.5696382908625885E-2</v>
      </c>
      <c r="J122" s="91">
        <f t="shared" si="273"/>
        <v>5.1308833438966417E-2</v>
      </c>
      <c r="K122" s="91">
        <f t="shared" si="274"/>
        <v>0.10813131902364215</v>
      </c>
      <c r="L122" s="91">
        <f t="shared" si="275"/>
        <v>8.0514589058611197E-3</v>
      </c>
      <c r="M122" s="91">
        <f t="shared" si="276"/>
        <v>0.1558169482256111</v>
      </c>
      <c r="N122" s="91">
        <f t="shared" si="277"/>
        <v>6.710886903573865E-2</v>
      </c>
      <c r="O122" s="91">
        <f t="shared" si="278"/>
        <v>2.8459103089878424E-2</v>
      </c>
      <c r="P122" s="91">
        <f t="shared" si="279"/>
        <v>5.5115012535683405E-2</v>
      </c>
      <c r="Q122" s="91">
        <f t="shared" si="280"/>
        <v>-4.8972997788034545E-2</v>
      </c>
      <c r="R122" s="91">
        <f t="shared" si="281"/>
        <v>0.16030070361457693</v>
      </c>
      <c r="S122" s="91">
        <f t="shared" si="282"/>
        <v>5.7317447591564541E-2</v>
      </c>
      <c r="T122" s="91">
        <f t="shared" si="283"/>
        <v>0.11781864127191177</v>
      </c>
      <c r="U122" s="91">
        <f t="shared" si="284"/>
        <v>-4.2760359329585773E-2</v>
      </c>
      <c r="V122" s="91">
        <f t="shared" si="285"/>
        <v>6.1627601925791087E-2</v>
      </c>
      <c r="W122" s="91">
        <f t="shared" si="286"/>
        <v>5.9179876313700808E-2</v>
      </c>
      <c r="X122" s="91">
        <f t="shared" si="287"/>
        <v>3.1702552117603311E-2</v>
      </c>
      <c r="Y122" s="91">
        <f t="shared" si="288"/>
        <v>8.4874735412368896E-2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1D526-E6D4-4101-8D07-8ACBCD55E95C}"/>
</file>

<file path=customXml/itemProps2.xml><?xml version="1.0" encoding="utf-8"?>
<ds:datastoreItem xmlns:ds="http://schemas.openxmlformats.org/officeDocument/2006/customXml" ds:itemID="{9949CEAB-A522-4AF0-B754-C5F5A0F652FE}"/>
</file>

<file path=customXml/itemProps3.xml><?xml version="1.0" encoding="utf-8"?>
<ds:datastoreItem xmlns:ds="http://schemas.openxmlformats.org/officeDocument/2006/customXml" ds:itemID="{F616B810-842A-485C-A4E1-64EE3D7A2F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2024-05-20T16:54:27Z</dcterms:created>
  <dcterms:modified xsi:type="dcterms:W3CDTF">2024-05-20T16:54:27Z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