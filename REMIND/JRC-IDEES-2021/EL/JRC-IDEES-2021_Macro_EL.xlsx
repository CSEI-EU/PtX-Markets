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V94" i="59"/>
  <c r="U94" i="59"/>
  <c r="Y93" i="59"/>
  <c r="W20" i="59"/>
  <c r="V20" i="59"/>
  <c r="U20" i="59"/>
  <c r="X122" i="59"/>
  <c r="T90" i="59"/>
  <c r="Y89" i="59"/>
  <c r="U121" i="59"/>
  <c r="W87" i="59"/>
  <c r="T118" i="59"/>
  <c r="W117" i="59"/>
  <c r="V115" i="59"/>
  <c r="V113" i="59"/>
  <c r="W80" i="59"/>
  <c r="T112" i="59"/>
  <c r="V111" i="59"/>
  <c r="W110" i="59"/>
  <c r="U110" i="59"/>
  <c r="Y77" i="59"/>
  <c r="U109" i="59"/>
  <c r="Y75" i="59"/>
  <c r="T106" i="59"/>
  <c r="O106" i="59"/>
  <c r="M106" i="59"/>
  <c r="L106" i="59"/>
  <c r="G106" i="59"/>
  <c r="Y105" i="59"/>
  <c r="W73" i="59"/>
  <c r="Y71" i="59"/>
  <c r="V103" i="59"/>
  <c r="X102" i="59"/>
  <c r="W69" i="59"/>
  <c r="Y68" i="59"/>
  <c r="U100" i="59"/>
  <c r="Y99" i="59"/>
  <c r="T67" i="59"/>
  <c r="Y66" i="59"/>
  <c r="W98" i="59"/>
  <c r="T98" i="59"/>
  <c r="Y97" i="59"/>
  <c r="W75" i="59"/>
  <c r="E106" i="59"/>
  <c r="U115" i="59"/>
  <c r="X110" i="59"/>
  <c r="W104" i="59"/>
  <c r="W90" i="59"/>
  <c r="T80" i="59"/>
  <c r="W122" i="59"/>
  <c r="Y120" i="59"/>
  <c r="Y84" i="59"/>
  <c r="U116" i="59"/>
  <c r="T83" i="59"/>
  <c r="Y82" i="59"/>
  <c r="Y114" i="59"/>
  <c r="W113" i="59"/>
  <c r="U113" i="59"/>
  <c r="Y80" i="59"/>
  <c r="Y111" i="59"/>
  <c r="U108" i="59"/>
  <c r="W74" i="59"/>
  <c r="Y73" i="59"/>
  <c r="Y72" i="59"/>
  <c r="T71" i="59"/>
  <c r="Y70" i="59"/>
  <c r="Y102" i="59"/>
  <c r="W101" i="59"/>
  <c r="V101" i="59"/>
  <c r="U101" i="59"/>
  <c r="Y67" i="59"/>
  <c r="Y65" i="59"/>
  <c r="X20" i="59"/>
  <c r="X13" i="59"/>
  <c r="Y13" i="59"/>
  <c r="V13" i="59"/>
  <c r="V10" i="59"/>
  <c r="W5" i="59"/>
  <c r="T5" i="59"/>
  <c r="Y5" i="59"/>
  <c r="U5" i="59"/>
  <c r="Y20" i="59" l="1"/>
  <c r="Y107" i="59"/>
  <c r="U103" i="59"/>
  <c r="U71" i="59"/>
  <c r="Y69" i="59"/>
  <c r="W65" i="59"/>
  <c r="W72" i="59"/>
  <c r="W84" i="59"/>
  <c r="V74" i="59"/>
  <c r="X100" i="59"/>
  <c r="Y103" i="59"/>
  <c r="J106" i="59"/>
  <c r="R106" i="59"/>
  <c r="Y74" i="59"/>
  <c r="U107" i="59"/>
  <c r="W112" i="59"/>
  <c r="Y115" i="59"/>
  <c r="U117" i="59"/>
  <c r="U93" i="59"/>
  <c r="W105" i="59"/>
  <c r="W81" i="59"/>
  <c r="W85" i="59"/>
  <c r="Y122" i="59"/>
  <c r="U104" i="59"/>
  <c r="W111" i="59"/>
  <c r="X112" i="59"/>
  <c r="Y118" i="59"/>
  <c r="T119" i="59"/>
  <c r="W67" i="59"/>
  <c r="W78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7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<sst xmlns="http://schemas.openxmlformats.org/spreadsheetml/2006/main" count="722" uniqueCount="281">
  <si>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</si>
  <si>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</si>
  <si>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</si>
  <si>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</si>
  <si>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</si>
  <si>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</si>
  <si>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</si>
  <si>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</si>
  <si>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</si>
  <si>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</si>
  <si>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</si>
  <si>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</si>
  <si>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</si>
  <si>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</si>
  <si>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</si>
  <si>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</si>
  <si>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</si>
  <si>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</si>
  <si>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</si>
  <si>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</si>
  <si>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</si>
  <si>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</si>
  <si>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</si>
  <si>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</si>
  <si>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</si>
  <si>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</si>
  <si>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</si>
  <si>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</si>
  <si>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</si>
  <si>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</si>
  <si>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</si>
  <si>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</si>
  <si>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</si>
  <si>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</si>
  <si>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</si>
  <si>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</si>
  <si>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</si>
  <si>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</si>
  <si>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</si>
  <si>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</si>
  <si>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</si>
  <si>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</si>
  <si>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</si>
  <si>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</si>
  <si>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</si>
  <si>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</si>
  <si>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</si>
  <si>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</si>
  <si>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</si>
  <si>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</si>
  <si>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</si>
  <si>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</si>
  <si>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</si>
  <si>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</si>
  <si>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</si>
  <si>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</si>
  <si>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</si>
  <si>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</si>
  <si>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</si>
  <si>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</si>
  <si>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</si>
  <si>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</si>
  <si>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</si>
  <si>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</si>
  <si>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</si>
  <si>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</si>
  <si>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</si>
  <si>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</si>
  <si>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</si>
  <si>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</si>
  <si>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</si>
  <si>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</si>
  <si>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</si>
  <si>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</si>
  <si>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</si>
  <si>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</si>
  <si>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</si>
  <si>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</si>
  <si>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</si>
  <si>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</si>
  <si>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</si>
  <si>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</si>
  <si>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</si>
  <si>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</si>
  <si>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</si>
  <si>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</si>
  <si>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</si>
  <si>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</si>
  <si>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</si>
  <si>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</si>
  <si>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</si>
  <si>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</si>
  <si>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</si>
  <si>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</si>
  <si>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</si>
  <si>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</si>
  <si>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</si>
  <si>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</si>
  <si>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</si>
  <si>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</si>
  <si>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</si>
  <si>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</si>
  <si>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</si>
  <si>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</si>
  <si>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</si>
  <si>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</si>
  <si>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</si>
  <si>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</si>
  <si>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</si>
  <si>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</si>
  <si>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</si>
  <si>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</si>
  <si>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</si>
  <si>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</si>
  <si>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</si>
  <si>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</si>
  <si>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</si>
  <si>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</si>
  <si>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</si>
  <si>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</si>
  <si>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</si>
  <si>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</si>
  <si>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</si>
  <si>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</si>
  <si>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</si>
  <si>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</si>
  <si>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</si>
  <si>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</si>
  <si>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</si>
  <si>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</si>
  <si>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</si>
  <si>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</si>
  <si>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</si>
  <si>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</si>
  <si>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</si>
  <si>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</si>
  <si>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</si>
  <si>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</si>
  <si>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</si>
  <si>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</si>
  <si>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</si>
  <si>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</si>
  <si>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</si>
  <si>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</si>
  <si>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</si>
  <si>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</si>
  <si>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</si>
  <si>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</si>
  <si>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</si>
  <si>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</si>
  <si>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</si>
  <si>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</si>
  <si>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</si>
  <si>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</si>
  <si>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</si>
  <si>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</si>
  <si>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</si>
  <si>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</si>
  <si>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</si>
  <si>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</si>
  <si>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</si>
  <si>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</si>
  <si>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</si>
  <si>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</si>
  <si>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</si>
  <si>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</si>
  <si>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</si>
  <si>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</si>
  <si>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</si>
  <si>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</si>
  <si>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</si>
  <si>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</si>
  <si>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</si>
  <si>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</si>
  <si>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</si>
  <si>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</si>
  <si>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</si>
  <si>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</si>
  <si>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</si>
  <si>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</si>
  <si>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</si>
  <si>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</si>
  <si>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</si>
  <si>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</si>
  <si>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</si>
  <si>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</si>
  <si>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</si>
  <si>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</si>
  <si>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</si>
  <si>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</si>
  <si>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</si>
  <si>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</si>
  <si>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</si>
  <si>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</si>
  <si>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</si>
  <si>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</si>
  <si>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</si>
  <si>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</si>
  <si>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</si>
  <si>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</si>
  <si>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</si>
  <si>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</si>
  <si>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</si>
  <si>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</si>
  <si>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</si>
  <si>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</si>
  <si>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</si>
  <si>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</si>
  <si>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</si>
  <si>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</si>
  <si>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</si>
  <si>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</si>
  <si>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</si>
  <si>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</si>
  <si>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</si>
  <si>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</si>
  <si>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</si>
  <si>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</si>
  <si>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</si>
  <si>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</si>
  <si>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</si>
  <si>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</si>
  <si>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</si>
  <si>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</si>
  <si>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</si>
  <si>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</si>
  <si>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</si>
  <si>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</si>
  <si>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</si>
  <si>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</si>
  <si>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</si>
  <si>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</si>
  <si>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</si>
  <si>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</si>
  <si>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</si>
  <si>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</si>
  <si>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</si>
  <si>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</si>
  <si>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</si>
  <si>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</si>
  <si>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</si>
  <si>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</si>
  <si>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</si>
  <si>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</si>
  <si>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</si>
  <si>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</si>
  <si>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</si>
  <si>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</si>
  <si>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</si>
  <si>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</si>
  <si>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</si>
  <si>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</si>
  <si>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</si>
  <si>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</si>
  <si>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</si>
  <si>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</si>
  <si>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</si>
  <si>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</si>
  <si>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</si>
  <si>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</si>
  <si>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</si>
  <si>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</si>
  <si>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</si>
  <si>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</si>
  <si>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</si>
  <si>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</si>
  <si>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</si>
  <si>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</si>
  <si>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</si>
  <si>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</si>
  <si>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</si>
  <si>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</si>
  <si>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</si>
  <si>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</si>
  <si>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</si>
  <si>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</si>
  <si>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</si>
  <si>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</si>
  <si>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</si>
  <si>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EL</t>
  </si>
  <si>
    <t>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</si>
</sst>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45432.784074074072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137864.91575445104</v>
      </c>
      <c r="E2" s="19">
        <v>146754.32321701429</v>
      </c>
      <c r="F2" s="19">
        <v>157617.37063454854</v>
      </c>
      <c r="G2" s="19">
        <v>172510.83646271462</v>
      </c>
      <c r="H2" s="19">
        <v>186790.67089580846</v>
      </c>
      <c r="I2" s="19">
        <v>192119.6772276682</v>
      </c>
      <c r="J2" s="19">
        <v>210074.11379196457</v>
      </c>
      <c r="K2" s="19">
        <v>224376.45903101854</v>
      </c>
      <c r="L2" s="19">
        <v>233341.74223205118</v>
      </c>
      <c r="M2" s="19">
        <v>229044.87479762439</v>
      </c>
      <c r="N2" s="19">
        <v>216112.70213196796</v>
      </c>
      <c r="O2" s="19">
        <v>196041.99161230552</v>
      </c>
      <c r="P2" s="19">
        <v>181647.37330217502</v>
      </c>
      <c r="Q2" s="19">
        <v>173454.30392459765</v>
      </c>
      <c r="R2" s="19">
        <v>170900.77830400318</v>
      </c>
      <c r="S2" s="19">
        <v>170065.47551399999</v>
      </c>
      <c r="T2" s="19">
        <v>168258.31530159622</v>
      </c>
      <c r="U2" s="19">
        <v>170579.90852414622</v>
      </c>
      <c r="V2" s="19">
        <v>173139.5133755274</v>
      </c>
      <c r="W2" s="19">
        <v>176793.89651785177</v>
      </c>
      <c r="X2" s="19">
        <v>159117.75863395815</v>
      </c>
      <c r="Y2" s="19">
        <v>175012.5016967369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94159.546866396355</v>
      </c>
      <c r="E3" s="23">
        <v>99126.592360281371</v>
      </c>
      <c r="F3" s="23">
        <v>106448.41713135404</v>
      </c>
      <c r="G3" s="23">
        <v>114075.84529506517</v>
      </c>
      <c r="H3" s="23">
        <v>122095.76588699948</v>
      </c>
      <c r="I3" s="23">
        <v>129771.14307901487</v>
      </c>
      <c r="J3" s="23">
        <v>137690.35450709958</v>
      </c>
      <c r="K3" s="23">
        <v>148523.62706891206</v>
      </c>
      <c r="L3" s="23">
        <v>160513.89185308418</v>
      </c>
      <c r="M3" s="23">
        <v>159331.35734339137</v>
      </c>
      <c r="N3" s="23">
        <v>148406.66318805196</v>
      </c>
      <c r="O3" s="23">
        <v>139565.66470655729</v>
      </c>
      <c r="P3" s="23">
        <v>130227.80505204535</v>
      </c>
      <c r="Q3" s="23">
        <v>123604.6377438319</v>
      </c>
      <c r="R3" s="23">
        <v>120531.45630109396</v>
      </c>
      <c r="S3" s="23">
        <v>118588.56134399999</v>
      </c>
      <c r="T3" s="23">
        <v>116809.20433181306</v>
      </c>
      <c r="U3" s="23">
        <v>120163.16764957223</v>
      </c>
      <c r="V3" s="23">
        <v>122396.70542204368</v>
      </c>
      <c r="W3" s="23">
        <v>124637.98831477819</v>
      </c>
      <c r="X3" s="23">
        <v>114056.32518530553</v>
      </c>
      <c r="Y3" s="23">
        <v>121879.8043793346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127725.7</v>
      </c>
      <c r="E4" s="27">
        <v>135470.29999999999</v>
      </c>
      <c r="F4" s="27">
        <v>145797.4</v>
      </c>
      <c r="G4" s="27">
        <v>160513.4</v>
      </c>
      <c r="H4" s="27">
        <v>174773</v>
      </c>
      <c r="I4" s="27">
        <v>178820.5</v>
      </c>
      <c r="J4" s="27">
        <v>193047.1</v>
      </c>
      <c r="K4" s="27">
        <v>205267</v>
      </c>
      <c r="L4" s="27">
        <v>213818.9</v>
      </c>
      <c r="M4" s="27">
        <v>212390.9</v>
      </c>
      <c r="N4" s="27">
        <v>197729.2</v>
      </c>
      <c r="O4" s="27">
        <v>178180.5</v>
      </c>
      <c r="P4" s="27">
        <v>166150.70000000004</v>
      </c>
      <c r="Q4" s="27">
        <v>159466.79999999999</v>
      </c>
      <c r="R4" s="27">
        <v>156492.49999999997</v>
      </c>
      <c r="S4" s="27">
        <v>155835.6</v>
      </c>
      <c r="T4" s="27">
        <v>152196.6</v>
      </c>
      <c r="U4" s="27">
        <v>154344.20000000001</v>
      </c>
      <c r="V4" s="27">
        <v>155610.90000000002</v>
      </c>
      <c r="W4" s="27">
        <v>158898.79999999996</v>
      </c>
      <c r="X4" s="27">
        <v>144712.50000000003</v>
      </c>
      <c r="Y4" s="27">
        <v>158159.79999999999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7771.1</v>
      </c>
      <c r="E6" s="19">
        <v>7918.2</v>
      </c>
      <c r="F6" s="19">
        <v>8152</v>
      </c>
      <c r="G6" s="19">
        <v>8944.9</v>
      </c>
      <c r="H6" s="19">
        <v>8282.1</v>
      </c>
      <c r="I6" s="19">
        <v>8536.0000000000018</v>
      </c>
      <c r="J6" s="19">
        <v>6974.3</v>
      </c>
      <c r="K6" s="19">
        <v>7067.7</v>
      </c>
      <c r="L6" s="19">
        <v>6793.3</v>
      </c>
      <c r="M6" s="19">
        <v>6662.7</v>
      </c>
      <c r="N6" s="19">
        <v>6697.6</v>
      </c>
      <c r="O6" s="19">
        <v>6330.5</v>
      </c>
      <c r="P6" s="19">
        <v>6482.3</v>
      </c>
      <c r="Q6" s="19">
        <v>6084.8</v>
      </c>
      <c r="R6" s="19">
        <v>6352.4</v>
      </c>
      <c r="S6" s="19">
        <v>6816.1</v>
      </c>
      <c r="T6" s="19">
        <v>6134.1</v>
      </c>
      <c r="U6" s="19">
        <v>6822.1</v>
      </c>
      <c r="V6" s="19">
        <v>6527.7</v>
      </c>
      <c r="W6" s="19">
        <v>6983</v>
      </c>
      <c r="X6" s="19">
        <v>6766</v>
      </c>
      <c r="Y6" s="19">
        <v>6673.4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17856.499999999996</v>
      </c>
      <c r="E7" s="23">
        <v>19848.899999999998</v>
      </c>
      <c r="F7" s="23">
        <v>21473.200000000008</v>
      </c>
      <c r="G7" s="23">
        <v>22388.59999999998</v>
      </c>
      <c r="H7" s="23">
        <v>23352.599999999995</v>
      </c>
      <c r="I7" s="23">
        <v>24098.800000000003</v>
      </c>
      <c r="J7" s="23">
        <v>25458.7</v>
      </c>
      <c r="K7" s="23">
        <v>26864.000000000011</v>
      </c>
      <c r="L7" s="23">
        <v>27176.400000000027</v>
      </c>
      <c r="M7" s="23">
        <v>25825.200000000019</v>
      </c>
      <c r="N7" s="23">
        <v>24330.399999999994</v>
      </c>
      <c r="O7" s="23">
        <v>22869.500000000015</v>
      </c>
      <c r="P7" s="23">
        <v>22559.200000000052</v>
      </c>
      <c r="Q7" s="23">
        <v>21936.599999999995</v>
      </c>
      <c r="R7" s="23">
        <v>21286.799999999996</v>
      </c>
      <c r="S7" s="23">
        <v>22078.800000000017</v>
      </c>
      <c r="T7" s="23">
        <v>21873.400000000005</v>
      </c>
      <c r="U7" s="23">
        <v>22027.400000000023</v>
      </c>
      <c r="V7" s="23">
        <v>22039.5</v>
      </c>
      <c r="W7" s="23">
        <v>21911.999999999996</v>
      </c>
      <c r="X7" s="23">
        <v>21700.40000000002</v>
      </c>
      <c r="Y7" s="23">
        <v>24593.499999999985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8948.0999999999985</v>
      </c>
      <c r="E8" s="23">
        <v>9574.2999999999993</v>
      </c>
      <c r="F8" s="23">
        <v>10301.4</v>
      </c>
      <c r="G8" s="23">
        <v>14318.2</v>
      </c>
      <c r="H8" s="23">
        <v>16056.900000000001</v>
      </c>
      <c r="I8" s="23">
        <v>11375.3</v>
      </c>
      <c r="J8" s="23">
        <v>18085.800000000003</v>
      </c>
      <c r="K8" s="23">
        <v>15017.3</v>
      </c>
      <c r="L8" s="23">
        <v>10718.8</v>
      </c>
      <c r="M8" s="23">
        <v>10549.6</v>
      </c>
      <c r="N8" s="23">
        <v>9066.7999999999993</v>
      </c>
      <c r="O8" s="23">
        <v>6360.4</v>
      </c>
      <c r="P8" s="23">
        <v>5330.2</v>
      </c>
      <c r="Q8" s="23">
        <v>5153.8999999999996</v>
      </c>
      <c r="R8" s="23">
        <v>3738.4</v>
      </c>
      <c r="S8" s="23">
        <v>3493.4</v>
      </c>
      <c r="T8" s="23">
        <v>3484.2</v>
      </c>
      <c r="U8" s="23">
        <v>2259.1000000000004</v>
      </c>
      <c r="V8" s="23">
        <v>2431.1999999999994</v>
      </c>
      <c r="W8" s="23">
        <v>2573.5</v>
      </c>
      <c r="X8" s="23">
        <v>2502.6</v>
      </c>
      <c r="Y8" s="23">
        <v>2773.3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35220.1</v>
      </c>
      <c r="E9" s="23">
        <v>36047.19999999999</v>
      </c>
      <c r="F9" s="23">
        <v>36442.800000000003</v>
      </c>
      <c r="G9" s="23">
        <v>41221.800000000003</v>
      </c>
      <c r="H9" s="23">
        <v>44464.800000000003</v>
      </c>
      <c r="I9" s="23">
        <v>46127.4</v>
      </c>
      <c r="J9" s="23">
        <v>47553.3</v>
      </c>
      <c r="K9" s="23">
        <v>52016.3</v>
      </c>
      <c r="L9" s="23">
        <v>56917.4</v>
      </c>
      <c r="M9" s="23">
        <v>51419.5</v>
      </c>
      <c r="N9" s="23">
        <v>49344.2</v>
      </c>
      <c r="O9" s="23">
        <v>43038.7</v>
      </c>
      <c r="P9" s="23">
        <v>38953.100000000006</v>
      </c>
      <c r="Q9" s="23">
        <v>38356.699999999997</v>
      </c>
      <c r="R9" s="23">
        <v>38834.699999999997</v>
      </c>
      <c r="S9" s="23">
        <v>38649.5</v>
      </c>
      <c r="T9" s="23">
        <v>37312.80000000001</v>
      </c>
      <c r="U9" s="23">
        <v>39865.19999999999</v>
      </c>
      <c r="V9" s="23">
        <v>41267.1</v>
      </c>
      <c r="W9" s="23">
        <v>41920.6</v>
      </c>
      <c r="X9" s="23">
        <v>33384.6</v>
      </c>
      <c r="Y9" s="23">
        <v>39836.6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4982.1000000000004</v>
      </c>
      <c r="E10" s="23">
        <v>5450.3</v>
      </c>
      <c r="F10" s="23">
        <v>6027.9</v>
      </c>
      <c r="G10" s="23">
        <v>6029.3</v>
      </c>
      <c r="H10" s="23">
        <v>6636.4</v>
      </c>
      <c r="I10" s="23">
        <v>6948.3</v>
      </c>
      <c r="J10" s="23">
        <v>7794.8</v>
      </c>
      <c r="K10" s="23">
        <v>8278.7000000000025</v>
      </c>
      <c r="L10" s="23">
        <v>8061</v>
      </c>
      <c r="M10" s="23">
        <v>8568.1</v>
      </c>
      <c r="N10" s="23">
        <v>6220.1</v>
      </c>
      <c r="O10" s="23">
        <v>5637.5</v>
      </c>
      <c r="P10" s="23">
        <v>5150.3999999999987</v>
      </c>
      <c r="Q10" s="23">
        <v>4873.1000000000013</v>
      </c>
      <c r="R10" s="23">
        <v>4306.3</v>
      </c>
      <c r="S10" s="23">
        <v>4435</v>
      </c>
      <c r="T10" s="23">
        <v>4522.4999999999991</v>
      </c>
      <c r="U10" s="23">
        <v>4826.3</v>
      </c>
      <c r="V10" s="23">
        <v>4780.7</v>
      </c>
      <c r="W10" s="23">
        <v>5023.7</v>
      </c>
      <c r="X10" s="23">
        <v>5501</v>
      </c>
      <c r="Y10" s="23">
        <v>5905.2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5853.2</v>
      </c>
      <c r="E11" s="23">
        <v>5317.8</v>
      </c>
      <c r="F11" s="23">
        <v>5888.9</v>
      </c>
      <c r="G11" s="23">
        <v>6668.6</v>
      </c>
      <c r="H11" s="23">
        <v>8324.7000000000007</v>
      </c>
      <c r="I11" s="23">
        <v>8492.7999999999993</v>
      </c>
      <c r="J11" s="23">
        <v>9074.2000000000007</v>
      </c>
      <c r="K11" s="23">
        <v>9223.5000000000018</v>
      </c>
      <c r="L11" s="23">
        <v>9396.2999999999993</v>
      </c>
      <c r="M11" s="23">
        <v>9774.6</v>
      </c>
      <c r="N11" s="23">
        <v>9336.7000000000007</v>
      </c>
      <c r="O11" s="23">
        <v>8650.7000000000007</v>
      </c>
      <c r="P11" s="23">
        <v>6173.3</v>
      </c>
      <c r="Q11" s="23">
        <v>6946.1</v>
      </c>
      <c r="R11" s="23">
        <v>8060</v>
      </c>
      <c r="S11" s="23">
        <v>7867.1</v>
      </c>
      <c r="T11" s="23">
        <v>8682.2000000000007</v>
      </c>
      <c r="U11" s="23">
        <v>8807.2000000000007</v>
      </c>
      <c r="V11" s="23">
        <v>8255.5</v>
      </c>
      <c r="W11" s="23">
        <v>8124.3</v>
      </c>
      <c r="X11" s="23">
        <v>7857.2</v>
      </c>
      <c r="Y11" s="23">
        <v>7746.5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14103</v>
      </c>
      <c r="E12" s="23">
        <v>14915.4</v>
      </c>
      <c r="F12" s="23">
        <v>16808.900000000001</v>
      </c>
      <c r="G12" s="23">
        <v>17010.5</v>
      </c>
      <c r="H12" s="23">
        <v>17967.400000000001</v>
      </c>
      <c r="I12" s="23">
        <v>20779.5</v>
      </c>
      <c r="J12" s="23">
        <v>20054.3</v>
      </c>
      <c r="K12" s="23">
        <v>24320.6</v>
      </c>
      <c r="L12" s="23">
        <v>28303</v>
      </c>
      <c r="M12" s="23">
        <v>29544.3</v>
      </c>
      <c r="N12" s="23">
        <v>33629.9</v>
      </c>
      <c r="O12" s="23">
        <v>32268.7</v>
      </c>
      <c r="P12" s="23">
        <v>31982.7</v>
      </c>
      <c r="Q12" s="23">
        <v>30275</v>
      </c>
      <c r="R12" s="23">
        <v>29104.3</v>
      </c>
      <c r="S12" s="23">
        <v>28027.9</v>
      </c>
      <c r="T12" s="23">
        <v>26825.9</v>
      </c>
      <c r="U12" s="23">
        <v>26085.9</v>
      </c>
      <c r="V12" s="23">
        <v>25665.599999999999</v>
      </c>
      <c r="W12" s="23">
        <v>26470</v>
      </c>
      <c r="X12" s="23">
        <v>23321.4</v>
      </c>
      <c r="Y12" s="23">
        <v>24628.1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6145.2</v>
      </c>
      <c r="E13" s="23">
        <v>6549.7</v>
      </c>
      <c r="F13" s="23">
        <v>7655.5</v>
      </c>
      <c r="G13" s="23">
        <v>8862.2999999999993</v>
      </c>
      <c r="H13" s="23">
        <v>9942.2000000000007</v>
      </c>
      <c r="I13" s="23">
        <v>10184.799999999999</v>
      </c>
      <c r="J13" s="23">
        <v>12059.2</v>
      </c>
      <c r="K13" s="23">
        <v>13341.1</v>
      </c>
      <c r="L13" s="23">
        <v>13649.1</v>
      </c>
      <c r="M13" s="23">
        <v>13463.1</v>
      </c>
      <c r="N13" s="23">
        <v>11030.6</v>
      </c>
      <c r="O13" s="23">
        <v>9454.2999999999993</v>
      </c>
      <c r="P13" s="23">
        <v>8729.2999999999993</v>
      </c>
      <c r="Q13" s="23">
        <v>8164.5</v>
      </c>
      <c r="R13" s="23">
        <v>7990.7</v>
      </c>
      <c r="S13" s="23">
        <v>7678.2</v>
      </c>
      <c r="T13" s="23">
        <v>7413.8</v>
      </c>
      <c r="U13" s="23">
        <v>7676.1</v>
      </c>
      <c r="V13" s="23">
        <v>7930.9</v>
      </c>
      <c r="W13" s="23">
        <v>8687.5</v>
      </c>
      <c r="X13" s="23">
        <v>7763.1</v>
      </c>
      <c r="Y13" s="23">
        <v>8482.9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21855.7</v>
      </c>
      <c r="E14" s="23">
        <v>24419.5</v>
      </c>
      <c r="F14" s="23">
        <v>27015.4</v>
      </c>
      <c r="G14" s="23">
        <v>29022.7</v>
      </c>
      <c r="H14" s="23">
        <v>32924.6</v>
      </c>
      <c r="I14" s="23">
        <v>34790.199999999997</v>
      </c>
      <c r="J14" s="23">
        <v>37656.300000000003</v>
      </c>
      <c r="K14" s="23">
        <v>40360.1</v>
      </c>
      <c r="L14" s="23">
        <v>43968.2</v>
      </c>
      <c r="M14" s="23">
        <v>46715.6</v>
      </c>
      <c r="N14" s="23">
        <v>41994.400000000001</v>
      </c>
      <c r="O14" s="23">
        <v>38117.199999999997</v>
      </c>
      <c r="P14" s="23">
        <v>35463.1</v>
      </c>
      <c r="Q14" s="23">
        <v>32490.3</v>
      </c>
      <c r="R14" s="23">
        <v>31782.3</v>
      </c>
      <c r="S14" s="23">
        <v>31906.7</v>
      </c>
      <c r="T14" s="23">
        <v>31171.1</v>
      </c>
      <c r="U14" s="23">
        <v>31023</v>
      </c>
      <c r="V14" s="23">
        <v>31317.5</v>
      </c>
      <c r="W14" s="23">
        <v>31513.599999999999</v>
      </c>
      <c r="X14" s="23">
        <v>31366.799999999999</v>
      </c>
      <c r="Y14" s="23">
        <v>32332.6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4990.7</v>
      </c>
      <c r="E15" s="23">
        <v>5429</v>
      </c>
      <c r="F15" s="23">
        <v>6031.4</v>
      </c>
      <c r="G15" s="23">
        <v>6046.5</v>
      </c>
      <c r="H15" s="23">
        <v>6821.3</v>
      </c>
      <c r="I15" s="23">
        <v>7487.4</v>
      </c>
      <c r="J15" s="23">
        <v>8336.2000000000025</v>
      </c>
      <c r="K15" s="23">
        <v>8777.7000000000007</v>
      </c>
      <c r="L15" s="23">
        <v>8835.4</v>
      </c>
      <c r="M15" s="23">
        <v>9868.2000000000007</v>
      </c>
      <c r="N15" s="23">
        <v>6078.5</v>
      </c>
      <c r="O15" s="23">
        <v>5453</v>
      </c>
      <c r="P15" s="23">
        <v>5327.1</v>
      </c>
      <c r="Q15" s="23">
        <v>5185.8</v>
      </c>
      <c r="R15" s="23">
        <v>5036.6000000000004</v>
      </c>
      <c r="S15" s="23">
        <v>4882.8999999999996</v>
      </c>
      <c r="T15" s="23">
        <v>4776.6000000000004</v>
      </c>
      <c r="U15" s="23">
        <v>4951.8999999999996</v>
      </c>
      <c r="V15" s="23">
        <v>5395.2</v>
      </c>
      <c r="W15" s="23">
        <v>5690.6</v>
      </c>
      <c r="X15" s="23">
        <v>4549.3999999999987</v>
      </c>
      <c r="Y15" s="23">
        <v>5187.7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127725.69999999998</v>
      </c>
      <c r="E16" s="30">
        <f t="shared" ref="E16:S16" si="0">SUM(E6:E15)</f>
        <v>135470.29999999999</v>
      </c>
      <c r="F16" s="30">
        <f t="shared" si="0"/>
        <v>145797.4</v>
      </c>
      <c r="G16" s="30">
        <f t="shared" si="0"/>
        <v>160513.4</v>
      </c>
      <c r="H16" s="30">
        <f t="shared" si="0"/>
        <v>174773</v>
      </c>
      <c r="I16" s="30">
        <f t="shared" si="0"/>
        <v>178820.49999999997</v>
      </c>
      <c r="J16" s="30">
        <f t="shared" si="0"/>
        <v>193047.10000000003</v>
      </c>
      <c r="K16" s="30">
        <f t="shared" si="0"/>
        <v>205267.00000000003</v>
      </c>
      <c r="L16" s="30">
        <f t="shared" si="0"/>
        <v>213818.9</v>
      </c>
      <c r="M16" s="30">
        <f t="shared" si="0"/>
        <v>212390.90000000005</v>
      </c>
      <c r="N16" s="30">
        <f t="shared" si="0"/>
        <v>197729.19999999998</v>
      </c>
      <c r="O16" s="30">
        <f t="shared" si="0"/>
        <v>178180.5</v>
      </c>
      <c r="P16" s="30">
        <f t="shared" si="0"/>
        <v>166150.70000000004</v>
      </c>
      <c r="Q16" s="30">
        <f t="shared" si="0"/>
        <v>159466.79999999999</v>
      </c>
      <c r="R16" s="30">
        <f t="shared" si="0"/>
        <v>156492.5</v>
      </c>
      <c r="S16" s="30">
        <f t="shared" si="0"/>
        <v>155835.6</v>
      </c>
      <c r="T16" s="30">
        <f t="shared" ref="T16:Y16" si="1">SUM(T6:T15)</f>
        <v>152196.6</v>
      </c>
      <c r="U16" s="30">
        <f t="shared" si="1"/>
        <v>154344.20000000001</v>
      </c>
      <c r="V16" s="30">
        <f t="shared" si="1"/>
        <v>155610.9</v>
      </c>
      <c r="W16" s="30">
        <f t="shared" si="1"/>
        <v>158898.79999999999</v>
      </c>
      <c r="X16" s="30">
        <f t="shared" si="1"/>
        <v>144712.5</v>
      </c>
      <c r="Y16" s="30">
        <f t="shared" si="1"/>
        <v>158159.79999999999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7771.1</v>
      </c>
      <c r="E18" s="19">
        <v>7918.2</v>
      </c>
      <c r="F18" s="19">
        <v>8152</v>
      </c>
      <c r="G18" s="19">
        <v>8944.9</v>
      </c>
      <c r="H18" s="19">
        <v>8282.1</v>
      </c>
      <c r="I18" s="19">
        <v>8536.0000000000018</v>
      </c>
      <c r="J18" s="19">
        <v>6974.3</v>
      </c>
      <c r="K18" s="19">
        <v>7067.7</v>
      </c>
      <c r="L18" s="19">
        <v>6793.3</v>
      </c>
      <c r="M18" s="19">
        <v>6662.7</v>
      </c>
      <c r="N18" s="19">
        <v>6697.6</v>
      </c>
      <c r="O18" s="19">
        <v>6330.5</v>
      </c>
      <c r="P18" s="19">
        <v>6482.3</v>
      </c>
      <c r="Q18" s="19">
        <v>6084.8</v>
      </c>
      <c r="R18" s="19">
        <v>6352.4</v>
      </c>
      <c r="S18" s="19">
        <v>6816.1</v>
      </c>
      <c r="T18" s="19">
        <v>6134.1</v>
      </c>
      <c r="U18" s="19">
        <v>6822.1</v>
      </c>
      <c r="V18" s="19">
        <v>6527.7</v>
      </c>
      <c r="W18" s="19">
        <v>6983</v>
      </c>
      <c r="X18" s="19">
        <v>6766</v>
      </c>
      <c r="Y18" s="19">
        <v>6673.4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587.29999999999995</v>
      </c>
      <c r="E19" s="23">
        <v>607.70000000000005</v>
      </c>
      <c r="F19" s="23">
        <v>657.6</v>
      </c>
      <c r="G19" s="23">
        <v>742.7</v>
      </c>
      <c r="H19" s="23">
        <v>785.6</v>
      </c>
      <c r="I19" s="23">
        <v>842.8</v>
      </c>
      <c r="J19" s="23">
        <v>816.5</v>
      </c>
      <c r="K19" s="23">
        <v>898.7</v>
      </c>
      <c r="L19" s="23">
        <v>816.8</v>
      </c>
      <c r="M19" s="23">
        <v>777.1</v>
      </c>
      <c r="N19" s="23">
        <v>902.6</v>
      </c>
      <c r="O19" s="23">
        <v>895.6</v>
      </c>
      <c r="P19" s="23">
        <v>801.9</v>
      </c>
      <c r="Q19" s="23">
        <v>832.2</v>
      </c>
      <c r="R19" s="23">
        <v>837.8</v>
      </c>
      <c r="S19" s="23">
        <v>860.5</v>
      </c>
      <c r="T19" s="23">
        <v>780.4</v>
      </c>
      <c r="U19" s="23">
        <v>780.9</v>
      </c>
      <c r="V19" s="23">
        <v>837.4</v>
      </c>
      <c r="W19" s="23">
        <v>724.4</v>
      </c>
      <c r="X19" s="23">
        <v>535.70000000000016</v>
      </c>
      <c r="Y19" s="23">
        <v>678.5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13572.099999999999</v>
      </c>
      <c r="E20" s="23">
        <v>15126.699999999997</v>
      </c>
      <c r="F20" s="23">
        <v>16077.80000000001</v>
      </c>
      <c r="G20" s="23">
        <v>16378.299999999979</v>
      </c>
      <c r="H20" s="23">
        <v>16942.599999999991</v>
      </c>
      <c r="I20" s="23">
        <v>17108.000000000007</v>
      </c>
      <c r="J20" s="23">
        <v>18427.199999999997</v>
      </c>
      <c r="K20" s="23">
        <v>19695.200000000008</v>
      </c>
      <c r="L20" s="23">
        <v>20578.400000000027</v>
      </c>
      <c r="M20" s="23">
        <v>18146.500000000015</v>
      </c>
      <c r="N20" s="23">
        <v>17601.69999999999</v>
      </c>
      <c r="O20" s="23">
        <v>16205.900000000012</v>
      </c>
      <c r="P20" s="23">
        <v>14680.500000000047</v>
      </c>
      <c r="Q20" s="23">
        <v>13696.699999999995</v>
      </c>
      <c r="R20" s="23">
        <v>13529.499999999995</v>
      </c>
      <c r="S20" s="23">
        <v>14628.600000000019</v>
      </c>
      <c r="T20" s="23">
        <v>14133.800000000005</v>
      </c>
      <c r="U20" s="23">
        <v>14343.400000000025</v>
      </c>
      <c r="V20" s="23">
        <v>14674.200000000006</v>
      </c>
      <c r="W20" s="23">
        <v>14324.999999999993</v>
      </c>
      <c r="X20" s="23">
        <v>14112.60000000002</v>
      </c>
      <c r="Y20" s="23">
        <v>15771.799999999987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2028.1</v>
      </c>
      <c r="E21" s="23">
        <v>2157.8000000000002</v>
      </c>
      <c r="F21" s="23">
        <v>2653.2</v>
      </c>
      <c r="G21" s="23">
        <v>2955.3</v>
      </c>
      <c r="H21" s="23">
        <v>2982.9</v>
      </c>
      <c r="I21" s="23">
        <v>3354.8</v>
      </c>
      <c r="J21" s="23">
        <v>3219.2</v>
      </c>
      <c r="K21" s="23">
        <v>3191.9</v>
      </c>
      <c r="L21" s="23">
        <v>2291.9999999999995</v>
      </c>
      <c r="M21" s="23">
        <v>3490.1</v>
      </c>
      <c r="N21" s="23">
        <v>3352.9</v>
      </c>
      <c r="O21" s="23">
        <v>3457.8</v>
      </c>
      <c r="P21" s="23">
        <v>4703.5</v>
      </c>
      <c r="Q21" s="23">
        <v>5020.8</v>
      </c>
      <c r="R21" s="23">
        <v>4622</v>
      </c>
      <c r="S21" s="23">
        <v>4596.8</v>
      </c>
      <c r="T21" s="23">
        <v>4884.7</v>
      </c>
      <c r="U21" s="23">
        <v>4929.3</v>
      </c>
      <c r="V21" s="23">
        <v>4570.8999999999996</v>
      </c>
      <c r="W21" s="23">
        <v>4857.7</v>
      </c>
      <c r="X21" s="23">
        <v>5330</v>
      </c>
      <c r="Y21" s="23">
        <v>6492.5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1669</v>
      </c>
      <c r="E22" s="23">
        <v>1956.7000000000003</v>
      </c>
      <c r="F22" s="23">
        <v>2084.6</v>
      </c>
      <c r="G22" s="23">
        <v>2312.3000000000002</v>
      </c>
      <c r="H22" s="23">
        <v>2641.5</v>
      </c>
      <c r="I22" s="23">
        <v>2793.2</v>
      </c>
      <c r="J22" s="23">
        <v>2995.8</v>
      </c>
      <c r="K22" s="23">
        <v>3078.2</v>
      </c>
      <c r="L22" s="23">
        <v>3489.2</v>
      </c>
      <c r="M22" s="23">
        <v>3411.5</v>
      </c>
      <c r="N22" s="23">
        <v>2473.1999999999998</v>
      </c>
      <c r="O22" s="23">
        <v>2310.1999999999998</v>
      </c>
      <c r="P22" s="23">
        <v>2373.3000000000006</v>
      </c>
      <c r="Q22" s="23">
        <v>2386.9</v>
      </c>
      <c r="R22" s="23">
        <v>2297.5</v>
      </c>
      <c r="S22" s="23">
        <v>1992.9</v>
      </c>
      <c r="T22" s="23">
        <v>2074.5</v>
      </c>
      <c r="U22" s="23">
        <v>1973.8</v>
      </c>
      <c r="V22" s="23">
        <v>1957</v>
      </c>
      <c r="W22" s="23">
        <v>2004.9</v>
      </c>
      <c r="X22" s="23">
        <v>1722.1</v>
      </c>
      <c r="Y22" s="23">
        <v>1650.7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8948.0999999999985</v>
      </c>
      <c r="E23" s="23">
        <v>9574.2999999999993</v>
      </c>
      <c r="F23" s="23">
        <v>10301.4</v>
      </c>
      <c r="G23" s="23">
        <v>14318.2</v>
      </c>
      <c r="H23" s="23">
        <v>16056.900000000001</v>
      </c>
      <c r="I23" s="23">
        <v>11375.3</v>
      </c>
      <c r="J23" s="23">
        <v>18085.800000000003</v>
      </c>
      <c r="K23" s="23">
        <v>15017.3</v>
      </c>
      <c r="L23" s="23">
        <v>10718.8</v>
      </c>
      <c r="M23" s="23">
        <v>10549.6</v>
      </c>
      <c r="N23" s="23">
        <v>9066.7999999999993</v>
      </c>
      <c r="O23" s="23">
        <v>6360.4</v>
      </c>
      <c r="P23" s="23">
        <v>5330.2</v>
      </c>
      <c r="Q23" s="23">
        <v>5153.8999999999996</v>
      </c>
      <c r="R23" s="23">
        <v>3738.4</v>
      </c>
      <c r="S23" s="23">
        <v>3493.4</v>
      </c>
      <c r="T23" s="23">
        <v>3484.2</v>
      </c>
      <c r="U23" s="23">
        <v>2259.1000000000004</v>
      </c>
      <c r="V23" s="23">
        <v>2431.1999999999994</v>
      </c>
      <c r="W23" s="23">
        <v>2573.5</v>
      </c>
      <c r="X23" s="23">
        <v>2502.6</v>
      </c>
      <c r="Y23" s="23">
        <v>2773.3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20814.199999999997</v>
      </c>
      <c r="E24" s="23">
        <v>20747.899999999994</v>
      </c>
      <c r="F24" s="23">
        <v>21558.3</v>
      </c>
      <c r="G24" s="23">
        <v>23338.300000000003</v>
      </c>
      <c r="H24" s="23">
        <v>23925.599999999995</v>
      </c>
      <c r="I24" s="23">
        <v>22872.7</v>
      </c>
      <c r="J24" s="23">
        <v>23407.700000000004</v>
      </c>
      <c r="K24" s="23">
        <v>25533.9</v>
      </c>
      <c r="L24" s="23">
        <v>27501.7</v>
      </c>
      <c r="M24" s="23">
        <v>26505.399999999994</v>
      </c>
      <c r="N24" s="23">
        <v>24974.499999999996</v>
      </c>
      <c r="O24" s="23">
        <v>22142.6</v>
      </c>
      <c r="P24" s="23">
        <v>19425.8</v>
      </c>
      <c r="Q24" s="23">
        <v>18212.599999999999</v>
      </c>
      <c r="R24" s="23">
        <v>17829.999999999996</v>
      </c>
      <c r="S24" s="23">
        <v>18606.199999999997</v>
      </c>
      <c r="T24" s="23">
        <v>18058.100000000009</v>
      </c>
      <c r="U24" s="23">
        <v>18667.099999999991</v>
      </c>
      <c r="V24" s="23">
        <v>19138.699999999997</v>
      </c>
      <c r="W24" s="23">
        <v>18789.800000000003</v>
      </c>
      <c r="X24" s="23">
        <v>16984.900000000001</v>
      </c>
      <c r="Y24" s="23">
        <v>19478.899999999998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8557.5</v>
      </c>
      <c r="E25" s="23">
        <v>7887.2</v>
      </c>
      <c r="F25" s="23">
        <v>8175.1999999999989</v>
      </c>
      <c r="G25" s="23">
        <v>10356.299999999999</v>
      </c>
      <c r="H25" s="23">
        <v>12429.8</v>
      </c>
      <c r="I25" s="23">
        <v>13826.5</v>
      </c>
      <c r="J25" s="23">
        <v>14378.4</v>
      </c>
      <c r="K25" s="23">
        <v>16322.2</v>
      </c>
      <c r="L25" s="23">
        <v>17619.099999999999</v>
      </c>
      <c r="M25" s="23">
        <v>14848.5</v>
      </c>
      <c r="N25" s="23">
        <v>14239.2</v>
      </c>
      <c r="O25" s="23">
        <v>12145.4</v>
      </c>
      <c r="P25" s="23">
        <v>11100.4</v>
      </c>
      <c r="Q25" s="23">
        <v>10606.8</v>
      </c>
      <c r="R25" s="23">
        <v>11011.3</v>
      </c>
      <c r="S25" s="23">
        <v>9843.2000000000007</v>
      </c>
      <c r="T25" s="23">
        <v>9908.1</v>
      </c>
      <c r="U25" s="23">
        <v>11100.1</v>
      </c>
      <c r="V25" s="23">
        <v>11341.3</v>
      </c>
      <c r="W25" s="23">
        <v>11470</v>
      </c>
      <c r="X25" s="23">
        <v>10034.5</v>
      </c>
      <c r="Y25" s="23">
        <v>11422.2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5848.4</v>
      </c>
      <c r="E26" s="23">
        <v>7412.1</v>
      </c>
      <c r="F26" s="23">
        <v>6709.3</v>
      </c>
      <c r="G26" s="23">
        <v>7527.2</v>
      </c>
      <c r="H26" s="23">
        <v>8109.4</v>
      </c>
      <c r="I26" s="23">
        <v>9428.2000000000007</v>
      </c>
      <c r="J26" s="23">
        <v>9767.2000000000007</v>
      </c>
      <c r="K26" s="23">
        <v>10160.200000000001</v>
      </c>
      <c r="L26" s="23">
        <v>11796.6</v>
      </c>
      <c r="M26" s="23">
        <v>10065.6</v>
      </c>
      <c r="N26" s="23">
        <v>10130.500000000002</v>
      </c>
      <c r="O26" s="23">
        <v>8750.7000000000007</v>
      </c>
      <c r="P26" s="23">
        <v>8426.9</v>
      </c>
      <c r="Q26" s="23">
        <v>9537.2999999999993</v>
      </c>
      <c r="R26" s="23">
        <v>9993.4</v>
      </c>
      <c r="S26" s="23">
        <v>10200.1</v>
      </c>
      <c r="T26" s="23">
        <v>9346.5999999999985</v>
      </c>
      <c r="U26" s="23">
        <v>10098</v>
      </c>
      <c r="V26" s="23">
        <v>10787.1</v>
      </c>
      <c r="W26" s="23">
        <v>11660.8</v>
      </c>
      <c r="X26" s="23">
        <v>6365.2</v>
      </c>
      <c r="Y26" s="23">
        <v>8935.5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4982.1000000000004</v>
      </c>
      <c r="E27" s="23">
        <v>5450.3</v>
      </c>
      <c r="F27" s="23">
        <v>6027.9</v>
      </c>
      <c r="G27" s="23">
        <v>6029.3</v>
      </c>
      <c r="H27" s="23">
        <v>6636.4</v>
      </c>
      <c r="I27" s="23">
        <v>6948.3</v>
      </c>
      <c r="J27" s="23">
        <v>7794.8</v>
      </c>
      <c r="K27" s="23">
        <v>8278.7000000000025</v>
      </c>
      <c r="L27" s="23">
        <v>8061</v>
      </c>
      <c r="M27" s="23">
        <v>8568.1</v>
      </c>
      <c r="N27" s="23">
        <v>6220.1</v>
      </c>
      <c r="O27" s="23">
        <v>5637.5</v>
      </c>
      <c r="P27" s="23">
        <v>5150.3999999999987</v>
      </c>
      <c r="Q27" s="23">
        <v>4873.1000000000013</v>
      </c>
      <c r="R27" s="23">
        <v>4306.3</v>
      </c>
      <c r="S27" s="23">
        <v>4435</v>
      </c>
      <c r="T27" s="23">
        <v>4522.4999999999991</v>
      </c>
      <c r="U27" s="23">
        <v>4826.3</v>
      </c>
      <c r="V27" s="23">
        <v>4780.7</v>
      </c>
      <c r="W27" s="23">
        <v>5023.7</v>
      </c>
      <c r="X27" s="23">
        <v>5501</v>
      </c>
      <c r="Y27" s="23">
        <v>5905.2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5853.2</v>
      </c>
      <c r="E28" s="23">
        <v>5317.8</v>
      </c>
      <c r="F28" s="23">
        <v>5888.9</v>
      </c>
      <c r="G28" s="23">
        <v>6668.6</v>
      </c>
      <c r="H28" s="23">
        <v>8324.7000000000007</v>
      </c>
      <c r="I28" s="23">
        <v>8492.7999999999993</v>
      </c>
      <c r="J28" s="23">
        <v>9074.2000000000007</v>
      </c>
      <c r="K28" s="23">
        <v>9223.5000000000018</v>
      </c>
      <c r="L28" s="23">
        <v>9396.2999999999993</v>
      </c>
      <c r="M28" s="23">
        <v>9774.6</v>
      </c>
      <c r="N28" s="23">
        <v>9336.7000000000007</v>
      </c>
      <c r="O28" s="23">
        <v>8650.7000000000007</v>
      </c>
      <c r="P28" s="23">
        <v>6173.3</v>
      </c>
      <c r="Q28" s="23">
        <v>6946.1</v>
      </c>
      <c r="R28" s="23">
        <v>8060</v>
      </c>
      <c r="S28" s="23">
        <v>7867.1</v>
      </c>
      <c r="T28" s="23">
        <v>8682.2000000000007</v>
      </c>
      <c r="U28" s="23">
        <v>8807.2000000000007</v>
      </c>
      <c r="V28" s="23">
        <v>8255.5</v>
      </c>
      <c r="W28" s="23">
        <v>8124.3</v>
      </c>
      <c r="X28" s="23">
        <v>7857.2</v>
      </c>
      <c r="Y28" s="23">
        <v>7746.5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14103</v>
      </c>
      <c r="E29" s="23">
        <v>14915.4</v>
      </c>
      <c r="F29" s="23">
        <v>16808.900000000001</v>
      </c>
      <c r="G29" s="23">
        <v>17010.5</v>
      </c>
      <c r="H29" s="23">
        <v>17967.400000000001</v>
      </c>
      <c r="I29" s="23">
        <v>20779.5</v>
      </c>
      <c r="J29" s="23">
        <v>20054.3</v>
      </c>
      <c r="K29" s="23">
        <v>24320.6</v>
      </c>
      <c r="L29" s="23">
        <v>28303</v>
      </c>
      <c r="M29" s="23">
        <v>29544.3</v>
      </c>
      <c r="N29" s="23">
        <v>33629.9</v>
      </c>
      <c r="O29" s="23">
        <v>32268.7</v>
      </c>
      <c r="P29" s="23">
        <v>31982.7</v>
      </c>
      <c r="Q29" s="23">
        <v>30275</v>
      </c>
      <c r="R29" s="23">
        <v>29104.3</v>
      </c>
      <c r="S29" s="23">
        <v>28027.9</v>
      </c>
      <c r="T29" s="23">
        <v>26825.9</v>
      </c>
      <c r="U29" s="23">
        <v>26085.9</v>
      </c>
      <c r="V29" s="23">
        <v>25665.599999999999</v>
      </c>
      <c r="W29" s="23">
        <v>26470</v>
      </c>
      <c r="X29" s="23">
        <v>23321.4</v>
      </c>
      <c r="Y29" s="23">
        <v>24628.1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3866.3999999999996</v>
      </c>
      <c r="E30" s="23">
        <v>4136.2999999999993</v>
      </c>
      <c r="F30" s="23">
        <v>5007.7000000000007</v>
      </c>
      <c r="G30" s="23">
        <v>5495.2999999999993</v>
      </c>
      <c r="H30" s="23">
        <v>6240.9000000000015</v>
      </c>
      <c r="I30" s="23">
        <v>6363.8999999999987</v>
      </c>
      <c r="J30" s="23">
        <v>8017.8</v>
      </c>
      <c r="K30" s="23">
        <v>8866.7000000000007</v>
      </c>
      <c r="L30" s="23">
        <v>8111.8</v>
      </c>
      <c r="M30" s="23">
        <v>8298.9999999999982</v>
      </c>
      <c r="N30" s="23">
        <v>7735.4</v>
      </c>
      <c r="O30" s="23">
        <v>6474.1999999999989</v>
      </c>
      <c r="P30" s="23">
        <v>5990.4</v>
      </c>
      <c r="Q30" s="23">
        <v>5947</v>
      </c>
      <c r="R30" s="23">
        <v>5531</v>
      </c>
      <c r="S30" s="23">
        <v>5455.2</v>
      </c>
      <c r="T30" s="23">
        <v>5144.4000000000005</v>
      </c>
      <c r="U30" s="23">
        <v>5214.2</v>
      </c>
      <c r="V30" s="23">
        <v>5300.5999999999985</v>
      </c>
      <c r="W30" s="23">
        <v>5742.5</v>
      </c>
      <c r="X30" s="23">
        <v>5591</v>
      </c>
      <c r="Y30" s="23">
        <v>5740.9000000000015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2278.8000000000002</v>
      </c>
      <c r="E31" s="23">
        <v>2413.4</v>
      </c>
      <c r="F31" s="23">
        <v>2647.8</v>
      </c>
      <c r="G31" s="23">
        <v>3367</v>
      </c>
      <c r="H31" s="23">
        <v>3701.3</v>
      </c>
      <c r="I31" s="23">
        <v>3820.9</v>
      </c>
      <c r="J31" s="23">
        <v>4041.4</v>
      </c>
      <c r="K31" s="23">
        <v>4474.3999999999996</v>
      </c>
      <c r="L31" s="23">
        <v>5537.3</v>
      </c>
      <c r="M31" s="23">
        <v>5164.1000000000004</v>
      </c>
      <c r="N31" s="23">
        <v>3295.2</v>
      </c>
      <c r="O31" s="23">
        <v>2980.1</v>
      </c>
      <c r="P31" s="23">
        <v>2738.9</v>
      </c>
      <c r="Q31" s="23">
        <v>2217.4999999999995</v>
      </c>
      <c r="R31" s="23">
        <v>2459.6999999999998</v>
      </c>
      <c r="S31" s="23">
        <v>2223</v>
      </c>
      <c r="T31" s="23">
        <v>2269.4</v>
      </c>
      <c r="U31" s="23">
        <v>2461.9</v>
      </c>
      <c r="V31" s="23">
        <v>2630.3</v>
      </c>
      <c r="W31" s="23">
        <v>2945</v>
      </c>
      <c r="X31" s="23">
        <v>2172.1000000000004</v>
      </c>
      <c r="Y31" s="23">
        <v>2742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10308.900000000001</v>
      </c>
      <c r="E32" s="23">
        <v>10941.1</v>
      </c>
      <c r="F32" s="23">
        <v>11686.5</v>
      </c>
      <c r="G32" s="23">
        <v>12887</v>
      </c>
      <c r="H32" s="23">
        <v>14655.1</v>
      </c>
      <c r="I32" s="23">
        <v>14962.099999999999</v>
      </c>
      <c r="J32" s="23">
        <v>16341.400000000001</v>
      </c>
      <c r="K32" s="23">
        <v>17605.3</v>
      </c>
      <c r="L32" s="23">
        <v>19156.3</v>
      </c>
      <c r="M32" s="23">
        <v>21821.200000000001</v>
      </c>
      <c r="N32" s="23">
        <v>20018.400000000009</v>
      </c>
      <c r="O32" s="23">
        <v>18501.3</v>
      </c>
      <c r="P32" s="23">
        <v>17770.499999999996</v>
      </c>
      <c r="Q32" s="23">
        <v>16134.499999999998</v>
      </c>
      <c r="R32" s="23">
        <v>16365</v>
      </c>
      <c r="S32" s="23">
        <v>16324.8</v>
      </c>
      <c r="T32" s="23">
        <v>16056.399999999998</v>
      </c>
      <c r="U32" s="23">
        <v>16052.700000000003</v>
      </c>
      <c r="V32" s="23">
        <v>16035.399999999996</v>
      </c>
      <c r="W32" s="23">
        <v>15901.8</v>
      </c>
      <c r="X32" s="23">
        <v>15861</v>
      </c>
      <c r="Y32" s="23">
        <v>16055.899999999998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5774.3</v>
      </c>
      <c r="E33" s="23">
        <v>6169.9</v>
      </c>
      <c r="F33" s="23">
        <v>7675.8</v>
      </c>
      <c r="G33" s="23">
        <v>8148</v>
      </c>
      <c r="H33" s="23">
        <v>9521.4</v>
      </c>
      <c r="I33" s="23">
        <v>9927.4000000000015</v>
      </c>
      <c r="J33" s="23">
        <v>10095.500000000002</v>
      </c>
      <c r="K33" s="23">
        <v>10813.4</v>
      </c>
      <c r="L33" s="23">
        <v>11971.1</v>
      </c>
      <c r="M33" s="23">
        <v>12361.9</v>
      </c>
      <c r="N33" s="23">
        <v>11382.4</v>
      </c>
      <c r="O33" s="23">
        <v>10946.3</v>
      </c>
      <c r="P33" s="23">
        <v>10072.6</v>
      </c>
      <c r="Q33" s="23">
        <v>9432.9000000000015</v>
      </c>
      <c r="R33" s="23">
        <v>8987.7999999999993</v>
      </c>
      <c r="S33" s="23">
        <v>8634.2000000000007</v>
      </c>
      <c r="T33" s="23">
        <v>8554</v>
      </c>
      <c r="U33" s="23">
        <v>8481</v>
      </c>
      <c r="V33" s="23">
        <v>8591.2000000000025</v>
      </c>
      <c r="W33" s="23">
        <v>8580.5999999999985</v>
      </c>
      <c r="X33" s="23">
        <v>8496</v>
      </c>
      <c r="Y33" s="23">
        <v>8335.9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5772.5</v>
      </c>
      <c r="E34" s="23">
        <v>7308.5</v>
      </c>
      <c r="F34" s="23">
        <v>7653.1</v>
      </c>
      <c r="G34" s="23">
        <v>7987.7</v>
      </c>
      <c r="H34" s="23">
        <v>8748.1</v>
      </c>
      <c r="I34" s="23">
        <v>9900.7000000000007</v>
      </c>
      <c r="J34" s="23">
        <v>11219.4</v>
      </c>
      <c r="K34" s="23">
        <v>11941.4</v>
      </c>
      <c r="L34" s="23">
        <v>12840.8</v>
      </c>
      <c r="M34" s="23">
        <v>12532.5</v>
      </c>
      <c r="N34" s="23">
        <v>10593.6</v>
      </c>
      <c r="O34" s="23">
        <v>8669.6</v>
      </c>
      <c r="P34" s="23">
        <v>7620</v>
      </c>
      <c r="Q34" s="23">
        <v>6922.9</v>
      </c>
      <c r="R34" s="23">
        <v>6429.5</v>
      </c>
      <c r="S34" s="23">
        <v>6947.7</v>
      </c>
      <c r="T34" s="23">
        <v>6560.7</v>
      </c>
      <c r="U34" s="23">
        <v>6489.3</v>
      </c>
      <c r="V34" s="23">
        <v>6690.9</v>
      </c>
      <c r="W34" s="23">
        <v>7031.2</v>
      </c>
      <c r="X34" s="23">
        <v>7009.8</v>
      </c>
      <c r="Y34" s="23">
        <v>7940.8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1537.7000000000003</v>
      </c>
      <c r="E35" s="23">
        <v>1899.6</v>
      </c>
      <c r="F35" s="23">
        <v>2323.8000000000002</v>
      </c>
      <c r="G35" s="23">
        <v>2205.8000000000002</v>
      </c>
      <c r="H35" s="23">
        <v>2541.8000000000006</v>
      </c>
      <c r="I35" s="23">
        <v>2697.4</v>
      </c>
      <c r="J35" s="23">
        <v>2850.7000000000025</v>
      </c>
      <c r="K35" s="23">
        <v>3369.3999999999996</v>
      </c>
      <c r="L35" s="23">
        <v>3071.7999999999988</v>
      </c>
      <c r="M35" s="23">
        <v>3636.2000000000012</v>
      </c>
      <c r="N35" s="23">
        <v>2431.6999999999998</v>
      </c>
      <c r="O35" s="23">
        <v>2408.1000000000004</v>
      </c>
      <c r="P35" s="23">
        <v>2234.9999999999995</v>
      </c>
      <c r="Q35" s="23">
        <v>2218.6999999999998</v>
      </c>
      <c r="R35" s="23">
        <v>2197.3000000000006</v>
      </c>
      <c r="S35" s="23">
        <v>2225.3999999999996</v>
      </c>
      <c r="T35" s="23">
        <v>2146.9000000000005</v>
      </c>
      <c r="U35" s="23">
        <v>2325.3999999999983</v>
      </c>
      <c r="V35" s="23">
        <v>2592.9999999999995</v>
      </c>
      <c r="W35" s="23">
        <v>2604.3000000000002</v>
      </c>
      <c r="X35" s="23">
        <v>1827.4999999999991</v>
      </c>
      <c r="Y35" s="23">
        <v>2087.9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2753</v>
      </c>
      <c r="E36" s="23">
        <v>2771</v>
      </c>
      <c r="F36" s="23">
        <v>2832.4</v>
      </c>
      <c r="G36" s="23">
        <v>2873.1</v>
      </c>
      <c r="H36" s="23">
        <v>3198</v>
      </c>
      <c r="I36" s="23">
        <v>3600.7</v>
      </c>
      <c r="J36" s="23">
        <v>4267.3</v>
      </c>
      <c r="K36" s="23">
        <v>4138.6000000000013</v>
      </c>
      <c r="L36" s="23">
        <v>4433.6000000000013</v>
      </c>
      <c r="M36" s="23">
        <v>4810.3</v>
      </c>
      <c r="N36" s="23">
        <v>2345.4</v>
      </c>
      <c r="O36" s="23">
        <v>2025.8</v>
      </c>
      <c r="P36" s="23">
        <v>2116.9</v>
      </c>
      <c r="Q36" s="23">
        <v>2180.8000000000002</v>
      </c>
      <c r="R36" s="23">
        <v>2202.1999999999998</v>
      </c>
      <c r="S36" s="23">
        <v>2064.9</v>
      </c>
      <c r="T36" s="23">
        <v>2071</v>
      </c>
      <c r="U36" s="23">
        <v>2077.3000000000006</v>
      </c>
      <c r="V36" s="23">
        <v>2194.1000000000004</v>
      </c>
      <c r="W36" s="23">
        <v>2373.4999999999995</v>
      </c>
      <c r="X36" s="23">
        <v>2048.1</v>
      </c>
      <c r="Y36" s="23">
        <v>2302.9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700</v>
      </c>
      <c r="E37" s="23">
        <v>758.4</v>
      </c>
      <c r="F37" s="23">
        <v>875.2</v>
      </c>
      <c r="G37" s="23">
        <v>967.59999999999991</v>
      </c>
      <c r="H37" s="23">
        <v>1081.5</v>
      </c>
      <c r="I37" s="23">
        <v>1189.3</v>
      </c>
      <c r="J37" s="23">
        <v>1218.2</v>
      </c>
      <c r="K37" s="23">
        <v>1269.7</v>
      </c>
      <c r="L37" s="23">
        <v>1330</v>
      </c>
      <c r="M37" s="23">
        <v>1421.7</v>
      </c>
      <c r="N37" s="23">
        <v>1301.4000000000001</v>
      </c>
      <c r="O37" s="23">
        <v>1019.1</v>
      </c>
      <c r="P37" s="23">
        <v>975.2</v>
      </c>
      <c r="Q37" s="23">
        <v>786.3</v>
      </c>
      <c r="R37" s="23">
        <v>637.1</v>
      </c>
      <c r="S37" s="23">
        <v>592.6</v>
      </c>
      <c r="T37" s="23">
        <v>558.70000000000005</v>
      </c>
      <c r="U37" s="23">
        <v>549.20000000000005</v>
      </c>
      <c r="V37" s="23">
        <v>608.1</v>
      </c>
      <c r="W37" s="23">
        <v>712.8</v>
      </c>
      <c r="X37" s="23">
        <v>673.8</v>
      </c>
      <c r="Y37" s="23">
        <v>796.9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127725.69999999998</v>
      </c>
      <c r="E39" s="30">
        <f t="shared" ref="E39:S39" si="2">SUM(E18:E38)</f>
        <v>135470.29999999999</v>
      </c>
      <c r="F39" s="30">
        <f t="shared" si="2"/>
        <v>145797.4</v>
      </c>
      <c r="G39" s="30">
        <f t="shared" si="2"/>
        <v>160513.40000000002</v>
      </c>
      <c r="H39" s="30">
        <f t="shared" si="2"/>
        <v>174772.99999999994</v>
      </c>
      <c r="I39" s="30">
        <f t="shared" si="2"/>
        <v>178820.5</v>
      </c>
      <c r="J39" s="30">
        <f t="shared" si="2"/>
        <v>193047.09999999998</v>
      </c>
      <c r="K39" s="30">
        <f t="shared" si="2"/>
        <v>205266.99999999997</v>
      </c>
      <c r="L39" s="30">
        <f t="shared" si="2"/>
        <v>213818.89999999997</v>
      </c>
      <c r="M39" s="30">
        <f t="shared" si="2"/>
        <v>212390.90000000005</v>
      </c>
      <c r="N39" s="30">
        <f t="shared" si="2"/>
        <v>197729.2</v>
      </c>
      <c r="O39" s="30">
        <f t="shared" si="2"/>
        <v>178180.5</v>
      </c>
      <c r="P39" s="30">
        <f t="shared" si="2"/>
        <v>166150.70000000004</v>
      </c>
      <c r="Q39" s="30">
        <f t="shared" si="2"/>
        <v>159466.79999999999</v>
      </c>
      <c r="R39" s="30">
        <f t="shared" si="2"/>
        <v>156492.49999999997</v>
      </c>
      <c r="S39" s="30">
        <f t="shared" si="2"/>
        <v>155835.60000000003</v>
      </c>
      <c r="T39" s="30">
        <f t="shared" ref="T39:Y39" si="3">SUM(T18:T38)</f>
        <v>152196.6</v>
      </c>
      <c r="U39" s="30">
        <f t="shared" si="3"/>
        <v>154344.19999999998</v>
      </c>
      <c r="V39" s="30">
        <f t="shared" si="3"/>
        <v>155610.90000000005</v>
      </c>
      <c r="W39" s="30">
        <f t="shared" si="3"/>
        <v>158898.79999999999</v>
      </c>
      <c r="X39" s="30">
        <f t="shared" si="3"/>
        <v>144712.5</v>
      </c>
      <c r="Y39" s="30">
        <f t="shared" si="3"/>
        <v>158159.79999999993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2953.3</v>
      </c>
      <c r="E41" s="19">
        <v>3525.9999999999995</v>
      </c>
      <c r="F41" s="19">
        <v>4036.4</v>
      </c>
      <c r="G41" s="19">
        <v>4061</v>
      </c>
      <c r="H41" s="19">
        <v>4236.2000000000007</v>
      </c>
      <c r="I41" s="19">
        <v>3950.8</v>
      </c>
      <c r="J41" s="19">
        <v>3947.9</v>
      </c>
      <c r="K41" s="19">
        <v>4526.2</v>
      </c>
      <c r="L41" s="19">
        <v>4796.8</v>
      </c>
      <c r="M41" s="19">
        <v>4710.7000000000007</v>
      </c>
      <c r="N41" s="19">
        <v>5169.8</v>
      </c>
      <c r="O41" s="19">
        <v>5141.2</v>
      </c>
      <c r="P41" s="19">
        <v>5181.5</v>
      </c>
      <c r="Q41" s="19">
        <v>4829.8999999999996</v>
      </c>
      <c r="R41" s="19">
        <v>4812.8999999999996</v>
      </c>
      <c r="S41" s="19">
        <v>4926.8</v>
      </c>
      <c r="T41" s="19">
        <v>5127.7</v>
      </c>
      <c r="U41" s="19">
        <v>5085.2</v>
      </c>
      <c r="V41" s="19">
        <v>5138.6000000000013</v>
      </c>
      <c r="W41" s="19">
        <v>5028.5</v>
      </c>
      <c r="X41" s="19">
        <v>5439.3</v>
      </c>
      <c r="Y41" s="19">
        <v>5827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1563.4</v>
      </c>
      <c r="E42" s="23">
        <v>1433.1</v>
      </c>
      <c r="F42" s="23">
        <v>1631.3</v>
      </c>
      <c r="G42" s="23">
        <v>1699.3</v>
      </c>
      <c r="H42" s="23">
        <v>1763.5</v>
      </c>
      <c r="I42" s="23">
        <v>1438.4</v>
      </c>
      <c r="J42" s="23">
        <v>1274.4000000000001</v>
      </c>
      <c r="K42" s="23">
        <v>1424.2</v>
      </c>
      <c r="L42" s="23">
        <v>1396.9</v>
      </c>
      <c r="M42" s="23">
        <v>1143.0999999999997</v>
      </c>
      <c r="N42" s="23">
        <v>912.7</v>
      </c>
      <c r="O42" s="23">
        <v>775.5</v>
      </c>
      <c r="P42" s="23">
        <v>686.2</v>
      </c>
      <c r="Q42" s="23">
        <v>628.09999999999991</v>
      </c>
      <c r="R42" s="23">
        <v>562.9</v>
      </c>
      <c r="S42" s="23">
        <v>569</v>
      </c>
      <c r="T42" s="23">
        <v>527.4</v>
      </c>
      <c r="U42" s="23">
        <v>529.9</v>
      </c>
      <c r="V42" s="23">
        <v>519</v>
      </c>
      <c r="W42" s="23">
        <v>472</v>
      </c>
      <c r="X42" s="23">
        <v>376.9</v>
      </c>
      <c r="Y42" s="23">
        <v>432.1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1340.4</v>
      </c>
      <c r="E43" s="23">
        <v>1580.1</v>
      </c>
      <c r="F43" s="23">
        <v>1778.8000000000002</v>
      </c>
      <c r="G43" s="23">
        <v>1748.7</v>
      </c>
      <c r="H43" s="23">
        <v>1861.4</v>
      </c>
      <c r="I43" s="23">
        <v>1849.1</v>
      </c>
      <c r="J43" s="23">
        <v>2127.6999999999998</v>
      </c>
      <c r="K43" s="23">
        <v>2218.1999999999998</v>
      </c>
      <c r="L43" s="23">
        <v>1684.2</v>
      </c>
      <c r="M43" s="23">
        <v>1475.2</v>
      </c>
      <c r="N43" s="23">
        <v>1196.8000000000002</v>
      </c>
      <c r="O43" s="23">
        <v>981.2</v>
      </c>
      <c r="P43" s="23">
        <v>823.3</v>
      </c>
      <c r="Q43" s="23">
        <v>729.3</v>
      </c>
      <c r="R43" s="23">
        <v>789.3</v>
      </c>
      <c r="S43" s="23">
        <v>743.2</v>
      </c>
      <c r="T43" s="23">
        <v>731.3</v>
      </c>
      <c r="U43" s="23">
        <v>743.7</v>
      </c>
      <c r="V43" s="23">
        <v>765.7</v>
      </c>
      <c r="W43" s="23">
        <v>761.4</v>
      </c>
      <c r="X43" s="23">
        <v>788.6</v>
      </c>
      <c r="Y43" s="23">
        <v>808.3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1029.4000000000001</v>
      </c>
      <c r="E44" s="23">
        <v>827.1</v>
      </c>
      <c r="F44" s="23">
        <v>891.99999999999989</v>
      </c>
      <c r="G44" s="23">
        <v>389.9</v>
      </c>
      <c r="H44" s="23">
        <v>499.7</v>
      </c>
      <c r="I44" s="23">
        <v>427.7</v>
      </c>
      <c r="J44" s="23">
        <v>780.2</v>
      </c>
      <c r="K44" s="23">
        <v>1102.5999999999999</v>
      </c>
      <c r="L44" s="23">
        <v>1782.7</v>
      </c>
      <c r="M44" s="23">
        <v>1367.9</v>
      </c>
      <c r="N44" s="23">
        <v>849.9</v>
      </c>
      <c r="O44" s="23">
        <v>1090.4999999999998</v>
      </c>
      <c r="P44" s="23">
        <v>1079.4000000000001</v>
      </c>
      <c r="Q44" s="23">
        <v>606.5</v>
      </c>
      <c r="R44" s="23">
        <v>703</v>
      </c>
      <c r="S44" s="23">
        <v>1157.7</v>
      </c>
      <c r="T44" s="23">
        <v>995.2</v>
      </c>
      <c r="U44" s="23">
        <v>1055.9000000000001</v>
      </c>
      <c r="V44" s="23">
        <v>966.9</v>
      </c>
      <c r="W44" s="23">
        <v>516.9</v>
      </c>
      <c r="X44" s="23">
        <v>379</v>
      </c>
      <c r="Y44" s="23">
        <v>752.7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462</v>
      </c>
      <c r="E45" s="23">
        <v>534.29999999999984</v>
      </c>
      <c r="F45" s="23">
        <v>502.5</v>
      </c>
      <c r="G45" s="23">
        <v>603.29999999999995</v>
      </c>
      <c r="H45" s="23">
        <v>585.5</v>
      </c>
      <c r="I45" s="23">
        <v>596</v>
      </c>
      <c r="J45" s="23">
        <v>702.5</v>
      </c>
      <c r="K45" s="23">
        <v>680.9</v>
      </c>
      <c r="L45" s="23">
        <v>723.4</v>
      </c>
      <c r="M45" s="23">
        <v>617.40000000000009</v>
      </c>
      <c r="N45" s="23">
        <v>771.3</v>
      </c>
      <c r="O45" s="23">
        <v>732.5</v>
      </c>
      <c r="P45" s="23">
        <v>616.6</v>
      </c>
      <c r="Q45" s="23">
        <v>694</v>
      </c>
      <c r="R45" s="23">
        <v>729.3</v>
      </c>
      <c r="S45" s="23">
        <v>861.5</v>
      </c>
      <c r="T45" s="23">
        <v>837.1</v>
      </c>
      <c r="U45" s="23">
        <v>874.8</v>
      </c>
      <c r="V45" s="23">
        <v>851.7</v>
      </c>
      <c r="W45" s="23">
        <v>869.9</v>
      </c>
      <c r="X45" s="23">
        <v>951.3</v>
      </c>
      <c r="Y45" s="23">
        <v>959.6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500.20000000000005</v>
      </c>
      <c r="E46" s="23">
        <v>741.4</v>
      </c>
      <c r="F46" s="23">
        <v>701.9</v>
      </c>
      <c r="G46" s="23">
        <v>754.4</v>
      </c>
      <c r="H46" s="23">
        <v>671.1</v>
      </c>
      <c r="I46" s="23">
        <v>782.7</v>
      </c>
      <c r="J46" s="23">
        <v>738.9</v>
      </c>
      <c r="K46" s="23">
        <v>665.2</v>
      </c>
      <c r="L46" s="23">
        <v>579.79999999999995</v>
      </c>
      <c r="M46" s="23">
        <v>613.00000000000011</v>
      </c>
      <c r="N46" s="23">
        <v>1019.7</v>
      </c>
      <c r="O46" s="23">
        <v>812.5</v>
      </c>
      <c r="P46" s="23">
        <v>780.6</v>
      </c>
      <c r="Q46" s="23">
        <v>938.7</v>
      </c>
      <c r="R46" s="23">
        <v>766.7</v>
      </c>
      <c r="S46" s="23">
        <v>770.9</v>
      </c>
      <c r="T46" s="23">
        <v>731.2</v>
      </c>
      <c r="U46" s="23">
        <v>711.6</v>
      </c>
      <c r="V46" s="23">
        <v>750.8</v>
      </c>
      <c r="W46" s="23">
        <v>830.4</v>
      </c>
      <c r="X46" s="23">
        <v>906.4</v>
      </c>
      <c r="Y46" s="23">
        <v>982.8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1545.8</v>
      </c>
      <c r="E47" s="23">
        <v>1835.8000000000002</v>
      </c>
      <c r="F47" s="23">
        <v>1904.5</v>
      </c>
      <c r="G47" s="23">
        <v>2133</v>
      </c>
      <c r="H47" s="23">
        <v>1947.6</v>
      </c>
      <c r="I47" s="23">
        <v>1825.5</v>
      </c>
      <c r="J47" s="23">
        <v>2125.4</v>
      </c>
      <c r="K47" s="23">
        <v>2223.1</v>
      </c>
      <c r="L47" s="23">
        <v>2321</v>
      </c>
      <c r="M47" s="23">
        <v>2078.9</v>
      </c>
      <c r="N47" s="23">
        <v>1983.3</v>
      </c>
      <c r="O47" s="23">
        <v>1489.1</v>
      </c>
      <c r="P47" s="23">
        <v>1269.1999999999998</v>
      </c>
      <c r="Q47" s="23">
        <v>1226.3</v>
      </c>
      <c r="R47" s="23">
        <v>1308.8</v>
      </c>
      <c r="S47" s="23">
        <v>1354.7</v>
      </c>
      <c r="T47" s="23">
        <v>1326.9</v>
      </c>
      <c r="U47" s="23">
        <v>1362.5</v>
      </c>
      <c r="V47" s="23">
        <v>1379</v>
      </c>
      <c r="W47" s="23">
        <v>1394.7</v>
      </c>
      <c r="X47" s="23">
        <v>1339.2</v>
      </c>
      <c r="Y47" s="23">
        <v>1454.9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1894.1</v>
      </c>
      <c r="E48" s="23">
        <v>2053.1999999999994</v>
      </c>
      <c r="F48" s="23">
        <v>2134.1999999999998</v>
      </c>
      <c r="G48" s="23">
        <v>2346.5</v>
      </c>
      <c r="H48" s="23">
        <v>2565.3000000000002</v>
      </c>
      <c r="I48" s="23">
        <v>3160.8</v>
      </c>
      <c r="J48" s="23">
        <v>3327.9</v>
      </c>
      <c r="K48" s="23">
        <v>3598</v>
      </c>
      <c r="L48" s="23">
        <v>3614.5</v>
      </c>
      <c r="M48" s="23">
        <v>2849.5</v>
      </c>
      <c r="N48" s="23">
        <v>2969</v>
      </c>
      <c r="O48" s="23">
        <v>2779.7</v>
      </c>
      <c r="P48" s="23">
        <v>2146.3000000000002</v>
      </c>
      <c r="Q48" s="23">
        <v>1969.6</v>
      </c>
      <c r="R48" s="23">
        <v>1919.8</v>
      </c>
      <c r="S48" s="23">
        <v>1977.8</v>
      </c>
      <c r="T48" s="23">
        <v>1822.5</v>
      </c>
      <c r="U48" s="23">
        <v>1909.5</v>
      </c>
      <c r="V48" s="23">
        <v>2187.9999999999995</v>
      </c>
      <c r="W48" s="23">
        <v>2209.1999999999998</v>
      </c>
      <c r="X48" s="23">
        <v>2067.1999999999998</v>
      </c>
      <c r="Y48" s="23">
        <v>2434.9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447</v>
      </c>
      <c r="E49" s="23">
        <v>566.79999999999984</v>
      </c>
      <c r="F49" s="23">
        <v>470.4</v>
      </c>
      <c r="G49" s="23">
        <v>452.5</v>
      </c>
      <c r="H49" s="23">
        <v>256.3</v>
      </c>
      <c r="I49" s="23">
        <v>359.9</v>
      </c>
      <c r="J49" s="23">
        <v>286.89999999999998</v>
      </c>
      <c r="K49" s="23">
        <v>302.5</v>
      </c>
      <c r="L49" s="23">
        <v>291</v>
      </c>
      <c r="M49" s="23">
        <v>228.9</v>
      </c>
      <c r="N49" s="23">
        <v>245.5</v>
      </c>
      <c r="O49" s="23">
        <v>175.9</v>
      </c>
      <c r="P49" s="23">
        <v>212.7</v>
      </c>
      <c r="Q49" s="23">
        <v>186</v>
      </c>
      <c r="R49" s="23">
        <v>197.5</v>
      </c>
      <c r="S49" s="23">
        <v>201.5</v>
      </c>
      <c r="T49" s="23">
        <v>220.8</v>
      </c>
      <c r="U49" s="23">
        <v>223.3</v>
      </c>
      <c r="V49" s="23">
        <v>247.6</v>
      </c>
      <c r="W49" s="23">
        <v>232.9</v>
      </c>
      <c r="X49" s="23">
        <v>218.2</v>
      </c>
      <c r="Y49" s="23">
        <v>226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363.9</v>
      </c>
      <c r="E50" s="23">
        <v>409.1</v>
      </c>
      <c r="F50" s="23">
        <v>372</v>
      </c>
      <c r="G50" s="23">
        <v>439.9</v>
      </c>
      <c r="H50" s="23">
        <v>567</v>
      </c>
      <c r="I50" s="23">
        <v>536.20000000000005</v>
      </c>
      <c r="J50" s="23">
        <v>671.7</v>
      </c>
      <c r="K50" s="23">
        <v>702.7</v>
      </c>
      <c r="L50" s="23">
        <v>714.9</v>
      </c>
      <c r="M50" s="23">
        <v>515.1</v>
      </c>
      <c r="N50" s="23">
        <v>510.2</v>
      </c>
      <c r="O50" s="23">
        <v>479.6</v>
      </c>
      <c r="P50" s="23">
        <v>456.2</v>
      </c>
      <c r="Q50" s="23">
        <v>360.1</v>
      </c>
      <c r="R50" s="23">
        <v>326.39999999999998</v>
      </c>
      <c r="S50" s="23">
        <v>372.7</v>
      </c>
      <c r="T50" s="23">
        <v>302.8</v>
      </c>
      <c r="U50" s="23">
        <v>374.7</v>
      </c>
      <c r="V50" s="23">
        <v>384.1</v>
      </c>
      <c r="W50" s="23">
        <v>449.4</v>
      </c>
      <c r="X50" s="23">
        <v>465.6</v>
      </c>
      <c r="Y50" s="23">
        <v>564.79999999999995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380.4</v>
      </c>
      <c r="E51" s="23">
        <v>404.8</v>
      </c>
      <c r="F51" s="23">
        <v>397.9</v>
      </c>
      <c r="G51" s="23">
        <v>433.9</v>
      </c>
      <c r="H51" s="23">
        <v>463.5</v>
      </c>
      <c r="I51" s="23">
        <v>538.5</v>
      </c>
      <c r="J51" s="23">
        <v>563.70000000000005</v>
      </c>
      <c r="K51" s="23">
        <v>560.6</v>
      </c>
      <c r="L51" s="23">
        <v>709.2</v>
      </c>
      <c r="M51" s="23">
        <v>611.4</v>
      </c>
      <c r="N51" s="23">
        <v>502.6</v>
      </c>
      <c r="O51" s="23">
        <v>414.4</v>
      </c>
      <c r="P51" s="23">
        <v>370.9</v>
      </c>
      <c r="Q51" s="23">
        <v>336.4</v>
      </c>
      <c r="R51" s="23">
        <v>347.9</v>
      </c>
      <c r="S51" s="23">
        <v>340.7</v>
      </c>
      <c r="T51" s="23">
        <v>322.39999999999998</v>
      </c>
      <c r="U51" s="23">
        <v>349.7</v>
      </c>
      <c r="V51" s="23">
        <v>351.2</v>
      </c>
      <c r="W51" s="23">
        <v>358.5</v>
      </c>
      <c r="X51" s="23">
        <v>335.6</v>
      </c>
      <c r="Y51" s="23">
        <v>367.2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391.6</v>
      </c>
      <c r="E52" s="23">
        <v>392.7</v>
      </c>
      <c r="F52" s="23">
        <v>447.9</v>
      </c>
      <c r="G52" s="23">
        <v>553.70000000000005</v>
      </c>
      <c r="H52" s="23">
        <v>578.1</v>
      </c>
      <c r="I52" s="23">
        <v>587.20000000000005</v>
      </c>
      <c r="J52" s="23">
        <v>661.3</v>
      </c>
      <c r="K52" s="23">
        <v>661.2</v>
      </c>
      <c r="L52" s="23">
        <v>581.6</v>
      </c>
      <c r="M52" s="23">
        <v>628.5</v>
      </c>
      <c r="N52" s="23">
        <v>315.8</v>
      </c>
      <c r="O52" s="23">
        <v>394.6</v>
      </c>
      <c r="P52" s="23">
        <v>156.80000000000001</v>
      </c>
      <c r="Q52" s="23">
        <v>319.49999999999994</v>
      </c>
      <c r="R52" s="23">
        <v>234.1</v>
      </c>
      <c r="S52" s="23">
        <v>396.3</v>
      </c>
      <c r="T52" s="23">
        <v>335.4</v>
      </c>
      <c r="U52" s="23">
        <v>394.1</v>
      </c>
      <c r="V52" s="23">
        <v>446.9</v>
      </c>
      <c r="W52" s="23">
        <v>448.6</v>
      </c>
      <c r="X52" s="23">
        <v>359.8</v>
      </c>
      <c r="Y52" s="23">
        <v>408.3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700.59999999999741</v>
      </c>
      <c r="E53" s="23">
        <v>822.29999999999893</v>
      </c>
      <c r="F53" s="23">
        <v>808.00000000000762</v>
      </c>
      <c r="G53" s="23">
        <v>762.19999999997731</v>
      </c>
      <c r="H53" s="23">
        <v>947.39999999999725</v>
      </c>
      <c r="I53" s="23">
        <v>1055.2000000000078</v>
      </c>
      <c r="J53" s="23">
        <v>1218.6999999999932</v>
      </c>
      <c r="K53" s="23">
        <v>1029.8000000000122</v>
      </c>
      <c r="L53" s="23">
        <v>1382.4000000000278</v>
      </c>
      <c r="M53" s="23">
        <v>1306.9000000000185</v>
      </c>
      <c r="N53" s="23">
        <v>1155.099999999991</v>
      </c>
      <c r="O53" s="23">
        <v>939.20000000001301</v>
      </c>
      <c r="P53" s="23">
        <v>900.80000000004725</v>
      </c>
      <c r="Q53" s="23">
        <v>872.29999999999404</v>
      </c>
      <c r="R53" s="23">
        <v>830.89999999999623</v>
      </c>
      <c r="S53" s="23">
        <v>955.80000000001746</v>
      </c>
      <c r="T53" s="23">
        <v>853.10000000000173</v>
      </c>
      <c r="U53" s="23">
        <v>728.50000000002501</v>
      </c>
      <c r="V53" s="23">
        <v>684.70000000000596</v>
      </c>
      <c r="W53" s="23">
        <v>752.59999999999559</v>
      </c>
      <c r="X53" s="23">
        <v>485.50000000002268</v>
      </c>
      <c r="Y53" s="23">
        <v>553.1999999999839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13572.099999999997</v>
      </c>
      <c r="E54" s="30">
        <f t="shared" ref="E54:S54" si="4">SUM(E41:E53)</f>
        <v>15126.699999999997</v>
      </c>
      <c r="F54" s="30">
        <f t="shared" si="4"/>
        <v>16077.800000000005</v>
      </c>
      <c r="G54" s="30">
        <f t="shared" si="4"/>
        <v>16378.299999999976</v>
      </c>
      <c r="H54" s="30">
        <f t="shared" si="4"/>
        <v>16942.599999999999</v>
      </c>
      <c r="I54" s="30">
        <f t="shared" si="4"/>
        <v>17108.000000000007</v>
      </c>
      <c r="J54" s="30">
        <f t="shared" si="4"/>
        <v>18427.199999999993</v>
      </c>
      <c r="K54" s="30">
        <f t="shared" si="4"/>
        <v>19695.200000000015</v>
      </c>
      <c r="L54" s="30">
        <f t="shared" si="4"/>
        <v>20578.400000000027</v>
      </c>
      <c r="M54" s="30">
        <f t="shared" si="4"/>
        <v>18146.500000000018</v>
      </c>
      <c r="N54" s="30">
        <f t="shared" si="4"/>
        <v>17601.699999999993</v>
      </c>
      <c r="O54" s="30">
        <f t="shared" si="4"/>
        <v>16205.900000000014</v>
      </c>
      <c r="P54" s="30">
        <f t="shared" si="4"/>
        <v>14680.500000000045</v>
      </c>
      <c r="Q54" s="30">
        <f t="shared" si="4"/>
        <v>13696.699999999993</v>
      </c>
      <c r="R54" s="30">
        <f t="shared" si="4"/>
        <v>13529.499999999995</v>
      </c>
      <c r="S54" s="30">
        <f t="shared" si="4"/>
        <v>14628.600000000019</v>
      </c>
      <c r="T54" s="30">
        <f t="shared" ref="T54:Y54" si="5">SUM(T41:T53)</f>
        <v>14133.8</v>
      </c>
      <c r="U54" s="30">
        <f t="shared" si="5"/>
        <v>14343.400000000025</v>
      </c>
      <c r="V54" s="30">
        <f t="shared" si="5"/>
        <v>14674.200000000008</v>
      </c>
      <c r="W54" s="30">
        <f t="shared" si="5"/>
        <v>14324.999999999995</v>
      </c>
      <c r="X54" s="30">
        <f t="shared" si="5"/>
        <v>14112.600000000024</v>
      </c>
      <c r="Y54" s="30">
        <f t="shared" si="5"/>
        <v>15771.799999999983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2953.3</v>
      </c>
      <c r="E56" s="19">
        <v>3525.9999999999995</v>
      </c>
      <c r="F56" s="19">
        <v>4036.4</v>
      </c>
      <c r="G56" s="19">
        <v>4061</v>
      </c>
      <c r="H56" s="19">
        <v>4236.2000000000007</v>
      </c>
      <c r="I56" s="19">
        <v>3950.8</v>
      </c>
      <c r="J56" s="19">
        <v>3947.9</v>
      </c>
      <c r="K56" s="19">
        <v>4526.2</v>
      </c>
      <c r="L56" s="19">
        <v>4796.8</v>
      </c>
      <c r="M56" s="19">
        <v>4710.7000000000007</v>
      </c>
      <c r="N56" s="19">
        <v>5169.8</v>
      </c>
      <c r="O56" s="19">
        <v>5141.2</v>
      </c>
      <c r="P56" s="19">
        <v>5181.5</v>
      </c>
      <c r="Q56" s="19">
        <v>4829.8999999999996</v>
      </c>
      <c r="R56" s="19">
        <v>4812.8999999999996</v>
      </c>
      <c r="S56" s="19">
        <v>4926.8</v>
      </c>
      <c r="T56" s="19">
        <v>5127.7</v>
      </c>
      <c r="U56" s="19">
        <v>5085.2</v>
      </c>
      <c r="V56" s="19">
        <v>5138.6000000000013</v>
      </c>
      <c r="W56" s="19">
        <v>5028.5</v>
      </c>
      <c r="X56" s="19">
        <v>5439.3</v>
      </c>
      <c r="Y56" s="19">
        <v>5827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1563.4</v>
      </c>
      <c r="E57" s="23">
        <v>1433.1</v>
      </c>
      <c r="F57" s="23">
        <v>1631.3</v>
      </c>
      <c r="G57" s="23">
        <v>1699.3</v>
      </c>
      <c r="H57" s="23">
        <v>1763.5</v>
      </c>
      <c r="I57" s="23">
        <v>1438.4</v>
      </c>
      <c r="J57" s="23">
        <v>1274.4000000000001</v>
      </c>
      <c r="K57" s="23">
        <v>1424.2</v>
      </c>
      <c r="L57" s="23">
        <v>1396.9</v>
      </c>
      <c r="M57" s="23">
        <v>1143.0999999999997</v>
      </c>
      <c r="N57" s="23">
        <v>912.7</v>
      </c>
      <c r="O57" s="23">
        <v>775.5</v>
      </c>
      <c r="P57" s="23">
        <v>686.2</v>
      </c>
      <c r="Q57" s="23">
        <v>628.09999999999991</v>
      </c>
      <c r="R57" s="23">
        <v>562.9</v>
      </c>
      <c r="S57" s="23">
        <v>569</v>
      </c>
      <c r="T57" s="23">
        <v>527.4</v>
      </c>
      <c r="U57" s="23">
        <v>529.9</v>
      </c>
      <c r="V57" s="23">
        <v>519</v>
      </c>
      <c r="W57" s="23">
        <v>472</v>
      </c>
      <c r="X57" s="23">
        <v>376.9</v>
      </c>
      <c r="Y57" s="23">
        <v>432.1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303.7</v>
      </c>
      <c r="E58" s="23">
        <v>301.5</v>
      </c>
      <c r="F58" s="23">
        <v>313.3</v>
      </c>
      <c r="G58" s="23">
        <v>347.4</v>
      </c>
      <c r="H58" s="23">
        <v>376.1</v>
      </c>
      <c r="I58" s="23">
        <v>370.3</v>
      </c>
      <c r="J58" s="23">
        <v>541.9</v>
      </c>
      <c r="K58" s="23">
        <v>434.8</v>
      </c>
      <c r="L58" s="23">
        <v>517.1</v>
      </c>
      <c r="M58" s="23">
        <v>483.8</v>
      </c>
      <c r="N58" s="23">
        <v>326.8</v>
      </c>
      <c r="O58" s="23">
        <v>237.6</v>
      </c>
      <c r="P58" s="23">
        <v>154.19999999999999</v>
      </c>
      <c r="Q58" s="23">
        <v>108</v>
      </c>
      <c r="R58" s="23">
        <v>95.8</v>
      </c>
      <c r="S58" s="23">
        <v>88.8</v>
      </c>
      <c r="T58" s="23">
        <v>87.3</v>
      </c>
      <c r="U58" s="23">
        <v>95.1</v>
      </c>
      <c r="V58" s="23">
        <v>96</v>
      </c>
      <c r="W58" s="23">
        <v>99.3</v>
      </c>
      <c r="X58" s="23">
        <v>115.3</v>
      </c>
      <c r="Y58" s="23">
        <v>122.7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303.89999999999998</v>
      </c>
      <c r="E59" s="23">
        <v>293.89999999999992</v>
      </c>
      <c r="F59" s="23">
        <v>381.8</v>
      </c>
      <c r="G59" s="23">
        <v>353.9</v>
      </c>
      <c r="H59" s="23">
        <v>351.2</v>
      </c>
      <c r="I59" s="23">
        <v>338.9</v>
      </c>
      <c r="J59" s="23">
        <v>339.6</v>
      </c>
      <c r="K59" s="23">
        <v>424.7</v>
      </c>
      <c r="L59" s="23">
        <v>413.7</v>
      </c>
      <c r="M59" s="23">
        <v>317.00000000000006</v>
      </c>
      <c r="N59" s="23">
        <v>336.6</v>
      </c>
      <c r="O59" s="23">
        <v>312.7</v>
      </c>
      <c r="P59" s="23">
        <v>288.8</v>
      </c>
      <c r="Q59" s="23">
        <v>297.10000000000002</v>
      </c>
      <c r="R59" s="23">
        <v>358.7</v>
      </c>
      <c r="S59" s="23">
        <v>356</v>
      </c>
      <c r="T59" s="23">
        <v>347.1</v>
      </c>
      <c r="U59" s="23">
        <v>352.1</v>
      </c>
      <c r="V59" s="23">
        <v>368.3</v>
      </c>
      <c r="W59" s="23">
        <v>359.8</v>
      </c>
      <c r="X59" s="23">
        <v>393.7</v>
      </c>
      <c r="Y59" s="23">
        <v>398.3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732.80000000000018</v>
      </c>
      <c r="E60" s="23">
        <v>984.7</v>
      </c>
      <c r="F60" s="23">
        <v>1083.7</v>
      </c>
      <c r="G60" s="23">
        <v>1047.4000000000003</v>
      </c>
      <c r="H60" s="23">
        <v>1134.1000000000001</v>
      </c>
      <c r="I60" s="23">
        <v>1139.9000000000001</v>
      </c>
      <c r="J60" s="23">
        <v>1246.1999999999996</v>
      </c>
      <c r="K60" s="23">
        <v>1358.7</v>
      </c>
      <c r="L60" s="23">
        <v>753.4</v>
      </c>
      <c r="M60" s="23">
        <v>674.39999999999986</v>
      </c>
      <c r="N60" s="23">
        <v>533.40000000000009</v>
      </c>
      <c r="O60" s="23">
        <v>430.9</v>
      </c>
      <c r="P60" s="23">
        <v>380.3</v>
      </c>
      <c r="Q60" s="23">
        <v>324.19999999999987</v>
      </c>
      <c r="R60" s="23">
        <v>334.79999999999995</v>
      </c>
      <c r="S60" s="23">
        <v>298.40000000000009</v>
      </c>
      <c r="T60" s="23">
        <v>296.90000000000003</v>
      </c>
      <c r="U60" s="23">
        <v>296.50000000000006</v>
      </c>
      <c r="V60" s="23">
        <v>301.39999999999998</v>
      </c>
      <c r="W60" s="23">
        <v>302.29999999999995</v>
      </c>
      <c r="X60" s="23">
        <v>279.60000000000008</v>
      </c>
      <c r="Y60" s="23">
        <v>287.29999999999995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1029.4000000000001</v>
      </c>
      <c r="E61" s="23">
        <v>827.1</v>
      </c>
      <c r="F61" s="23">
        <v>891.99999999999989</v>
      </c>
      <c r="G61" s="23">
        <v>389.9</v>
      </c>
      <c r="H61" s="23">
        <v>499.7</v>
      </c>
      <c r="I61" s="23">
        <v>427.7</v>
      </c>
      <c r="J61" s="23">
        <v>780.2</v>
      </c>
      <c r="K61" s="23">
        <v>1102.5999999999999</v>
      </c>
      <c r="L61" s="23">
        <v>1782.7</v>
      </c>
      <c r="M61" s="23">
        <v>1367.9</v>
      </c>
      <c r="N61" s="23">
        <v>849.9</v>
      </c>
      <c r="O61" s="23">
        <v>1090.4999999999998</v>
      </c>
      <c r="P61" s="23">
        <v>1079.4000000000001</v>
      </c>
      <c r="Q61" s="23">
        <v>606.5</v>
      </c>
      <c r="R61" s="23">
        <v>703</v>
      </c>
      <c r="S61" s="23">
        <v>1157.7</v>
      </c>
      <c r="T61" s="23">
        <v>995.2</v>
      </c>
      <c r="U61" s="23">
        <v>1055.9000000000001</v>
      </c>
      <c r="V61" s="23">
        <v>966.9</v>
      </c>
      <c r="W61" s="23">
        <v>516.9</v>
      </c>
      <c r="X61" s="23">
        <v>379</v>
      </c>
      <c r="Y61" s="23">
        <v>752.7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462</v>
      </c>
      <c r="E62" s="23">
        <v>534.29999999999984</v>
      </c>
      <c r="F62" s="23">
        <v>502.5</v>
      </c>
      <c r="G62" s="23">
        <v>603.29999999999995</v>
      </c>
      <c r="H62" s="23">
        <v>585.5</v>
      </c>
      <c r="I62" s="23">
        <v>596</v>
      </c>
      <c r="J62" s="23">
        <v>702.5</v>
      </c>
      <c r="K62" s="23">
        <v>680.9</v>
      </c>
      <c r="L62" s="23">
        <v>723.4</v>
      </c>
      <c r="M62" s="23">
        <v>617.40000000000009</v>
      </c>
      <c r="N62" s="23">
        <v>771.3</v>
      </c>
      <c r="O62" s="23">
        <v>732.5</v>
      </c>
      <c r="P62" s="23">
        <v>616.6</v>
      </c>
      <c r="Q62" s="23">
        <v>694</v>
      </c>
      <c r="R62" s="23">
        <v>729.3</v>
      </c>
      <c r="S62" s="23">
        <v>861.5</v>
      </c>
      <c r="T62" s="23">
        <v>837.1</v>
      </c>
      <c r="U62" s="23">
        <v>874.8</v>
      </c>
      <c r="V62" s="23">
        <v>851.7</v>
      </c>
      <c r="W62" s="23">
        <v>869.9</v>
      </c>
      <c r="X62" s="23">
        <v>951.3</v>
      </c>
      <c r="Y62" s="23">
        <v>959.6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500.20000000000005</v>
      </c>
      <c r="E63" s="23">
        <v>741.4</v>
      </c>
      <c r="F63" s="23">
        <v>701.9</v>
      </c>
      <c r="G63" s="23">
        <v>754.4</v>
      </c>
      <c r="H63" s="23">
        <v>671.1</v>
      </c>
      <c r="I63" s="23">
        <v>782.7</v>
      </c>
      <c r="J63" s="23">
        <v>738.9</v>
      </c>
      <c r="K63" s="23">
        <v>665.2</v>
      </c>
      <c r="L63" s="23">
        <v>579.79999999999995</v>
      </c>
      <c r="M63" s="23">
        <v>613.00000000000011</v>
      </c>
      <c r="N63" s="23">
        <v>1019.7</v>
      </c>
      <c r="O63" s="23">
        <v>812.5</v>
      </c>
      <c r="P63" s="23">
        <v>780.6</v>
      </c>
      <c r="Q63" s="23">
        <v>938.7</v>
      </c>
      <c r="R63" s="23">
        <v>766.7</v>
      </c>
      <c r="S63" s="23">
        <v>770.9</v>
      </c>
      <c r="T63" s="23">
        <v>731.2</v>
      </c>
      <c r="U63" s="23">
        <v>711.6</v>
      </c>
      <c r="V63" s="23">
        <v>750.8</v>
      </c>
      <c r="W63" s="23">
        <v>830.4</v>
      </c>
      <c r="X63" s="23">
        <v>906.4</v>
      </c>
      <c r="Y63" s="23">
        <v>982.8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324</v>
      </c>
      <c r="E64" s="23">
        <v>426.1</v>
      </c>
      <c r="F64" s="23">
        <v>464.6</v>
      </c>
      <c r="G64" s="23">
        <v>492.8</v>
      </c>
      <c r="H64" s="23">
        <v>463.7</v>
      </c>
      <c r="I64" s="23">
        <v>450.7</v>
      </c>
      <c r="J64" s="23">
        <v>506.8</v>
      </c>
      <c r="K64" s="23">
        <v>528.6</v>
      </c>
      <c r="L64" s="23">
        <v>629.20000000000005</v>
      </c>
      <c r="M64" s="23">
        <v>552.79999999999995</v>
      </c>
      <c r="N64" s="23">
        <v>634.9</v>
      </c>
      <c r="O64" s="23">
        <v>603.6</v>
      </c>
      <c r="P64" s="23">
        <v>548.49999999999989</v>
      </c>
      <c r="Q64" s="23">
        <v>513.1</v>
      </c>
      <c r="R64" s="23">
        <v>530.70000000000005</v>
      </c>
      <c r="S64" s="23">
        <v>580.5</v>
      </c>
      <c r="T64" s="23">
        <v>574.9</v>
      </c>
      <c r="U64" s="23">
        <v>584.5</v>
      </c>
      <c r="V64" s="23">
        <v>574.5</v>
      </c>
      <c r="W64" s="23">
        <v>584.79999999999995</v>
      </c>
      <c r="X64" s="23">
        <v>611.1</v>
      </c>
      <c r="Y64" s="23">
        <v>640.20000000000005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1221.8</v>
      </c>
      <c r="E65" s="23">
        <v>1409.7000000000003</v>
      </c>
      <c r="F65" s="23">
        <v>1439.9</v>
      </c>
      <c r="G65" s="23">
        <v>1640.2</v>
      </c>
      <c r="H65" s="23">
        <v>1483.9</v>
      </c>
      <c r="I65" s="23">
        <v>1374.8</v>
      </c>
      <c r="J65" s="23">
        <v>1618.6</v>
      </c>
      <c r="K65" s="23">
        <v>1694.5</v>
      </c>
      <c r="L65" s="23">
        <v>1691.8</v>
      </c>
      <c r="M65" s="23">
        <v>1526.1</v>
      </c>
      <c r="N65" s="23">
        <v>1348.4</v>
      </c>
      <c r="O65" s="23">
        <v>885.5</v>
      </c>
      <c r="P65" s="23">
        <v>720.7</v>
      </c>
      <c r="Q65" s="23">
        <v>713.19999999999982</v>
      </c>
      <c r="R65" s="23">
        <v>778.09999999999991</v>
      </c>
      <c r="S65" s="23">
        <v>774.2</v>
      </c>
      <c r="T65" s="23">
        <v>752</v>
      </c>
      <c r="U65" s="23">
        <v>778</v>
      </c>
      <c r="V65" s="23">
        <v>804.49999999999989</v>
      </c>
      <c r="W65" s="23">
        <v>809.9</v>
      </c>
      <c r="X65" s="23">
        <v>728.09999999999991</v>
      </c>
      <c r="Y65" s="23">
        <v>814.69999999999982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1016.9</v>
      </c>
      <c r="E66" s="23">
        <v>954</v>
      </c>
      <c r="F66" s="23">
        <v>975.4</v>
      </c>
      <c r="G66" s="23">
        <v>1064.2</v>
      </c>
      <c r="H66" s="23">
        <v>1097.9000000000001</v>
      </c>
      <c r="I66" s="23">
        <v>1233</v>
      </c>
      <c r="J66" s="23">
        <v>1508.4</v>
      </c>
      <c r="K66" s="23">
        <v>1711.7</v>
      </c>
      <c r="L66" s="23">
        <v>1759.5</v>
      </c>
      <c r="M66" s="23">
        <v>1167.4000000000001</v>
      </c>
      <c r="N66" s="23">
        <v>1387.4</v>
      </c>
      <c r="O66" s="23">
        <v>1519.6</v>
      </c>
      <c r="P66" s="23">
        <v>1105</v>
      </c>
      <c r="Q66" s="23">
        <v>870.9</v>
      </c>
      <c r="R66" s="23">
        <v>913.8</v>
      </c>
      <c r="S66" s="23">
        <v>938.7</v>
      </c>
      <c r="T66" s="23">
        <v>876</v>
      </c>
      <c r="U66" s="23">
        <v>1006.5</v>
      </c>
      <c r="V66" s="23">
        <v>1220.4000000000003</v>
      </c>
      <c r="W66" s="23">
        <v>1262.3</v>
      </c>
      <c r="X66" s="23">
        <v>1119.2</v>
      </c>
      <c r="Y66" s="23">
        <v>1271.2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877.2</v>
      </c>
      <c r="E67" s="23">
        <v>1099.1999999999996</v>
      </c>
      <c r="F67" s="23">
        <v>1158.8</v>
      </c>
      <c r="G67" s="23">
        <v>1282.3</v>
      </c>
      <c r="H67" s="23">
        <v>1467.4000000000003</v>
      </c>
      <c r="I67" s="23">
        <v>1927.8</v>
      </c>
      <c r="J67" s="23">
        <v>1819.5</v>
      </c>
      <c r="K67" s="23">
        <v>1886.2999999999997</v>
      </c>
      <c r="L67" s="23">
        <v>1855</v>
      </c>
      <c r="M67" s="23">
        <v>1682.0999999999997</v>
      </c>
      <c r="N67" s="23">
        <v>1581.6</v>
      </c>
      <c r="O67" s="23">
        <v>1260.0999999999999</v>
      </c>
      <c r="P67" s="23">
        <v>1041.3000000000002</v>
      </c>
      <c r="Q67" s="23">
        <v>1098.7</v>
      </c>
      <c r="R67" s="23">
        <v>1005.9999999999999</v>
      </c>
      <c r="S67" s="23">
        <v>1039.0999999999999</v>
      </c>
      <c r="T67" s="23">
        <v>946.50000000000011</v>
      </c>
      <c r="U67" s="23">
        <v>903</v>
      </c>
      <c r="V67" s="23">
        <v>967.59999999999957</v>
      </c>
      <c r="W67" s="23">
        <v>946.89999999999986</v>
      </c>
      <c r="X67" s="23">
        <v>947.99999999999955</v>
      </c>
      <c r="Y67" s="23">
        <v>1163.6999999999998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447</v>
      </c>
      <c r="E68" s="23">
        <v>566.79999999999984</v>
      </c>
      <c r="F68" s="23">
        <v>470.4</v>
      </c>
      <c r="G68" s="23">
        <v>452.5</v>
      </c>
      <c r="H68" s="23">
        <v>256.3</v>
      </c>
      <c r="I68" s="23">
        <v>359.9</v>
      </c>
      <c r="J68" s="23">
        <v>286.89999999999998</v>
      </c>
      <c r="K68" s="23">
        <v>302.5</v>
      </c>
      <c r="L68" s="23">
        <v>291</v>
      </c>
      <c r="M68" s="23">
        <v>228.9</v>
      </c>
      <c r="N68" s="23">
        <v>245.5</v>
      </c>
      <c r="O68" s="23">
        <v>175.9</v>
      </c>
      <c r="P68" s="23">
        <v>212.7</v>
      </c>
      <c r="Q68" s="23">
        <v>186</v>
      </c>
      <c r="R68" s="23">
        <v>197.5</v>
      </c>
      <c r="S68" s="23">
        <v>201.5</v>
      </c>
      <c r="T68" s="23">
        <v>220.8</v>
      </c>
      <c r="U68" s="23">
        <v>223.3</v>
      </c>
      <c r="V68" s="23">
        <v>247.6</v>
      </c>
      <c r="W68" s="23">
        <v>232.9</v>
      </c>
      <c r="X68" s="23">
        <v>218.2</v>
      </c>
      <c r="Y68" s="23">
        <v>226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363.9</v>
      </c>
      <c r="E69" s="23">
        <v>409.1</v>
      </c>
      <c r="F69" s="23">
        <v>372</v>
      </c>
      <c r="G69" s="23">
        <v>439.9</v>
      </c>
      <c r="H69" s="23">
        <v>567</v>
      </c>
      <c r="I69" s="23">
        <v>536.20000000000005</v>
      </c>
      <c r="J69" s="23">
        <v>671.7</v>
      </c>
      <c r="K69" s="23">
        <v>702.7</v>
      </c>
      <c r="L69" s="23">
        <v>714.9</v>
      </c>
      <c r="M69" s="23">
        <v>515.1</v>
      </c>
      <c r="N69" s="23">
        <v>510.2</v>
      </c>
      <c r="O69" s="23">
        <v>479.6</v>
      </c>
      <c r="P69" s="23">
        <v>456.2</v>
      </c>
      <c r="Q69" s="23">
        <v>360.1</v>
      </c>
      <c r="R69" s="23">
        <v>326.39999999999998</v>
      </c>
      <c r="S69" s="23">
        <v>372.7</v>
      </c>
      <c r="T69" s="23">
        <v>302.8</v>
      </c>
      <c r="U69" s="23">
        <v>374.7</v>
      </c>
      <c r="V69" s="23">
        <v>384.1</v>
      </c>
      <c r="W69" s="23">
        <v>449.4</v>
      </c>
      <c r="X69" s="23">
        <v>465.6</v>
      </c>
      <c r="Y69" s="23">
        <v>564.79999999999995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380.4</v>
      </c>
      <c r="E70" s="23">
        <v>404.8</v>
      </c>
      <c r="F70" s="23">
        <v>397.9</v>
      </c>
      <c r="G70" s="23">
        <v>433.9</v>
      </c>
      <c r="H70" s="23">
        <v>463.5</v>
      </c>
      <c r="I70" s="23">
        <v>538.5</v>
      </c>
      <c r="J70" s="23">
        <v>563.70000000000005</v>
      </c>
      <c r="K70" s="23">
        <v>560.6</v>
      </c>
      <c r="L70" s="23">
        <v>709.2</v>
      </c>
      <c r="M70" s="23">
        <v>611.4</v>
      </c>
      <c r="N70" s="23">
        <v>502.6</v>
      </c>
      <c r="O70" s="23">
        <v>414.4</v>
      </c>
      <c r="P70" s="23">
        <v>370.9</v>
      </c>
      <c r="Q70" s="23">
        <v>336.4</v>
      </c>
      <c r="R70" s="23">
        <v>347.9</v>
      </c>
      <c r="S70" s="23">
        <v>340.7</v>
      </c>
      <c r="T70" s="23">
        <v>322.39999999999998</v>
      </c>
      <c r="U70" s="23">
        <v>349.7</v>
      </c>
      <c r="V70" s="23">
        <v>351.2</v>
      </c>
      <c r="W70" s="23">
        <v>358.5</v>
      </c>
      <c r="X70" s="23">
        <v>335.6</v>
      </c>
      <c r="Y70" s="23">
        <v>367.2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188.6</v>
      </c>
      <c r="E71" s="23">
        <v>149.5</v>
      </c>
      <c r="F71" s="23">
        <v>110.4</v>
      </c>
      <c r="G71" s="23">
        <v>191.2</v>
      </c>
      <c r="H71" s="23">
        <v>238.3</v>
      </c>
      <c r="I71" s="23">
        <v>179.6</v>
      </c>
      <c r="J71" s="23">
        <v>94.3</v>
      </c>
      <c r="K71" s="23">
        <v>119.6</v>
      </c>
      <c r="L71" s="23">
        <v>158.6</v>
      </c>
      <c r="M71" s="23">
        <v>112.1</v>
      </c>
      <c r="N71" s="23">
        <v>109.7</v>
      </c>
      <c r="O71" s="23">
        <v>66.099999999999994</v>
      </c>
      <c r="P71" s="23">
        <v>61.2</v>
      </c>
      <c r="Q71" s="23">
        <v>77.59999999999998</v>
      </c>
      <c r="R71" s="23">
        <v>47.6</v>
      </c>
      <c r="S71" s="23">
        <v>45.2</v>
      </c>
      <c r="T71" s="23">
        <v>40.5</v>
      </c>
      <c r="U71" s="23">
        <v>49.5</v>
      </c>
      <c r="V71" s="23">
        <v>48.3</v>
      </c>
      <c r="W71" s="23">
        <v>49</v>
      </c>
      <c r="X71" s="23">
        <v>46.5</v>
      </c>
      <c r="Y71" s="23">
        <v>56.8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202.99999999999997</v>
      </c>
      <c r="E72" s="23">
        <v>243.19999999999996</v>
      </c>
      <c r="F72" s="23">
        <v>337.5</v>
      </c>
      <c r="G72" s="23">
        <v>362.5</v>
      </c>
      <c r="H72" s="23">
        <v>339.80000000000007</v>
      </c>
      <c r="I72" s="23">
        <v>407.6</v>
      </c>
      <c r="J72" s="23">
        <v>567</v>
      </c>
      <c r="K72" s="23">
        <v>541.6</v>
      </c>
      <c r="L72" s="23">
        <v>423.00000000000006</v>
      </c>
      <c r="M72" s="23">
        <v>516.4</v>
      </c>
      <c r="N72" s="23">
        <v>206.10000000000002</v>
      </c>
      <c r="O72" s="23">
        <v>328.5</v>
      </c>
      <c r="P72" s="23">
        <v>95.600000000000023</v>
      </c>
      <c r="Q72" s="23">
        <v>241.9</v>
      </c>
      <c r="R72" s="23">
        <v>186.5</v>
      </c>
      <c r="S72" s="23">
        <v>351.1</v>
      </c>
      <c r="T72" s="23">
        <v>294.89999999999998</v>
      </c>
      <c r="U72" s="23">
        <v>344.6</v>
      </c>
      <c r="V72" s="23">
        <v>398.6</v>
      </c>
      <c r="W72" s="23">
        <v>399.6</v>
      </c>
      <c r="X72" s="23">
        <v>313.3</v>
      </c>
      <c r="Y72" s="23">
        <v>351.5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545.79999999999995</v>
      </c>
      <c r="E73" s="23">
        <v>638.1</v>
      </c>
      <c r="F73" s="23">
        <v>565.1</v>
      </c>
      <c r="G73" s="23">
        <v>517.29999999999995</v>
      </c>
      <c r="H73" s="23">
        <v>699</v>
      </c>
      <c r="I73" s="23">
        <v>751.5</v>
      </c>
      <c r="J73" s="23">
        <v>945.9</v>
      </c>
      <c r="K73" s="23">
        <v>745.5</v>
      </c>
      <c r="L73" s="23">
        <v>933.5</v>
      </c>
      <c r="M73" s="23">
        <v>927.6</v>
      </c>
      <c r="N73" s="23">
        <v>656.5</v>
      </c>
      <c r="O73" s="23">
        <v>517.5</v>
      </c>
      <c r="P73" s="23">
        <v>413.1</v>
      </c>
      <c r="Q73" s="23">
        <v>299.8</v>
      </c>
      <c r="R73" s="23">
        <v>280.89999999999998</v>
      </c>
      <c r="S73" s="23">
        <v>291</v>
      </c>
      <c r="T73" s="23">
        <v>290.50000000000006</v>
      </c>
      <c r="U73" s="23">
        <v>294.39999999999998</v>
      </c>
      <c r="V73" s="23">
        <v>319.3</v>
      </c>
      <c r="W73" s="23">
        <v>327.10000000000002</v>
      </c>
      <c r="X73" s="23">
        <v>296.5</v>
      </c>
      <c r="Y73" s="23">
        <v>309.60000000000002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154.79999999999734</v>
      </c>
      <c r="E74" s="23">
        <v>184.19999999999899</v>
      </c>
      <c r="F74" s="23">
        <v>242.90000000000748</v>
      </c>
      <c r="G74" s="23">
        <v>244.89999999997744</v>
      </c>
      <c r="H74" s="23">
        <v>248.39999999999719</v>
      </c>
      <c r="I74" s="23">
        <v>303.70000000000778</v>
      </c>
      <c r="J74" s="23">
        <v>272.79999999999336</v>
      </c>
      <c r="K74" s="23">
        <v>284.30000000001235</v>
      </c>
      <c r="L74" s="23">
        <v>448.900000000028</v>
      </c>
      <c r="M74" s="23">
        <v>379.30000000001849</v>
      </c>
      <c r="N74" s="23">
        <v>498.59999999999121</v>
      </c>
      <c r="O74" s="23">
        <v>421.70000000001295</v>
      </c>
      <c r="P74" s="23">
        <v>487.70000000004728</v>
      </c>
      <c r="Q74" s="23">
        <v>572.49999999999397</v>
      </c>
      <c r="R74" s="23">
        <v>549.99999999999625</v>
      </c>
      <c r="S74" s="23">
        <v>664.80000000001746</v>
      </c>
      <c r="T74" s="23">
        <v>562.60000000000173</v>
      </c>
      <c r="U74" s="23">
        <v>434.10000000002503</v>
      </c>
      <c r="V74" s="23">
        <v>365.40000000000589</v>
      </c>
      <c r="W74" s="23">
        <v>425.49999999999562</v>
      </c>
      <c r="X74" s="23">
        <v>189.00000000002274</v>
      </c>
      <c r="Y74" s="23">
        <v>243.59999999998382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13572.099999999997</v>
      </c>
      <c r="E75" s="30">
        <f t="shared" ref="E75:S75" si="6">SUM(E56:E74)</f>
        <v>15126.699999999999</v>
      </c>
      <c r="F75" s="30">
        <f t="shared" si="6"/>
        <v>16077.800000000005</v>
      </c>
      <c r="G75" s="30">
        <f t="shared" si="6"/>
        <v>16378.299999999976</v>
      </c>
      <c r="H75" s="30">
        <f t="shared" si="6"/>
        <v>16942.599999999995</v>
      </c>
      <c r="I75" s="30">
        <f t="shared" si="6"/>
        <v>17108.000000000011</v>
      </c>
      <c r="J75" s="30">
        <f t="shared" si="6"/>
        <v>18427.199999999993</v>
      </c>
      <c r="K75" s="30">
        <f t="shared" si="6"/>
        <v>19695.200000000012</v>
      </c>
      <c r="L75" s="30">
        <f t="shared" si="6"/>
        <v>20578.400000000027</v>
      </c>
      <c r="M75" s="30">
        <f t="shared" si="6"/>
        <v>18146.500000000015</v>
      </c>
      <c r="N75" s="30">
        <f t="shared" si="6"/>
        <v>17601.699999999993</v>
      </c>
      <c r="O75" s="30">
        <f t="shared" si="6"/>
        <v>16205.900000000014</v>
      </c>
      <c r="P75" s="30">
        <f t="shared" si="6"/>
        <v>14680.500000000053</v>
      </c>
      <c r="Q75" s="30">
        <f t="shared" si="6"/>
        <v>13696.699999999993</v>
      </c>
      <c r="R75" s="30">
        <f t="shared" si="6"/>
        <v>13529.499999999996</v>
      </c>
      <c r="S75" s="30">
        <f t="shared" si="6"/>
        <v>14628.600000000022</v>
      </c>
      <c r="T75" s="30">
        <f t="shared" ref="T75:Y75" si="7">SUM(T56:T74)</f>
        <v>14133.8</v>
      </c>
      <c r="U75" s="30">
        <f t="shared" si="7"/>
        <v>14343.400000000027</v>
      </c>
      <c r="V75" s="30">
        <f t="shared" si="7"/>
        <v>14674.200000000006</v>
      </c>
      <c r="W75" s="30">
        <f t="shared" si="7"/>
        <v>14324.999999999995</v>
      </c>
      <c r="X75" s="30">
        <f t="shared" si="7"/>
        <v>14112.600000000024</v>
      </c>
      <c r="Y75" s="30">
        <f t="shared" si="7"/>
        <v>15771.799999999987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181566.04779925331</v>
      </c>
      <c r="E2" s="19">
        <v>189067.66711802923</v>
      </c>
      <c r="F2" s="19">
        <v>196483.83878451309</v>
      </c>
      <c r="G2" s="19">
        <v>207869.42578951037</v>
      </c>
      <c r="H2" s="19">
        <v>218389.43879506664</v>
      </c>
      <c r="I2" s="19">
        <v>219698.41987451623</v>
      </c>
      <c r="J2" s="19">
        <v>232115.83332445478</v>
      </c>
      <c r="K2" s="19">
        <v>239715.87806863018</v>
      </c>
      <c r="L2" s="19">
        <v>238913.1980096359</v>
      </c>
      <c r="M2" s="19">
        <v>228637.8993368049</v>
      </c>
      <c r="N2" s="19">
        <v>216112.70213196796</v>
      </c>
      <c r="O2" s="19">
        <v>194179.80726067565</v>
      </c>
      <c r="P2" s="19">
        <v>180418.72180667159</v>
      </c>
      <c r="Q2" s="19">
        <v>175877.90140597196</v>
      </c>
      <c r="R2" s="19">
        <v>176714.69165960417</v>
      </c>
      <c r="S2" s="19">
        <v>176368.9</v>
      </c>
      <c r="T2" s="19">
        <v>175510.4052463765</v>
      </c>
      <c r="U2" s="19">
        <v>177426.80908680608</v>
      </c>
      <c r="V2" s="19">
        <v>180387.48241912798</v>
      </c>
      <c r="W2" s="19">
        <v>183777.43920774612</v>
      </c>
      <c r="X2" s="19">
        <v>166655.59101559344</v>
      </c>
      <c r="Y2" s="19">
        <v>180620.77681690169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119689.26765780647</v>
      </c>
      <c r="E3" s="23">
        <v>124026.06521230338</v>
      </c>
      <c r="F3" s="23">
        <v>130333.29717089164</v>
      </c>
      <c r="G3" s="23">
        <v>136240.87290855858</v>
      </c>
      <c r="H3" s="23">
        <v>141156.07002208108</v>
      </c>
      <c r="I3" s="23">
        <v>145707.13211885392</v>
      </c>
      <c r="J3" s="23">
        <v>149761.09909408263</v>
      </c>
      <c r="K3" s="23">
        <v>155864.86207252814</v>
      </c>
      <c r="L3" s="23">
        <v>161451.92755216223</v>
      </c>
      <c r="M3" s="23">
        <v>158755.07641600128</v>
      </c>
      <c r="N3" s="23">
        <v>148406.66318805196</v>
      </c>
      <c r="O3" s="23">
        <v>135545.38848411833</v>
      </c>
      <c r="P3" s="23">
        <v>125284.09467612546</v>
      </c>
      <c r="Q3" s="23">
        <v>120999.51811873553</v>
      </c>
      <c r="R3" s="23">
        <v>120875.95276647841</v>
      </c>
      <c r="S3" s="23">
        <v>120454.39999999999</v>
      </c>
      <c r="T3" s="23">
        <v>119719.58750403617</v>
      </c>
      <c r="U3" s="23">
        <v>122708.13435611811</v>
      </c>
      <c r="V3" s="23">
        <v>124853.8287722822</v>
      </c>
      <c r="W3" s="23">
        <v>127090.84155682492</v>
      </c>
      <c r="X3" s="23">
        <v>117631.1353898016</v>
      </c>
      <c r="Y3" s="23">
        <v>124431.90270378932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157662.69194687207</v>
      </c>
      <c r="E4" s="27">
        <v>163038.47588788194</v>
      </c>
      <c r="F4" s="27">
        <v>169362.49796714913</v>
      </c>
      <c r="G4" s="27">
        <v>179786.51433691755</v>
      </c>
      <c r="H4" s="27">
        <v>190270.53508246693</v>
      </c>
      <c r="I4" s="27">
        <v>191014.89061698856</v>
      </c>
      <c r="J4" s="27">
        <v>199371.15297228075</v>
      </c>
      <c r="K4" s="27">
        <v>204751.02741092449</v>
      </c>
      <c r="L4" s="27">
        <v>204370.83624059719</v>
      </c>
      <c r="M4" s="27">
        <v>197459.04687529054</v>
      </c>
      <c r="N4" s="27">
        <v>186233.03476401721</v>
      </c>
      <c r="O4" s="27">
        <v>169164.05582455141</v>
      </c>
      <c r="P4" s="27">
        <v>159282.44113812412</v>
      </c>
      <c r="Q4" s="27">
        <v>155988.26176269195</v>
      </c>
      <c r="R4" s="27">
        <v>155723.22725734868</v>
      </c>
      <c r="S4" s="27">
        <v>155835.6</v>
      </c>
      <c r="T4" s="27">
        <v>154542.55600008124</v>
      </c>
      <c r="U4" s="27">
        <v>157238.9694271539</v>
      </c>
      <c r="V4" s="27">
        <v>159235.09066350129</v>
      </c>
      <c r="W4" s="27">
        <v>161362.81011038556</v>
      </c>
      <c r="X4" s="27">
        <v>146261.40831404575</v>
      </c>
      <c r="Y4" s="27">
        <v>157576.76596592605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9592.5295018022025</v>
      </c>
      <c r="E6" s="19">
        <v>9529.551937032893</v>
      </c>
      <c r="F6" s="19">
        <v>9469.6001672745861</v>
      </c>
      <c r="G6" s="19">
        <v>10018.929211469534</v>
      </c>
      <c r="H6" s="19">
        <v>9016.4933863153874</v>
      </c>
      <c r="I6" s="19">
        <v>9118.0994701760392</v>
      </c>
      <c r="J6" s="19">
        <v>7202.7719254761014</v>
      </c>
      <c r="K6" s="19">
        <v>7049.9341659019274</v>
      </c>
      <c r="L6" s="19">
        <v>6493.1229270810427</v>
      </c>
      <c r="M6" s="19">
        <v>6194.287945556981</v>
      </c>
      <c r="N6" s="19">
        <v>6308.1951155190109</v>
      </c>
      <c r="O6" s="19">
        <v>6010.1585493211815</v>
      </c>
      <c r="P6" s="19">
        <v>6214.3377559628807</v>
      </c>
      <c r="Q6" s="19">
        <v>5952.0688643255398</v>
      </c>
      <c r="R6" s="19">
        <v>6321.1734033872672</v>
      </c>
      <c r="S6" s="19">
        <v>6816.1</v>
      </c>
      <c r="T6" s="19">
        <v>6228.6509209804835</v>
      </c>
      <c r="U6" s="19">
        <v>6950.0504283865966</v>
      </c>
      <c r="V6" s="19">
        <v>6679.7306700503459</v>
      </c>
      <c r="W6" s="19">
        <v>7091.2839052329064</v>
      </c>
      <c r="X6" s="19">
        <v>6838.4188556816689</v>
      </c>
      <c r="Y6" s="19">
        <v>6648.7994420643618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22041.796277094749</v>
      </c>
      <c r="E7" s="23">
        <v>23888.146730692853</v>
      </c>
      <c r="F7" s="23">
        <v>24943.893315986352</v>
      </c>
      <c r="G7" s="23">
        <v>25076.836917562701</v>
      </c>
      <c r="H7" s="23">
        <v>25423.330248761631</v>
      </c>
      <c r="I7" s="23">
        <v>25742.180823790812</v>
      </c>
      <c r="J7" s="23">
        <v>26292.704589581524</v>
      </c>
      <c r="K7" s="23">
        <v>26796.472888321441</v>
      </c>
      <c r="L7" s="23">
        <v>25975.550309205457</v>
      </c>
      <c r="M7" s="23">
        <v>24009.594466447277</v>
      </c>
      <c r="N7" s="23">
        <v>22915.807220291405</v>
      </c>
      <c r="O7" s="23">
        <v>21712.23772904207</v>
      </c>
      <c r="P7" s="23">
        <v>21626.658486080269</v>
      </c>
      <c r="Q7" s="23">
        <v>21458.084710945899</v>
      </c>
      <c r="R7" s="23">
        <v>21182.160128962918</v>
      </c>
      <c r="S7" s="23">
        <v>22078.800000000017</v>
      </c>
      <c r="T7" s="23">
        <v>22210.556243780593</v>
      </c>
      <c r="U7" s="23">
        <v>22440.53016025023</v>
      </c>
      <c r="V7" s="23">
        <v>22552.801768245263</v>
      </c>
      <c r="W7" s="23">
        <v>22251.784753181069</v>
      </c>
      <c r="X7" s="23">
        <v>21932.6669429256</v>
      </c>
      <c r="Y7" s="23">
        <v>24502.839493872656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11045.400681380535</v>
      </c>
      <c r="E8" s="23">
        <v>11522.667918306435</v>
      </c>
      <c r="F8" s="23">
        <v>11966.40568733592</v>
      </c>
      <c r="G8" s="23">
        <v>16037.410394265233</v>
      </c>
      <c r="H8" s="23">
        <v>17480.703282347178</v>
      </c>
      <c r="I8" s="23">
        <v>12151.021192958469</v>
      </c>
      <c r="J8" s="23">
        <v>18678.274879167184</v>
      </c>
      <c r="K8" s="23">
        <v>14979.551530144037</v>
      </c>
      <c r="L8" s="23">
        <v>10245.165976888447</v>
      </c>
      <c r="M8" s="23">
        <v>9807.9247317825993</v>
      </c>
      <c r="N8" s="23">
        <v>8539.6475563467156</v>
      </c>
      <c r="O8" s="23">
        <v>6038.5455235925192</v>
      </c>
      <c r="P8" s="23">
        <v>5109.8627195337067</v>
      </c>
      <c r="Q8" s="23">
        <v>5041.475105155042</v>
      </c>
      <c r="R8" s="23">
        <v>3720.0230859553803</v>
      </c>
      <c r="S8" s="23">
        <v>3493.4</v>
      </c>
      <c r="T8" s="23">
        <v>3537.9054040332244</v>
      </c>
      <c r="U8" s="23">
        <v>2301.4700638759564</v>
      </c>
      <c r="V8" s="23">
        <v>2487.8228480209564</v>
      </c>
      <c r="W8" s="23">
        <v>2613.4067206239274</v>
      </c>
      <c r="X8" s="23">
        <v>2529.3861998564798</v>
      </c>
      <c r="Y8" s="23">
        <v>2763.0766165188802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43475.164173208905</v>
      </c>
      <c r="E9" s="23">
        <v>43382.797174182517</v>
      </c>
      <c r="F9" s="23">
        <v>42333.015821387919</v>
      </c>
      <c r="G9" s="23">
        <v>46171.370967741939</v>
      </c>
      <c r="H9" s="23">
        <v>48407.598933101079</v>
      </c>
      <c r="I9" s="23">
        <v>49272.987523500255</v>
      </c>
      <c r="J9" s="23">
        <v>49111.104226050316</v>
      </c>
      <c r="K9" s="23">
        <v>51885.548417986676</v>
      </c>
      <c r="L9" s="23">
        <v>54402.378062185177</v>
      </c>
      <c r="M9" s="23">
        <v>47804.522043100726</v>
      </c>
      <c r="N9" s="23">
        <v>46475.280909459092</v>
      </c>
      <c r="O9" s="23">
        <v>40860.818380328492</v>
      </c>
      <c r="P9" s="23">
        <v>37342.875220492373</v>
      </c>
      <c r="Q9" s="23">
        <v>37520.003912745764</v>
      </c>
      <c r="R9" s="23">
        <v>38643.799629828645</v>
      </c>
      <c r="S9" s="23">
        <v>38649.5</v>
      </c>
      <c r="T9" s="23">
        <v>37887.938912694714</v>
      </c>
      <c r="U9" s="23">
        <v>40612.883179331482</v>
      </c>
      <c r="V9" s="23">
        <v>42228.214154148416</v>
      </c>
      <c r="W9" s="23">
        <v>42570.653884821222</v>
      </c>
      <c r="X9" s="23">
        <v>33741.927007004175</v>
      </c>
      <c r="Y9" s="23">
        <v>39689.747932649196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6149.8296548659464</v>
      </c>
      <c r="E10" s="23">
        <v>6559.4348365045553</v>
      </c>
      <c r="F10" s="23">
        <v>7002.1838626489789</v>
      </c>
      <c r="G10" s="23">
        <v>6753.2482078853045</v>
      </c>
      <c r="H10" s="23">
        <v>7224.8652767949479</v>
      </c>
      <c r="I10" s="23">
        <v>7422.12869594941</v>
      </c>
      <c r="J10" s="23">
        <v>8050.1507828314125</v>
      </c>
      <c r="K10" s="23">
        <v>8257.8901169054006</v>
      </c>
      <c r="L10" s="23">
        <v>7704.8067824474538</v>
      </c>
      <c r="M10" s="23">
        <v>7965.7313921273317</v>
      </c>
      <c r="N10" s="23">
        <v>5858.4574232620344</v>
      </c>
      <c r="O10" s="23">
        <v>5352.2263362764643</v>
      </c>
      <c r="P10" s="23">
        <v>4937.4952066876285</v>
      </c>
      <c r="Q10" s="23">
        <v>4766.8003521471201</v>
      </c>
      <c r="R10" s="23">
        <v>4285.1314506338686</v>
      </c>
      <c r="S10" s="23">
        <v>4435</v>
      </c>
      <c r="T10" s="23">
        <v>4592.2097439125928</v>
      </c>
      <c r="U10" s="23">
        <v>4916.8186309966477</v>
      </c>
      <c r="V10" s="23">
        <v>4892.0428963202485</v>
      </c>
      <c r="W10" s="23">
        <v>5101.601454205721</v>
      </c>
      <c r="X10" s="23">
        <v>5559.8791198795243</v>
      </c>
      <c r="Y10" s="23">
        <v>5883.4313041745536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7225.1024539574382</v>
      </c>
      <c r="E11" s="23">
        <v>6399.9711160053439</v>
      </c>
      <c r="F11" s="23">
        <v>6840.7174221127707</v>
      </c>
      <c r="G11" s="23">
        <v>7469.3100358422935</v>
      </c>
      <c r="H11" s="23">
        <v>9062.8708290240065</v>
      </c>
      <c r="I11" s="23">
        <v>9071.9535122201323</v>
      </c>
      <c r="J11" s="23">
        <v>9371.4628000165249</v>
      </c>
      <c r="K11" s="23">
        <v>9200.3152056816834</v>
      </c>
      <c r="L11" s="23">
        <v>8981.1035814304687</v>
      </c>
      <c r="M11" s="23">
        <v>9087.4100518770574</v>
      </c>
      <c r="N11" s="23">
        <v>8793.8553116140647</v>
      </c>
      <c r="O11" s="23">
        <v>8212.9497768916754</v>
      </c>
      <c r="P11" s="23">
        <v>5918.1110514610018</v>
      </c>
      <c r="Q11" s="23">
        <v>6794.5808471094588</v>
      </c>
      <c r="R11" s="23">
        <v>8020.3793261289229</v>
      </c>
      <c r="S11" s="23">
        <v>7867.1</v>
      </c>
      <c r="T11" s="23">
        <v>8816.0272943278978</v>
      </c>
      <c r="U11" s="23">
        <v>8972.3815442292616</v>
      </c>
      <c r="V11" s="23">
        <v>8447.7712742008098</v>
      </c>
      <c r="W11" s="23">
        <v>8250.2818031338538</v>
      </c>
      <c r="X11" s="23">
        <v>7941.2983495214321</v>
      </c>
      <c r="Y11" s="23">
        <v>7717.9436086480018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17408.532069323064</v>
      </c>
      <c r="E12" s="23">
        <v>17950.680579124095</v>
      </c>
      <c r="F12" s="23">
        <v>19525.706851288251</v>
      </c>
      <c r="G12" s="23">
        <v>19052.979390681005</v>
      </c>
      <c r="H12" s="23">
        <v>19560.611833868599</v>
      </c>
      <c r="I12" s="23">
        <v>22196.526234831654</v>
      </c>
      <c r="J12" s="23">
        <v>20711.261205436444</v>
      </c>
      <c r="K12" s="23">
        <v>24259.466145313811</v>
      </c>
      <c r="L12" s="23">
        <v>27052.368981963813</v>
      </c>
      <c r="M12" s="23">
        <v>27467.228203268813</v>
      </c>
      <c r="N12" s="23">
        <v>31674.625375566291</v>
      </c>
      <c r="O12" s="23">
        <v>30635.811259849997</v>
      </c>
      <c r="P12" s="23">
        <v>30660.614310913414</v>
      </c>
      <c r="Q12" s="23">
        <v>29614.594541719649</v>
      </c>
      <c r="R12" s="23">
        <v>28961.231516309432</v>
      </c>
      <c r="S12" s="23">
        <v>28027.9</v>
      </c>
      <c r="T12" s="23">
        <v>27239.394000934182</v>
      </c>
      <c r="U12" s="23">
        <v>26575.148483582758</v>
      </c>
      <c r="V12" s="23">
        <v>26263.353935573654</v>
      </c>
      <c r="W12" s="23">
        <v>26880.464695906492</v>
      </c>
      <c r="X12" s="23">
        <v>23571.017070779555</v>
      </c>
      <c r="Y12" s="23">
        <v>24537.311945800539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7585.5428825359204</v>
      </c>
      <c r="E13" s="23">
        <v>7882.5624917259393</v>
      </c>
      <c r="F13" s="23">
        <v>8892.8513347118005</v>
      </c>
      <c r="G13" s="23">
        <v>9926.4112903225796</v>
      </c>
      <c r="H13" s="23">
        <v>10823.798377878178</v>
      </c>
      <c r="I13" s="23">
        <v>10879.336865493076</v>
      </c>
      <c r="J13" s="23">
        <v>12454.248771016648</v>
      </c>
      <c r="K13" s="23">
        <v>13307.564936360372</v>
      </c>
      <c r="L13" s="23">
        <v>13045.984152624183</v>
      </c>
      <c r="M13" s="23">
        <v>12516.595080046856</v>
      </c>
      <c r="N13" s="23">
        <v>10389.270341800646</v>
      </c>
      <c r="O13" s="23">
        <v>8975.8853128263545</v>
      </c>
      <c r="P13" s="23">
        <v>8368.4523353017867</v>
      </c>
      <c r="Q13" s="23">
        <v>7986.4032084515302</v>
      </c>
      <c r="R13" s="23">
        <v>7951.4199852727525</v>
      </c>
      <c r="S13" s="23">
        <v>7678.2</v>
      </c>
      <c r="T13" s="23">
        <v>7528.0761966653808</v>
      </c>
      <c r="U13" s="23">
        <v>7820.0674415998528</v>
      </c>
      <c r="V13" s="23">
        <v>8115.6113134951493</v>
      </c>
      <c r="W13" s="23">
        <v>8822.2152265087898</v>
      </c>
      <c r="X13" s="23">
        <v>7846.1911644313277</v>
      </c>
      <c r="Y13" s="23">
        <v>8451.6289728006377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26978.348886584703</v>
      </c>
      <c r="E14" s="23">
        <v>29388.862813060383</v>
      </c>
      <c r="F14" s="23">
        <v>31381.873940013476</v>
      </c>
      <c r="G14" s="23">
        <v>32507.504480286738</v>
      </c>
      <c r="H14" s="23">
        <v>35844.102117467744</v>
      </c>
      <c r="I14" s="23">
        <v>37162.664501794563</v>
      </c>
      <c r="J14" s="23">
        <v>38889.887222704179</v>
      </c>
      <c r="K14" s="23">
        <v>40258.648206519574</v>
      </c>
      <c r="L14" s="23">
        <v>42025.367271058945</v>
      </c>
      <c r="M14" s="23">
        <v>43431.323329800485</v>
      </c>
      <c r="N14" s="23">
        <v>39552.80532715474</v>
      </c>
      <c r="O14" s="23">
        <v>36188.360391151618</v>
      </c>
      <c r="P14" s="23">
        <v>33997.143185827132</v>
      </c>
      <c r="Q14" s="23">
        <v>31781.570967426389</v>
      </c>
      <c r="R14" s="23">
        <v>31626.067227894204</v>
      </c>
      <c r="S14" s="23">
        <v>31906.7</v>
      </c>
      <c r="T14" s="23">
        <v>31651.570845433682</v>
      </c>
      <c r="U14" s="23">
        <v>31604.845200134474</v>
      </c>
      <c r="V14" s="23">
        <v>32046.887151569725</v>
      </c>
      <c r="W14" s="23">
        <v>32002.274735206604</v>
      </c>
      <c r="X14" s="23">
        <v>31702.529790481196</v>
      </c>
      <c r="Y14" s="23">
        <v>32213.410381588121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6160.4453661185998</v>
      </c>
      <c r="E15" s="23">
        <v>6533.8002912469465</v>
      </c>
      <c r="F15" s="23">
        <v>7006.2495643890998</v>
      </c>
      <c r="G15" s="23">
        <v>6772.5134408602153</v>
      </c>
      <c r="H15" s="23">
        <v>7426.1607969081706</v>
      </c>
      <c r="I15" s="23">
        <v>7997.9917962741411</v>
      </c>
      <c r="J15" s="23">
        <v>8609.2865700004149</v>
      </c>
      <c r="K15" s="23">
        <v>8755.6357977895714</v>
      </c>
      <c r="L15" s="23">
        <v>8444.9881957122234</v>
      </c>
      <c r="M15" s="23">
        <v>9174.4296312824245</v>
      </c>
      <c r="N15" s="23">
        <v>5725.0901830032117</v>
      </c>
      <c r="O15" s="23">
        <v>5177.0625652710532</v>
      </c>
      <c r="P15" s="23">
        <v>5106.8908658639466</v>
      </c>
      <c r="Q15" s="23">
        <v>5072.6792526655581</v>
      </c>
      <c r="R15" s="23">
        <v>5011.8415029753023</v>
      </c>
      <c r="S15" s="23">
        <v>4882.8999999999996</v>
      </c>
      <c r="T15" s="23">
        <v>4850.2264373184953</v>
      </c>
      <c r="U15" s="23">
        <v>5044.7742947666529</v>
      </c>
      <c r="V15" s="23">
        <v>5520.8546518767134</v>
      </c>
      <c r="W15" s="23">
        <v>5778.8429315649973</v>
      </c>
      <c r="X15" s="23">
        <v>4598.0938134848029</v>
      </c>
      <c r="Y15" s="23">
        <v>5168.576267809106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157662.69194687207</v>
      </c>
      <c r="E16" s="30">
        <f t="shared" ref="E16:S16" si="0">SUM(E6:E15)</f>
        <v>163038.47588788194</v>
      </c>
      <c r="F16" s="30">
        <f t="shared" si="0"/>
        <v>169362.49796714913</v>
      </c>
      <c r="G16" s="30">
        <f t="shared" si="0"/>
        <v>179786.51433691755</v>
      </c>
      <c r="H16" s="30">
        <f t="shared" si="0"/>
        <v>190270.53508246693</v>
      </c>
      <c r="I16" s="30">
        <f t="shared" si="0"/>
        <v>191014.89061698853</v>
      </c>
      <c r="J16" s="30">
        <f t="shared" si="0"/>
        <v>199371.15297228075</v>
      </c>
      <c r="K16" s="30">
        <f t="shared" si="0"/>
        <v>204751.02741092449</v>
      </c>
      <c r="L16" s="30">
        <f t="shared" si="0"/>
        <v>204370.83624059719</v>
      </c>
      <c r="M16" s="30">
        <f t="shared" si="0"/>
        <v>197459.04687529054</v>
      </c>
      <c r="N16" s="30">
        <f t="shared" si="0"/>
        <v>186233.03476401721</v>
      </c>
      <c r="O16" s="30">
        <f t="shared" si="0"/>
        <v>169164.05582455141</v>
      </c>
      <c r="P16" s="30">
        <f t="shared" si="0"/>
        <v>159282.44113812412</v>
      </c>
      <c r="Q16" s="30">
        <f t="shared" si="0"/>
        <v>155988.26176269195</v>
      </c>
      <c r="R16" s="30">
        <f t="shared" si="0"/>
        <v>155723.22725734868</v>
      </c>
      <c r="S16" s="30">
        <f t="shared" si="0"/>
        <v>155835.6</v>
      </c>
      <c r="T16" s="30">
        <f t="shared" ref="T16:Y16" si="1">SUM(T6:T15)</f>
        <v>154542.55600008124</v>
      </c>
      <c r="U16" s="30">
        <f t="shared" si="1"/>
        <v>157238.9694271539</v>
      </c>
      <c r="V16" s="30">
        <f t="shared" si="1"/>
        <v>159235.09066350129</v>
      </c>
      <c r="W16" s="30">
        <f t="shared" si="1"/>
        <v>161362.81011038556</v>
      </c>
      <c r="X16" s="30">
        <f t="shared" si="1"/>
        <v>146261.40831404575</v>
      </c>
      <c r="Y16" s="30">
        <f t="shared" si="1"/>
        <v>157576.76596592605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9592.5295018022025</v>
      </c>
      <c r="E18" s="19">
        <v>9529.551937032893</v>
      </c>
      <c r="F18" s="19">
        <v>9469.6001672745861</v>
      </c>
      <c r="G18" s="19">
        <v>10018.929211469534</v>
      </c>
      <c r="H18" s="19">
        <v>9016.4933863153874</v>
      </c>
      <c r="I18" s="19">
        <v>9118.0994701760392</v>
      </c>
      <c r="J18" s="19">
        <v>7202.7719254761014</v>
      </c>
      <c r="K18" s="19">
        <v>7049.9341659019274</v>
      </c>
      <c r="L18" s="19">
        <v>6493.1229270810427</v>
      </c>
      <c r="M18" s="19">
        <v>6194.287945556981</v>
      </c>
      <c r="N18" s="19">
        <v>6308.1951155190109</v>
      </c>
      <c r="O18" s="19">
        <v>6010.1585493211815</v>
      </c>
      <c r="P18" s="19">
        <v>6214.3377559628807</v>
      </c>
      <c r="Q18" s="19">
        <v>5952.0688643255398</v>
      </c>
      <c r="R18" s="19">
        <v>6321.1734033872672</v>
      </c>
      <c r="S18" s="19">
        <v>6816.1</v>
      </c>
      <c r="T18" s="19">
        <v>6228.6509209804835</v>
      </c>
      <c r="U18" s="19">
        <v>6950.0504283865966</v>
      </c>
      <c r="V18" s="19">
        <v>6679.7306700503459</v>
      </c>
      <c r="W18" s="19">
        <v>7091.2839052329064</v>
      </c>
      <c r="X18" s="19">
        <v>6838.4188556816689</v>
      </c>
      <c r="Y18" s="19">
        <v>6648.7994420643618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724.95432775391293</v>
      </c>
      <c r="E19" s="23">
        <v>731.36681469713938</v>
      </c>
      <c r="F19" s="23">
        <v>763.88727551518252</v>
      </c>
      <c r="G19" s="23">
        <v>831.87724014336914</v>
      </c>
      <c r="H19" s="23">
        <v>855.26100919928149</v>
      </c>
      <c r="I19" s="23">
        <v>900.27345752862755</v>
      </c>
      <c r="J19" s="23">
        <v>843.24782087825838</v>
      </c>
      <c r="K19" s="23">
        <v>896.44096875872799</v>
      </c>
      <c r="L19" s="23">
        <v>780.70787494145645</v>
      </c>
      <c r="M19" s="23">
        <v>722.46704226399663</v>
      </c>
      <c r="N19" s="23">
        <v>850.12197074585811</v>
      </c>
      <c r="O19" s="23">
        <v>850.28007215418211</v>
      </c>
      <c r="P19" s="23">
        <v>768.75143799371119</v>
      </c>
      <c r="Q19" s="23">
        <v>814.04675731194368</v>
      </c>
      <c r="R19" s="23">
        <v>833.6816128326069</v>
      </c>
      <c r="S19" s="23">
        <v>860.5</v>
      </c>
      <c r="T19" s="23">
        <v>792.42907333319795</v>
      </c>
      <c r="U19" s="23">
        <v>795.54600189488474</v>
      </c>
      <c r="V19" s="23">
        <v>856.90311489501039</v>
      </c>
      <c r="W19" s="23">
        <v>735.63311770739188</v>
      </c>
      <c r="X19" s="23">
        <v>541.43378377012573</v>
      </c>
      <c r="Y19" s="23">
        <v>675.99880442363258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16753.197057226087</v>
      </c>
      <c r="E20" s="23">
        <v>18204.980082078684</v>
      </c>
      <c r="F20" s="23">
        <v>18676.439839230548</v>
      </c>
      <c r="G20" s="23">
        <v>18344.870071684563</v>
      </c>
      <c r="H20" s="23">
        <v>18444.940395188059</v>
      </c>
      <c r="I20" s="23">
        <v>18274.653905315339</v>
      </c>
      <c r="J20" s="23">
        <v>19030.858842483576</v>
      </c>
      <c r="K20" s="23">
        <v>19645.69285400791</v>
      </c>
      <c r="L20" s="23">
        <v>19669.097617158775</v>
      </c>
      <c r="M20" s="23">
        <v>16870.735017943156</v>
      </c>
      <c r="N20" s="23">
        <v>16578.320288585601</v>
      </c>
      <c r="O20" s="23">
        <v>15385.834994778326</v>
      </c>
      <c r="P20" s="23">
        <v>14073.644451261645</v>
      </c>
      <c r="Q20" s="23">
        <v>13397.926244742242</v>
      </c>
      <c r="R20" s="23">
        <v>13462.992815491467</v>
      </c>
      <c r="S20" s="23">
        <v>14628.600000000019</v>
      </c>
      <c r="T20" s="23">
        <v>14351.658171036335</v>
      </c>
      <c r="U20" s="23">
        <v>14612.414551900514</v>
      </c>
      <c r="V20" s="23">
        <v>15015.963325283457</v>
      </c>
      <c r="W20" s="23">
        <v>14547.134747595781</v>
      </c>
      <c r="X20" s="23">
        <v>14263.652075479347</v>
      </c>
      <c r="Y20" s="23">
        <v>15713.659459997993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2503.4562780822594</v>
      </c>
      <c r="E21" s="23">
        <v>2596.911819571314</v>
      </c>
      <c r="F21" s="23">
        <v>3082.0342448249426</v>
      </c>
      <c r="G21" s="23">
        <v>3310.1478494623657</v>
      </c>
      <c r="H21" s="23">
        <v>3247.4007947308255</v>
      </c>
      <c r="I21" s="23">
        <v>3583.5754571868056</v>
      </c>
      <c r="J21" s="23">
        <v>3324.6581567315238</v>
      </c>
      <c r="K21" s="23">
        <v>3183.8766308901568</v>
      </c>
      <c r="L21" s="23">
        <v>2190.7228812020298</v>
      </c>
      <c r="M21" s="23">
        <v>3244.7332701139808</v>
      </c>
      <c r="N21" s="23">
        <v>3157.9591798291467</v>
      </c>
      <c r="O21" s="23">
        <v>3282.8254058672742</v>
      </c>
      <c r="P21" s="23">
        <v>4509.0689470051384</v>
      </c>
      <c r="Q21" s="23">
        <v>4911.2784896801331</v>
      </c>
      <c r="R21" s="23">
        <v>4599.2795589786456</v>
      </c>
      <c r="S21" s="23">
        <v>4596.8</v>
      </c>
      <c r="T21" s="23">
        <v>4959.9926890193128</v>
      </c>
      <c r="U21" s="23">
        <v>5021.7504253303314</v>
      </c>
      <c r="V21" s="23">
        <v>4677.3566370594726</v>
      </c>
      <c r="W21" s="23">
        <v>4933.027327287683</v>
      </c>
      <c r="X21" s="23">
        <v>5387.0488472928309</v>
      </c>
      <c r="Y21" s="23">
        <v>6468.5663046727104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2060.1886140324891</v>
      </c>
      <c r="E22" s="23">
        <v>2354.8880143457177</v>
      </c>
      <c r="F22" s="23">
        <v>2421.5319564156775</v>
      </c>
      <c r="G22" s="23">
        <v>2589.9417562724016</v>
      </c>
      <c r="H22" s="23">
        <v>2875.7280496434596</v>
      </c>
      <c r="I22" s="23">
        <v>2983.6780037600411</v>
      </c>
      <c r="J22" s="23">
        <v>3093.9397694881645</v>
      </c>
      <c r="K22" s="23">
        <v>3070.4624346646451</v>
      </c>
      <c r="L22" s="23">
        <v>3335.0219359031953</v>
      </c>
      <c r="M22" s="23">
        <v>3171.6591361261412</v>
      </c>
      <c r="N22" s="23">
        <v>2329.4057811307957</v>
      </c>
      <c r="O22" s="23">
        <v>2193.297256242286</v>
      </c>
      <c r="P22" s="23">
        <v>2275.193649819772</v>
      </c>
      <c r="Q22" s="23">
        <v>2334.8332192115818</v>
      </c>
      <c r="R22" s="23">
        <v>2286.2061416601987</v>
      </c>
      <c r="S22" s="23">
        <v>1992.9</v>
      </c>
      <c r="T22" s="23">
        <v>2106.4763103917467</v>
      </c>
      <c r="U22" s="23">
        <v>2010.8191811245019</v>
      </c>
      <c r="V22" s="23">
        <v>2002.5786910073266</v>
      </c>
      <c r="W22" s="23">
        <v>2035.9895605902125</v>
      </c>
      <c r="X22" s="23">
        <v>1740.5322363832991</v>
      </c>
      <c r="Y22" s="23">
        <v>1644.6149247783201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11045.400681380535</v>
      </c>
      <c r="E23" s="23">
        <v>11522.667918306435</v>
      </c>
      <c r="F23" s="23">
        <v>11966.40568733592</v>
      </c>
      <c r="G23" s="23">
        <v>16037.410394265233</v>
      </c>
      <c r="H23" s="23">
        <v>17480.703282347178</v>
      </c>
      <c r="I23" s="23">
        <v>12151.021192958469</v>
      </c>
      <c r="J23" s="23">
        <v>18678.274879167184</v>
      </c>
      <c r="K23" s="23">
        <v>14979.551530144037</v>
      </c>
      <c r="L23" s="23">
        <v>10245.165976888447</v>
      </c>
      <c r="M23" s="23">
        <v>9807.9247317825993</v>
      </c>
      <c r="N23" s="23">
        <v>8539.6475563467156</v>
      </c>
      <c r="O23" s="23">
        <v>6038.5455235925192</v>
      </c>
      <c r="P23" s="23">
        <v>5109.8627195337067</v>
      </c>
      <c r="Q23" s="23">
        <v>5041.475105155042</v>
      </c>
      <c r="R23" s="23">
        <v>3720.0230859553803</v>
      </c>
      <c r="S23" s="23">
        <v>3493.4</v>
      </c>
      <c r="T23" s="23">
        <v>3537.9054040332244</v>
      </c>
      <c r="U23" s="23">
        <v>2301.4700638759564</v>
      </c>
      <c r="V23" s="23">
        <v>2487.8228480209564</v>
      </c>
      <c r="W23" s="23">
        <v>2613.4067206239274</v>
      </c>
      <c r="X23" s="23">
        <v>2529.3861998564798</v>
      </c>
      <c r="Y23" s="23">
        <v>2763.0766165188802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25692.736878487136</v>
      </c>
      <c r="E24" s="23">
        <v>24970.093030532786</v>
      </c>
      <c r="F24" s="23">
        <v>25042.747949724697</v>
      </c>
      <c r="G24" s="23">
        <v>26140.568996415775</v>
      </c>
      <c r="H24" s="23">
        <v>26047.139513363447</v>
      </c>
      <c r="I24" s="23">
        <v>24432.46880875064</v>
      </c>
      <c r="J24" s="23">
        <v>24174.515635973068</v>
      </c>
      <c r="K24" s="23">
        <v>25469.716314886486</v>
      </c>
      <c r="L24" s="23">
        <v>26286.476205040955</v>
      </c>
      <c r="M24" s="23">
        <v>24641.973931314031</v>
      </c>
      <c r="N24" s="23">
        <v>23522.458628841603</v>
      </c>
      <c r="O24" s="23">
        <v>21022.120953194721</v>
      </c>
      <c r="P24" s="23">
        <v>18622.785489684793</v>
      </c>
      <c r="Q24" s="23">
        <v>17815.318399686978</v>
      </c>
      <c r="R24" s="23">
        <v>17742.352777280234</v>
      </c>
      <c r="S24" s="23">
        <v>18606.199999999997</v>
      </c>
      <c r="T24" s="23">
        <v>18336.447269551805</v>
      </c>
      <c r="U24" s="23">
        <v>19017.206776760144</v>
      </c>
      <c r="V24" s="23">
        <v>19584.441897589124</v>
      </c>
      <c r="W24" s="23">
        <v>19081.169457617827</v>
      </c>
      <c r="X24" s="23">
        <v>17166.695303261542</v>
      </c>
      <c r="Y24" s="23">
        <v>19407.093753113477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10563.249888905348</v>
      </c>
      <c r="E25" s="23">
        <v>9492.2434439349636</v>
      </c>
      <c r="F25" s="23">
        <v>9496.5499616662401</v>
      </c>
      <c r="G25" s="23">
        <v>11599.798387096773</v>
      </c>
      <c r="H25" s="23">
        <v>13531.979750694029</v>
      </c>
      <c r="I25" s="23">
        <v>14769.377029567595</v>
      </c>
      <c r="J25" s="23">
        <v>14849.423720411451</v>
      </c>
      <c r="K25" s="23">
        <v>16281.171447951163</v>
      </c>
      <c r="L25" s="23">
        <v>16840.560870936599</v>
      </c>
      <c r="M25" s="23">
        <v>13804.596418809617</v>
      </c>
      <c r="N25" s="23">
        <v>13411.319261959256</v>
      </c>
      <c r="O25" s="23">
        <v>11530.807936960031</v>
      </c>
      <c r="P25" s="23">
        <v>10641.536927678504</v>
      </c>
      <c r="Q25" s="23">
        <v>10375.427956568521</v>
      </c>
      <c r="R25" s="23">
        <v>10957.171572432186</v>
      </c>
      <c r="S25" s="23">
        <v>9843.2000000000007</v>
      </c>
      <c r="T25" s="23">
        <v>10060.823297658455</v>
      </c>
      <c r="U25" s="23">
        <v>11308.28553673122</v>
      </c>
      <c r="V25" s="23">
        <v>11605.43981007736</v>
      </c>
      <c r="W25" s="23">
        <v>11647.86286596326</v>
      </c>
      <c r="X25" s="23">
        <v>10141.902750123811</v>
      </c>
      <c r="Y25" s="23">
        <v>11380.093653482116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7219.1774058164219</v>
      </c>
      <c r="E26" s="23">
        <v>8920.4606997147712</v>
      </c>
      <c r="F26" s="23">
        <v>7793.7179099969799</v>
      </c>
      <c r="G26" s="23">
        <v>8431.003584229391</v>
      </c>
      <c r="H26" s="23">
        <v>8828.4796690436015</v>
      </c>
      <c r="I26" s="23">
        <v>10071.141685182021</v>
      </c>
      <c r="J26" s="23">
        <v>10087.164869665799</v>
      </c>
      <c r="K26" s="23">
        <v>10134.660655149026</v>
      </c>
      <c r="L26" s="23">
        <v>11275.340986207621</v>
      </c>
      <c r="M26" s="23">
        <v>9357.9516929770743</v>
      </c>
      <c r="N26" s="23">
        <v>9541.503018658228</v>
      </c>
      <c r="O26" s="23">
        <v>8307.8894901737403</v>
      </c>
      <c r="P26" s="23">
        <v>8078.5528031290742</v>
      </c>
      <c r="Q26" s="23">
        <v>9329.2575564902654</v>
      </c>
      <c r="R26" s="23">
        <v>9944.275280116226</v>
      </c>
      <c r="S26" s="23">
        <v>10200.1</v>
      </c>
      <c r="T26" s="23">
        <v>9490.6683454844533</v>
      </c>
      <c r="U26" s="23">
        <v>10287.390865840116</v>
      </c>
      <c r="V26" s="23">
        <v>11038.332446481929</v>
      </c>
      <c r="W26" s="23">
        <v>11841.621561240137</v>
      </c>
      <c r="X26" s="23">
        <v>6433.3289536188231</v>
      </c>
      <c r="Y26" s="23">
        <v>8902.5605260536013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6149.8296548659464</v>
      </c>
      <c r="E27" s="23">
        <v>6559.4348365045553</v>
      </c>
      <c r="F27" s="23">
        <v>7002.1838626489789</v>
      </c>
      <c r="G27" s="23">
        <v>6753.2482078853045</v>
      </c>
      <c r="H27" s="23">
        <v>7224.8652767949479</v>
      </c>
      <c r="I27" s="23">
        <v>7422.12869594941</v>
      </c>
      <c r="J27" s="23">
        <v>8050.1507828314125</v>
      </c>
      <c r="K27" s="23">
        <v>8257.8901169054006</v>
      </c>
      <c r="L27" s="23">
        <v>7704.8067824474538</v>
      </c>
      <c r="M27" s="23">
        <v>7965.7313921273317</v>
      </c>
      <c r="N27" s="23">
        <v>5858.4574232620344</v>
      </c>
      <c r="O27" s="23">
        <v>5352.2263362764643</v>
      </c>
      <c r="P27" s="23">
        <v>4937.4952066876285</v>
      </c>
      <c r="Q27" s="23">
        <v>4766.8003521471201</v>
      </c>
      <c r="R27" s="23">
        <v>4285.1314506338686</v>
      </c>
      <c r="S27" s="23">
        <v>4435</v>
      </c>
      <c r="T27" s="23">
        <v>4592.2097439125928</v>
      </c>
      <c r="U27" s="23">
        <v>4916.8186309966477</v>
      </c>
      <c r="V27" s="23">
        <v>4892.0428963202485</v>
      </c>
      <c r="W27" s="23">
        <v>5101.601454205721</v>
      </c>
      <c r="X27" s="23">
        <v>5559.8791198795243</v>
      </c>
      <c r="Y27" s="23">
        <v>5883.4313041745536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7225.1024539574382</v>
      </c>
      <c r="E28" s="23">
        <v>6399.9711160053439</v>
      </c>
      <c r="F28" s="23">
        <v>6840.7174221127707</v>
      </c>
      <c r="G28" s="23">
        <v>7469.3100358422935</v>
      </c>
      <c r="H28" s="23">
        <v>9062.8708290240065</v>
      </c>
      <c r="I28" s="23">
        <v>9071.9535122201323</v>
      </c>
      <c r="J28" s="23">
        <v>9371.4628000165249</v>
      </c>
      <c r="K28" s="23">
        <v>9200.3152056816834</v>
      </c>
      <c r="L28" s="23">
        <v>8981.1035814304687</v>
      </c>
      <c r="M28" s="23">
        <v>9087.4100518770574</v>
      </c>
      <c r="N28" s="23">
        <v>8793.8553116140647</v>
      </c>
      <c r="O28" s="23">
        <v>8212.9497768916754</v>
      </c>
      <c r="P28" s="23">
        <v>5918.1110514610018</v>
      </c>
      <c r="Q28" s="23">
        <v>6794.5808471094588</v>
      </c>
      <c r="R28" s="23">
        <v>8020.3793261289229</v>
      </c>
      <c r="S28" s="23">
        <v>7867.1</v>
      </c>
      <c r="T28" s="23">
        <v>8816.0272943278978</v>
      </c>
      <c r="U28" s="23">
        <v>8972.3815442292616</v>
      </c>
      <c r="V28" s="23">
        <v>8447.7712742008098</v>
      </c>
      <c r="W28" s="23">
        <v>8250.2818031338538</v>
      </c>
      <c r="X28" s="23">
        <v>7941.2983495214321</v>
      </c>
      <c r="Y28" s="23">
        <v>7717.9436086480018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17408.532069323064</v>
      </c>
      <c r="E29" s="23">
        <v>17950.680579124095</v>
      </c>
      <c r="F29" s="23">
        <v>19525.706851288251</v>
      </c>
      <c r="G29" s="23">
        <v>19052.979390681005</v>
      </c>
      <c r="H29" s="23">
        <v>19560.611833868599</v>
      </c>
      <c r="I29" s="23">
        <v>22196.526234831654</v>
      </c>
      <c r="J29" s="23">
        <v>20711.261205436444</v>
      </c>
      <c r="K29" s="23">
        <v>24259.466145313811</v>
      </c>
      <c r="L29" s="23">
        <v>27052.368981963813</v>
      </c>
      <c r="M29" s="23">
        <v>27467.228203268813</v>
      </c>
      <c r="N29" s="23">
        <v>31674.625375566291</v>
      </c>
      <c r="O29" s="23">
        <v>30635.811259849997</v>
      </c>
      <c r="P29" s="23">
        <v>30660.614310913414</v>
      </c>
      <c r="Q29" s="23">
        <v>29614.594541719649</v>
      </c>
      <c r="R29" s="23">
        <v>28961.231516309432</v>
      </c>
      <c r="S29" s="23">
        <v>28027.9</v>
      </c>
      <c r="T29" s="23">
        <v>27239.394000934182</v>
      </c>
      <c r="U29" s="23">
        <v>26575.148483582758</v>
      </c>
      <c r="V29" s="23">
        <v>26263.353935573654</v>
      </c>
      <c r="W29" s="23">
        <v>26880.464695906492</v>
      </c>
      <c r="X29" s="23">
        <v>23571.017070779555</v>
      </c>
      <c r="Y29" s="23">
        <v>24537.311945800539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4772.6262775885043</v>
      </c>
      <c r="E30" s="23">
        <v>4978.0361290633155</v>
      </c>
      <c r="F30" s="23">
        <v>5817.0898868573295</v>
      </c>
      <c r="G30" s="23">
        <v>6155.1299283154112</v>
      </c>
      <c r="H30" s="23">
        <v>6794.2953568123685</v>
      </c>
      <c r="I30" s="23">
        <v>6797.8764313792499</v>
      </c>
      <c r="J30" s="23">
        <v>8280.4560664270666</v>
      </c>
      <c r="K30" s="23">
        <v>8844.4120815544829</v>
      </c>
      <c r="L30" s="23">
        <v>7753.3620714374465</v>
      </c>
      <c r="M30" s="23">
        <v>7715.5501013369021</v>
      </c>
      <c r="N30" s="23">
        <v>7285.6564286588873</v>
      </c>
      <c r="O30" s="23">
        <v>6146.5869173075089</v>
      </c>
      <c r="P30" s="23">
        <v>5742.7716849451645</v>
      </c>
      <c r="Q30" s="23">
        <v>5817.2747725716517</v>
      </c>
      <c r="R30" s="23">
        <v>5503.8111728063368</v>
      </c>
      <c r="S30" s="23">
        <v>5455.2</v>
      </c>
      <c r="T30" s="23">
        <v>5223.6957007371911</v>
      </c>
      <c r="U30" s="23">
        <v>5311.993805967868</v>
      </c>
      <c r="V30" s="23">
        <v>5424.0514100937326</v>
      </c>
      <c r="W30" s="23">
        <v>5831.5477338966011</v>
      </c>
      <c r="X30" s="23">
        <v>5650.8424212409409</v>
      </c>
      <c r="Y30" s="23">
        <v>5719.7369731991639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2812.9166049474156</v>
      </c>
      <c r="E31" s="23">
        <v>2904.5263626626233</v>
      </c>
      <c r="F31" s="23">
        <v>3075.761447854471</v>
      </c>
      <c r="G31" s="23">
        <v>3771.2813620071684</v>
      </c>
      <c r="H31" s="23">
        <v>4029.5030210658101</v>
      </c>
      <c r="I31" s="23">
        <v>4081.4604341138265</v>
      </c>
      <c r="J31" s="23">
        <v>4173.7927045895813</v>
      </c>
      <c r="K31" s="23">
        <v>4463.1528548058886</v>
      </c>
      <c r="L31" s="23">
        <v>5292.622081186737</v>
      </c>
      <c r="M31" s="23">
        <v>4801.0449787099542</v>
      </c>
      <c r="N31" s="23">
        <v>3103.613913141759</v>
      </c>
      <c r="O31" s="23">
        <v>2829.2983955188456</v>
      </c>
      <c r="P31" s="23">
        <v>2625.6806503566227</v>
      </c>
      <c r="Q31" s="23">
        <v>2169.1284358798785</v>
      </c>
      <c r="R31" s="23">
        <v>2447.6088124664157</v>
      </c>
      <c r="S31" s="23">
        <v>2223</v>
      </c>
      <c r="T31" s="23">
        <v>2304.3804959281902</v>
      </c>
      <c r="U31" s="23">
        <v>2508.0736356319849</v>
      </c>
      <c r="V31" s="23">
        <v>2691.5599034014162</v>
      </c>
      <c r="W31" s="23">
        <v>2990.6674926121882</v>
      </c>
      <c r="X31" s="23">
        <v>2195.3487431903864</v>
      </c>
      <c r="Y31" s="23">
        <v>2731.8919996014743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12725.151829358616</v>
      </c>
      <c r="E32" s="23">
        <v>13167.61141399189</v>
      </c>
      <c r="F32" s="23">
        <v>13575.378110261832</v>
      </c>
      <c r="G32" s="23">
        <v>14434.363799283154</v>
      </c>
      <c r="H32" s="23">
        <v>15954.602362419029</v>
      </c>
      <c r="I32" s="23">
        <v>15982.417535464021</v>
      </c>
      <c r="J32" s="23">
        <v>16876.729871524767</v>
      </c>
      <c r="K32" s="23">
        <v>17561.046163667557</v>
      </c>
      <c r="L32" s="23">
        <v>18309.836269271575</v>
      </c>
      <c r="M32" s="23">
        <v>20287.090236328815</v>
      </c>
      <c r="N32" s="23">
        <v>18854.511033878676</v>
      </c>
      <c r="O32" s="23">
        <v>17565.081173454855</v>
      </c>
      <c r="P32" s="23">
        <v>17035.911496280387</v>
      </c>
      <c r="Q32" s="23">
        <v>15782.549153868724</v>
      </c>
      <c r="R32" s="23">
        <v>16284.554301749358</v>
      </c>
      <c r="S32" s="23">
        <v>16324.8</v>
      </c>
      <c r="T32" s="23">
        <v>16303.893097215732</v>
      </c>
      <c r="U32" s="23">
        <v>16353.772960197231</v>
      </c>
      <c r="V32" s="23">
        <v>16408.865785272803</v>
      </c>
      <c r="W32" s="23">
        <v>16148.38585195942</v>
      </c>
      <c r="X32" s="23">
        <v>16030.765809927128</v>
      </c>
      <c r="Y32" s="23">
        <v>15996.712164989536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7127.7094751394852</v>
      </c>
      <c r="E33" s="23">
        <v>7425.4732762874446</v>
      </c>
      <c r="F33" s="23">
        <v>8916.4324048044982</v>
      </c>
      <c r="G33" s="23">
        <v>9126.3440860215051</v>
      </c>
      <c r="H33" s="23">
        <v>10365.685047085079</v>
      </c>
      <c r="I33" s="23">
        <v>10604.383866005812</v>
      </c>
      <c r="J33" s="23">
        <v>10426.21968851985</v>
      </c>
      <c r="K33" s="23">
        <v>10786.218728803417</v>
      </c>
      <c r="L33" s="23">
        <v>11442.130315513798</v>
      </c>
      <c r="M33" s="23">
        <v>11492.813447128168</v>
      </c>
      <c r="N33" s="23">
        <v>10720.616352556675</v>
      </c>
      <c r="O33" s="23">
        <v>10392.385834994779</v>
      </c>
      <c r="P33" s="23">
        <v>9656.2236367819623</v>
      </c>
      <c r="Q33" s="23">
        <v>9227.1348919103984</v>
      </c>
      <c r="R33" s="23">
        <v>8943.6185244890239</v>
      </c>
      <c r="S33" s="23">
        <v>8634.2000000000007</v>
      </c>
      <c r="T33" s="23">
        <v>8685.8512215430237</v>
      </c>
      <c r="U33" s="23">
        <v>8640.0635703297703</v>
      </c>
      <c r="V33" s="23">
        <v>8791.2897548196979</v>
      </c>
      <c r="W33" s="23">
        <v>8713.6575508007263</v>
      </c>
      <c r="X33" s="23">
        <v>8586.9356485178032</v>
      </c>
      <c r="Y33" s="23">
        <v>8305.1708677891802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7125.4875820866046</v>
      </c>
      <c r="E34" s="23">
        <v>8795.7781227810483</v>
      </c>
      <c r="F34" s="23">
        <v>8890.0634249471459</v>
      </c>
      <c r="G34" s="23">
        <v>8946.7965949820791</v>
      </c>
      <c r="H34" s="23">
        <v>9523.8147079636383</v>
      </c>
      <c r="I34" s="23">
        <v>10575.863100324732</v>
      </c>
      <c r="J34" s="23">
        <v>11586.93766265956</v>
      </c>
      <c r="K34" s="23">
        <v>11911.383314048599</v>
      </c>
      <c r="L34" s="23">
        <v>12273.400686273571</v>
      </c>
      <c r="M34" s="23">
        <v>11651.419646343504</v>
      </c>
      <c r="N34" s="23">
        <v>9977.6779407193917</v>
      </c>
      <c r="O34" s="23">
        <v>8230.8933827019846</v>
      </c>
      <c r="P34" s="23">
        <v>7305.0080527647824</v>
      </c>
      <c r="Q34" s="23">
        <v>6771.8869216472658</v>
      </c>
      <c r="R34" s="23">
        <v>6397.8944016558198</v>
      </c>
      <c r="S34" s="23">
        <v>6947.7</v>
      </c>
      <c r="T34" s="23">
        <v>6661.8265266749258</v>
      </c>
      <c r="U34" s="23">
        <v>6611.0086696074732</v>
      </c>
      <c r="V34" s="23">
        <v>6846.7316114772211</v>
      </c>
      <c r="W34" s="23">
        <v>7140.2313324464576</v>
      </c>
      <c r="X34" s="23">
        <v>7084.8283320362634</v>
      </c>
      <c r="Y34" s="23">
        <v>7911.5273488094044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1898.1138596751102</v>
      </c>
      <c r="E35" s="23">
        <v>2286.1681770588875</v>
      </c>
      <c r="F35" s="23">
        <v>2699.3936296261882</v>
      </c>
      <c r="G35" s="23">
        <v>2470.6541218637994</v>
      </c>
      <c r="H35" s="23">
        <v>2767.187414947472</v>
      </c>
      <c r="I35" s="23">
        <v>2881.3450692189372</v>
      </c>
      <c r="J35" s="23">
        <v>2944.086421283102</v>
      </c>
      <c r="K35" s="23">
        <v>3360.9304552527628</v>
      </c>
      <c r="L35" s="23">
        <v>2936.0656834539241</v>
      </c>
      <c r="M35" s="23">
        <v>3380.5619084806913</v>
      </c>
      <c r="N35" s="23">
        <v>2290.3186309136972</v>
      </c>
      <c r="O35" s="23">
        <v>2286.2432355454289</v>
      </c>
      <c r="P35" s="23">
        <v>2142.6106296495127</v>
      </c>
      <c r="Q35" s="23">
        <v>2170.3022596106816</v>
      </c>
      <c r="R35" s="23">
        <v>2186.4986964395889</v>
      </c>
      <c r="S35" s="23">
        <v>2225.3999999999996</v>
      </c>
      <c r="T35" s="23">
        <v>2179.9922828537201</v>
      </c>
      <c r="U35" s="23">
        <v>2369.0135392577331</v>
      </c>
      <c r="V35" s="23">
        <v>2653.3911833326506</v>
      </c>
      <c r="W35" s="23">
        <v>2644.6843297147443</v>
      </c>
      <c r="X35" s="23">
        <v>1847.0603693110027</v>
      </c>
      <c r="Y35" s="23">
        <v>2080.2032479824647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3398.2619858786352</v>
      </c>
      <c r="E36" s="23">
        <v>3334.8978830438919</v>
      </c>
      <c r="F36" s="23">
        <v>3290.1981739191042</v>
      </c>
      <c r="G36" s="23">
        <v>3218.0779569892475</v>
      </c>
      <c r="H36" s="23">
        <v>3481.574220238419</v>
      </c>
      <c r="I36" s="23">
        <v>3846.2442317552554</v>
      </c>
      <c r="J36" s="23">
        <v>4407.0929896310981</v>
      </c>
      <c r="K36" s="23">
        <v>4128.1969437018724</v>
      </c>
      <c r="L36" s="23">
        <v>4237.6915209848703</v>
      </c>
      <c r="M36" s="23">
        <v>4472.1184061285585</v>
      </c>
      <c r="N36" s="23">
        <v>2209.0361956429601</v>
      </c>
      <c r="O36" s="23">
        <v>1923.2887116680909</v>
      </c>
      <c r="P36" s="23">
        <v>2029.3925914564002</v>
      </c>
      <c r="Q36" s="23">
        <v>2133.228993446151</v>
      </c>
      <c r="R36" s="23">
        <v>2191.3746094294183</v>
      </c>
      <c r="S36" s="23">
        <v>2064.9</v>
      </c>
      <c r="T36" s="23">
        <v>2102.9223614467619</v>
      </c>
      <c r="U36" s="23">
        <v>2116.2603531005821</v>
      </c>
      <c r="V36" s="23">
        <v>2245.2007695141419</v>
      </c>
      <c r="W36" s="23">
        <v>2410.3053628913508</v>
      </c>
      <c r="X36" s="23">
        <v>2070.0215279813219</v>
      </c>
      <c r="Y36" s="23">
        <v>2294.4106804822159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864.06952056485454</v>
      </c>
      <c r="E37" s="23">
        <v>912.73423114416732</v>
      </c>
      <c r="F37" s="23">
        <v>1016.6577608438074</v>
      </c>
      <c r="G37" s="23">
        <v>1083.7813620071684</v>
      </c>
      <c r="H37" s="23">
        <v>1177.3991617222796</v>
      </c>
      <c r="I37" s="23">
        <v>1270.4024952999487</v>
      </c>
      <c r="J37" s="23">
        <v>1258.1071590862148</v>
      </c>
      <c r="K37" s="23">
        <v>1266.5083988349361</v>
      </c>
      <c r="L37" s="23">
        <v>1271.2309912734293</v>
      </c>
      <c r="M37" s="23">
        <v>1321.7493166731745</v>
      </c>
      <c r="N37" s="23">
        <v>1225.7353564465543</v>
      </c>
      <c r="O37" s="23">
        <v>967.5306180575335</v>
      </c>
      <c r="P37" s="23">
        <v>934.88764475803362</v>
      </c>
      <c r="Q37" s="23">
        <v>769.1479996087254</v>
      </c>
      <c r="R37" s="23">
        <v>633.96819710629495</v>
      </c>
      <c r="S37" s="23">
        <v>592.6</v>
      </c>
      <c r="T37" s="23">
        <v>567.31179301801353</v>
      </c>
      <c r="U37" s="23">
        <v>559.50040240833755</v>
      </c>
      <c r="V37" s="23">
        <v>622.26269902992101</v>
      </c>
      <c r="W37" s="23">
        <v>723.85323895890247</v>
      </c>
      <c r="X37" s="23">
        <v>681.01191619247834</v>
      </c>
      <c r="Y37" s="23">
        <v>793.96233934442557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157662.69194687207</v>
      </c>
      <c r="E39" s="30">
        <f t="shared" ref="E39:S39" si="2">SUM(E18:E38)</f>
        <v>163038.47588788194</v>
      </c>
      <c r="F39" s="30">
        <f t="shared" si="2"/>
        <v>169362.49796714916</v>
      </c>
      <c r="G39" s="30">
        <f t="shared" si="2"/>
        <v>179786.51433691758</v>
      </c>
      <c r="H39" s="30">
        <f t="shared" si="2"/>
        <v>190270.53508246693</v>
      </c>
      <c r="I39" s="30">
        <f t="shared" si="2"/>
        <v>191014.89061698859</v>
      </c>
      <c r="J39" s="30">
        <f t="shared" si="2"/>
        <v>199371.15297228069</v>
      </c>
      <c r="K39" s="30">
        <f t="shared" si="2"/>
        <v>204751.02741092449</v>
      </c>
      <c r="L39" s="30">
        <f t="shared" si="2"/>
        <v>204370.83624059721</v>
      </c>
      <c r="M39" s="30">
        <f t="shared" si="2"/>
        <v>197459.04687529051</v>
      </c>
      <c r="N39" s="30">
        <f t="shared" si="2"/>
        <v>186233.03476401724</v>
      </c>
      <c r="O39" s="30">
        <f t="shared" si="2"/>
        <v>169164.05582455141</v>
      </c>
      <c r="P39" s="30">
        <f t="shared" si="2"/>
        <v>159282.44113812412</v>
      </c>
      <c r="Q39" s="30">
        <f t="shared" si="2"/>
        <v>155988.26176269195</v>
      </c>
      <c r="R39" s="30">
        <f t="shared" si="2"/>
        <v>155723.22725734868</v>
      </c>
      <c r="S39" s="30">
        <f t="shared" si="2"/>
        <v>155835.60000000003</v>
      </c>
      <c r="T39" s="30">
        <f t="shared" ref="T39:Y39" si="3">SUM(T18:T38)</f>
        <v>154542.55600008127</v>
      </c>
      <c r="U39" s="30">
        <f t="shared" si="3"/>
        <v>157238.96942715388</v>
      </c>
      <c r="V39" s="30">
        <f t="shared" si="3"/>
        <v>159235.09066350129</v>
      </c>
      <c r="W39" s="30">
        <f t="shared" si="3"/>
        <v>161362.81011038556</v>
      </c>
      <c r="X39" s="30">
        <f t="shared" si="3"/>
        <v>146261.40831404581</v>
      </c>
      <c r="Y39" s="30">
        <f t="shared" si="3"/>
        <v>157576.76596592605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3645.5093072631216</v>
      </c>
      <c r="E41" s="19">
        <v>4243.5402149450601</v>
      </c>
      <c r="F41" s="19">
        <v>4688.7995725205028</v>
      </c>
      <c r="G41" s="19">
        <v>4548.6111111111113</v>
      </c>
      <c r="H41" s="19">
        <v>4611.8338685972458</v>
      </c>
      <c r="I41" s="19">
        <v>4220.2187660229019</v>
      </c>
      <c r="J41" s="19">
        <v>4077.229726938489</v>
      </c>
      <c r="K41" s="19">
        <v>4514.8226469297369</v>
      </c>
      <c r="L41" s="19">
        <v>4584.8427210078089</v>
      </c>
      <c r="M41" s="19">
        <v>4379.5206485561821</v>
      </c>
      <c r="N41" s="19">
        <v>4869.2228721049605</v>
      </c>
      <c r="O41" s="19">
        <v>4881.0405392575713</v>
      </c>
      <c r="P41" s="19">
        <v>4967.3096096326408</v>
      </c>
      <c r="Q41" s="19">
        <v>4724.5426978382075</v>
      </c>
      <c r="R41" s="19">
        <v>4789.2411487252966</v>
      </c>
      <c r="S41" s="19">
        <v>4926.8</v>
      </c>
      <c r="T41" s="19">
        <v>5206.7382871996915</v>
      </c>
      <c r="U41" s="19">
        <v>5180.5743742295663</v>
      </c>
      <c r="V41" s="19">
        <v>5258.2784167655855</v>
      </c>
      <c r="W41" s="19">
        <v>5106.4758867913033</v>
      </c>
      <c r="X41" s="19">
        <v>5497.5187232795297</v>
      </c>
      <c r="Y41" s="19">
        <v>5805.5195775630164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1929.8375549301338</v>
      </c>
      <c r="E42" s="23">
        <v>1724.7355309239269</v>
      </c>
      <c r="F42" s="23">
        <v>1894.9654996166623</v>
      </c>
      <c r="G42" s="23">
        <v>1903.3378136200718</v>
      </c>
      <c r="H42" s="23">
        <v>1919.8737140057699</v>
      </c>
      <c r="I42" s="23">
        <v>1536.4894889762434</v>
      </c>
      <c r="J42" s="23">
        <v>1316.1482215887968</v>
      </c>
      <c r="K42" s="23">
        <v>1420.6200375054862</v>
      </c>
      <c r="L42" s="23">
        <v>1335.1748659472582</v>
      </c>
      <c r="M42" s="23">
        <v>1062.7359104516463</v>
      </c>
      <c r="N42" s="23">
        <v>859.63474706375439</v>
      </c>
      <c r="O42" s="23">
        <v>736.25747650242101</v>
      </c>
      <c r="P42" s="23">
        <v>657.83418973847688</v>
      </c>
      <c r="Q42" s="23">
        <v>614.39890443118452</v>
      </c>
      <c r="R42" s="23">
        <v>560.13294326029416</v>
      </c>
      <c r="S42" s="23">
        <v>569</v>
      </c>
      <c r="T42" s="23">
        <v>535.52933531000588</v>
      </c>
      <c r="U42" s="23">
        <v>539.83842541183174</v>
      </c>
      <c r="V42" s="23">
        <v>531.08755269943924</v>
      </c>
      <c r="W42" s="23">
        <v>479.3192042488804</v>
      </c>
      <c r="X42" s="23">
        <v>380.93409203464688</v>
      </c>
      <c r="Y42" s="23">
        <v>430.50712364252263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1654.5696933787588</v>
      </c>
      <c r="E43" s="23">
        <v>1901.6499981947504</v>
      </c>
      <c r="F43" s="23">
        <v>2066.30578723602</v>
      </c>
      <c r="G43" s="23">
        <v>1958.6693548387098</v>
      </c>
      <c r="H43" s="23">
        <v>2026.4547384464645</v>
      </c>
      <c r="I43" s="23">
        <v>1975.196547598701</v>
      </c>
      <c r="J43" s="23">
        <v>2197.4015780559339</v>
      </c>
      <c r="K43" s="23">
        <v>2212.6241870486374</v>
      </c>
      <c r="L43" s="23">
        <v>1609.7798763178268</v>
      </c>
      <c r="M43" s="23">
        <v>1371.4880719956861</v>
      </c>
      <c r="N43" s="23">
        <v>1127.2169007186385</v>
      </c>
      <c r="O43" s="23">
        <v>931.54846672363055</v>
      </c>
      <c r="P43" s="23">
        <v>789.26681493979606</v>
      </c>
      <c r="Q43" s="23">
        <v>713.39137239557851</v>
      </c>
      <c r="R43" s="23">
        <v>785.42002507612392</v>
      </c>
      <c r="S43" s="23">
        <v>743.2</v>
      </c>
      <c r="T43" s="23">
        <v>742.57224670498158</v>
      </c>
      <c r="U43" s="23">
        <v>757.64830530058373</v>
      </c>
      <c r="V43" s="23">
        <v>783.53321599607057</v>
      </c>
      <c r="W43" s="23">
        <v>773.20686888791852</v>
      </c>
      <c r="X43" s="23">
        <v>797.04066059570857</v>
      </c>
      <c r="Y43" s="23">
        <v>805.32031483511003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1270.6759492420877</v>
      </c>
      <c r="E44" s="23">
        <v>995.41466584828686</v>
      </c>
      <c r="F44" s="23">
        <v>1036.1731291963849</v>
      </c>
      <c r="G44" s="23">
        <v>436.71594982078852</v>
      </c>
      <c r="H44" s="23">
        <v>544.00958031680364</v>
      </c>
      <c r="I44" s="23">
        <v>456.86634763288328</v>
      </c>
      <c r="J44" s="23">
        <v>805.75866484901064</v>
      </c>
      <c r="K44" s="23">
        <v>1099.8284323504768</v>
      </c>
      <c r="L44" s="23">
        <v>1703.927434694092</v>
      </c>
      <c r="M44" s="23">
        <v>1271.7316524423125</v>
      </c>
      <c r="N44" s="23">
        <v>800.48599926534996</v>
      </c>
      <c r="O44" s="23">
        <v>1035.3175733409284</v>
      </c>
      <c r="P44" s="23">
        <v>1034.7802745609326</v>
      </c>
      <c r="Q44" s="23">
        <v>593.2700772767289</v>
      </c>
      <c r="R44" s="23">
        <v>699.54425139809337</v>
      </c>
      <c r="S44" s="23">
        <v>1157.7</v>
      </c>
      <c r="T44" s="23">
        <v>1010.5399971568409</v>
      </c>
      <c r="U44" s="23">
        <v>1075.7037052129708</v>
      </c>
      <c r="V44" s="23">
        <v>989.41918054930204</v>
      </c>
      <c r="W44" s="23">
        <v>524.91545905984378</v>
      </c>
      <c r="X44" s="23">
        <v>383.05656906641332</v>
      </c>
      <c r="Y44" s="23">
        <v>749.92527647703491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570.28588357280398</v>
      </c>
      <c r="E45" s="23">
        <v>643.02993103946267</v>
      </c>
      <c r="F45" s="23">
        <v>583.71860697442094</v>
      </c>
      <c r="G45" s="23">
        <v>675.73924731182785</v>
      </c>
      <c r="H45" s="23">
        <v>637.41766915246853</v>
      </c>
      <c r="I45" s="23">
        <v>636.64330883609637</v>
      </c>
      <c r="J45" s="23">
        <v>725.51328128227374</v>
      </c>
      <c r="K45" s="23">
        <v>679.18844511830196</v>
      </c>
      <c r="L45" s="23">
        <v>691.43496171969832</v>
      </c>
      <c r="M45" s="23">
        <v>573.99453338539638</v>
      </c>
      <c r="N45" s="23">
        <v>726.45587861320678</v>
      </c>
      <c r="O45" s="23">
        <v>695.43339979113262</v>
      </c>
      <c r="P45" s="23">
        <v>591.11128153999539</v>
      </c>
      <c r="Q45" s="23">
        <v>678.86139098112096</v>
      </c>
      <c r="R45" s="23">
        <v>725.71496805779452</v>
      </c>
      <c r="S45" s="23">
        <v>861.5</v>
      </c>
      <c r="T45" s="23">
        <v>850.0030462419528</v>
      </c>
      <c r="U45" s="23">
        <v>891.20712313695117</v>
      </c>
      <c r="V45" s="23">
        <v>871.53616307150753</v>
      </c>
      <c r="W45" s="23">
        <v>883.38935545784125</v>
      </c>
      <c r="X45" s="23">
        <v>961.48209539018205</v>
      </c>
      <c r="Y45" s="23">
        <v>956.06256849656268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617.43939169505757</v>
      </c>
      <c r="E46" s="23">
        <v>892.27473492917409</v>
      </c>
      <c r="F46" s="23">
        <v>815.34744325442</v>
      </c>
      <c r="G46" s="23">
        <v>844.98207885304657</v>
      </c>
      <c r="H46" s="23">
        <v>730.608023515323</v>
      </c>
      <c r="I46" s="23">
        <v>836.07502990941725</v>
      </c>
      <c r="J46" s="23">
        <v>763.10571322344776</v>
      </c>
      <c r="K46" s="23">
        <v>663.52790966763757</v>
      </c>
      <c r="L46" s="23">
        <v>554.1802471731836</v>
      </c>
      <c r="M46" s="23">
        <v>569.90386939625523</v>
      </c>
      <c r="N46" s="23">
        <v>960.41366449097222</v>
      </c>
      <c r="O46" s="23">
        <v>771.3851704167854</v>
      </c>
      <c r="P46" s="23">
        <v>748.33192729503799</v>
      </c>
      <c r="Q46" s="23">
        <v>918.22361342071792</v>
      </c>
      <c r="R46" s="23">
        <v>762.93112026588653</v>
      </c>
      <c r="S46" s="23">
        <v>770.9</v>
      </c>
      <c r="T46" s="23">
        <v>742.47070530655344</v>
      </c>
      <c r="U46" s="23">
        <v>724.94626065872717</v>
      </c>
      <c r="V46" s="23">
        <v>768.28619377020993</v>
      </c>
      <c r="W46" s="23">
        <v>843.27683730565741</v>
      </c>
      <c r="X46" s="23">
        <v>916.10151504431929</v>
      </c>
      <c r="Y46" s="23">
        <v>979.17704493374515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1908.1123784130746</v>
      </c>
      <c r="E47" s="23">
        <v>2209.3848912637955</v>
      </c>
      <c r="F47" s="23">
        <v>2212.3225611597704</v>
      </c>
      <c r="G47" s="23">
        <v>2389.1129032258063</v>
      </c>
      <c r="H47" s="23">
        <v>2120.2982962277501</v>
      </c>
      <c r="I47" s="23">
        <v>1949.9871816783457</v>
      </c>
      <c r="J47" s="23">
        <v>2195.0262320816291</v>
      </c>
      <c r="K47" s="23">
        <v>2217.51187008738</v>
      </c>
      <c r="L47" s="23">
        <v>2218.4414516884431</v>
      </c>
      <c r="M47" s="23">
        <v>1932.745765233075</v>
      </c>
      <c r="N47" s="23">
        <v>1867.9890367607584</v>
      </c>
      <c r="O47" s="23">
        <v>1413.7472704832433</v>
      </c>
      <c r="P47" s="23">
        <v>1216.7344121481708</v>
      </c>
      <c r="Q47" s="23">
        <v>1199.5500342365253</v>
      </c>
      <c r="R47" s="23">
        <v>1302.3663104264931</v>
      </c>
      <c r="S47" s="23">
        <v>1354.7</v>
      </c>
      <c r="T47" s="23">
        <v>1347.3528157429785</v>
      </c>
      <c r="U47" s="23">
        <v>1388.0540755305167</v>
      </c>
      <c r="V47" s="23">
        <v>1411.1170234538085</v>
      </c>
      <c r="W47" s="23">
        <v>1416.3273181481218</v>
      </c>
      <c r="X47" s="23">
        <v>1353.5339242578909</v>
      </c>
      <c r="Y47" s="23">
        <v>1449.5367141576166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2338.0486841455586</v>
      </c>
      <c r="E48" s="23">
        <v>2471.0257428602372</v>
      </c>
      <c r="F48" s="23">
        <v>2479.1487582185255</v>
      </c>
      <c r="G48" s="23">
        <v>2628.2482078853045</v>
      </c>
      <c r="H48" s="23">
        <v>2792.7712155026948</v>
      </c>
      <c r="I48" s="23">
        <v>3376.3459237737138</v>
      </c>
      <c r="J48" s="23">
        <v>3436.9190729954144</v>
      </c>
      <c r="K48" s="23">
        <v>3588.9558313051111</v>
      </c>
      <c r="L48" s="23">
        <v>3454.7852766600076</v>
      </c>
      <c r="M48" s="23">
        <v>2649.1697811494764</v>
      </c>
      <c r="N48" s="23">
        <v>2796.379493844951</v>
      </c>
      <c r="O48" s="23">
        <v>2639.0392101015855</v>
      </c>
      <c r="P48" s="23">
        <v>2057.577268195414</v>
      </c>
      <c r="Q48" s="23">
        <v>1926.6360168248068</v>
      </c>
      <c r="R48" s="23">
        <v>1910.3628077298147</v>
      </c>
      <c r="S48" s="23">
        <v>1977.8</v>
      </c>
      <c r="T48" s="23">
        <v>1850.5919863528361</v>
      </c>
      <c r="U48" s="23">
        <v>1945.3132163123096</v>
      </c>
      <c r="V48" s="23">
        <v>2238.9587000122792</v>
      </c>
      <c r="W48" s="23">
        <v>2243.4575975140392</v>
      </c>
      <c r="X48" s="23">
        <v>2089.3259619369114</v>
      </c>
      <c r="Y48" s="23">
        <v>2425.9240809006674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551.7701081321286</v>
      </c>
      <c r="E49" s="23">
        <v>682.14367380342026</v>
      </c>
      <c r="F49" s="23">
        <v>546.43031387217434</v>
      </c>
      <c r="G49" s="23">
        <v>506.83243727598568</v>
      </c>
      <c r="H49" s="23">
        <v>279.02672690653748</v>
      </c>
      <c r="I49" s="23">
        <v>384.44283028542128</v>
      </c>
      <c r="J49" s="23">
        <v>296.29859131656127</v>
      </c>
      <c r="K49" s="23">
        <v>301.73961616725853</v>
      </c>
      <c r="L49" s="23">
        <v>278.14151763952475</v>
      </c>
      <c r="M49" s="23">
        <v>212.80749707145645</v>
      </c>
      <c r="N49" s="23">
        <v>231.2263946577755</v>
      </c>
      <c r="O49" s="23">
        <v>166.99895566315391</v>
      </c>
      <c r="P49" s="23">
        <v>203.90750824449728</v>
      </c>
      <c r="Q49" s="23">
        <v>181.94267827447911</v>
      </c>
      <c r="R49" s="23">
        <v>196.52914601866777</v>
      </c>
      <c r="S49" s="23">
        <v>201.5</v>
      </c>
      <c r="T49" s="23">
        <v>224.20340772933125</v>
      </c>
      <c r="U49" s="23">
        <v>227.48805509428578</v>
      </c>
      <c r="V49" s="23">
        <v>253.36662437067659</v>
      </c>
      <c r="W49" s="23">
        <v>236.51153107958527</v>
      </c>
      <c r="X49" s="23">
        <v>220.53547063401422</v>
      </c>
      <c r="Y49" s="23">
        <v>225.16688253462189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449.19271219078655</v>
      </c>
      <c r="E50" s="23">
        <v>492.35175891492463</v>
      </c>
      <c r="F50" s="23">
        <v>432.12601352136238</v>
      </c>
      <c r="G50" s="23">
        <v>492.71953405017922</v>
      </c>
      <c r="H50" s="23">
        <v>617.27723041750585</v>
      </c>
      <c r="I50" s="23">
        <v>572.76533925824651</v>
      </c>
      <c r="J50" s="23">
        <v>693.70430040897259</v>
      </c>
      <c r="K50" s="23">
        <v>700.93364720903332</v>
      </c>
      <c r="L50" s="23">
        <v>683.31055312885314</v>
      </c>
      <c r="M50" s="23">
        <v>478.88659563786467</v>
      </c>
      <c r="N50" s="23">
        <v>480.53648290996767</v>
      </c>
      <c r="O50" s="23">
        <v>455.33086490078801</v>
      </c>
      <c r="P50" s="23">
        <v>437.34182069177086</v>
      </c>
      <c r="Q50" s="23">
        <v>352.24493788516088</v>
      </c>
      <c r="R50" s="23">
        <v>324.79551017971221</v>
      </c>
      <c r="S50" s="23">
        <v>372.7</v>
      </c>
      <c r="T50" s="23">
        <v>307.46735444040536</v>
      </c>
      <c r="U50" s="23">
        <v>381.72760521195204</v>
      </c>
      <c r="V50" s="23">
        <v>393.04572060087594</v>
      </c>
      <c r="W50" s="23">
        <v>456.36875082509926</v>
      </c>
      <c r="X50" s="23">
        <v>470.58347904306606</v>
      </c>
      <c r="Y50" s="23">
        <v>562.71794360864794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469.56006517552953</v>
      </c>
      <c r="E51" s="23">
        <v>487.17670987230872</v>
      </c>
      <c r="F51" s="23">
        <v>462.21220639825293</v>
      </c>
      <c r="G51" s="23">
        <v>485.99910394265231</v>
      </c>
      <c r="H51" s="23">
        <v>504.59964073811983</v>
      </c>
      <c r="I51" s="23">
        <v>575.22218424200992</v>
      </c>
      <c r="J51" s="23">
        <v>582.1663155285662</v>
      </c>
      <c r="K51" s="23">
        <v>559.19083908550454</v>
      </c>
      <c r="L51" s="23">
        <v>677.86242030910978</v>
      </c>
      <c r="M51" s="23">
        <v>568.41635521838566</v>
      </c>
      <c r="N51" s="23">
        <v>473.37835419551106</v>
      </c>
      <c r="O51" s="23">
        <v>393.43017184088103</v>
      </c>
      <c r="P51" s="23">
        <v>355.56791164966637</v>
      </c>
      <c r="Q51" s="23">
        <v>329.06191920179987</v>
      </c>
      <c r="R51" s="23">
        <v>346.18982227794692</v>
      </c>
      <c r="S51" s="23">
        <v>340.7</v>
      </c>
      <c r="T51" s="23">
        <v>327.36946853232058</v>
      </c>
      <c r="U51" s="23">
        <v>356.25872309212599</v>
      </c>
      <c r="V51" s="23">
        <v>359.37947689410993</v>
      </c>
      <c r="W51" s="23">
        <v>364.05918373564327</v>
      </c>
      <c r="X51" s="23">
        <v>339.1920437432409</v>
      </c>
      <c r="Y51" s="23">
        <v>365.84636843678391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483.3851775045672</v>
      </c>
      <c r="E52" s="23">
        <v>472.61436256634295</v>
      </c>
      <c r="F52" s="23">
        <v>520.29365982854358</v>
      </c>
      <c r="G52" s="23">
        <v>620.18369175627242</v>
      </c>
      <c r="H52" s="23">
        <v>629.36149365848348</v>
      </c>
      <c r="I52" s="23">
        <v>627.24320628952319</v>
      </c>
      <c r="J52" s="23">
        <v>682.96360556863715</v>
      </c>
      <c r="K52" s="23">
        <v>659.53796432988872</v>
      </c>
      <c r="L52" s="23">
        <v>555.90071016889215</v>
      </c>
      <c r="M52" s="23">
        <v>584.31416299436603</v>
      </c>
      <c r="N52" s="23">
        <v>297.43908526649903</v>
      </c>
      <c r="O52" s="23">
        <v>374.63210861103198</v>
      </c>
      <c r="P52" s="23">
        <v>150.31827594140657</v>
      </c>
      <c r="Q52" s="23">
        <v>312.53056832632296</v>
      </c>
      <c r="R52" s="23">
        <v>232.94923079984875</v>
      </c>
      <c r="S52" s="23">
        <v>396.3</v>
      </c>
      <c r="T52" s="23">
        <v>340.56985032797871</v>
      </c>
      <c r="U52" s="23">
        <v>401.49145773693698</v>
      </c>
      <c r="V52" s="23">
        <v>457.30833776759033</v>
      </c>
      <c r="W52" s="23">
        <v>455.55634539416894</v>
      </c>
      <c r="X52" s="23">
        <v>363.6510647759776</v>
      </c>
      <c r="Y52" s="23">
        <v>406.79485902161997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864.81015158247828</v>
      </c>
      <c r="E53" s="23">
        <v>989.63786691699352</v>
      </c>
      <c r="F53" s="23">
        <v>938.59628743350549</v>
      </c>
      <c r="G53" s="23">
        <v>853.71863799280618</v>
      </c>
      <c r="H53" s="23">
        <v>1031.4081977028982</v>
      </c>
      <c r="I53" s="23">
        <v>1127.1577508118353</v>
      </c>
      <c r="J53" s="23">
        <v>1258.6235386458393</v>
      </c>
      <c r="K53" s="23">
        <v>1027.2114272034596</v>
      </c>
      <c r="L53" s="23">
        <v>1321.3155807040785</v>
      </c>
      <c r="M53" s="23">
        <v>1215.0201744110545</v>
      </c>
      <c r="N53" s="23">
        <v>1087.9413786932564</v>
      </c>
      <c r="O53" s="23">
        <v>891.67378714517508</v>
      </c>
      <c r="P53" s="23">
        <v>863.56315668384013</v>
      </c>
      <c r="Q53" s="23">
        <v>853.27203364960769</v>
      </c>
      <c r="R53" s="23">
        <v>826.81553127549523</v>
      </c>
      <c r="S53" s="23">
        <v>955.80000000001746</v>
      </c>
      <c r="T53" s="23">
        <v>866.24966999045682</v>
      </c>
      <c r="U53" s="23">
        <v>742.16322497175497</v>
      </c>
      <c r="V53" s="23">
        <v>700.64671933200225</v>
      </c>
      <c r="W53" s="23">
        <v>764.27040914768077</v>
      </c>
      <c r="X53" s="23">
        <v>490.69647567744687</v>
      </c>
      <c r="Y53" s="23">
        <v>551.16070539004068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16753.197057226087</v>
      </c>
      <c r="E54" s="30">
        <f t="shared" ref="E54:S54" si="4">SUM(E41:E53)</f>
        <v>18204.980082078684</v>
      </c>
      <c r="F54" s="30">
        <f t="shared" si="4"/>
        <v>18676.439839230548</v>
      </c>
      <c r="G54" s="30">
        <f t="shared" si="4"/>
        <v>18344.870071684563</v>
      </c>
      <c r="H54" s="30">
        <f t="shared" si="4"/>
        <v>18444.940395188059</v>
      </c>
      <c r="I54" s="30">
        <f t="shared" si="4"/>
        <v>18274.653905315339</v>
      </c>
      <c r="J54" s="30">
        <f t="shared" si="4"/>
        <v>19030.858842483576</v>
      </c>
      <c r="K54" s="30">
        <f t="shared" si="4"/>
        <v>19645.69285400791</v>
      </c>
      <c r="L54" s="30">
        <f t="shared" si="4"/>
        <v>19669.097617158775</v>
      </c>
      <c r="M54" s="30">
        <f t="shared" si="4"/>
        <v>16870.735017943156</v>
      </c>
      <c r="N54" s="30">
        <f t="shared" si="4"/>
        <v>16578.320288585601</v>
      </c>
      <c r="O54" s="30">
        <f t="shared" si="4"/>
        <v>15385.834994778326</v>
      </c>
      <c r="P54" s="30">
        <f t="shared" si="4"/>
        <v>14073.644451261645</v>
      </c>
      <c r="Q54" s="30">
        <f t="shared" si="4"/>
        <v>13397.926244742242</v>
      </c>
      <c r="R54" s="30">
        <f t="shared" si="4"/>
        <v>13462.992815491467</v>
      </c>
      <c r="S54" s="30">
        <f t="shared" si="4"/>
        <v>14628.600000000019</v>
      </c>
      <c r="T54" s="30">
        <f t="shared" ref="T54:Y54" si="5">SUM(T41:T53)</f>
        <v>14351.658171036335</v>
      </c>
      <c r="U54" s="30">
        <f t="shared" si="5"/>
        <v>14612.414551900514</v>
      </c>
      <c r="V54" s="30">
        <f t="shared" si="5"/>
        <v>15015.963325283457</v>
      </c>
      <c r="W54" s="30">
        <f t="shared" si="5"/>
        <v>14547.134747595781</v>
      </c>
      <c r="X54" s="30">
        <f t="shared" si="5"/>
        <v>14263.652075479347</v>
      </c>
      <c r="Y54" s="30">
        <f t="shared" si="5"/>
        <v>15713.659459997993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3645.5093072631216</v>
      </c>
      <c r="E56" s="19">
        <v>4243.5402149450601</v>
      </c>
      <c r="F56" s="19">
        <v>4688.7995725205028</v>
      </c>
      <c r="G56" s="19">
        <v>4548.6111111111113</v>
      </c>
      <c r="H56" s="19">
        <v>4611.8338685972458</v>
      </c>
      <c r="I56" s="19">
        <v>4220.2187660229019</v>
      </c>
      <c r="J56" s="19">
        <v>4077.229726938489</v>
      </c>
      <c r="K56" s="19">
        <v>4514.8226469297369</v>
      </c>
      <c r="L56" s="19">
        <v>4584.8427210078089</v>
      </c>
      <c r="M56" s="19">
        <v>4379.5206485561821</v>
      </c>
      <c r="N56" s="19">
        <v>4869.2228721049605</v>
      </c>
      <c r="O56" s="19">
        <v>4881.0405392575713</v>
      </c>
      <c r="P56" s="19">
        <v>4967.3096096326408</v>
      </c>
      <c r="Q56" s="19">
        <v>4724.5426978382075</v>
      </c>
      <c r="R56" s="19">
        <v>4789.2411487252966</v>
      </c>
      <c r="S56" s="19">
        <v>4926.8</v>
      </c>
      <c r="T56" s="19">
        <v>5206.7382871996915</v>
      </c>
      <c r="U56" s="19">
        <v>5180.5743742295663</v>
      </c>
      <c r="V56" s="19">
        <v>5258.2784167655855</v>
      </c>
      <c r="W56" s="19">
        <v>5106.4758867913033</v>
      </c>
      <c r="X56" s="19">
        <v>5497.5187232795297</v>
      </c>
      <c r="Y56" s="19">
        <v>5805.5195775630164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1929.8375549301338</v>
      </c>
      <c r="E57" s="23">
        <v>1724.7355309239269</v>
      </c>
      <c r="F57" s="23">
        <v>1894.9654996166623</v>
      </c>
      <c r="G57" s="23">
        <v>1903.3378136200718</v>
      </c>
      <c r="H57" s="23">
        <v>1919.8737140057699</v>
      </c>
      <c r="I57" s="23">
        <v>1536.4894889762434</v>
      </c>
      <c r="J57" s="23">
        <v>1316.1482215887968</v>
      </c>
      <c r="K57" s="23">
        <v>1420.6200375054862</v>
      </c>
      <c r="L57" s="23">
        <v>1335.1748659472582</v>
      </c>
      <c r="M57" s="23">
        <v>1062.7359104516463</v>
      </c>
      <c r="N57" s="23">
        <v>859.63474706375439</v>
      </c>
      <c r="O57" s="23">
        <v>736.25747650242101</v>
      </c>
      <c r="P57" s="23">
        <v>657.83418973847688</v>
      </c>
      <c r="Q57" s="23">
        <v>614.39890443118452</v>
      </c>
      <c r="R57" s="23">
        <v>560.13294326029416</v>
      </c>
      <c r="S57" s="23">
        <v>569</v>
      </c>
      <c r="T57" s="23">
        <v>535.52933531000588</v>
      </c>
      <c r="U57" s="23">
        <v>539.83842541183174</v>
      </c>
      <c r="V57" s="23">
        <v>531.08755269943924</v>
      </c>
      <c r="W57" s="23">
        <v>479.3192042488804</v>
      </c>
      <c r="X57" s="23">
        <v>380.93409203464688</v>
      </c>
      <c r="Y57" s="23">
        <v>430.50712364252263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374.88273342220907</v>
      </c>
      <c r="E58" s="23">
        <v>362.85518287179121</v>
      </c>
      <c r="F58" s="23">
        <v>363.93838719420114</v>
      </c>
      <c r="G58" s="23">
        <v>389.11290322580646</v>
      </c>
      <c r="H58" s="23">
        <v>409.44967611997168</v>
      </c>
      <c r="I58" s="23">
        <v>395.55204238591693</v>
      </c>
      <c r="J58" s="23">
        <v>559.65216672863221</v>
      </c>
      <c r="K58" s="23">
        <v>433.7070582133025</v>
      </c>
      <c r="L58" s="23">
        <v>494.25078615600773</v>
      </c>
      <c r="M58" s="23">
        <v>449.78709953329246</v>
      </c>
      <c r="N58" s="23">
        <v>307.79953472163356</v>
      </c>
      <c r="O58" s="23">
        <v>225.57675875818856</v>
      </c>
      <c r="P58" s="23">
        <v>147.82575350870465</v>
      </c>
      <c r="Q58" s="23">
        <v>105.64413577227819</v>
      </c>
      <c r="R58" s="23">
        <v>95.329074372599365</v>
      </c>
      <c r="S58" s="23">
        <v>88.8</v>
      </c>
      <c r="T58" s="23">
        <v>88.645640827765476</v>
      </c>
      <c r="U58" s="23">
        <v>96.883627583818082</v>
      </c>
      <c r="V58" s="23">
        <v>98.235847898162163</v>
      </c>
      <c r="W58" s="23">
        <v>100.8398241142242</v>
      </c>
      <c r="X58" s="23">
        <v>116.5340960774603</v>
      </c>
      <c r="Y58" s="23">
        <v>122.24768357078808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375.12961042808467</v>
      </c>
      <c r="E59" s="23">
        <v>353.70858456391181</v>
      </c>
      <c r="F59" s="23">
        <v>443.50997839369933</v>
      </c>
      <c r="G59" s="23">
        <v>396.39336917562724</v>
      </c>
      <c r="H59" s="23">
        <v>382.34173425507589</v>
      </c>
      <c r="I59" s="23">
        <v>362.0107673901897</v>
      </c>
      <c r="J59" s="23">
        <v>350.72499690172265</v>
      </c>
      <c r="K59" s="23">
        <v>423.63244623548661</v>
      </c>
      <c r="L59" s="23">
        <v>395.41974518031407</v>
      </c>
      <c r="M59" s="23">
        <v>294.71374649039626</v>
      </c>
      <c r="N59" s="23">
        <v>317.02975332711708</v>
      </c>
      <c r="O59" s="23">
        <v>296.87648343302004</v>
      </c>
      <c r="P59" s="23">
        <v>276.86172252473352</v>
      </c>
      <c r="Q59" s="23">
        <v>290.61919201799867</v>
      </c>
      <c r="R59" s="23">
        <v>356.93673254124627</v>
      </c>
      <c r="S59" s="23">
        <v>356</v>
      </c>
      <c r="T59" s="23">
        <v>352.45019394407097</v>
      </c>
      <c r="U59" s="23">
        <v>358.7037357756293</v>
      </c>
      <c r="V59" s="23">
        <v>376.87773730097007</v>
      </c>
      <c r="W59" s="23">
        <v>365.379342560905</v>
      </c>
      <c r="X59" s="23">
        <v>397.91390828877815</v>
      </c>
      <c r="Y59" s="23">
        <v>396.83172262628273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904.55734952846512</v>
      </c>
      <c r="E60" s="23">
        <v>1185.0862307590473</v>
      </c>
      <c r="F60" s="23">
        <v>1258.8574216481195</v>
      </c>
      <c r="G60" s="23">
        <v>1173.1630824372762</v>
      </c>
      <c r="H60" s="23">
        <v>1234.663328071417</v>
      </c>
      <c r="I60" s="23">
        <v>1217.6337378225944</v>
      </c>
      <c r="J60" s="23">
        <v>1287.0244144255789</v>
      </c>
      <c r="K60" s="23">
        <v>1355.2846825998483</v>
      </c>
      <c r="L60" s="23">
        <v>720.10934498150505</v>
      </c>
      <c r="M60" s="23">
        <v>626.98722597199742</v>
      </c>
      <c r="N60" s="23">
        <v>502.38761266988786</v>
      </c>
      <c r="O60" s="23">
        <v>409.09522453242192</v>
      </c>
      <c r="P60" s="23">
        <v>364.57933890635786</v>
      </c>
      <c r="Q60" s="23">
        <v>317.12804460530162</v>
      </c>
      <c r="R60" s="23">
        <v>333.15421816227826</v>
      </c>
      <c r="S60" s="23">
        <v>298.40000000000009</v>
      </c>
      <c r="T60" s="23">
        <v>301.47641193314519</v>
      </c>
      <c r="U60" s="23">
        <v>302.06094194113632</v>
      </c>
      <c r="V60" s="23">
        <v>308.41963079693829</v>
      </c>
      <c r="W60" s="23">
        <v>306.98770221278926</v>
      </c>
      <c r="X60" s="23">
        <v>282.59265622947015</v>
      </c>
      <c r="Y60" s="23">
        <v>286.24090863803917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1270.6759492420877</v>
      </c>
      <c r="E61" s="23">
        <v>995.41466584828686</v>
      </c>
      <c r="F61" s="23">
        <v>1036.1731291963849</v>
      </c>
      <c r="G61" s="23">
        <v>436.71594982078852</v>
      </c>
      <c r="H61" s="23">
        <v>544.00958031680364</v>
      </c>
      <c r="I61" s="23">
        <v>456.86634763288328</v>
      </c>
      <c r="J61" s="23">
        <v>805.75866484901064</v>
      </c>
      <c r="K61" s="23">
        <v>1099.8284323504768</v>
      </c>
      <c r="L61" s="23">
        <v>1703.927434694092</v>
      </c>
      <c r="M61" s="23">
        <v>1271.7316524423125</v>
      </c>
      <c r="N61" s="23">
        <v>800.48599926534996</v>
      </c>
      <c r="O61" s="23">
        <v>1035.3175733409284</v>
      </c>
      <c r="P61" s="23">
        <v>1034.7802745609326</v>
      </c>
      <c r="Q61" s="23">
        <v>593.2700772767289</v>
      </c>
      <c r="R61" s="23">
        <v>699.54425139809337</v>
      </c>
      <c r="S61" s="23">
        <v>1157.7</v>
      </c>
      <c r="T61" s="23">
        <v>1010.5399971568409</v>
      </c>
      <c r="U61" s="23">
        <v>1075.7037052129708</v>
      </c>
      <c r="V61" s="23">
        <v>989.41918054930204</v>
      </c>
      <c r="W61" s="23">
        <v>524.91545905984378</v>
      </c>
      <c r="X61" s="23">
        <v>383.05656906641332</v>
      </c>
      <c r="Y61" s="23">
        <v>749.92527647703491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570.28588357280398</v>
      </c>
      <c r="E62" s="23">
        <v>643.02993103946267</v>
      </c>
      <c r="F62" s="23">
        <v>583.71860697442094</v>
      </c>
      <c r="G62" s="23">
        <v>675.73924731182785</v>
      </c>
      <c r="H62" s="23">
        <v>637.41766915246853</v>
      </c>
      <c r="I62" s="23">
        <v>636.64330883609637</v>
      </c>
      <c r="J62" s="23">
        <v>725.51328128227374</v>
      </c>
      <c r="K62" s="23">
        <v>679.18844511830196</v>
      </c>
      <c r="L62" s="23">
        <v>691.43496171969832</v>
      </c>
      <c r="M62" s="23">
        <v>573.99453338539638</v>
      </c>
      <c r="N62" s="23">
        <v>726.45587861320678</v>
      </c>
      <c r="O62" s="23">
        <v>695.43339979113262</v>
      </c>
      <c r="P62" s="23">
        <v>591.11128153999539</v>
      </c>
      <c r="Q62" s="23">
        <v>678.86139098112096</v>
      </c>
      <c r="R62" s="23">
        <v>725.71496805779452</v>
      </c>
      <c r="S62" s="23">
        <v>861.5</v>
      </c>
      <c r="T62" s="23">
        <v>850.0030462419528</v>
      </c>
      <c r="U62" s="23">
        <v>891.20712313695117</v>
      </c>
      <c r="V62" s="23">
        <v>871.53616307150753</v>
      </c>
      <c r="W62" s="23">
        <v>883.38935545784125</v>
      </c>
      <c r="X62" s="23">
        <v>961.48209539018205</v>
      </c>
      <c r="Y62" s="23">
        <v>956.06256849656268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617.43939169505757</v>
      </c>
      <c r="E63" s="23">
        <v>892.27473492917409</v>
      </c>
      <c r="F63" s="23">
        <v>815.34744325442</v>
      </c>
      <c r="G63" s="23">
        <v>844.98207885304657</v>
      </c>
      <c r="H63" s="23">
        <v>730.608023515323</v>
      </c>
      <c r="I63" s="23">
        <v>836.07502990941725</v>
      </c>
      <c r="J63" s="23">
        <v>763.10571322344776</v>
      </c>
      <c r="K63" s="23">
        <v>663.52790966763757</v>
      </c>
      <c r="L63" s="23">
        <v>554.1802471731836</v>
      </c>
      <c r="M63" s="23">
        <v>569.90386939625523</v>
      </c>
      <c r="N63" s="23">
        <v>960.41366449097222</v>
      </c>
      <c r="O63" s="23">
        <v>771.3851704167854</v>
      </c>
      <c r="P63" s="23">
        <v>748.33192729503799</v>
      </c>
      <c r="Q63" s="23">
        <v>918.22361342071792</v>
      </c>
      <c r="R63" s="23">
        <v>762.93112026588653</v>
      </c>
      <c r="S63" s="23">
        <v>770.9</v>
      </c>
      <c r="T63" s="23">
        <v>742.47070530655344</v>
      </c>
      <c r="U63" s="23">
        <v>724.94626065872717</v>
      </c>
      <c r="V63" s="23">
        <v>768.28619377020993</v>
      </c>
      <c r="W63" s="23">
        <v>843.27683730565741</v>
      </c>
      <c r="X63" s="23">
        <v>916.10151504431929</v>
      </c>
      <c r="Y63" s="23">
        <v>979.17704493374515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399.94074951858983</v>
      </c>
      <c r="E64" s="23">
        <v>512.81125512991787</v>
      </c>
      <c r="F64" s="23">
        <v>539.69286527426061</v>
      </c>
      <c r="G64" s="23">
        <v>551.97132616487454</v>
      </c>
      <c r="H64" s="23">
        <v>504.81737521093027</v>
      </c>
      <c r="I64" s="23">
        <v>481.43479747051788</v>
      </c>
      <c r="J64" s="23">
        <v>523.40232164250006</v>
      </c>
      <c r="K64" s="23">
        <v>527.27127638351362</v>
      </c>
      <c r="L64" s="23">
        <v>601.39739827762537</v>
      </c>
      <c r="M64" s="23">
        <v>513.93614845391494</v>
      </c>
      <c r="N64" s="23">
        <v>597.9863053695384</v>
      </c>
      <c r="O64" s="23">
        <v>573.05610937054973</v>
      </c>
      <c r="P64" s="23">
        <v>525.82636705268806</v>
      </c>
      <c r="Q64" s="23">
        <v>501.90746356255499</v>
      </c>
      <c r="R64" s="23">
        <v>528.0912293271241</v>
      </c>
      <c r="S64" s="23">
        <v>580.5</v>
      </c>
      <c r="T64" s="23">
        <v>583.76149956337201</v>
      </c>
      <c r="U64" s="23">
        <v>595.46246396153174</v>
      </c>
      <c r="V64" s="23">
        <v>587.88015226556422</v>
      </c>
      <c r="W64" s="23">
        <v>593.86837001005347</v>
      </c>
      <c r="X64" s="23">
        <v>617.64081624402422</v>
      </c>
      <c r="Y64" s="23">
        <v>637.83999202949087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1508.1716288944847</v>
      </c>
      <c r="E65" s="23">
        <v>1696.5736361338777</v>
      </c>
      <c r="F65" s="23">
        <v>1672.6296958855098</v>
      </c>
      <c r="G65" s="23">
        <v>1837.1415770609319</v>
      </c>
      <c r="H65" s="23">
        <v>1615.4809210168198</v>
      </c>
      <c r="I65" s="23">
        <v>1468.5523842078278</v>
      </c>
      <c r="J65" s="23">
        <v>1671.6239104391291</v>
      </c>
      <c r="K65" s="23">
        <v>1690.2405937038664</v>
      </c>
      <c r="L65" s="23">
        <v>1617.0440534108177</v>
      </c>
      <c r="M65" s="23">
        <v>1418.80961677916</v>
      </c>
      <c r="N65" s="23">
        <v>1270.0027313912201</v>
      </c>
      <c r="O65" s="23">
        <v>840.69116111269352</v>
      </c>
      <c r="P65" s="23">
        <v>690.90804509548275</v>
      </c>
      <c r="Q65" s="23">
        <v>697.64257067397034</v>
      </c>
      <c r="R65" s="23">
        <v>774.275081099369</v>
      </c>
      <c r="S65" s="23">
        <v>774.2</v>
      </c>
      <c r="T65" s="23">
        <v>763.59131617960645</v>
      </c>
      <c r="U65" s="23">
        <v>792.59161156898494</v>
      </c>
      <c r="V65" s="23">
        <v>823.23687118824432</v>
      </c>
      <c r="W65" s="23">
        <v>822.45894813806831</v>
      </c>
      <c r="X65" s="23">
        <v>735.89310801386671</v>
      </c>
      <c r="Y65" s="23">
        <v>811.69672212812577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1255.246136374858</v>
      </c>
      <c r="E66" s="23">
        <v>1148.1387875943244</v>
      </c>
      <c r="F66" s="23">
        <v>1133.0529935181098</v>
      </c>
      <c r="G66" s="23">
        <v>1191.9802867383512</v>
      </c>
      <c r="H66" s="23">
        <v>1195.2533884927332</v>
      </c>
      <c r="I66" s="23">
        <v>1317.0825499914545</v>
      </c>
      <c r="J66" s="23">
        <v>1557.8138554963439</v>
      </c>
      <c r="K66" s="23">
        <v>1707.3973586561865</v>
      </c>
      <c r="L66" s="23">
        <v>1681.7525783049616</v>
      </c>
      <c r="M66" s="23">
        <v>1085.3275320280397</v>
      </c>
      <c r="N66" s="23">
        <v>1306.7352340048787</v>
      </c>
      <c r="O66" s="23">
        <v>1442.7038830342733</v>
      </c>
      <c r="P66" s="23">
        <v>1059.3220338983051</v>
      </c>
      <c r="Q66" s="23">
        <v>851.90257263034334</v>
      </c>
      <c r="R66" s="23">
        <v>909.30801838915761</v>
      </c>
      <c r="S66" s="23">
        <v>938.7</v>
      </c>
      <c r="T66" s="23">
        <v>889.50265023049894</v>
      </c>
      <c r="U66" s="23">
        <v>1025.3771941441946</v>
      </c>
      <c r="V66" s="23">
        <v>1248.8232164053868</v>
      </c>
      <c r="W66" s="23">
        <v>1281.8742193291562</v>
      </c>
      <c r="X66" s="23">
        <v>1131.1791875966485</v>
      </c>
      <c r="Y66" s="23">
        <v>1266.5138985752715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1082.8025477707006</v>
      </c>
      <c r="E67" s="23">
        <v>1322.8869552659128</v>
      </c>
      <c r="F67" s="23">
        <v>1346.0957647004157</v>
      </c>
      <c r="G67" s="23">
        <v>1436.2679211469533</v>
      </c>
      <c r="H67" s="23">
        <v>1597.5178270099616</v>
      </c>
      <c r="I67" s="23">
        <v>2059.2633737822594</v>
      </c>
      <c r="J67" s="23">
        <v>1879.1052174990705</v>
      </c>
      <c r="K67" s="23">
        <v>1881.5584726489246</v>
      </c>
      <c r="L67" s="23">
        <v>1773.032698355046</v>
      </c>
      <c r="M67" s="23">
        <v>1563.8422491214367</v>
      </c>
      <c r="N67" s="23">
        <v>1489.6442598400722</v>
      </c>
      <c r="O67" s="23">
        <v>1196.3353270673122</v>
      </c>
      <c r="P67" s="23">
        <v>998.25523429710893</v>
      </c>
      <c r="Q67" s="23">
        <v>1074.7334441944636</v>
      </c>
      <c r="R67" s="23">
        <v>1001.0547893406571</v>
      </c>
      <c r="S67" s="23">
        <v>1039.0999999999999</v>
      </c>
      <c r="T67" s="23">
        <v>961.08933612233716</v>
      </c>
      <c r="U67" s="23">
        <v>919.93602216811496</v>
      </c>
      <c r="V67" s="23">
        <v>990.13548360689242</v>
      </c>
      <c r="W67" s="23">
        <v>961.58337818488303</v>
      </c>
      <c r="X67" s="23">
        <v>958.14677434026294</v>
      </c>
      <c r="Y67" s="23">
        <v>1159.4101823253959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551.7701081321286</v>
      </c>
      <c r="E68" s="23">
        <v>682.14367380342026</v>
      </c>
      <c r="F68" s="23">
        <v>546.43031387217434</v>
      </c>
      <c r="G68" s="23">
        <v>506.83243727598568</v>
      </c>
      <c r="H68" s="23">
        <v>279.02672690653748</v>
      </c>
      <c r="I68" s="23">
        <v>384.44283028542128</v>
      </c>
      <c r="J68" s="23">
        <v>296.29859131656127</v>
      </c>
      <c r="K68" s="23">
        <v>301.73961616725853</v>
      </c>
      <c r="L68" s="23">
        <v>278.14151763952475</v>
      </c>
      <c r="M68" s="23">
        <v>212.80749707145645</v>
      </c>
      <c r="N68" s="23">
        <v>231.2263946577755</v>
      </c>
      <c r="O68" s="23">
        <v>166.99895566315391</v>
      </c>
      <c r="P68" s="23">
        <v>203.90750824449728</v>
      </c>
      <c r="Q68" s="23">
        <v>181.94267827447911</v>
      </c>
      <c r="R68" s="23">
        <v>196.52914601866777</v>
      </c>
      <c r="S68" s="23">
        <v>201.5</v>
      </c>
      <c r="T68" s="23">
        <v>224.20340772933125</v>
      </c>
      <c r="U68" s="23">
        <v>227.48805509428578</v>
      </c>
      <c r="V68" s="23">
        <v>253.36662437067659</v>
      </c>
      <c r="W68" s="23">
        <v>236.51153107958527</v>
      </c>
      <c r="X68" s="23">
        <v>220.53547063401422</v>
      </c>
      <c r="Y68" s="23">
        <v>225.16688253462189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449.19271219078655</v>
      </c>
      <c r="E69" s="23">
        <v>492.35175891492463</v>
      </c>
      <c r="F69" s="23">
        <v>432.12601352136238</v>
      </c>
      <c r="G69" s="23">
        <v>492.71953405017922</v>
      </c>
      <c r="H69" s="23">
        <v>617.27723041750585</v>
      </c>
      <c r="I69" s="23">
        <v>572.76533925824651</v>
      </c>
      <c r="J69" s="23">
        <v>693.70430040897259</v>
      </c>
      <c r="K69" s="23">
        <v>700.93364720903332</v>
      </c>
      <c r="L69" s="23">
        <v>683.31055312885314</v>
      </c>
      <c r="M69" s="23">
        <v>478.88659563786467</v>
      </c>
      <c r="N69" s="23">
        <v>480.53648290996767</v>
      </c>
      <c r="O69" s="23">
        <v>455.33086490078801</v>
      </c>
      <c r="P69" s="23">
        <v>437.34182069177086</v>
      </c>
      <c r="Q69" s="23">
        <v>352.24493788516088</v>
      </c>
      <c r="R69" s="23">
        <v>324.79551017971221</v>
      </c>
      <c r="S69" s="23">
        <v>372.7</v>
      </c>
      <c r="T69" s="23">
        <v>307.46735444040536</v>
      </c>
      <c r="U69" s="23">
        <v>381.72760521195204</v>
      </c>
      <c r="V69" s="23">
        <v>393.04572060087594</v>
      </c>
      <c r="W69" s="23">
        <v>456.36875082509926</v>
      </c>
      <c r="X69" s="23">
        <v>470.58347904306606</v>
      </c>
      <c r="Y69" s="23">
        <v>562.71794360864794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469.56006517552953</v>
      </c>
      <c r="E70" s="23">
        <v>487.17670987230872</v>
      </c>
      <c r="F70" s="23">
        <v>462.21220639825293</v>
      </c>
      <c r="G70" s="23">
        <v>485.99910394265231</v>
      </c>
      <c r="H70" s="23">
        <v>504.59964073811983</v>
      </c>
      <c r="I70" s="23">
        <v>575.22218424200992</v>
      </c>
      <c r="J70" s="23">
        <v>582.1663155285662</v>
      </c>
      <c r="K70" s="23">
        <v>559.19083908550454</v>
      </c>
      <c r="L70" s="23">
        <v>677.86242030910978</v>
      </c>
      <c r="M70" s="23">
        <v>568.41635521838566</v>
      </c>
      <c r="N70" s="23">
        <v>473.37835419551106</v>
      </c>
      <c r="O70" s="23">
        <v>393.43017184088103</v>
      </c>
      <c r="P70" s="23">
        <v>355.56791164966637</v>
      </c>
      <c r="Q70" s="23">
        <v>329.06191920179987</v>
      </c>
      <c r="R70" s="23">
        <v>346.18982227794692</v>
      </c>
      <c r="S70" s="23">
        <v>340.7</v>
      </c>
      <c r="T70" s="23">
        <v>327.36946853232058</v>
      </c>
      <c r="U70" s="23">
        <v>356.25872309212599</v>
      </c>
      <c r="V70" s="23">
        <v>359.37947689410993</v>
      </c>
      <c r="W70" s="23">
        <v>364.05918373564327</v>
      </c>
      <c r="X70" s="23">
        <v>339.1920437432409</v>
      </c>
      <c r="Y70" s="23">
        <v>365.84636843678391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232.8050165407594</v>
      </c>
      <c r="E71" s="23">
        <v>179.92321671420493</v>
      </c>
      <c r="F71" s="23">
        <v>128.24384917408173</v>
      </c>
      <c r="G71" s="23">
        <v>214.15770609318997</v>
      </c>
      <c r="H71" s="23">
        <v>259.43062435360076</v>
      </c>
      <c r="I71" s="23">
        <v>191.84754742779012</v>
      </c>
      <c r="J71" s="23">
        <v>97.389184946503079</v>
      </c>
      <c r="K71" s="23">
        <v>119.29936559869131</v>
      </c>
      <c r="L71" s="23">
        <v>151.59190617741797</v>
      </c>
      <c r="M71" s="23">
        <v>104.21896208698239</v>
      </c>
      <c r="N71" s="23">
        <v>103.32193683893269</v>
      </c>
      <c r="O71" s="23">
        <v>62.755150479445547</v>
      </c>
      <c r="P71" s="23">
        <v>58.670143415906132</v>
      </c>
      <c r="Q71" s="23">
        <v>75.907267925266538</v>
      </c>
      <c r="R71" s="23">
        <v>47.366011901208033</v>
      </c>
      <c r="S71" s="23">
        <v>45.2</v>
      </c>
      <c r="T71" s="23">
        <v>41.124266363396359</v>
      </c>
      <c r="U71" s="23">
        <v>50.428386597255468</v>
      </c>
      <c r="V71" s="23">
        <v>49.424910973762842</v>
      </c>
      <c r="W71" s="23">
        <v>49.759832644481229</v>
      </c>
      <c r="X71" s="23">
        <v>46.997705703398992</v>
      </c>
      <c r="Y71" s="23">
        <v>56.590614725515593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250.5801609638078</v>
      </c>
      <c r="E72" s="23">
        <v>292.69114585213799</v>
      </c>
      <c r="F72" s="23">
        <v>392.04981065446185</v>
      </c>
      <c r="G72" s="23">
        <v>406.02598566308245</v>
      </c>
      <c r="H72" s="23">
        <v>369.93086930488272</v>
      </c>
      <c r="I72" s="23">
        <v>435.39565886173307</v>
      </c>
      <c r="J72" s="23">
        <v>585.57442062213408</v>
      </c>
      <c r="K72" s="23">
        <v>540.23859873119738</v>
      </c>
      <c r="L72" s="23">
        <v>404.30880399147418</v>
      </c>
      <c r="M72" s="23">
        <v>480.09520090738363</v>
      </c>
      <c r="N72" s="23">
        <v>194.11714842756635</v>
      </c>
      <c r="O72" s="23">
        <v>311.87695813158643</v>
      </c>
      <c r="P72" s="23">
        <v>91.648132525500444</v>
      </c>
      <c r="Q72" s="23">
        <v>236.62330040105644</v>
      </c>
      <c r="R72" s="23">
        <v>185.58321889864072</v>
      </c>
      <c r="S72" s="23">
        <v>351.1</v>
      </c>
      <c r="T72" s="23">
        <v>299.44558396458234</v>
      </c>
      <c r="U72" s="23">
        <v>351.06307113968148</v>
      </c>
      <c r="V72" s="23">
        <v>407.88342679382748</v>
      </c>
      <c r="W72" s="23">
        <v>405.79651274968774</v>
      </c>
      <c r="X72" s="23">
        <v>316.65335907257861</v>
      </c>
      <c r="Y72" s="23">
        <v>350.20424429610438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673.72734903471087</v>
      </c>
      <c r="E73" s="23">
        <v>767.95320792865664</v>
      </c>
      <c r="F73" s="23">
        <v>656.43658666914484</v>
      </c>
      <c r="G73" s="23">
        <v>579.41308243727588</v>
      </c>
      <c r="H73" s="23">
        <v>760.98198247237485</v>
      </c>
      <c r="I73" s="23">
        <v>802.74739360793023</v>
      </c>
      <c r="J73" s="23">
        <v>976.88685091089349</v>
      </c>
      <c r="K73" s="23">
        <v>743.62606232294615</v>
      </c>
      <c r="L73" s="23">
        <v>892.25122582988445</v>
      </c>
      <c r="M73" s="23">
        <v>862.38634461984714</v>
      </c>
      <c r="N73" s="23">
        <v>618.3304606632571</v>
      </c>
      <c r="O73" s="23">
        <v>491.31301623469096</v>
      </c>
      <c r="P73" s="23">
        <v>396.02346805736636</v>
      </c>
      <c r="Q73" s="23">
        <v>293.2602954123056</v>
      </c>
      <c r="R73" s="23">
        <v>279.51917527414571</v>
      </c>
      <c r="S73" s="23">
        <v>291</v>
      </c>
      <c r="T73" s="23">
        <v>294.97776243374426</v>
      </c>
      <c r="U73" s="23">
        <v>299.92155584307091</v>
      </c>
      <c r="V73" s="23">
        <v>326.73652326961644</v>
      </c>
      <c r="W73" s="23">
        <v>332.17227057162881</v>
      </c>
      <c r="X73" s="23">
        <v>299.67354281844734</v>
      </c>
      <c r="Y73" s="23">
        <v>308.45870279964134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191.08280254776741</v>
      </c>
      <c r="E74" s="23">
        <v>221.68465898833688</v>
      </c>
      <c r="F74" s="23">
        <v>282.15970076436065</v>
      </c>
      <c r="G74" s="23">
        <v>274.3055555555303</v>
      </c>
      <c r="H74" s="23">
        <v>270.42621523052333</v>
      </c>
      <c r="I74" s="23">
        <v>324.41035720390505</v>
      </c>
      <c r="J74" s="23">
        <v>281.7366877349458</v>
      </c>
      <c r="K74" s="23">
        <v>283.58536488051345</v>
      </c>
      <c r="L74" s="23">
        <v>429.06435487419401</v>
      </c>
      <c r="M74" s="23">
        <v>352.6338297912074</v>
      </c>
      <c r="N74" s="23">
        <v>469.61091802999931</v>
      </c>
      <c r="O74" s="23">
        <v>400.36077091048412</v>
      </c>
      <c r="P74" s="23">
        <v>467.53968862647378</v>
      </c>
      <c r="Q74" s="23">
        <v>560.0117382373021</v>
      </c>
      <c r="R74" s="23">
        <v>547.29635600134952</v>
      </c>
      <c r="S74" s="23">
        <v>664.80000000001746</v>
      </c>
      <c r="T74" s="23">
        <v>571.27190755671256</v>
      </c>
      <c r="U74" s="23">
        <v>442.24166912868407</v>
      </c>
      <c r="V74" s="23">
        <v>373.91019606238581</v>
      </c>
      <c r="W74" s="23">
        <v>432.09813857605195</v>
      </c>
      <c r="X74" s="23">
        <v>191.02293285899952</v>
      </c>
      <c r="Y74" s="23">
        <v>242.70200259039933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16753.197057226087</v>
      </c>
      <c r="E75" s="30">
        <f t="shared" ref="E75:S75" si="6">SUM(E56:E74)</f>
        <v>18204.980082078684</v>
      </c>
      <c r="F75" s="30">
        <f t="shared" si="6"/>
        <v>18676.439839230548</v>
      </c>
      <c r="G75" s="30">
        <f t="shared" si="6"/>
        <v>18344.870071684563</v>
      </c>
      <c r="H75" s="30">
        <f t="shared" si="6"/>
        <v>18444.940395188067</v>
      </c>
      <c r="I75" s="30">
        <f t="shared" si="6"/>
        <v>18274.653905315339</v>
      </c>
      <c r="J75" s="30">
        <f t="shared" si="6"/>
        <v>19030.858842483576</v>
      </c>
      <c r="K75" s="30">
        <f t="shared" si="6"/>
        <v>19645.69285400791</v>
      </c>
      <c r="L75" s="30">
        <f t="shared" si="6"/>
        <v>19669.097617158779</v>
      </c>
      <c r="M75" s="30">
        <f t="shared" si="6"/>
        <v>16870.73501794316</v>
      </c>
      <c r="N75" s="30">
        <f t="shared" si="6"/>
        <v>16578.320288585601</v>
      </c>
      <c r="O75" s="30">
        <f t="shared" si="6"/>
        <v>15385.834994778326</v>
      </c>
      <c r="P75" s="30">
        <f t="shared" si="6"/>
        <v>14073.644451261647</v>
      </c>
      <c r="Q75" s="30">
        <f t="shared" si="6"/>
        <v>13397.926244742242</v>
      </c>
      <c r="R75" s="30">
        <f t="shared" si="6"/>
        <v>13462.992815491467</v>
      </c>
      <c r="S75" s="30">
        <f t="shared" si="6"/>
        <v>14628.600000000022</v>
      </c>
      <c r="T75" s="30">
        <f t="shared" ref="T75:Y75" si="7">SUM(T56:T74)</f>
        <v>14351.658171036333</v>
      </c>
      <c r="U75" s="30">
        <f t="shared" si="7"/>
        <v>14612.414551900514</v>
      </c>
      <c r="V75" s="30">
        <f t="shared" si="7"/>
        <v>15015.963325283457</v>
      </c>
      <c r="W75" s="30">
        <f t="shared" si="7"/>
        <v>14547.134747595781</v>
      </c>
      <c r="X75" s="30">
        <f t="shared" si="7"/>
        <v>14263.652075479346</v>
      </c>
      <c r="Y75" s="30">
        <f t="shared" si="7"/>
        <v>15713.659459997993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10775627</v>
      </c>
      <c r="E3" s="42">
        <v>10835989</v>
      </c>
      <c r="F3" s="42">
        <v>10888274</v>
      </c>
      <c r="G3" s="42">
        <v>10915770</v>
      </c>
      <c r="H3" s="42">
        <v>10940369</v>
      </c>
      <c r="I3" s="42">
        <v>10969912</v>
      </c>
      <c r="J3" s="42">
        <v>11004716</v>
      </c>
      <c r="K3" s="42">
        <v>11036008</v>
      </c>
      <c r="L3" s="42">
        <v>11060937</v>
      </c>
      <c r="M3" s="42">
        <v>11094745</v>
      </c>
      <c r="N3" s="42">
        <v>11119289</v>
      </c>
      <c r="O3" s="42">
        <v>11123392</v>
      </c>
      <c r="P3" s="42">
        <v>11086406</v>
      </c>
      <c r="Q3" s="42">
        <v>11003615</v>
      </c>
      <c r="R3" s="42">
        <v>10926807</v>
      </c>
      <c r="S3" s="42">
        <v>10858018</v>
      </c>
      <c r="T3" s="42">
        <v>10783748</v>
      </c>
      <c r="U3" s="42">
        <v>10768193</v>
      </c>
      <c r="V3" s="42">
        <v>10741165</v>
      </c>
      <c r="W3" s="42">
        <v>10724599</v>
      </c>
      <c r="X3" s="42">
        <v>10718565</v>
      </c>
      <c r="Y3" s="42">
        <v>10678632</v>
      </c>
    </row>
    <row r="4" spans="1:25" x14ac:dyDescent="0.25">
      <c r="A4" s="43" t="s">
        <v>239</v>
      </c>
      <c r="B4" s="44"/>
      <c r="C4" s="44"/>
      <c r="D4" s="45">
        <v>3924038</v>
      </c>
      <c r="E4" s="45">
        <v>3962882</v>
      </c>
      <c r="F4" s="45">
        <v>3999094</v>
      </c>
      <c r="G4" s="45">
        <v>4026474</v>
      </c>
      <c r="H4" s="45">
        <v>4119115</v>
      </c>
      <c r="I4" s="45">
        <v>4117835</v>
      </c>
      <c r="J4" s="45">
        <v>4110839</v>
      </c>
      <c r="K4" s="45">
        <v>4122528</v>
      </c>
      <c r="L4" s="45">
        <v>4152003</v>
      </c>
      <c r="M4" s="45">
        <v>4186696</v>
      </c>
      <c r="N4" s="45">
        <v>4197542</v>
      </c>
      <c r="O4" s="45">
        <v>4211811</v>
      </c>
      <c r="P4" s="45">
        <v>4220177</v>
      </c>
      <c r="Q4" s="45">
        <v>4284897</v>
      </c>
      <c r="R4" s="45">
        <v>4330879</v>
      </c>
      <c r="S4" s="45">
        <v>4276494</v>
      </c>
      <c r="T4" s="45">
        <v>4242230</v>
      </c>
      <c r="U4" s="45">
        <v>4244459</v>
      </c>
      <c r="V4" s="45">
        <v>4218839</v>
      </c>
      <c r="W4" s="45">
        <v>4205725</v>
      </c>
      <c r="X4" s="45">
        <v>4203359</v>
      </c>
      <c r="Y4" s="45">
        <v>4182778</v>
      </c>
    </row>
    <row r="5" spans="1:25" x14ac:dyDescent="0.25">
      <c r="A5" s="46" t="s">
        <v>240</v>
      </c>
      <c r="B5" s="47"/>
      <c r="C5" s="47"/>
      <c r="D5" s="48">
        <f>D3/D4</f>
        <v>2.7460557211729344</v>
      </c>
      <c r="E5" s="48">
        <f t="shared" ref="E5:S5" si="0">E3/E4</f>
        <v>2.7343708442492107</v>
      </c>
      <c r="F5" s="48">
        <f t="shared" si="0"/>
        <v>2.7226851881951264</v>
      </c>
      <c r="G5" s="48">
        <f t="shared" si="0"/>
        <v>2.7109997481667585</v>
      </c>
      <c r="H5" s="48">
        <f t="shared" si="0"/>
        <v>2.6559998931809381</v>
      </c>
      <c r="I5" s="48">
        <f t="shared" si="0"/>
        <v>2.663999893147734</v>
      </c>
      <c r="J5" s="48">
        <f t="shared" si="0"/>
        <v>2.676999999270222</v>
      </c>
      <c r="K5" s="48">
        <f t="shared" si="0"/>
        <v>2.6770001319578665</v>
      </c>
      <c r="L5" s="48">
        <f t="shared" si="0"/>
        <v>2.664000242774391</v>
      </c>
      <c r="M5" s="48">
        <f t="shared" si="0"/>
        <v>2.650000143311098</v>
      </c>
      <c r="N5" s="48">
        <f t="shared" si="0"/>
        <v>2.6490000576527883</v>
      </c>
      <c r="O5" s="48">
        <f t="shared" si="0"/>
        <v>2.6409997979491484</v>
      </c>
      <c r="P5" s="48">
        <f t="shared" si="0"/>
        <v>2.6270002419329805</v>
      </c>
      <c r="Q5" s="48">
        <f t="shared" si="0"/>
        <v>2.5679998842445921</v>
      </c>
      <c r="R5" s="48">
        <f t="shared" si="0"/>
        <v>2.5229998344446938</v>
      </c>
      <c r="S5" s="48">
        <f t="shared" si="0"/>
        <v>2.5389999377995154</v>
      </c>
      <c r="T5" s="48">
        <f t="shared" ref="T5:Y5" si="1">T3/T4</f>
        <v>2.541999844421448</v>
      </c>
      <c r="U5" s="48">
        <f t="shared" si="1"/>
        <v>2.5370001218058649</v>
      </c>
      <c r="V5" s="48">
        <f t="shared" si="1"/>
        <v>2.5460002147510252</v>
      </c>
      <c r="W5" s="48">
        <f t="shared" si="1"/>
        <v>2.5500000594427834</v>
      </c>
      <c r="X5" s="48">
        <f t="shared" si="1"/>
        <v>2.549999892942763</v>
      </c>
      <c r="Y5" s="48">
        <f t="shared" si="1"/>
        <v>2.5529999440563187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1661.02</v>
      </c>
      <c r="E8" s="42">
        <v>1593.33</v>
      </c>
      <c r="F8" s="42">
        <v>1549.11</v>
      </c>
      <c r="G8" s="42">
        <v>1747.33</v>
      </c>
      <c r="H8" s="42">
        <v>1594.93</v>
      </c>
      <c r="I8" s="42">
        <v>1691.44</v>
      </c>
      <c r="J8" s="42">
        <v>1749.23</v>
      </c>
      <c r="K8" s="42">
        <v>1546.7</v>
      </c>
      <c r="L8" s="42">
        <v>1498.82</v>
      </c>
      <c r="M8" s="42">
        <v>1496.91</v>
      </c>
      <c r="N8" s="42">
        <v>1390.85</v>
      </c>
      <c r="O8" s="42">
        <v>1796.64</v>
      </c>
      <c r="P8" s="42">
        <v>1654.99</v>
      </c>
      <c r="Q8" s="42">
        <v>1439.27</v>
      </c>
      <c r="R8" s="42">
        <v>1397.47</v>
      </c>
      <c r="S8" s="42">
        <v>1572.95</v>
      </c>
      <c r="T8" s="42">
        <v>1458.36</v>
      </c>
      <c r="U8" s="42">
        <v>1612.13</v>
      </c>
      <c r="V8" s="42">
        <v>1371.74</v>
      </c>
      <c r="W8" s="42">
        <v>1448.99</v>
      </c>
      <c r="X8" s="42">
        <v>1489.06</v>
      </c>
      <c r="Y8" s="42">
        <v>1535.61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1560.0604761904765</v>
      </c>
      <c r="E9" s="45">
        <f t="shared" si="2"/>
        <v>1560.0604761904765</v>
      </c>
      <c r="F9" s="45">
        <f t="shared" si="2"/>
        <v>1560.0604761904765</v>
      </c>
      <c r="G9" s="45">
        <f t="shared" si="2"/>
        <v>1560.0604761904765</v>
      </c>
      <c r="H9" s="45">
        <f t="shared" si="2"/>
        <v>1560.0604761904765</v>
      </c>
      <c r="I9" s="45">
        <f t="shared" si="2"/>
        <v>1560.0604761904765</v>
      </c>
      <c r="J9" s="45">
        <f t="shared" si="2"/>
        <v>1560.0604761904765</v>
      </c>
      <c r="K9" s="45">
        <f t="shared" si="2"/>
        <v>1560.0604761904765</v>
      </c>
      <c r="L9" s="45">
        <f t="shared" si="2"/>
        <v>1560.0604761904765</v>
      </c>
      <c r="M9" s="45">
        <f t="shared" si="2"/>
        <v>1560.0604761904765</v>
      </c>
      <c r="N9" s="45">
        <f t="shared" si="2"/>
        <v>1560.0604761904765</v>
      </c>
      <c r="O9" s="45">
        <f t="shared" si="2"/>
        <v>1560.0604761904765</v>
      </c>
      <c r="P9" s="45">
        <f t="shared" si="2"/>
        <v>1560.0604761904765</v>
      </c>
      <c r="Q9" s="45">
        <f t="shared" si="2"/>
        <v>1560.0604761904765</v>
      </c>
      <c r="R9" s="45">
        <f t="shared" si="2"/>
        <v>1560.0604761904765</v>
      </c>
      <c r="S9" s="45">
        <f t="shared" si="2"/>
        <v>1560.0604761904765</v>
      </c>
      <c r="T9" s="45">
        <f t="shared" si="2"/>
        <v>1560.0604761904765</v>
      </c>
      <c r="U9" s="45">
        <f t="shared" si="2"/>
        <v>1560.0604761904765</v>
      </c>
      <c r="V9" s="45">
        <f t="shared" si="2"/>
        <v>1560.0604761904765</v>
      </c>
      <c r="W9" s="45">
        <f t="shared" si="2"/>
        <v>1560.0604761904765</v>
      </c>
      <c r="X9" s="45">
        <f>AVERAGE($D8:$X8)</f>
        <v>1560.0604761904765</v>
      </c>
      <c r="Y9" s="45">
        <f t="shared" ref="Y9" si="3">AVERAGE($D8:$X8)</f>
        <v>1560.0604761904765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1.0647151346696875</v>
      </c>
      <c r="E10" s="53">
        <f t="shared" si="4"/>
        <v>1.0213257910941789</v>
      </c>
      <c r="F10" s="53">
        <f t="shared" si="4"/>
        <v>0.99298073609478488</v>
      </c>
      <c r="G10" s="53">
        <f t="shared" si="4"/>
        <v>1.1200399129826162</v>
      </c>
      <c r="H10" s="53">
        <f t="shared" si="4"/>
        <v>1.0223513923605525</v>
      </c>
      <c r="I10" s="53">
        <f t="shared" si="4"/>
        <v>1.0842143787466112</v>
      </c>
      <c r="J10" s="53">
        <f t="shared" si="4"/>
        <v>1.1212578144864345</v>
      </c>
      <c r="K10" s="53">
        <f t="shared" si="4"/>
        <v>0.99143592418731008</v>
      </c>
      <c r="L10" s="53">
        <f t="shared" si="4"/>
        <v>0.96074480629108683</v>
      </c>
      <c r="M10" s="53">
        <f t="shared" si="4"/>
        <v>0.95952049477935364</v>
      </c>
      <c r="N10" s="53">
        <f t="shared" si="4"/>
        <v>0.89153595083462855</v>
      </c>
      <c r="O10" s="53">
        <f t="shared" si="4"/>
        <v>1.1516476620106606</v>
      </c>
      <c r="P10" s="53">
        <f t="shared" si="4"/>
        <v>1.0608498998970428</v>
      </c>
      <c r="Q10" s="53">
        <f t="shared" si="4"/>
        <v>0.9225732091582528</v>
      </c>
      <c r="R10" s="53">
        <f t="shared" si="4"/>
        <v>0.89577937607424851</v>
      </c>
      <c r="S10" s="53">
        <f t="shared" si="4"/>
        <v>1.0082621949637482</v>
      </c>
      <c r="T10" s="53">
        <f t="shared" ref="T10:Y10" si="5">IF(T8=0,0,T8/T9)</f>
        <v>0.93480991426767013</v>
      </c>
      <c r="U10" s="53">
        <f t="shared" si="5"/>
        <v>1.0333766059740661</v>
      </c>
      <c r="V10" s="53">
        <f t="shared" si="5"/>
        <v>0.87928642570938165</v>
      </c>
      <c r="W10" s="53">
        <f t="shared" si="5"/>
        <v>0.92880373685147111</v>
      </c>
      <c r="X10" s="53">
        <f t="shared" si="5"/>
        <v>0.95448863856620925</v>
      </c>
      <c r="Y10" s="53">
        <f t="shared" si="5"/>
        <v>0.98432722540975948</v>
      </c>
    </row>
    <row r="11" spans="1:25" x14ac:dyDescent="0.25">
      <c r="A11" s="43" t="s">
        <v>251</v>
      </c>
      <c r="B11" s="44"/>
      <c r="C11" s="44"/>
      <c r="D11" s="45">
        <v>281.39</v>
      </c>
      <c r="E11" s="45">
        <v>332.57</v>
      </c>
      <c r="F11" s="45">
        <v>283.76</v>
      </c>
      <c r="G11" s="45">
        <v>355.85</v>
      </c>
      <c r="H11" s="45">
        <v>241.42</v>
      </c>
      <c r="I11" s="45">
        <v>250.74</v>
      </c>
      <c r="J11" s="45">
        <v>290.58999999999997</v>
      </c>
      <c r="K11" s="45">
        <v>387.84</v>
      </c>
      <c r="L11" s="45">
        <v>375.59</v>
      </c>
      <c r="M11" s="45">
        <v>285.95</v>
      </c>
      <c r="N11" s="45">
        <v>351.4</v>
      </c>
      <c r="O11" s="45">
        <v>321.06</v>
      </c>
      <c r="P11" s="45">
        <v>448.68</v>
      </c>
      <c r="Q11" s="45">
        <v>324.20999999999998</v>
      </c>
      <c r="R11" s="45">
        <v>272.79000000000002</v>
      </c>
      <c r="S11" s="45">
        <v>331.25</v>
      </c>
      <c r="T11" s="45">
        <v>353.94</v>
      </c>
      <c r="U11" s="45">
        <v>353.74</v>
      </c>
      <c r="V11" s="45">
        <v>312.45999999999998</v>
      </c>
      <c r="W11" s="45">
        <v>373.09</v>
      </c>
      <c r="X11" s="45">
        <v>344.93</v>
      </c>
      <c r="Y11" s="45">
        <v>420.52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327.29761904761904</v>
      </c>
      <c r="E12" s="45">
        <f t="shared" ref="E12" si="7">AVERAGE($D11:$X11)</f>
        <v>327.29761904761904</v>
      </c>
      <c r="F12" s="45">
        <f t="shared" ref="F12" si="8">AVERAGE($D11:$X11)</f>
        <v>327.29761904761904</v>
      </c>
      <c r="G12" s="45">
        <f t="shared" ref="G12" si="9">AVERAGE($D11:$X11)</f>
        <v>327.29761904761904</v>
      </c>
      <c r="H12" s="45">
        <f t="shared" ref="H12" si="10">AVERAGE($D11:$X11)</f>
        <v>327.29761904761904</v>
      </c>
      <c r="I12" s="45">
        <f t="shared" ref="I12" si="11">AVERAGE($D11:$X11)</f>
        <v>327.29761904761904</v>
      </c>
      <c r="J12" s="45">
        <f t="shared" ref="J12" si="12">AVERAGE($D11:$X11)</f>
        <v>327.29761904761904</v>
      </c>
      <c r="K12" s="45">
        <f t="shared" ref="K12" si="13">AVERAGE($D11:$X11)</f>
        <v>327.29761904761904</v>
      </c>
      <c r="L12" s="45">
        <f t="shared" ref="L12" si="14">AVERAGE($D11:$X11)</f>
        <v>327.29761904761904</v>
      </c>
      <c r="M12" s="45">
        <f t="shared" ref="M12" si="15">AVERAGE($D11:$X11)</f>
        <v>327.29761904761904</v>
      </c>
      <c r="N12" s="45">
        <f t="shared" ref="N12" si="16">AVERAGE($D11:$X11)</f>
        <v>327.29761904761904</v>
      </c>
      <c r="O12" s="45">
        <f t="shared" ref="O12" si="17">AVERAGE($D11:$X11)</f>
        <v>327.29761904761904</v>
      </c>
      <c r="P12" s="45">
        <f t="shared" ref="P12" si="18">AVERAGE($D11:$X11)</f>
        <v>327.29761904761904</v>
      </c>
      <c r="Q12" s="45">
        <f t="shared" ref="Q12" si="19">AVERAGE($D11:$X11)</f>
        <v>327.29761904761904</v>
      </c>
      <c r="R12" s="45">
        <f t="shared" ref="R12" si="20">AVERAGE($D11:$X11)</f>
        <v>327.29761904761904</v>
      </c>
      <c r="S12" s="45">
        <f t="shared" ref="S12" si="21">AVERAGE($D11:$X11)</f>
        <v>327.29761904761904</v>
      </c>
      <c r="T12" s="45">
        <f t="shared" ref="T12" si="22">AVERAGE($D11:$X11)</f>
        <v>327.29761904761904</v>
      </c>
      <c r="U12" s="45">
        <f t="shared" ref="U12" si="23">AVERAGE($D11:$X11)</f>
        <v>327.29761904761904</v>
      </c>
      <c r="V12" s="45">
        <f t="shared" ref="V12" si="24">AVERAGE($D11:$X11)</f>
        <v>327.29761904761904</v>
      </c>
      <c r="W12" s="45">
        <f t="shared" ref="W12" si="25">AVERAGE($D11:$X11)</f>
        <v>327.29761904761904</v>
      </c>
      <c r="X12" s="45">
        <f>AVERAGE($D11:$X11)</f>
        <v>327.29761904761904</v>
      </c>
      <c r="Y12" s="45">
        <f t="shared" ref="Y12" si="26">AVERAGE($D11:$X11)</f>
        <v>327.29761904761904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0.85973738769868691</v>
      </c>
      <c r="E13" s="55">
        <f t="shared" si="27"/>
        <v>1.0161088277015968</v>
      </c>
      <c r="F13" s="55">
        <f t="shared" ref="F13" si="28">IF(F11=0,0,F11/F12)</f>
        <v>0.866978503619103</v>
      </c>
      <c r="G13" s="55">
        <f t="shared" ref="G13" si="29">IF(G11=0,0,G11/G12)</f>
        <v>1.0872367511730259</v>
      </c>
      <c r="H13" s="55">
        <f t="shared" ref="H13" si="30">IF(H11=0,0,H11/H12)</f>
        <v>0.73761612046702796</v>
      </c>
      <c r="I13" s="55">
        <f t="shared" ref="I13" si="31">IF(I11=0,0,I11/I12)</f>
        <v>0.76609173244098505</v>
      </c>
      <c r="J13" s="55">
        <f t="shared" ref="J13" si="32">IF(J11=0,0,J11/J12)</f>
        <v>0.88784636089186331</v>
      </c>
      <c r="K13" s="55">
        <f t="shared" ref="K13" si="33">IF(K11=0,0,K11/K12)</f>
        <v>1.1849765394827774</v>
      </c>
      <c r="L13" s="55">
        <f t="shared" ref="L13" si="34">IF(L11=0,0,L11/L12)</f>
        <v>1.1475488306114283</v>
      </c>
      <c r="M13" s="55">
        <f t="shared" ref="M13" si="35">IF(M11=0,0,M11/M12)</f>
        <v>0.87366966136834834</v>
      </c>
      <c r="N13" s="55">
        <f t="shared" ref="N13" si="36">IF(N11=0,0,N11/N12)</f>
        <v>1.0736405630524133</v>
      </c>
      <c r="O13" s="55">
        <f t="shared" ref="O13" si="37">IF(O11=0,0,O11/O12)</f>
        <v>0.98094205797839451</v>
      </c>
      <c r="P13" s="55">
        <f t="shared" ref="P13" si="38">IF(P11=0,0,P11/P12)</f>
        <v>1.3708624013385227</v>
      </c>
      <c r="Q13" s="55">
        <f t="shared" ref="Q13" si="39">IF(Q11=0,0,Q11/Q12)</f>
        <v>0.99056632597388428</v>
      </c>
      <c r="R13" s="55">
        <f t="shared" ref="R13" si="40">IF(R11=0,0,R11/R12)</f>
        <v>0.83346160840941341</v>
      </c>
      <c r="S13" s="55">
        <f t="shared" ref="S13:Y13" si="41">IF(S11=0,0,S11/S12)</f>
        <v>1.0120758011130107</v>
      </c>
      <c r="T13" s="55">
        <f t="shared" si="41"/>
        <v>1.0814010839122685</v>
      </c>
      <c r="U13" s="55">
        <f t="shared" si="41"/>
        <v>1.0807900192776343</v>
      </c>
      <c r="V13" s="55">
        <f t="shared" si="41"/>
        <v>0.9546662786891208</v>
      </c>
      <c r="W13" s="55">
        <f t="shared" si="41"/>
        <v>1.1399105226785</v>
      </c>
      <c r="X13" s="55">
        <f t="shared" si="41"/>
        <v>1.0538726221219947</v>
      </c>
      <c r="Y13" s="55">
        <f t="shared" si="41"/>
        <v>1.2848245007820172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181566.04779925331</v>
      </c>
      <c r="E16" s="42">
        <v>189067.66711802923</v>
      </c>
      <c r="F16" s="42">
        <v>196483.83878451309</v>
      </c>
      <c r="G16" s="42">
        <v>207869.42578951037</v>
      </c>
      <c r="H16" s="42">
        <v>218389.43879506664</v>
      </c>
      <c r="I16" s="42">
        <v>219698.41987451623</v>
      </c>
      <c r="J16" s="42">
        <v>232115.83332445478</v>
      </c>
      <c r="K16" s="42">
        <v>239715.87806863018</v>
      </c>
      <c r="L16" s="42">
        <v>238913.1980096359</v>
      </c>
      <c r="M16" s="42">
        <v>228637.8993368049</v>
      </c>
      <c r="N16" s="42">
        <v>216112.70213196796</v>
      </c>
      <c r="O16" s="42">
        <v>194179.80726067565</v>
      </c>
      <c r="P16" s="42">
        <v>180418.72180667159</v>
      </c>
      <c r="Q16" s="42">
        <v>175877.90140597196</v>
      </c>
      <c r="R16" s="42">
        <v>176714.69165960417</v>
      </c>
      <c r="S16" s="42">
        <v>176368.9</v>
      </c>
      <c r="T16" s="42">
        <v>175510.4052463765</v>
      </c>
      <c r="U16" s="42">
        <v>177426.80908680608</v>
      </c>
      <c r="V16" s="42">
        <v>180387.48241912798</v>
      </c>
      <c r="W16" s="42">
        <v>183777.43920774612</v>
      </c>
      <c r="X16" s="42">
        <v>166655.59101559344</v>
      </c>
      <c r="Y16" s="42">
        <v>180620.77681690169</v>
      </c>
    </row>
    <row r="17" spans="1:25" x14ac:dyDescent="0.25">
      <c r="A17" s="46" t="s">
        <v>141</v>
      </c>
      <c r="B17" s="47"/>
      <c r="C17" s="47"/>
      <c r="D17" s="57">
        <v>119689.26765780647</v>
      </c>
      <c r="E17" s="57">
        <v>124026.06521230338</v>
      </c>
      <c r="F17" s="57">
        <v>130333.29717089164</v>
      </c>
      <c r="G17" s="57">
        <v>136240.87290855858</v>
      </c>
      <c r="H17" s="57">
        <v>141156.07002208108</v>
      </c>
      <c r="I17" s="57">
        <v>145707.13211885392</v>
      </c>
      <c r="J17" s="57">
        <v>149761.09909408263</v>
      </c>
      <c r="K17" s="57">
        <v>155864.86207252814</v>
      </c>
      <c r="L17" s="57">
        <v>161451.92755216223</v>
      </c>
      <c r="M17" s="57">
        <v>158755.07641600128</v>
      </c>
      <c r="N17" s="57">
        <v>148406.66318805196</v>
      </c>
      <c r="O17" s="57">
        <v>135545.38848411833</v>
      </c>
      <c r="P17" s="57">
        <v>125284.09467612546</v>
      </c>
      <c r="Q17" s="57">
        <v>120999.51811873553</v>
      </c>
      <c r="R17" s="57">
        <v>120875.95276647841</v>
      </c>
      <c r="S17" s="57">
        <v>120454.39999999999</v>
      </c>
      <c r="T17" s="57">
        <v>119719.58750403617</v>
      </c>
      <c r="U17" s="57">
        <v>122708.13435611811</v>
      </c>
      <c r="V17" s="57">
        <v>124853.8287722822</v>
      </c>
      <c r="W17" s="57">
        <v>127090.84155682492</v>
      </c>
      <c r="X17" s="57">
        <v>117631.1353898016</v>
      </c>
      <c r="Y17" s="57">
        <v>124431.90270378932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16849.696801796621</v>
      </c>
      <c r="E20" s="42">
        <f t="shared" ref="E20:S20" si="42">1000000*E16/E$3</f>
        <v>17448.122835675567</v>
      </c>
      <c r="F20" s="42">
        <f t="shared" si="42"/>
        <v>18045.453189781329</v>
      </c>
      <c r="G20" s="42">
        <f t="shared" si="42"/>
        <v>19043.038263861403</v>
      </c>
      <c r="H20" s="42">
        <f t="shared" si="42"/>
        <v>19961.798253337402</v>
      </c>
      <c r="I20" s="42">
        <f t="shared" si="42"/>
        <v>20027.363927305545</v>
      </c>
      <c r="J20" s="42">
        <f t="shared" si="42"/>
        <v>21092.396507502308</v>
      </c>
      <c r="K20" s="42">
        <f t="shared" si="42"/>
        <v>21721.249030322393</v>
      </c>
      <c r="L20" s="42">
        <f t="shared" si="42"/>
        <v>21599.725051289588</v>
      </c>
      <c r="M20" s="42">
        <f t="shared" si="42"/>
        <v>20607.765147987167</v>
      </c>
      <c r="N20" s="42">
        <f t="shared" si="42"/>
        <v>19435.838220588379</v>
      </c>
      <c r="O20" s="42">
        <f t="shared" si="42"/>
        <v>17456.887904397838</v>
      </c>
      <c r="P20" s="42">
        <f t="shared" si="42"/>
        <v>16273.869259945162</v>
      </c>
      <c r="Q20" s="42">
        <f t="shared" si="42"/>
        <v>15983.647320082715</v>
      </c>
      <c r="R20" s="42">
        <f t="shared" si="42"/>
        <v>16172.582865205193</v>
      </c>
      <c r="S20" s="42">
        <f t="shared" si="42"/>
        <v>16243.194660388295</v>
      </c>
      <c r="T20" s="42">
        <f t="shared" ref="T20:Y20" si="43">1000000*T16/T$3</f>
        <v>16275.454994532189</v>
      </c>
      <c r="U20" s="42">
        <f t="shared" si="43"/>
        <v>16476.934346069585</v>
      </c>
      <c r="V20" s="42">
        <f t="shared" si="43"/>
        <v>16794.033274707912</v>
      </c>
      <c r="W20" s="42">
        <f t="shared" si="43"/>
        <v>17136.066272291031</v>
      </c>
      <c r="X20" s="42">
        <f t="shared" si="43"/>
        <v>15548.311832376205</v>
      </c>
      <c r="Y20" s="42">
        <f t="shared" si="43"/>
        <v>16914.224295481079</v>
      </c>
    </row>
    <row r="21" spans="1:25" x14ac:dyDescent="0.25">
      <c r="A21" s="46" t="s">
        <v>141</v>
      </c>
      <c r="B21" s="47"/>
      <c r="C21" s="47"/>
      <c r="D21" s="57">
        <f>1000000*D17/D$3</f>
        <v>11107.406340049305</v>
      </c>
      <c r="E21" s="57">
        <f t="shared" ref="E21:S21" si="44">1000000*E17/E$3</f>
        <v>11445.754071206917</v>
      </c>
      <c r="F21" s="57">
        <f t="shared" si="44"/>
        <v>11970.060376042304</v>
      </c>
      <c r="G21" s="57">
        <f t="shared" si="44"/>
        <v>12481.105126670733</v>
      </c>
      <c r="H21" s="57">
        <f t="shared" si="44"/>
        <v>12902.313443182866</v>
      </c>
      <c r="I21" s="57">
        <f t="shared" si="44"/>
        <v>13282.433999366076</v>
      </c>
      <c r="J21" s="57">
        <f t="shared" si="44"/>
        <v>13608.810903805481</v>
      </c>
      <c r="K21" s="57">
        <f t="shared" si="44"/>
        <v>14123.30093205153</v>
      </c>
      <c r="L21" s="57">
        <f t="shared" si="44"/>
        <v>14596.586849031166</v>
      </c>
      <c r="M21" s="57">
        <f t="shared" si="44"/>
        <v>14309.033368139717</v>
      </c>
      <c r="N21" s="57">
        <f t="shared" si="44"/>
        <v>13346.776326080919</v>
      </c>
      <c r="O21" s="57">
        <f t="shared" si="44"/>
        <v>12185.616445425849</v>
      </c>
      <c r="P21" s="57">
        <f t="shared" si="44"/>
        <v>11300.6951645218</v>
      </c>
      <c r="Q21" s="57">
        <f t="shared" si="44"/>
        <v>10996.342394634448</v>
      </c>
      <c r="R21" s="57">
        <f t="shared" si="44"/>
        <v>11062.330721726705</v>
      </c>
      <c r="S21" s="57">
        <f t="shared" si="44"/>
        <v>11093.590008784291</v>
      </c>
      <c r="T21" s="57">
        <f t="shared" ref="T21:Y21" si="45">1000000*T17/T$3</f>
        <v>11101.853224318314</v>
      </c>
      <c r="U21" s="57">
        <f t="shared" si="45"/>
        <v>11395.424873617896</v>
      </c>
      <c r="V21" s="57">
        <f t="shared" si="45"/>
        <v>11623.862846561076</v>
      </c>
      <c r="W21" s="57">
        <f t="shared" si="45"/>
        <v>11850.404994799797</v>
      </c>
      <c r="X21" s="57">
        <f t="shared" si="45"/>
        <v>10974.522745330331</v>
      </c>
      <c r="Y21" s="57">
        <f t="shared" si="45"/>
        <v>11652.419776595852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157662.69194687207</v>
      </c>
      <c r="E23" s="60">
        <v>163038.47588788194</v>
      </c>
      <c r="F23" s="60">
        <v>169362.49796714913</v>
      </c>
      <c r="G23" s="60">
        <v>179786.51433691755</v>
      </c>
      <c r="H23" s="60">
        <v>190270.53508246693</v>
      </c>
      <c r="I23" s="60">
        <v>191014.89061698856</v>
      </c>
      <c r="J23" s="60">
        <v>199371.15297228075</v>
      </c>
      <c r="K23" s="60">
        <v>204751.02741092449</v>
      </c>
      <c r="L23" s="60">
        <v>204370.83624059719</v>
      </c>
      <c r="M23" s="60">
        <v>197459.04687529054</v>
      </c>
      <c r="N23" s="60">
        <v>186233.03476401721</v>
      </c>
      <c r="O23" s="60">
        <v>169164.05582455141</v>
      </c>
      <c r="P23" s="60">
        <v>159282.44113812412</v>
      </c>
      <c r="Q23" s="60">
        <v>155988.26176269195</v>
      </c>
      <c r="R23" s="60">
        <v>155723.22725734868</v>
      </c>
      <c r="S23" s="60">
        <v>155835.6</v>
      </c>
      <c r="T23" s="60">
        <v>154542.55600008124</v>
      </c>
      <c r="U23" s="60">
        <v>157238.9694271539</v>
      </c>
      <c r="V23" s="60">
        <v>159235.09066350129</v>
      </c>
      <c r="W23" s="60">
        <v>161362.81011038556</v>
      </c>
      <c r="X23" s="60">
        <v>146261.40831404575</v>
      </c>
      <c r="Y23" s="60">
        <v>157576.76596592605</v>
      </c>
    </row>
    <row r="24" spans="1:25" x14ac:dyDescent="0.25">
      <c r="A24" s="61" t="s">
        <v>33</v>
      </c>
      <c r="B24" s="62"/>
      <c r="C24" s="62"/>
      <c r="D24" s="63">
        <v>9592.5295018022025</v>
      </c>
      <c r="E24" s="63">
        <v>9529.551937032893</v>
      </c>
      <c r="F24" s="63">
        <v>9469.6001672745861</v>
      </c>
      <c r="G24" s="63">
        <v>10018.929211469534</v>
      </c>
      <c r="H24" s="63">
        <v>9016.4933863153874</v>
      </c>
      <c r="I24" s="63">
        <v>9118.0994701760392</v>
      </c>
      <c r="J24" s="63">
        <v>7202.7719254761014</v>
      </c>
      <c r="K24" s="63">
        <v>7049.9341659019274</v>
      </c>
      <c r="L24" s="63">
        <v>6493.1229270810427</v>
      </c>
      <c r="M24" s="63">
        <v>6194.287945556981</v>
      </c>
      <c r="N24" s="63">
        <v>6308.1951155190109</v>
      </c>
      <c r="O24" s="63">
        <v>6010.1585493211815</v>
      </c>
      <c r="P24" s="63">
        <v>6214.3377559628807</v>
      </c>
      <c r="Q24" s="63">
        <v>5952.0688643255398</v>
      </c>
      <c r="R24" s="63">
        <v>6321.1734033872672</v>
      </c>
      <c r="S24" s="63">
        <v>6816.1</v>
      </c>
      <c r="T24" s="63">
        <v>6228.6509209804835</v>
      </c>
      <c r="U24" s="63">
        <v>6950.0504283865966</v>
      </c>
      <c r="V24" s="63">
        <v>6679.7306700503459</v>
      </c>
      <c r="W24" s="63">
        <v>7091.2839052329064</v>
      </c>
      <c r="X24" s="63">
        <v>6838.4188556816689</v>
      </c>
      <c r="Y24" s="63">
        <v>6648.7994420643618</v>
      </c>
    </row>
    <row r="25" spans="1:25" x14ac:dyDescent="0.25">
      <c r="A25" s="64" t="s">
        <v>56</v>
      </c>
      <c r="B25" s="65"/>
      <c r="C25" s="65"/>
      <c r="D25" s="66">
        <v>724.95432775391293</v>
      </c>
      <c r="E25" s="66">
        <v>731.36681469713938</v>
      </c>
      <c r="F25" s="66">
        <v>763.88727551518252</v>
      </c>
      <c r="G25" s="66">
        <v>831.87724014336914</v>
      </c>
      <c r="H25" s="66">
        <v>855.26100919928149</v>
      </c>
      <c r="I25" s="66">
        <v>900.27345752862755</v>
      </c>
      <c r="J25" s="66">
        <v>843.24782087825838</v>
      </c>
      <c r="K25" s="66">
        <v>896.44096875872799</v>
      </c>
      <c r="L25" s="66">
        <v>780.70787494145645</v>
      </c>
      <c r="M25" s="66">
        <v>722.46704226399663</v>
      </c>
      <c r="N25" s="66">
        <v>850.12197074585811</v>
      </c>
      <c r="O25" s="66">
        <v>850.28007215418211</v>
      </c>
      <c r="P25" s="66">
        <v>768.75143799371119</v>
      </c>
      <c r="Q25" s="66">
        <v>814.04675731194368</v>
      </c>
      <c r="R25" s="66">
        <v>833.6816128326069</v>
      </c>
      <c r="S25" s="66">
        <v>860.5</v>
      </c>
      <c r="T25" s="66">
        <v>792.42907333319795</v>
      </c>
      <c r="U25" s="66">
        <v>795.54600189488474</v>
      </c>
      <c r="V25" s="66">
        <v>856.90311489501039</v>
      </c>
      <c r="W25" s="66">
        <v>735.63311770739188</v>
      </c>
      <c r="X25" s="66">
        <v>541.43378377012573</v>
      </c>
      <c r="Y25" s="66">
        <v>675.99880442363258</v>
      </c>
    </row>
    <row r="26" spans="1:25" x14ac:dyDescent="0.25">
      <c r="A26" s="67" t="s">
        <v>146</v>
      </c>
      <c r="B26" s="44"/>
      <c r="C26" s="44"/>
      <c r="D26" s="45">
        <v>117234.23690317484</v>
      </c>
      <c r="E26" s="45">
        <v>120674.68197518383</v>
      </c>
      <c r="F26" s="45">
        <v>125686.29045373233</v>
      </c>
      <c r="G26" s="45">
        <v>131517.58512544801</v>
      </c>
      <c r="H26" s="45">
        <v>141496.1624299167</v>
      </c>
      <c r="I26" s="45">
        <v>147311.67749102722</v>
      </c>
      <c r="J26" s="45">
        <v>150573.07803527906</v>
      </c>
      <c r="K26" s="45">
        <v>159279.11662610224</v>
      </c>
      <c r="L26" s="45">
        <v>165421.08331819964</v>
      </c>
      <c r="M26" s="45">
        <v>160971.53269742106</v>
      </c>
      <c r="N26" s="45">
        <v>151268.40157102089</v>
      </c>
      <c r="O26" s="45">
        <v>137996.77204974843</v>
      </c>
      <c r="P26" s="45">
        <v>129074.31551499352</v>
      </c>
      <c r="Q26" s="45">
        <v>126431.47803971436</v>
      </c>
      <c r="R26" s="45">
        <v>127333.37313670467</v>
      </c>
      <c r="S26" s="45">
        <v>126105</v>
      </c>
      <c r="T26" s="45">
        <v>125243.19164923542</v>
      </c>
      <c r="U26" s="45">
        <v>127999.9796248943</v>
      </c>
      <c r="V26" s="45">
        <v>129891.22426425442</v>
      </c>
      <c r="W26" s="45">
        <v>131874.42243051395</v>
      </c>
      <c r="X26" s="45">
        <v>116892.49148482429</v>
      </c>
      <c r="Y26" s="45">
        <v>125549.36734083889</v>
      </c>
    </row>
    <row r="27" spans="1:25" x14ac:dyDescent="0.25">
      <c r="A27" s="68" t="s">
        <v>148</v>
      </c>
      <c r="B27" s="69"/>
      <c r="C27" s="69"/>
      <c r="D27" s="70">
        <v>46658.890040981591</v>
      </c>
      <c r="E27" s="70">
        <v>50087.735133769005</v>
      </c>
      <c r="F27" s="70">
        <v>51371.535441302891</v>
      </c>
      <c r="G27" s="70">
        <v>55008.960573476703</v>
      </c>
      <c r="H27" s="70">
        <v>60971.748952152848</v>
      </c>
      <c r="I27" s="70">
        <v>64884.52828576311</v>
      </c>
      <c r="J27" s="70">
        <v>66770.562234064535</v>
      </c>
      <c r="K27" s="70">
        <v>70035.410764872518</v>
      </c>
      <c r="L27" s="70">
        <v>73077.334811657085</v>
      </c>
      <c r="M27" s="70">
        <v>69974.433350067877</v>
      </c>
      <c r="N27" s="70">
        <v>64795.946238685916</v>
      </c>
      <c r="O27" s="70">
        <v>58313.301053830823</v>
      </c>
      <c r="P27" s="70">
        <v>54859.843546284224</v>
      </c>
      <c r="Q27" s="70">
        <v>53656.558740095861</v>
      </c>
      <c r="R27" s="70">
        <v>54714.012776882206</v>
      </c>
      <c r="S27" s="70">
        <v>54175.4</v>
      </c>
      <c r="T27" s="70">
        <v>53383.05477143031</v>
      </c>
      <c r="U27" s="70">
        <v>55569.535141963541</v>
      </c>
      <c r="V27" s="70">
        <v>57344.050591461659</v>
      </c>
      <c r="W27" s="70">
        <v>58136.443492124738</v>
      </c>
      <c r="X27" s="70">
        <v>50124.821863534824</v>
      </c>
      <c r="Y27" s="70">
        <v>54576.267809106299</v>
      </c>
    </row>
    <row r="28" spans="1:25" x14ac:dyDescent="0.25">
      <c r="A28" s="68" t="s">
        <v>150</v>
      </c>
      <c r="B28" s="71"/>
      <c r="C28" s="71"/>
      <c r="D28" s="70">
        <v>42631.338567125858</v>
      </c>
      <c r="E28" s="70">
        <v>43040.281137547994</v>
      </c>
      <c r="F28" s="70">
        <v>46568.315405524707</v>
      </c>
      <c r="G28" s="70">
        <v>47503.808243727603</v>
      </c>
      <c r="H28" s="70">
        <v>51331.119699526433</v>
      </c>
      <c r="I28" s="70">
        <v>54686.592035549475</v>
      </c>
      <c r="J28" s="70">
        <v>56252.323708018346</v>
      </c>
      <c r="K28" s="70">
        <v>60419.941746798067</v>
      </c>
      <c r="L28" s="70">
        <v>62293.186010724217</v>
      </c>
      <c r="M28" s="70">
        <v>62830.832450121787</v>
      </c>
      <c r="N28" s="70">
        <v>60150.980004332552</v>
      </c>
      <c r="O28" s="70">
        <v>56067.692015570123</v>
      </c>
      <c r="P28" s="70">
        <v>52848.953140578276</v>
      </c>
      <c r="Q28" s="70">
        <v>52064.755942482632</v>
      </c>
      <c r="R28" s="70">
        <v>52043.505084880693</v>
      </c>
      <c r="S28" s="70">
        <v>50665.7</v>
      </c>
      <c r="T28" s="70">
        <v>50845.941390304833</v>
      </c>
      <c r="U28" s="70">
        <v>50960.176855917438</v>
      </c>
      <c r="V28" s="70">
        <v>50586.242888133922</v>
      </c>
      <c r="W28" s="70">
        <v>52188.721781605098</v>
      </c>
      <c r="X28" s="70">
        <v>47669.419148785644</v>
      </c>
      <c r="Y28" s="70">
        <v>49678.688851250372</v>
      </c>
    </row>
    <row r="29" spans="1:25" x14ac:dyDescent="0.25">
      <c r="A29" s="68" t="s">
        <v>152</v>
      </c>
      <c r="B29" s="71"/>
      <c r="C29" s="71"/>
      <c r="D29" s="70">
        <v>27944.008295067393</v>
      </c>
      <c r="E29" s="70">
        <v>27546.665703866838</v>
      </c>
      <c r="F29" s="70">
        <v>27746.439606904736</v>
      </c>
      <c r="G29" s="70">
        <v>29004.816308243706</v>
      </c>
      <c r="H29" s="70">
        <v>29193.293778237428</v>
      </c>
      <c r="I29" s="70">
        <v>27740.557169714586</v>
      </c>
      <c r="J29" s="70">
        <v>27550.192093196176</v>
      </c>
      <c r="K29" s="70">
        <v>28823.764114431644</v>
      </c>
      <c r="L29" s="70">
        <v>30050.562495818343</v>
      </c>
      <c r="M29" s="70">
        <v>28166.26689723138</v>
      </c>
      <c r="N29" s="70">
        <v>26321.475328002398</v>
      </c>
      <c r="O29" s="70">
        <v>23615.778980347492</v>
      </c>
      <c r="P29" s="70">
        <v>21365.51882813104</v>
      </c>
      <c r="Q29" s="70">
        <v>20710.163357135862</v>
      </c>
      <c r="R29" s="70">
        <v>20575.855274941779</v>
      </c>
      <c r="S29" s="70">
        <v>21263.900000000016</v>
      </c>
      <c r="T29" s="70">
        <v>21014.195487500263</v>
      </c>
      <c r="U29" s="70">
        <v>21470.267627013331</v>
      </c>
      <c r="V29" s="70">
        <v>21960.930784658834</v>
      </c>
      <c r="W29" s="70">
        <v>21549.257156784093</v>
      </c>
      <c r="X29" s="70">
        <v>19098.250472503842</v>
      </c>
      <c r="Y29" s="70">
        <v>21294.410680482197</v>
      </c>
    </row>
    <row r="30" spans="1:25" x14ac:dyDescent="0.25">
      <c r="A30" s="64" t="s">
        <v>154</v>
      </c>
      <c r="B30" s="65"/>
      <c r="C30" s="65"/>
      <c r="D30" s="66">
        <v>3774.1322273243468</v>
      </c>
      <c r="E30" s="66">
        <v>3592.3264854196009</v>
      </c>
      <c r="F30" s="66">
        <v>4118.2073740213273</v>
      </c>
      <c r="G30" s="66">
        <v>3746.8637992831541</v>
      </c>
      <c r="H30" s="66">
        <v>3791.4103750476293</v>
      </c>
      <c r="I30" s="66">
        <v>4040.441804819689</v>
      </c>
      <c r="J30" s="66">
        <v>4130.4168215805348</v>
      </c>
      <c r="K30" s="66">
        <v>4283.7050632406335</v>
      </c>
      <c r="L30" s="66">
        <v>3894.6503158961218</v>
      </c>
      <c r="M30" s="66">
        <v>4516.4649225562935</v>
      </c>
      <c r="N30" s="66">
        <v>3958.4451790944968</v>
      </c>
      <c r="O30" s="66">
        <v>4318.1429792082026</v>
      </c>
      <c r="P30" s="66">
        <v>5543.8492215660708</v>
      </c>
      <c r="Q30" s="66">
        <v>5504.5485669568625</v>
      </c>
      <c r="R30" s="66">
        <v>5298.8238103767389</v>
      </c>
      <c r="S30" s="66">
        <v>5754.5</v>
      </c>
      <c r="T30" s="66">
        <v>5970.5326861761532</v>
      </c>
      <c r="U30" s="66">
        <v>6097.4541305433022</v>
      </c>
      <c r="V30" s="66">
        <v>5666.7758176087746</v>
      </c>
      <c r="W30" s="66">
        <v>5457.9427863475266</v>
      </c>
      <c r="X30" s="66">
        <v>5770.1054163592444</v>
      </c>
      <c r="Y30" s="66">
        <v>7218.4915811497449</v>
      </c>
    </row>
    <row r="31" spans="1:25" x14ac:dyDescent="0.25">
      <c r="A31" s="64" t="s">
        <v>37</v>
      </c>
      <c r="B31" s="65"/>
      <c r="C31" s="65"/>
      <c r="D31" s="66">
        <v>11045.400681380535</v>
      </c>
      <c r="E31" s="66">
        <v>11522.667918306435</v>
      </c>
      <c r="F31" s="66">
        <v>11966.40568733592</v>
      </c>
      <c r="G31" s="66">
        <v>16037.410394265233</v>
      </c>
      <c r="H31" s="66">
        <v>17480.703282347178</v>
      </c>
      <c r="I31" s="66">
        <v>12151.021192958469</v>
      </c>
      <c r="J31" s="66">
        <v>18678.274879167184</v>
      </c>
      <c r="K31" s="66">
        <v>14979.551530144037</v>
      </c>
      <c r="L31" s="66">
        <v>10245.165976888447</v>
      </c>
      <c r="M31" s="66">
        <v>9807.9247317825993</v>
      </c>
      <c r="N31" s="66">
        <v>8539.6475563467156</v>
      </c>
      <c r="O31" s="66">
        <v>6038.5455235925192</v>
      </c>
      <c r="P31" s="66">
        <v>5109.8627195337067</v>
      </c>
      <c r="Q31" s="66">
        <v>5041.475105155042</v>
      </c>
      <c r="R31" s="66">
        <v>3720.0230859553803</v>
      </c>
      <c r="S31" s="66">
        <v>3493.4</v>
      </c>
      <c r="T31" s="66">
        <v>3537.9054040332244</v>
      </c>
      <c r="U31" s="66">
        <v>2301.4700638759564</v>
      </c>
      <c r="V31" s="66">
        <v>2487.8228480209564</v>
      </c>
      <c r="W31" s="66">
        <v>2613.4067206239274</v>
      </c>
      <c r="X31" s="66">
        <v>2529.3861998564798</v>
      </c>
      <c r="Y31" s="66">
        <v>2763.0766165188802</v>
      </c>
    </row>
    <row r="32" spans="1:25" x14ac:dyDescent="0.25">
      <c r="A32" s="64" t="s">
        <v>58</v>
      </c>
      <c r="B32" s="65"/>
      <c r="C32" s="65"/>
      <c r="D32" s="66">
        <v>15291.438305436232</v>
      </c>
      <c r="E32" s="66">
        <v>16987.880757242063</v>
      </c>
      <c r="F32" s="66">
        <v>17358.107009269803</v>
      </c>
      <c r="G32" s="66">
        <v>17633.848566308247</v>
      </c>
      <c r="H32" s="66">
        <v>17630.504599640732</v>
      </c>
      <c r="I32" s="66">
        <v>17493.37720047855</v>
      </c>
      <c r="J32" s="66">
        <v>17943.363489899621</v>
      </c>
      <c r="K32" s="66">
        <v>18262.279056776919</v>
      </c>
      <c r="L32" s="66">
        <v>17536.105827590491</v>
      </c>
      <c r="M32" s="66">
        <v>15246.369535709635</v>
      </c>
      <c r="N32" s="66">
        <v>15308.223371290253</v>
      </c>
      <c r="O32" s="66">
        <v>13950.156650526915</v>
      </c>
      <c r="P32" s="66">
        <v>12571.324488074239</v>
      </c>
      <c r="Q32" s="66">
        <v>12244.64442922821</v>
      </c>
      <c r="R32" s="66">
        <v>12216.152208092026</v>
      </c>
      <c r="S32" s="66">
        <v>12806.1</v>
      </c>
      <c r="T32" s="66">
        <v>12769.846266322782</v>
      </c>
      <c r="U32" s="66">
        <v>13094.46917755886</v>
      </c>
      <c r="V32" s="66">
        <v>13652.633948671768</v>
      </c>
      <c r="W32" s="66">
        <v>13590.121149959885</v>
      </c>
      <c r="X32" s="66">
        <v>13689.572573553934</v>
      </c>
      <c r="Y32" s="66">
        <v>14721.032180930559</v>
      </c>
    </row>
    <row r="33" spans="1:25" x14ac:dyDescent="0.25">
      <c r="A33" s="72" t="s">
        <v>158</v>
      </c>
      <c r="B33" s="65"/>
      <c r="C33" s="65"/>
      <c r="D33" s="66">
        <v>1255.246136374858</v>
      </c>
      <c r="E33" s="66">
        <v>1148.1387875943244</v>
      </c>
      <c r="F33" s="66">
        <v>1133.0529935181098</v>
      </c>
      <c r="G33" s="66">
        <v>1191.9802867383512</v>
      </c>
      <c r="H33" s="66">
        <v>1195.2533884927332</v>
      </c>
      <c r="I33" s="66">
        <v>1317.0825499914545</v>
      </c>
      <c r="J33" s="66">
        <v>1557.8138554963439</v>
      </c>
      <c r="K33" s="66">
        <v>1707.3973586561865</v>
      </c>
      <c r="L33" s="66">
        <v>1681.7525783049616</v>
      </c>
      <c r="M33" s="66">
        <v>1085.3275320280397</v>
      </c>
      <c r="N33" s="66">
        <v>1306.7352340048787</v>
      </c>
      <c r="O33" s="66">
        <v>1442.7038830342733</v>
      </c>
      <c r="P33" s="66">
        <v>1059.3220338983051</v>
      </c>
      <c r="Q33" s="66">
        <v>851.90257263034334</v>
      </c>
      <c r="R33" s="66">
        <v>909.30801838915761</v>
      </c>
      <c r="S33" s="66">
        <v>938.7</v>
      </c>
      <c r="T33" s="66">
        <v>889.50265023049894</v>
      </c>
      <c r="U33" s="66">
        <v>1025.3771941441946</v>
      </c>
      <c r="V33" s="66">
        <v>1248.8232164053868</v>
      </c>
      <c r="W33" s="66">
        <v>1281.8742193291562</v>
      </c>
      <c r="X33" s="66">
        <v>1131.1791875966485</v>
      </c>
      <c r="Y33" s="66">
        <v>1266.5138985752715</v>
      </c>
    </row>
    <row r="34" spans="1:25" x14ac:dyDescent="0.25">
      <c r="A34" s="73" t="s">
        <v>5</v>
      </c>
      <c r="B34" s="65"/>
      <c r="C34" s="65"/>
      <c r="D34" s="66">
        <v>272.02655158222012</v>
      </c>
      <c r="E34" s="66">
        <v>285.40202295740261</v>
      </c>
      <c r="F34" s="66">
        <v>355.66657567373539</v>
      </c>
      <c r="G34" s="66">
        <v>353.12376685730419</v>
      </c>
      <c r="H34" s="66">
        <v>394.20325961847294</v>
      </c>
      <c r="I34" s="66">
        <v>480.66435705099508</v>
      </c>
      <c r="J34" s="66">
        <v>604.00163294801359</v>
      </c>
      <c r="K34" s="66">
        <v>672.95894346247474</v>
      </c>
      <c r="L34" s="66">
        <v>672.70103132198471</v>
      </c>
      <c r="M34" s="66">
        <v>434.1310128112159</v>
      </c>
      <c r="N34" s="66">
        <v>522.69409360195152</v>
      </c>
      <c r="O34" s="66">
        <v>577.0815532137093</v>
      </c>
      <c r="P34" s="66">
        <v>276.66012789437195</v>
      </c>
      <c r="Q34" s="66">
        <v>127.8637377107913</v>
      </c>
      <c r="R34" s="66">
        <v>275.0239006954825</v>
      </c>
      <c r="S34" s="66">
        <v>327.01337049481327</v>
      </c>
      <c r="T34" s="66">
        <v>178.18760894206062</v>
      </c>
      <c r="U34" s="66">
        <v>558.13987713612141</v>
      </c>
      <c r="V34" s="66">
        <v>680.76423323174038</v>
      </c>
      <c r="W34" s="66">
        <v>744.31481772065433</v>
      </c>
      <c r="X34" s="66">
        <v>446.22089886089759</v>
      </c>
      <c r="Y34" s="66">
        <v>471.55091141084336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272.02655158222012</v>
      </c>
      <c r="E36" s="45">
        <v>285.40202295740261</v>
      </c>
      <c r="F36" s="45">
        <v>355.66657567373539</v>
      </c>
      <c r="G36" s="45">
        <v>353.12376685730419</v>
      </c>
      <c r="H36" s="45">
        <v>394.20325961847294</v>
      </c>
      <c r="I36" s="45">
        <v>480.66435705099508</v>
      </c>
      <c r="J36" s="45">
        <v>604.00163294801359</v>
      </c>
      <c r="K36" s="45">
        <v>672.95894346247474</v>
      </c>
      <c r="L36" s="45">
        <v>672.70103132198471</v>
      </c>
      <c r="M36" s="45">
        <v>434.1310128112159</v>
      </c>
      <c r="N36" s="45">
        <v>522.69409360195152</v>
      </c>
      <c r="O36" s="45">
        <v>577.0815532137093</v>
      </c>
      <c r="P36" s="45">
        <v>276.66012789437195</v>
      </c>
      <c r="Q36" s="45">
        <v>127.8637377107913</v>
      </c>
      <c r="R36" s="45">
        <v>275.0239006954825</v>
      </c>
      <c r="S36" s="45">
        <v>327.01337049481327</v>
      </c>
      <c r="T36" s="45">
        <v>178.18760894206062</v>
      </c>
      <c r="U36" s="45">
        <v>558.13987713612141</v>
      </c>
      <c r="V36" s="45">
        <v>680.76423323174038</v>
      </c>
      <c r="W36" s="45">
        <v>744.31481772065433</v>
      </c>
      <c r="X36" s="45">
        <v>446.22089886089759</v>
      </c>
      <c r="Y36" s="45">
        <v>471.55091141084336</v>
      </c>
    </row>
    <row r="37" spans="1:25" x14ac:dyDescent="0.25">
      <c r="A37" s="73" t="s">
        <v>269</v>
      </c>
      <c r="B37" s="65"/>
      <c r="C37" s="65"/>
      <c r="D37" s="66">
        <v>983.21958479263776</v>
      </c>
      <c r="E37" s="66">
        <v>862.73676463692186</v>
      </c>
      <c r="F37" s="66">
        <v>777.38641784437436</v>
      </c>
      <c r="G37" s="66">
        <v>838.85651988104701</v>
      </c>
      <c r="H37" s="66">
        <v>801.05012887426028</v>
      </c>
      <c r="I37" s="66">
        <v>836.41819294045945</v>
      </c>
      <c r="J37" s="66">
        <v>953.81222254833028</v>
      </c>
      <c r="K37" s="66">
        <v>1034.438415193712</v>
      </c>
      <c r="L37" s="66">
        <v>1009.0515469829769</v>
      </c>
      <c r="M37" s="66">
        <v>651.19651921682384</v>
      </c>
      <c r="N37" s="66">
        <v>784.04114040292723</v>
      </c>
      <c r="O37" s="66">
        <v>865.622329820564</v>
      </c>
      <c r="P37" s="66">
        <v>782.66190600393304</v>
      </c>
      <c r="Q37" s="66">
        <v>724.03883491955207</v>
      </c>
      <c r="R37" s="66">
        <v>634.28411769367517</v>
      </c>
      <c r="S37" s="66">
        <v>611.68662950518683</v>
      </c>
      <c r="T37" s="66">
        <v>711.31504128843835</v>
      </c>
      <c r="U37" s="66">
        <v>467.23731700807326</v>
      </c>
      <c r="V37" s="66">
        <v>568.05898317364642</v>
      </c>
      <c r="W37" s="66">
        <v>537.55940160850184</v>
      </c>
      <c r="X37" s="66">
        <v>684.9582887357509</v>
      </c>
      <c r="Y37" s="66">
        <v>794.96298716442811</v>
      </c>
    </row>
    <row r="38" spans="1:25" x14ac:dyDescent="0.25">
      <c r="A38" s="74" t="s">
        <v>14</v>
      </c>
      <c r="B38" s="44"/>
      <c r="C38" s="44"/>
      <c r="D38" s="45">
        <v>187.81826134602653</v>
      </c>
      <c r="E38" s="45">
        <v>177.96509885414844</v>
      </c>
      <c r="F38" s="45">
        <v>173.87510665590136</v>
      </c>
      <c r="G38" s="45">
        <v>187.62389400597218</v>
      </c>
      <c r="H38" s="45">
        <v>179.16788021709257</v>
      </c>
      <c r="I38" s="45">
        <v>187.07852255732735</v>
      </c>
      <c r="J38" s="45">
        <v>213.33560520026188</v>
      </c>
      <c r="K38" s="45">
        <v>231.36896354519945</v>
      </c>
      <c r="L38" s="45">
        <v>235.44536096269462</v>
      </c>
      <c r="M38" s="45">
        <v>151.94585448392556</v>
      </c>
      <c r="N38" s="45">
        <v>182.94293276068302</v>
      </c>
      <c r="O38" s="45">
        <v>201.97854362479825</v>
      </c>
      <c r="P38" s="45">
        <v>148.30508474576271</v>
      </c>
      <c r="Q38" s="45">
        <v>119.26636016824807</v>
      </c>
      <c r="R38" s="45">
        <v>109.22782218746953</v>
      </c>
      <c r="S38" s="45">
        <v>131.41800000000001</v>
      </c>
      <c r="T38" s="45">
        <v>124.53037103226984</v>
      </c>
      <c r="U38" s="45">
        <v>143.55280718018724</v>
      </c>
      <c r="V38" s="45">
        <v>174.83525029675411</v>
      </c>
      <c r="W38" s="45">
        <v>179.46239070608186</v>
      </c>
      <c r="X38" s="45">
        <v>158.3650862635308</v>
      </c>
      <c r="Y38" s="45">
        <v>177.31194580053798</v>
      </c>
    </row>
    <row r="39" spans="1:25" x14ac:dyDescent="0.25">
      <c r="A39" s="74" t="s">
        <v>19</v>
      </c>
      <c r="B39" s="44"/>
      <c r="C39" s="44"/>
      <c r="D39" s="45">
        <v>389.71582065449184</v>
      </c>
      <c r="E39" s="45">
        <v>320.02388071807684</v>
      </c>
      <c r="F39" s="45">
        <v>270.34258821385583</v>
      </c>
      <c r="G39" s="45">
        <v>291.71932711861331</v>
      </c>
      <c r="H39" s="45">
        <v>278.57184041034174</v>
      </c>
      <c r="I39" s="45">
        <v>280.42985742528066</v>
      </c>
      <c r="J39" s="45">
        <v>334.61369783090038</v>
      </c>
      <c r="K39" s="45">
        <v>352.05344531779923</v>
      </c>
      <c r="L39" s="45">
        <v>353.16804144404193</v>
      </c>
      <c r="M39" s="45">
        <v>227.91878172588835</v>
      </c>
      <c r="N39" s="45">
        <v>274.41439914102455</v>
      </c>
      <c r="O39" s="45">
        <v>302.96781543719737</v>
      </c>
      <c r="P39" s="45">
        <v>222.45762711864401</v>
      </c>
      <c r="Q39" s="45">
        <v>178.89954025237213</v>
      </c>
      <c r="R39" s="45">
        <v>163.84173328120426</v>
      </c>
      <c r="S39" s="45">
        <v>197.12699999999998</v>
      </c>
      <c r="T39" s="45">
        <v>186.79555654840473</v>
      </c>
      <c r="U39" s="45">
        <v>215.32921077028087</v>
      </c>
      <c r="V39" s="45">
        <v>262.25287544513117</v>
      </c>
      <c r="W39" s="45">
        <v>269.19358605912277</v>
      </c>
      <c r="X39" s="45">
        <v>237.54762939529618</v>
      </c>
      <c r="Y39" s="45">
        <v>265.96791870080699</v>
      </c>
    </row>
    <row r="40" spans="1:25" x14ac:dyDescent="0.25">
      <c r="A40" s="75" t="s">
        <v>273</v>
      </c>
      <c r="B40" s="76"/>
      <c r="C40" s="76"/>
      <c r="D40" s="45">
        <v>383.98494162223892</v>
      </c>
      <c r="E40" s="45">
        <v>315.32244299705201</v>
      </c>
      <c r="F40" s="45">
        <v>267.73641558274994</v>
      </c>
      <c r="G40" s="45">
        <v>287.52056998562148</v>
      </c>
      <c r="H40" s="45">
        <v>274.56220258468596</v>
      </c>
      <c r="I40" s="45">
        <v>276.28502934949739</v>
      </c>
      <c r="J40" s="45">
        <v>329.65845221728119</v>
      </c>
      <c r="K40" s="45">
        <v>352.05344531779923</v>
      </c>
      <c r="L40" s="45">
        <v>353.16804144404193</v>
      </c>
      <c r="M40" s="45">
        <v>227.91878172588835</v>
      </c>
      <c r="N40" s="45">
        <v>274.41439914102455</v>
      </c>
      <c r="O40" s="45">
        <v>302.96781543719737</v>
      </c>
      <c r="P40" s="45">
        <v>222.45762711864401</v>
      </c>
      <c r="Q40" s="45">
        <v>178.89954025237213</v>
      </c>
      <c r="R40" s="45">
        <v>163.84173328120426</v>
      </c>
      <c r="S40" s="45">
        <v>197.12699999999998</v>
      </c>
      <c r="T40" s="45">
        <v>186.79555654840473</v>
      </c>
      <c r="U40" s="45">
        <v>215.32921077028087</v>
      </c>
      <c r="V40" s="45">
        <v>262.25287544513117</v>
      </c>
      <c r="W40" s="45">
        <v>269.19358605912277</v>
      </c>
      <c r="X40" s="45">
        <v>237.54762939529618</v>
      </c>
      <c r="Y40" s="45">
        <v>265.96791870080699</v>
      </c>
    </row>
    <row r="41" spans="1:25" x14ac:dyDescent="0.25">
      <c r="A41" s="75" t="s">
        <v>274</v>
      </c>
      <c r="B41" s="76"/>
      <c r="C41" s="76"/>
      <c r="D41" s="45">
        <v>5.7308790322529148</v>
      </c>
      <c r="E41" s="45">
        <v>4.7014377210248313</v>
      </c>
      <c r="F41" s="45">
        <v>2.6061726311058919</v>
      </c>
      <c r="G41" s="45">
        <v>4.1987571329918296</v>
      </c>
      <c r="H41" s="45">
        <v>4.0096378256557728</v>
      </c>
      <c r="I41" s="45">
        <v>4.1448280757832663</v>
      </c>
      <c r="J41" s="45">
        <v>4.9552456136191836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405.68550279211945</v>
      </c>
      <c r="E42" s="45">
        <v>364.74778506469659</v>
      </c>
      <c r="F42" s="45">
        <v>333.16872297461714</v>
      </c>
      <c r="G42" s="45">
        <v>359.51329875646155</v>
      </c>
      <c r="H42" s="45">
        <v>343.31040824682594</v>
      </c>
      <c r="I42" s="45">
        <v>368.90981295785144</v>
      </c>
      <c r="J42" s="45">
        <v>405.86291951716805</v>
      </c>
      <c r="K42" s="45">
        <v>451.0160063307132</v>
      </c>
      <c r="L42" s="45">
        <v>420.43814457624035</v>
      </c>
      <c r="M42" s="45">
        <v>271.33188300700988</v>
      </c>
      <c r="N42" s="45">
        <v>326.68380850121969</v>
      </c>
      <c r="O42" s="45">
        <v>360.67597075856838</v>
      </c>
      <c r="P42" s="45">
        <v>411.89919413952634</v>
      </c>
      <c r="Q42" s="45">
        <v>425.8729344989319</v>
      </c>
      <c r="R42" s="45">
        <v>361.21456222500143</v>
      </c>
      <c r="S42" s="45">
        <v>283.14162950518681</v>
      </c>
      <c r="T42" s="45">
        <v>399.98911370776375</v>
      </c>
      <c r="U42" s="45">
        <v>108.35529905760512</v>
      </c>
      <c r="V42" s="45">
        <v>130.97085743176115</v>
      </c>
      <c r="W42" s="45">
        <v>88.903424843297216</v>
      </c>
      <c r="X42" s="45">
        <v>289.04557307692392</v>
      </c>
      <c r="Y42" s="45">
        <v>351.68312266308317</v>
      </c>
    </row>
    <row r="43" spans="1:25" x14ac:dyDescent="0.25">
      <c r="A43" s="72" t="s">
        <v>271</v>
      </c>
      <c r="B43" s="65"/>
      <c r="C43" s="65"/>
      <c r="D43" s="66">
        <v>1187.7252752678614</v>
      </c>
      <c r="E43" s="66">
        <v>1535.3046659686368</v>
      </c>
      <c r="F43" s="66">
        <v>1399.066050228841</v>
      </c>
      <c r="G43" s="66">
        <v>1520.7213261648744</v>
      </c>
      <c r="H43" s="66">
        <v>1368.0256926677916</v>
      </c>
      <c r="I43" s="66">
        <v>1472.7183387455136</v>
      </c>
      <c r="J43" s="66">
        <v>1488.6189945057215</v>
      </c>
      <c r="K43" s="66">
        <v>1342.7163547859395</v>
      </c>
      <c r="L43" s="66">
        <v>1245.615208892882</v>
      </c>
      <c r="M43" s="66">
        <v>1143.8984027816516</v>
      </c>
      <c r="N43" s="66">
        <v>1686.869543104179</v>
      </c>
      <c r="O43" s="66">
        <v>1466.8185702079181</v>
      </c>
      <c r="P43" s="66">
        <v>1339.4432088350334</v>
      </c>
      <c r="Q43" s="66">
        <v>1597.0850044018389</v>
      </c>
      <c r="R43" s="66">
        <v>1488.6460883236809</v>
      </c>
      <c r="S43" s="66">
        <v>1632.4</v>
      </c>
      <c r="T43" s="66">
        <v>1592.4737515485062</v>
      </c>
      <c r="U43" s="66">
        <v>1616.1533837956783</v>
      </c>
      <c r="V43" s="66">
        <v>1639.8223568417175</v>
      </c>
      <c r="W43" s="66">
        <v>1726.6661927634987</v>
      </c>
      <c r="X43" s="66">
        <v>1877.5836104345012</v>
      </c>
      <c r="Y43" s="66">
        <v>1935.2396134303078</v>
      </c>
    </row>
    <row r="44" spans="1:25" x14ac:dyDescent="0.25">
      <c r="A44" s="73" t="s">
        <v>272</v>
      </c>
      <c r="B44" s="65"/>
      <c r="C44" s="65"/>
      <c r="D44" s="66">
        <v>570.28588357280398</v>
      </c>
      <c r="E44" s="66">
        <v>643.02993103946267</v>
      </c>
      <c r="F44" s="66">
        <v>583.71860697442094</v>
      </c>
      <c r="G44" s="66">
        <v>675.73924731182785</v>
      </c>
      <c r="H44" s="66">
        <v>637.41766915246853</v>
      </c>
      <c r="I44" s="66">
        <v>636.64330883609637</v>
      </c>
      <c r="J44" s="66">
        <v>725.51328128227374</v>
      </c>
      <c r="K44" s="66">
        <v>679.18844511830196</v>
      </c>
      <c r="L44" s="66">
        <v>691.43496171969832</v>
      </c>
      <c r="M44" s="66">
        <v>573.99453338539638</v>
      </c>
      <c r="N44" s="66">
        <v>726.45587861320678</v>
      </c>
      <c r="O44" s="66">
        <v>695.43339979113262</v>
      </c>
      <c r="P44" s="66">
        <v>591.11128153999539</v>
      </c>
      <c r="Q44" s="66">
        <v>678.86139098112096</v>
      </c>
      <c r="R44" s="66">
        <v>725.71496805779452</v>
      </c>
      <c r="S44" s="66">
        <v>861.5</v>
      </c>
      <c r="T44" s="66">
        <v>850.0030462419528</v>
      </c>
      <c r="U44" s="66">
        <v>891.20712313695117</v>
      </c>
      <c r="V44" s="66">
        <v>871.53616307150753</v>
      </c>
      <c r="W44" s="66">
        <v>883.38935545784125</v>
      </c>
      <c r="X44" s="66">
        <v>961.48209539018205</v>
      </c>
      <c r="Y44" s="66">
        <v>956.06256849656268</v>
      </c>
    </row>
    <row r="45" spans="1:25" x14ac:dyDescent="0.25">
      <c r="A45" s="74" t="s">
        <v>20</v>
      </c>
      <c r="B45" s="44"/>
      <c r="C45" s="44"/>
      <c r="D45" s="45">
        <v>189.23878630329196</v>
      </c>
      <c r="E45" s="45">
        <v>125.59127077959951</v>
      </c>
      <c r="F45" s="45">
        <v>119.65907168844539</v>
      </c>
      <c r="G45" s="45">
        <v>128.74590738722927</v>
      </c>
      <c r="H45" s="45">
        <v>156.30249931533237</v>
      </c>
      <c r="I45" s="45">
        <v>142.00684474479928</v>
      </c>
      <c r="J45" s="45">
        <v>151.5946490580919</v>
      </c>
      <c r="K45" s="45">
        <v>122.22923306576591</v>
      </c>
      <c r="L45" s="45">
        <v>154.15784233974318</v>
      </c>
      <c r="M45" s="45">
        <v>125.6485888597033</v>
      </c>
      <c r="N45" s="45">
        <v>148.34053108545584</v>
      </c>
      <c r="O45" s="45">
        <v>163.21749194948114</v>
      </c>
      <c r="P45" s="45">
        <v>149.97084895505412</v>
      </c>
      <c r="Q45" s="45">
        <v>144.06082790878321</v>
      </c>
      <c r="R45" s="45">
        <v>158.89959786984582</v>
      </c>
      <c r="S45" s="45">
        <v>191.63588888888887</v>
      </c>
      <c r="T45" s="45">
        <v>135.70435430526717</v>
      </c>
      <c r="U45" s="45">
        <v>179.46292546191762</v>
      </c>
      <c r="V45" s="45">
        <v>213.90861265562086</v>
      </c>
      <c r="W45" s="45">
        <v>158.89501838701844</v>
      </c>
      <c r="X45" s="45">
        <v>197.43241101184805</v>
      </c>
      <c r="Y45" s="45">
        <v>176.01718265822575</v>
      </c>
    </row>
    <row r="46" spans="1:25" x14ac:dyDescent="0.25">
      <c r="A46" s="74" t="s">
        <v>12</v>
      </c>
      <c r="B46" s="44"/>
      <c r="C46" s="44"/>
      <c r="D46" s="45">
        <v>381.04709726951205</v>
      </c>
      <c r="E46" s="45">
        <v>517.43866025986313</v>
      </c>
      <c r="F46" s="45">
        <v>464.05953528597553</v>
      </c>
      <c r="G46" s="45">
        <v>546.99333992459856</v>
      </c>
      <c r="H46" s="45">
        <v>481.11516983713614</v>
      </c>
      <c r="I46" s="45">
        <v>494.63646409129706</v>
      </c>
      <c r="J46" s="45">
        <v>573.91863222418181</v>
      </c>
      <c r="K46" s="45">
        <v>556.95921205253603</v>
      </c>
      <c r="L46" s="45">
        <v>537.27711937995514</v>
      </c>
      <c r="M46" s="45">
        <v>448.34594452569308</v>
      </c>
      <c r="N46" s="45">
        <v>578.11534752775094</v>
      </c>
      <c r="O46" s="45">
        <v>532.21590784165141</v>
      </c>
      <c r="P46" s="45">
        <v>441.14043258494127</v>
      </c>
      <c r="Q46" s="45">
        <v>534.80056307233781</v>
      </c>
      <c r="R46" s="45">
        <v>566.8153701879487</v>
      </c>
      <c r="S46" s="45">
        <v>669.86411111111113</v>
      </c>
      <c r="T46" s="45">
        <v>714.2986919366856</v>
      </c>
      <c r="U46" s="45">
        <v>711.74419767503355</v>
      </c>
      <c r="V46" s="45">
        <v>657.62755041588662</v>
      </c>
      <c r="W46" s="45">
        <v>724.49433707082278</v>
      </c>
      <c r="X46" s="45">
        <v>764.04968437833395</v>
      </c>
      <c r="Y46" s="45">
        <v>780.04538583833687</v>
      </c>
    </row>
    <row r="47" spans="1:25" x14ac:dyDescent="0.25">
      <c r="A47" s="73" t="s">
        <v>11</v>
      </c>
      <c r="B47" s="65"/>
      <c r="C47" s="65"/>
      <c r="D47" s="66">
        <v>617.43939169505757</v>
      </c>
      <c r="E47" s="66">
        <v>892.27473492917409</v>
      </c>
      <c r="F47" s="66">
        <v>815.34744325442</v>
      </c>
      <c r="G47" s="66">
        <v>844.98207885304657</v>
      </c>
      <c r="H47" s="66">
        <v>730.608023515323</v>
      </c>
      <c r="I47" s="66">
        <v>836.07502990941725</v>
      </c>
      <c r="J47" s="66">
        <v>763.10571322344776</v>
      </c>
      <c r="K47" s="66">
        <v>663.52790966763757</v>
      </c>
      <c r="L47" s="66">
        <v>554.1802471731836</v>
      </c>
      <c r="M47" s="66">
        <v>569.90386939625523</v>
      </c>
      <c r="N47" s="66">
        <v>960.41366449097222</v>
      </c>
      <c r="O47" s="66">
        <v>771.3851704167854</v>
      </c>
      <c r="P47" s="66">
        <v>748.33192729503799</v>
      </c>
      <c r="Q47" s="66">
        <v>918.22361342071792</v>
      </c>
      <c r="R47" s="66">
        <v>762.93112026588653</v>
      </c>
      <c r="S47" s="66">
        <v>770.9</v>
      </c>
      <c r="T47" s="66">
        <v>742.47070530655344</v>
      </c>
      <c r="U47" s="66">
        <v>724.94626065872717</v>
      </c>
      <c r="V47" s="66">
        <v>768.28619377020993</v>
      </c>
      <c r="W47" s="66">
        <v>843.27683730565741</v>
      </c>
      <c r="X47" s="66">
        <v>916.10151504431929</v>
      </c>
      <c r="Y47" s="66">
        <v>979.17704493374515</v>
      </c>
    </row>
    <row r="48" spans="1:25" x14ac:dyDescent="0.25">
      <c r="A48" s="72" t="s">
        <v>4</v>
      </c>
      <c r="B48" s="65"/>
      <c r="C48" s="65"/>
      <c r="D48" s="66">
        <v>1508.1716288944847</v>
      </c>
      <c r="E48" s="66">
        <v>1696.5736361338777</v>
      </c>
      <c r="F48" s="66">
        <v>1672.6296958855098</v>
      </c>
      <c r="G48" s="66">
        <v>1837.1415770609319</v>
      </c>
      <c r="H48" s="66">
        <v>1615.4809210168198</v>
      </c>
      <c r="I48" s="66">
        <v>1468.5523842078278</v>
      </c>
      <c r="J48" s="66">
        <v>1671.6239104391291</v>
      </c>
      <c r="K48" s="66">
        <v>1690.2405937038664</v>
      </c>
      <c r="L48" s="66">
        <v>1617.0440534108177</v>
      </c>
      <c r="M48" s="66">
        <v>1418.80961677916</v>
      </c>
      <c r="N48" s="66">
        <v>1270.0027313912201</v>
      </c>
      <c r="O48" s="66">
        <v>840.69116111269352</v>
      </c>
      <c r="P48" s="66">
        <v>690.90804509548275</v>
      </c>
      <c r="Q48" s="66">
        <v>697.64257067397034</v>
      </c>
      <c r="R48" s="66">
        <v>774.275081099369</v>
      </c>
      <c r="S48" s="66">
        <v>774.2</v>
      </c>
      <c r="T48" s="66">
        <v>763.59131617960645</v>
      </c>
      <c r="U48" s="66">
        <v>792.59161156898494</v>
      </c>
      <c r="V48" s="66">
        <v>823.23687118824432</v>
      </c>
      <c r="W48" s="66">
        <v>822.45894813806831</v>
      </c>
      <c r="X48" s="66">
        <v>735.89310801386671</v>
      </c>
      <c r="Y48" s="66">
        <v>811.69672212812577</v>
      </c>
    </row>
    <row r="49" spans="1:25" x14ac:dyDescent="0.25">
      <c r="A49" s="77" t="s">
        <v>10</v>
      </c>
      <c r="B49" s="44"/>
      <c r="C49" s="44"/>
      <c r="D49" s="45">
        <v>1210.879183595948</v>
      </c>
      <c r="E49" s="45">
        <v>1115.6948757934631</v>
      </c>
      <c r="F49" s="45">
        <v>1156.6732186395193</v>
      </c>
      <c r="G49" s="45">
        <v>1457.0526648053756</v>
      </c>
      <c r="H49" s="45">
        <v>1179.7949890488287</v>
      </c>
      <c r="I49" s="45">
        <v>1149.0272131235652</v>
      </c>
      <c r="J49" s="45">
        <v>1373.2296294649038</v>
      </c>
      <c r="K49" s="45">
        <v>1088.4127046032356</v>
      </c>
      <c r="L49" s="45">
        <v>1058.5220267054087</v>
      </c>
      <c r="M49" s="45">
        <v>907.13838529138764</v>
      </c>
      <c r="N49" s="45">
        <v>735.00136569560993</v>
      </c>
      <c r="O49" s="45">
        <v>420.34558055634676</v>
      </c>
      <c r="P49" s="45">
        <v>429.55347362816724</v>
      </c>
      <c r="Q49" s="45">
        <v>419.69593295253014</v>
      </c>
      <c r="R49" s="45">
        <v>495.91575921334538</v>
      </c>
      <c r="S49" s="45">
        <v>357.82003827956129</v>
      </c>
      <c r="T49" s="45">
        <v>428.02437667907049</v>
      </c>
      <c r="U49" s="45">
        <v>354.58925135812706</v>
      </c>
      <c r="V49" s="45">
        <v>369.27366276817895</v>
      </c>
      <c r="W49" s="45">
        <v>425.8815095734592</v>
      </c>
      <c r="X49" s="45">
        <v>418.90334413389655</v>
      </c>
      <c r="Y49" s="45">
        <v>485.87052694968588</v>
      </c>
    </row>
    <row r="50" spans="1:25" x14ac:dyDescent="0.25">
      <c r="A50" s="77" t="s">
        <v>18</v>
      </c>
      <c r="B50" s="44"/>
      <c r="C50" s="44"/>
      <c r="D50" s="45">
        <v>162.71122026457019</v>
      </c>
      <c r="E50" s="45">
        <v>164.8906384601157</v>
      </c>
      <c r="F50" s="45">
        <v>178.24823064521638</v>
      </c>
      <c r="G50" s="45">
        <v>188.95402600090026</v>
      </c>
      <c r="H50" s="45">
        <v>139.70229214633775</v>
      </c>
      <c r="I50" s="45">
        <v>126.50160910375911</v>
      </c>
      <c r="J50" s="45">
        <v>116.4173459832264</v>
      </c>
      <c r="K50" s="45">
        <v>97.571374656178662</v>
      </c>
      <c r="L50" s="45">
        <v>113.19308373875725</v>
      </c>
      <c r="M50" s="45">
        <v>109.31667317454122</v>
      </c>
      <c r="N50" s="45">
        <v>93.900191197385411</v>
      </c>
      <c r="O50" s="45">
        <v>78.848381277888549</v>
      </c>
      <c r="P50" s="45">
        <v>55.026433242646746</v>
      </c>
      <c r="Q50" s="45">
        <v>48.756441305845208</v>
      </c>
      <c r="R50" s="45">
        <v>81.311642497616191</v>
      </c>
      <c r="S50" s="45">
        <v>50.122853132298715</v>
      </c>
      <c r="T50" s="45">
        <v>58.45960913186638</v>
      </c>
      <c r="U50" s="45">
        <v>60.405813918834198</v>
      </c>
      <c r="V50" s="45">
        <v>52.145600675326499</v>
      </c>
      <c r="W50" s="45">
        <v>39.090458474611516</v>
      </c>
      <c r="X50" s="45">
        <v>35.255668102710807</v>
      </c>
      <c r="Y50" s="45">
        <v>40.920005246890248</v>
      </c>
    </row>
    <row r="51" spans="1:25" x14ac:dyDescent="0.25">
      <c r="A51" s="77" t="s">
        <v>9</v>
      </c>
      <c r="B51" s="44"/>
      <c r="C51" s="44"/>
      <c r="D51" s="45">
        <v>134.58122503396649</v>
      </c>
      <c r="E51" s="45">
        <v>415.98812188029888</v>
      </c>
      <c r="F51" s="45">
        <v>337.70824660077415</v>
      </c>
      <c r="G51" s="45">
        <v>191.1348862546561</v>
      </c>
      <c r="H51" s="45">
        <v>295.98363982165336</v>
      </c>
      <c r="I51" s="45">
        <v>193.02356198050353</v>
      </c>
      <c r="J51" s="45">
        <v>181.97693499099884</v>
      </c>
      <c r="K51" s="45">
        <v>504.25651444445208</v>
      </c>
      <c r="L51" s="45">
        <v>445.32894296665171</v>
      </c>
      <c r="M51" s="45">
        <v>402.35455831323117</v>
      </c>
      <c r="N51" s="45">
        <v>441.10117449822474</v>
      </c>
      <c r="O51" s="45">
        <v>341.4971992784582</v>
      </c>
      <c r="P51" s="45">
        <v>206.32813822466875</v>
      </c>
      <c r="Q51" s="45">
        <v>229.19019641559498</v>
      </c>
      <c r="R51" s="45">
        <v>197.04767938840743</v>
      </c>
      <c r="S51" s="45">
        <v>366.25710858814006</v>
      </c>
      <c r="T51" s="45">
        <v>277.10733036866958</v>
      </c>
      <c r="U51" s="45">
        <v>377.59654629202367</v>
      </c>
      <c r="V51" s="45">
        <v>401.81760774473889</v>
      </c>
      <c r="W51" s="45">
        <v>357.48698008999759</v>
      </c>
      <c r="X51" s="45">
        <v>281.73409577725937</v>
      </c>
      <c r="Y51" s="45">
        <v>284.90618993154965</v>
      </c>
    </row>
    <row r="52" spans="1:25" x14ac:dyDescent="0.25">
      <c r="A52" s="72" t="s">
        <v>3</v>
      </c>
      <c r="B52" s="65"/>
      <c r="C52" s="65"/>
      <c r="D52" s="66">
        <v>1279.6869599565498</v>
      </c>
      <c r="E52" s="66">
        <v>1538.794815322959</v>
      </c>
      <c r="F52" s="66">
        <v>1702.3674000418189</v>
      </c>
      <c r="G52" s="66">
        <v>1569.5564516129034</v>
      </c>
      <c r="H52" s="66">
        <v>1617.0050623264929</v>
      </c>
      <c r="I52" s="66">
        <v>1579.6445052127842</v>
      </c>
      <c r="J52" s="66">
        <v>1637.7494113273015</v>
      </c>
      <c r="K52" s="66">
        <v>1778.917128835335</v>
      </c>
      <c r="L52" s="66">
        <v>1115.5290901618191</v>
      </c>
      <c r="M52" s="66">
        <v>921.70097246239368</v>
      </c>
      <c r="N52" s="66">
        <v>819.41736599700494</v>
      </c>
      <c r="O52" s="66">
        <v>705.97170796544196</v>
      </c>
      <c r="P52" s="66">
        <v>641.44106143109138</v>
      </c>
      <c r="Q52" s="66">
        <v>607.7472366233003</v>
      </c>
      <c r="R52" s="66">
        <v>690.09095070352453</v>
      </c>
      <c r="S52" s="66">
        <v>654.40000000000009</v>
      </c>
      <c r="T52" s="66">
        <v>653.92660587721616</v>
      </c>
      <c r="U52" s="66">
        <v>660.76467771676562</v>
      </c>
      <c r="V52" s="66">
        <v>685.29736809790836</v>
      </c>
      <c r="W52" s="66">
        <v>672.36704477369426</v>
      </c>
      <c r="X52" s="66">
        <v>680.5065645182483</v>
      </c>
      <c r="Y52" s="66">
        <v>683.0726312643219</v>
      </c>
    </row>
    <row r="53" spans="1:25" x14ac:dyDescent="0.25">
      <c r="A53" s="73" t="s">
        <v>21</v>
      </c>
      <c r="B53" s="65"/>
      <c r="C53" s="65"/>
      <c r="D53" s="66">
        <v>375.12961042808467</v>
      </c>
      <c r="E53" s="66">
        <v>353.70858456391181</v>
      </c>
      <c r="F53" s="66">
        <v>443.50997839369933</v>
      </c>
      <c r="G53" s="66">
        <v>396.39336917562724</v>
      </c>
      <c r="H53" s="66">
        <v>382.34173425507589</v>
      </c>
      <c r="I53" s="66">
        <v>362.0107673901897</v>
      </c>
      <c r="J53" s="66">
        <v>350.72499690172265</v>
      </c>
      <c r="K53" s="66">
        <v>423.63244623548661</v>
      </c>
      <c r="L53" s="66">
        <v>395.41974518031407</v>
      </c>
      <c r="M53" s="66">
        <v>294.71374649039626</v>
      </c>
      <c r="N53" s="66">
        <v>317.02975332711708</v>
      </c>
      <c r="O53" s="66">
        <v>296.87648343302004</v>
      </c>
      <c r="P53" s="66">
        <v>276.86172252473352</v>
      </c>
      <c r="Q53" s="66">
        <v>290.61919201799867</v>
      </c>
      <c r="R53" s="66">
        <v>356.93673254124627</v>
      </c>
      <c r="S53" s="66">
        <v>356</v>
      </c>
      <c r="T53" s="66">
        <v>352.45019394407097</v>
      </c>
      <c r="U53" s="66">
        <v>358.7037357756293</v>
      </c>
      <c r="V53" s="66">
        <v>376.87773730097007</v>
      </c>
      <c r="W53" s="66">
        <v>365.379342560905</v>
      </c>
      <c r="X53" s="66">
        <v>397.91390828877815</v>
      </c>
      <c r="Y53" s="66">
        <v>396.83172262628273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375.12961042808467</v>
      </c>
      <c r="E55" s="45">
        <v>353.70858456391181</v>
      </c>
      <c r="F55" s="45">
        <v>443.50997839369933</v>
      </c>
      <c r="G55" s="45">
        <v>396.39336917562724</v>
      </c>
      <c r="H55" s="45">
        <v>382.34173425507589</v>
      </c>
      <c r="I55" s="45">
        <v>362.0107673901897</v>
      </c>
      <c r="J55" s="45">
        <v>350.72499690172265</v>
      </c>
      <c r="K55" s="45">
        <v>423.63244623548661</v>
      </c>
      <c r="L55" s="45">
        <v>395.41974518031407</v>
      </c>
      <c r="M55" s="45">
        <v>294.71374649039626</v>
      </c>
      <c r="N55" s="45">
        <v>317.02975332711708</v>
      </c>
      <c r="O55" s="45">
        <v>296.87648343302004</v>
      </c>
      <c r="P55" s="45">
        <v>276.86172252473352</v>
      </c>
      <c r="Q55" s="45">
        <v>290.61919201799867</v>
      </c>
      <c r="R55" s="45">
        <v>356.93673254124627</v>
      </c>
      <c r="S55" s="45">
        <v>356</v>
      </c>
      <c r="T55" s="45">
        <v>352.45019394407097</v>
      </c>
      <c r="U55" s="45">
        <v>358.7037357756293</v>
      </c>
      <c r="V55" s="45">
        <v>376.87773730097007</v>
      </c>
      <c r="W55" s="45">
        <v>365.379342560905</v>
      </c>
      <c r="X55" s="45">
        <v>397.91390828877815</v>
      </c>
      <c r="Y55" s="45">
        <v>396.83172262628273</v>
      </c>
    </row>
    <row r="56" spans="1:25" x14ac:dyDescent="0.25">
      <c r="A56" s="73" t="s">
        <v>16</v>
      </c>
      <c r="B56" s="65"/>
      <c r="C56" s="65"/>
      <c r="D56" s="66">
        <v>904.55734952846512</v>
      </c>
      <c r="E56" s="66">
        <v>1185.0862307590473</v>
      </c>
      <c r="F56" s="66">
        <v>1258.8574216481195</v>
      </c>
      <c r="G56" s="66">
        <v>1173.1630824372762</v>
      </c>
      <c r="H56" s="66">
        <v>1234.663328071417</v>
      </c>
      <c r="I56" s="66">
        <v>1217.6337378225944</v>
      </c>
      <c r="J56" s="66">
        <v>1287.0244144255789</v>
      </c>
      <c r="K56" s="66">
        <v>1355.2846825998483</v>
      </c>
      <c r="L56" s="66">
        <v>720.10934498150505</v>
      </c>
      <c r="M56" s="66">
        <v>626.98722597199742</v>
      </c>
      <c r="N56" s="66">
        <v>502.38761266988786</v>
      </c>
      <c r="O56" s="66">
        <v>409.09522453242192</v>
      </c>
      <c r="P56" s="66">
        <v>364.57933890635786</v>
      </c>
      <c r="Q56" s="66">
        <v>317.12804460530162</v>
      </c>
      <c r="R56" s="66">
        <v>333.15421816227826</v>
      </c>
      <c r="S56" s="66">
        <v>298.40000000000009</v>
      </c>
      <c r="T56" s="66">
        <v>301.47641193314519</v>
      </c>
      <c r="U56" s="66">
        <v>302.06094194113632</v>
      </c>
      <c r="V56" s="66">
        <v>308.41963079693829</v>
      </c>
      <c r="W56" s="66">
        <v>306.98770221278926</v>
      </c>
      <c r="X56" s="66">
        <v>282.59265622947015</v>
      </c>
      <c r="Y56" s="66">
        <v>286.24090863803917</v>
      </c>
    </row>
    <row r="57" spans="1:25" x14ac:dyDescent="0.25">
      <c r="A57" s="72" t="s">
        <v>2</v>
      </c>
      <c r="B57" s="65"/>
      <c r="C57" s="65"/>
      <c r="D57" s="66">
        <v>3645.5093072631216</v>
      </c>
      <c r="E57" s="66">
        <v>4243.5402149450601</v>
      </c>
      <c r="F57" s="66">
        <v>4688.7995725205028</v>
      </c>
      <c r="G57" s="66">
        <v>4548.6111111111113</v>
      </c>
      <c r="H57" s="66">
        <v>4611.8338685972458</v>
      </c>
      <c r="I57" s="66">
        <v>4220.2187660229019</v>
      </c>
      <c r="J57" s="66">
        <v>4077.229726938489</v>
      </c>
      <c r="K57" s="66">
        <v>4514.8226469297369</v>
      </c>
      <c r="L57" s="66">
        <v>4584.8427210078089</v>
      </c>
      <c r="M57" s="66">
        <v>4379.5206485561821</v>
      </c>
      <c r="N57" s="66">
        <v>4869.2228721049605</v>
      </c>
      <c r="O57" s="66">
        <v>4881.0405392575713</v>
      </c>
      <c r="P57" s="66">
        <v>4967.3096096326408</v>
      </c>
      <c r="Q57" s="66">
        <v>4724.5426978382075</v>
      </c>
      <c r="R57" s="66">
        <v>4789.2411487252966</v>
      </c>
      <c r="S57" s="66">
        <v>4926.8</v>
      </c>
      <c r="T57" s="66">
        <v>5206.7382871996915</v>
      </c>
      <c r="U57" s="66">
        <v>5180.5743742295663</v>
      </c>
      <c r="V57" s="66">
        <v>5258.2784167655855</v>
      </c>
      <c r="W57" s="66">
        <v>5106.4758867913033</v>
      </c>
      <c r="X57" s="66">
        <v>5497.5187232795297</v>
      </c>
      <c r="Y57" s="66">
        <v>5805.5195775630164</v>
      </c>
    </row>
    <row r="58" spans="1:25" x14ac:dyDescent="0.25">
      <c r="A58" s="72" t="s">
        <v>275</v>
      </c>
      <c r="B58" s="65"/>
      <c r="C58" s="65"/>
      <c r="D58" s="66">
        <v>483.3851775045672</v>
      </c>
      <c r="E58" s="66">
        <v>472.61436256634295</v>
      </c>
      <c r="F58" s="66">
        <v>520.29365982854358</v>
      </c>
      <c r="G58" s="66">
        <v>620.18369175627242</v>
      </c>
      <c r="H58" s="66">
        <v>629.36149365848348</v>
      </c>
      <c r="I58" s="66">
        <v>627.24320628952319</v>
      </c>
      <c r="J58" s="66">
        <v>682.96360556863715</v>
      </c>
      <c r="K58" s="66">
        <v>659.53796432988872</v>
      </c>
      <c r="L58" s="66">
        <v>555.90071016889215</v>
      </c>
      <c r="M58" s="66">
        <v>584.31416299436603</v>
      </c>
      <c r="N58" s="66">
        <v>297.43908526649903</v>
      </c>
      <c r="O58" s="66">
        <v>374.63210861103198</v>
      </c>
      <c r="P58" s="66">
        <v>150.31827594140657</v>
      </c>
      <c r="Q58" s="66">
        <v>312.53056832632296</v>
      </c>
      <c r="R58" s="66">
        <v>232.94923079984875</v>
      </c>
      <c r="S58" s="66">
        <v>396.3</v>
      </c>
      <c r="T58" s="66">
        <v>340.56985032797871</v>
      </c>
      <c r="U58" s="66">
        <v>401.49145773693698</v>
      </c>
      <c r="V58" s="66">
        <v>457.30833776759033</v>
      </c>
      <c r="W58" s="66">
        <v>455.55634539416894</v>
      </c>
      <c r="X58" s="66">
        <v>363.6510647759776</v>
      </c>
      <c r="Y58" s="66">
        <v>406.79485902161997</v>
      </c>
    </row>
    <row r="59" spans="1:25" x14ac:dyDescent="0.25">
      <c r="A59" s="72" t="s">
        <v>276</v>
      </c>
      <c r="B59" s="65"/>
      <c r="C59" s="65"/>
      <c r="D59" s="66">
        <v>2553.3254332691454</v>
      </c>
      <c r="E59" s="66">
        <v>2984.5590978565665</v>
      </c>
      <c r="F59" s="66">
        <v>2786.8642984922053</v>
      </c>
      <c r="G59" s="66">
        <v>2921.8189964157705</v>
      </c>
      <c r="H59" s="66">
        <v>2998.4214250721247</v>
      </c>
      <c r="I59" s="66">
        <v>3591.693727567937</v>
      </c>
      <c r="J59" s="66">
        <v>3451.2744247531705</v>
      </c>
      <c r="K59" s="66">
        <v>3443.422575110721</v>
      </c>
      <c r="L59" s="66">
        <v>3412.3471894325339</v>
      </c>
      <c r="M59" s="66">
        <v>2823.9526970491434</v>
      </c>
      <c r="N59" s="66">
        <v>2674.7854916033266</v>
      </c>
      <c r="O59" s="66">
        <v>2212.0953194721351</v>
      </c>
      <c r="P59" s="66">
        <v>1995.0724748830435</v>
      </c>
      <c r="Q59" s="66">
        <v>1937.9829795559035</v>
      </c>
      <c r="R59" s="66">
        <v>1868.5692678169839</v>
      </c>
      <c r="S59" s="66">
        <v>1954</v>
      </c>
      <c r="T59" s="66">
        <v>1820.1295668243943</v>
      </c>
      <c r="U59" s="66">
        <v>1885.4104055664789</v>
      </c>
      <c r="V59" s="66">
        <v>1995.927305472555</v>
      </c>
      <c r="W59" s="66">
        <v>2018.5228438252109</v>
      </c>
      <c r="X59" s="66">
        <v>1988.4577677605841</v>
      </c>
      <c r="Y59" s="66">
        <v>2313.1413769054498</v>
      </c>
    </row>
    <row r="60" spans="1:25" x14ac:dyDescent="0.25">
      <c r="A60" s="72" t="s">
        <v>1</v>
      </c>
      <c r="B60" s="65"/>
      <c r="C60" s="65"/>
      <c r="D60" s="66">
        <v>1929.8375549301338</v>
      </c>
      <c r="E60" s="66">
        <v>1724.7355309239269</v>
      </c>
      <c r="F60" s="66">
        <v>1894.9654996166623</v>
      </c>
      <c r="G60" s="66">
        <v>1903.3378136200718</v>
      </c>
      <c r="H60" s="66">
        <v>1919.8737140057699</v>
      </c>
      <c r="I60" s="66">
        <v>1536.4894889762434</v>
      </c>
      <c r="J60" s="66">
        <v>1316.1482215887968</v>
      </c>
      <c r="K60" s="66">
        <v>1420.6200375054862</v>
      </c>
      <c r="L60" s="66">
        <v>1335.1748659472582</v>
      </c>
      <c r="M60" s="66">
        <v>1062.7359104516463</v>
      </c>
      <c r="N60" s="66">
        <v>859.63474706375439</v>
      </c>
      <c r="O60" s="66">
        <v>736.25747650242101</v>
      </c>
      <c r="P60" s="66">
        <v>657.83418973847688</v>
      </c>
      <c r="Q60" s="66">
        <v>614.39890443118452</v>
      </c>
      <c r="R60" s="66">
        <v>560.13294326029416</v>
      </c>
      <c r="S60" s="66">
        <v>569</v>
      </c>
      <c r="T60" s="66">
        <v>535.52933531000588</v>
      </c>
      <c r="U60" s="66">
        <v>539.83842541183174</v>
      </c>
      <c r="V60" s="66">
        <v>531.08755269943924</v>
      </c>
      <c r="W60" s="66">
        <v>479.3192042488804</v>
      </c>
      <c r="X60" s="66">
        <v>380.93409203464688</v>
      </c>
      <c r="Y60" s="66">
        <v>430.50712364252263</v>
      </c>
    </row>
    <row r="61" spans="1:25" x14ac:dyDescent="0.25">
      <c r="A61" s="72" t="s">
        <v>0</v>
      </c>
      <c r="B61" s="65"/>
      <c r="C61" s="65"/>
      <c r="D61" s="66">
        <v>374.88273342220907</v>
      </c>
      <c r="E61" s="66">
        <v>362.85518287179121</v>
      </c>
      <c r="F61" s="66">
        <v>363.93838719420114</v>
      </c>
      <c r="G61" s="66">
        <v>389.11290322580646</v>
      </c>
      <c r="H61" s="66">
        <v>409.44967611997168</v>
      </c>
      <c r="I61" s="66">
        <v>395.55204238591693</v>
      </c>
      <c r="J61" s="66">
        <v>559.65216672863221</v>
      </c>
      <c r="K61" s="66">
        <v>433.7070582133025</v>
      </c>
      <c r="L61" s="66">
        <v>494.25078615600773</v>
      </c>
      <c r="M61" s="66">
        <v>449.78709953329246</v>
      </c>
      <c r="N61" s="66">
        <v>307.79953472163356</v>
      </c>
      <c r="O61" s="66">
        <v>225.57675875818856</v>
      </c>
      <c r="P61" s="66">
        <v>147.82575350870465</v>
      </c>
      <c r="Q61" s="66">
        <v>105.64413577227819</v>
      </c>
      <c r="R61" s="66">
        <v>95.329074372599365</v>
      </c>
      <c r="S61" s="66">
        <v>88.8</v>
      </c>
      <c r="T61" s="66">
        <v>88.645640827765476</v>
      </c>
      <c r="U61" s="66">
        <v>96.883627583818082</v>
      </c>
      <c r="V61" s="66">
        <v>98.235847898162163</v>
      </c>
      <c r="W61" s="66">
        <v>100.8398241142242</v>
      </c>
      <c r="X61" s="66">
        <v>116.5340960774603</v>
      </c>
      <c r="Y61" s="66">
        <v>122.24768357078808</v>
      </c>
    </row>
    <row r="62" spans="1:25" x14ac:dyDescent="0.25">
      <c r="A62" s="78" t="s">
        <v>277</v>
      </c>
      <c r="B62" s="79"/>
      <c r="C62" s="79"/>
      <c r="D62" s="80">
        <v>1073.6680985533008</v>
      </c>
      <c r="E62" s="80">
        <v>1280.7644630585746</v>
      </c>
      <c r="F62" s="80">
        <v>1196.1294519434055</v>
      </c>
      <c r="G62" s="80">
        <v>1131.3844086021504</v>
      </c>
      <c r="H62" s="80">
        <v>1265.7993576833051</v>
      </c>
      <c r="I62" s="80">
        <v>1284.1821910784481</v>
      </c>
      <c r="J62" s="80">
        <v>1500.2891725533937</v>
      </c>
      <c r="K62" s="80">
        <v>1270.8973387064598</v>
      </c>
      <c r="L62" s="80">
        <v>1493.6486241075099</v>
      </c>
      <c r="M62" s="80">
        <v>1376.322493073762</v>
      </c>
      <c r="N62" s="80">
        <v>1216.3167660327954</v>
      </c>
      <c r="O62" s="80">
        <v>1064.3691256052407</v>
      </c>
      <c r="P62" s="80">
        <v>921.84983511005441</v>
      </c>
      <c r="Q62" s="80">
        <v>795.16775897486059</v>
      </c>
      <c r="R62" s="80">
        <v>807.61040460126981</v>
      </c>
      <c r="S62" s="80">
        <v>871.5</v>
      </c>
      <c r="T62" s="80">
        <v>878.73926199711627</v>
      </c>
      <c r="U62" s="80">
        <v>895.38401980460264</v>
      </c>
      <c r="V62" s="80">
        <v>914.61667553518066</v>
      </c>
      <c r="W62" s="80">
        <v>926.04064058168228</v>
      </c>
      <c r="X62" s="80">
        <v>917.31435906247157</v>
      </c>
      <c r="Y62" s="80">
        <v>946.29869482913227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6.0842101472139122E-2</v>
      </c>
      <c r="E66" s="83">
        <f t="shared" ref="E66:S66" si="49">E24/E$23</f>
        <v>5.844971185566137E-2</v>
      </c>
      <c r="F66" s="83">
        <f t="shared" si="49"/>
        <v>5.5913205585284786E-2</v>
      </c>
      <c r="G66" s="83">
        <f t="shared" si="49"/>
        <v>5.5726811593300007E-2</v>
      </c>
      <c r="H66" s="83">
        <f t="shared" si="49"/>
        <v>4.7387754401423558E-2</v>
      </c>
      <c r="I66" s="83">
        <f t="shared" si="49"/>
        <v>4.7735019195226498E-2</v>
      </c>
      <c r="J66" s="83">
        <f t="shared" si="49"/>
        <v>3.6127452834049306E-2</v>
      </c>
      <c r="K66" s="83">
        <f t="shared" si="49"/>
        <v>3.4431740123838706E-2</v>
      </c>
      <c r="L66" s="83">
        <f t="shared" si="49"/>
        <v>3.1771279339665483E-2</v>
      </c>
      <c r="M66" s="83">
        <f t="shared" si="49"/>
        <v>3.1369988073876982E-2</v>
      </c>
      <c r="N66" s="83">
        <f t="shared" si="49"/>
        <v>3.3872589379818456E-2</v>
      </c>
      <c r="O66" s="83">
        <f t="shared" si="49"/>
        <v>3.5528579165509132E-2</v>
      </c>
      <c r="P66" s="83">
        <f t="shared" si="49"/>
        <v>3.9014581340915198E-2</v>
      </c>
      <c r="Q66" s="83">
        <f t="shared" si="49"/>
        <v>3.8157158731472636E-2</v>
      </c>
      <c r="R66" s="83">
        <f t="shared" si="49"/>
        <v>4.0592360656261491E-2</v>
      </c>
      <c r="S66" s="83">
        <f t="shared" si="49"/>
        <v>4.3739042940124082E-2</v>
      </c>
      <c r="T66" s="83">
        <f t="shared" ref="T66:Y66" si="50">T24/T$23</f>
        <v>4.030379128048852E-2</v>
      </c>
      <c r="U66" s="83">
        <f t="shared" si="50"/>
        <v>4.4200559528637939E-2</v>
      </c>
      <c r="V66" s="83">
        <f t="shared" si="50"/>
        <v>4.1948860908843789E-2</v>
      </c>
      <c r="W66" s="83">
        <f t="shared" si="50"/>
        <v>4.3946209788871919E-2</v>
      </c>
      <c r="X66" s="83">
        <f t="shared" si="50"/>
        <v>4.675477239353891E-2</v>
      </c>
      <c r="Y66" s="83">
        <f t="shared" si="50"/>
        <v>4.219403413509628E-2</v>
      </c>
    </row>
    <row r="67" spans="1:25" x14ac:dyDescent="0.25">
      <c r="A67" s="64" t="s">
        <v>56</v>
      </c>
      <c r="B67" s="65"/>
      <c r="C67" s="65"/>
      <c r="D67" s="83">
        <f t="shared" si="46"/>
        <v>4.5981349094191687E-3</v>
      </c>
      <c r="E67" s="83">
        <f t="shared" ref="E67:S67" si="51">E25/E$23</f>
        <v>4.4858540949566077E-3</v>
      </c>
      <c r="F67" s="83">
        <f t="shared" si="51"/>
        <v>4.5103684976549648E-3</v>
      </c>
      <c r="G67" s="83">
        <f t="shared" si="51"/>
        <v>4.6270280238285399E-3</v>
      </c>
      <c r="H67" s="83">
        <f t="shared" si="51"/>
        <v>4.4949734798853374E-3</v>
      </c>
      <c r="I67" s="83">
        <f t="shared" si="51"/>
        <v>4.7131061595286888E-3</v>
      </c>
      <c r="J67" s="83">
        <f t="shared" si="51"/>
        <v>4.2295377656540812E-3</v>
      </c>
      <c r="K67" s="83">
        <f t="shared" si="51"/>
        <v>4.3782001003570955E-3</v>
      </c>
      <c r="L67" s="83">
        <f t="shared" si="51"/>
        <v>3.8200551962431759E-3</v>
      </c>
      <c r="M67" s="83">
        <f t="shared" si="51"/>
        <v>3.6588196575277E-3</v>
      </c>
      <c r="N67" s="83">
        <f t="shared" si="51"/>
        <v>4.5648290692522899E-3</v>
      </c>
      <c r="O67" s="83">
        <f t="shared" si="51"/>
        <v>5.0263637154458543E-3</v>
      </c>
      <c r="P67" s="83">
        <f t="shared" si="51"/>
        <v>4.8263413876679416E-3</v>
      </c>
      <c r="Q67" s="83">
        <f t="shared" si="51"/>
        <v>5.2186411215375244E-3</v>
      </c>
      <c r="R67" s="83">
        <f t="shared" si="51"/>
        <v>5.353611195424701E-3</v>
      </c>
      <c r="S67" s="83">
        <f t="shared" si="51"/>
        <v>5.5218448159470622E-3</v>
      </c>
      <c r="T67" s="83">
        <f t="shared" ref="T67:Y67" si="52">T25/T$23</f>
        <v>5.1275784084532762E-3</v>
      </c>
      <c r="U67" s="83">
        <f t="shared" si="52"/>
        <v>5.0594709746138817E-3</v>
      </c>
      <c r="V67" s="83">
        <f t="shared" si="52"/>
        <v>5.3813710993253034E-3</v>
      </c>
      <c r="W67" s="83">
        <f t="shared" si="52"/>
        <v>4.5588764672860977E-3</v>
      </c>
      <c r="X67" s="83">
        <f t="shared" si="52"/>
        <v>3.7018225792519654E-3</v>
      </c>
      <c r="Y67" s="83">
        <f t="shared" si="52"/>
        <v>4.289964959490339E-3</v>
      </c>
    </row>
    <row r="68" spans="1:25" x14ac:dyDescent="0.25">
      <c r="A68" s="64" t="s">
        <v>146</v>
      </c>
      <c r="B68" s="65"/>
      <c r="C68" s="65"/>
      <c r="D68" s="83">
        <f t="shared" si="46"/>
        <v>0.74357627321674491</v>
      </c>
      <c r="E68" s="83">
        <f t="shared" ref="E68:S68" si="53">E26/E$23</f>
        <v>0.74016075848359386</v>
      </c>
      <c r="F68" s="83">
        <f t="shared" si="53"/>
        <v>0.7421140569036212</v>
      </c>
      <c r="G68" s="83">
        <f t="shared" si="53"/>
        <v>0.73152085744866158</v>
      </c>
      <c r="H68" s="83">
        <f t="shared" si="53"/>
        <v>0.74365777322584148</v>
      </c>
      <c r="I68" s="83">
        <f t="shared" si="53"/>
        <v>0.77120520298287965</v>
      </c>
      <c r="J68" s="83">
        <f t="shared" si="53"/>
        <v>0.75524004245596033</v>
      </c>
      <c r="K68" s="83">
        <f t="shared" si="53"/>
        <v>0.77791608003234813</v>
      </c>
      <c r="L68" s="83">
        <f t="shared" si="53"/>
        <v>0.80941628639937824</v>
      </c>
      <c r="M68" s="83">
        <f t="shared" si="53"/>
        <v>0.81521477615095572</v>
      </c>
      <c r="N68" s="83">
        <f t="shared" si="53"/>
        <v>0.81225332424346031</v>
      </c>
      <c r="O68" s="83">
        <f t="shared" si="53"/>
        <v>0.81575705534556264</v>
      </c>
      <c r="P68" s="83">
        <f t="shared" si="53"/>
        <v>0.81034867743560524</v>
      </c>
      <c r="Q68" s="83">
        <f t="shared" si="53"/>
        <v>0.81051918016790958</v>
      </c>
      <c r="R68" s="83">
        <f t="shared" si="53"/>
        <v>0.81769030464718762</v>
      </c>
      <c r="S68" s="83">
        <f t="shared" si="53"/>
        <v>0.80921817607786661</v>
      </c>
      <c r="T68" s="83">
        <f t="shared" ref="T68:Y68" si="54">T26/T$23</f>
        <v>0.8104123219572581</v>
      </c>
      <c r="U68" s="83">
        <f t="shared" si="54"/>
        <v>0.81404743424113113</v>
      </c>
      <c r="V68" s="83">
        <f t="shared" si="54"/>
        <v>0.81571984995909652</v>
      </c>
      <c r="W68" s="83">
        <f t="shared" si="54"/>
        <v>0.81725412652581408</v>
      </c>
      <c r="X68" s="83">
        <f t="shared" si="54"/>
        <v>0.79920255679364249</v>
      </c>
      <c r="Y68" s="83">
        <f t="shared" si="54"/>
        <v>0.79675050170776651</v>
      </c>
    </row>
    <row r="69" spans="1:25" x14ac:dyDescent="0.25">
      <c r="A69" s="68" t="s">
        <v>148</v>
      </c>
      <c r="B69" s="69"/>
      <c r="C69" s="69"/>
      <c r="D69" s="84">
        <f t="shared" si="46"/>
        <v>0.29594122404496515</v>
      </c>
      <c r="E69" s="84">
        <f t="shared" ref="E69:S69" si="55">E27/E$23</f>
        <v>0.3072142011939149</v>
      </c>
      <c r="F69" s="84">
        <f t="shared" si="55"/>
        <v>0.30332296735058378</v>
      </c>
      <c r="G69" s="84">
        <f t="shared" si="55"/>
        <v>0.30596822445976474</v>
      </c>
      <c r="H69" s="84">
        <f t="shared" si="55"/>
        <v>0.32044766640156086</v>
      </c>
      <c r="I69" s="84">
        <f t="shared" si="55"/>
        <v>0.33968309002603164</v>
      </c>
      <c r="J69" s="84">
        <f t="shared" si="55"/>
        <v>0.33490583386127015</v>
      </c>
      <c r="K69" s="84">
        <f t="shared" si="55"/>
        <v>0.34205157185519341</v>
      </c>
      <c r="L69" s="84">
        <f t="shared" si="55"/>
        <v>0.35757222584158832</v>
      </c>
      <c r="M69" s="84">
        <f t="shared" si="55"/>
        <v>0.35437441057973768</v>
      </c>
      <c r="N69" s="84">
        <f t="shared" si="55"/>
        <v>0.34792939029743708</v>
      </c>
      <c r="O69" s="84">
        <f t="shared" si="55"/>
        <v>0.34471448895922957</v>
      </c>
      <c r="P69" s="84">
        <f t="shared" si="55"/>
        <v>0.34441865126057242</v>
      </c>
      <c r="Q69" s="84">
        <f t="shared" si="55"/>
        <v>0.34397818229248978</v>
      </c>
      <c r="R69" s="84">
        <f t="shared" si="55"/>
        <v>0.35135421825327096</v>
      </c>
      <c r="S69" s="84">
        <f t="shared" si="55"/>
        <v>0.34764456902017254</v>
      </c>
      <c r="T69" s="84">
        <f t="shared" ref="T69:Y69" si="56">T27/T$23</f>
        <v>0.34542624473871292</v>
      </c>
      <c r="U69" s="84">
        <f t="shared" si="56"/>
        <v>0.35340816175794099</v>
      </c>
      <c r="V69" s="84">
        <f t="shared" si="56"/>
        <v>0.36012194518507373</v>
      </c>
      <c r="W69" s="84">
        <f t="shared" si="56"/>
        <v>0.36028402983534175</v>
      </c>
      <c r="X69" s="84">
        <f t="shared" si="56"/>
        <v>0.34270709164723151</v>
      </c>
      <c r="Y69" s="84">
        <f t="shared" si="56"/>
        <v>0.34634717545166344</v>
      </c>
    </row>
    <row r="70" spans="1:25" x14ac:dyDescent="0.25">
      <c r="A70" s="68" t="s">
        <v>150</v>
      </c>
      <c r="B70" s="71"/>
      <c r="C70" s="71"/>
      <c r="D70" s="84">
        <f t="shared" si="46"/>
        <v>0.27039585611979422</v>
      </c>
      <c r="E70" s="84">
        <f t="shared" ref="E70:S70" si="57">E28/E$23</f>
        <v>0.26398849046617606</v>
      </c>
      <c r="F70" s="84">
        <f t="shared" si="57"/>
        <v>0.27496237930168849</v>
      </c>
      <c r="G70" s="84">
        <f t="shared" si="57"/>
        <v>0.26422342309115632</v>
      </c>
      <c r="H70" s="84">
        <f t="shared" si="57"/>
        <v>0.26977965704084728</v>
      </c>
      <c r="I70" s="84">
        <f t="shared" si="57"/>
        <v>0.28629491585137046</v>
      </c>
      <c r="J70" s="84">
        <f t="shared" si="57"/>
        <v>0.28214876058744215</v>
      </c>
      <c r="K70" s="84">
        <f t="shared" si="57"/>
        <v>0.29508980985740518</v>
      </c>
      <c r="L70" s="84">
        <f t="shared" si="57"/>
        <v>0.30480467348770385</v>
      </c>
      <c r="M70" s="84">
        <f t="shared" si="57"/>
        <v>0.31819677773388594</v>
      </c>
      <c r="N70" s="84">
        <f t="shared" si="57"/>
        <v>0.3229877023727401</v>
      </c>
      <c r="O70" s="84">
        <f t="shared" si="57"/>
        <v>0.33143974789609421</v>
      </c>
      <c r="P70" s="84">
        <f t="shared" si="57"/>
        <v>0.33179396776540815</v>
      </c>
      <c r="Q70" s="84">
        <f t="shared" si="57"/>
        <v>0.33377355035656325</v>
      </c>
      <c r="R70" s="84">
        <f t="shared" si="57"/>
        <v>0.33420515360161035</v>
      </c>
      <c r="S70" s="84">
        <f t="shared" si="57"/>
        <v>0.32512275757272402</v>
      </c>
      <c r="T70" s="84">
        <f t="shared" ref="T70:Y70" si="58">T28/T$23</f>
        <v>0.3290093208389675</v>
      </c>
      <c r="U70" s="84">
        <f t="shared" si="58"/>
        <v>0.32409381110530877</v>
      </c>
      <c r="V70" s="84">
        <f t="shared" si="58"/>
        <v>0.3176827587270557</v>
      </c>
      <c r="W70" s="84">
        <f t="shared" si="58"/>
        <v>0.32342472063980343</v>
      </c>
      <c r="X70" s="84">
        <f t="shared" si="58"/>
        <v>0.32591932279519736</v>
      </c>
      <c r="Y70" s="84">
        <f t="shared" si="58"/>
        <v>0.31526658480852915</v>
      </c>
    </row>
    <row r="71" spans="1:25" x14ac:dyDescent="0.25">
      <c r="A71" s="68" t="s">
        <v>152</v>
      </c>
      <c r="B71" s="71"/>
      <c r="C71" s="71"/>
      <c r="D71" s="84">
        <f t="shared" si="46"/>
        <v>0.1772391930519856</v>
      </c>
      <c r="E71" s="84">
        <f t="shared" ref="E71:S71" si="59">E29/E$23</f>
        <v>0.16895806682350298</v>
      </c>
      <c r="F71" s="84">
        <f t="shared" si="59"/>
        <v>0.16382871025134887</v>
      </c>
      <c r="G71" s="84">
        <f t="shared" si="59"/>
        <v>0.16132920989774052</v>
      </c>
      <c r="H71" s="84">
        <f t="shared" si="59"/>
        <v>0.15343044978343331</v>
      </c>
      <c r="I71" s="84">
        <f t="shared" si="59"/>
        <v>0.14522719710547732</v>
      </c>
      <c r="J71" s="84">
        <f t="shared" si="59"/>
        <v>0.13818544800724794</v>
      </c>
      <c r="K71" s="84">
        <f t="shared" si="59"/>
        <v>0.14077469831974945</v>
      </c>
      <c r="L71" s="84">
        <f t="shared" si="59"/>
        <v>0.14703938707008607</v>
      </c>
      <c r="M71" s="84">
        <f t="shared" si="59"/>
        <v>0.14264358783733208</v>
      </c>
      <c r="N71" s="84">
        <f t="shared" si="59"/>
        <v>0.14133623157328298</v>
      </c>
      <c r="O71" s="84">
        <f t="shared" si="59"/>
        <v>0.13960281849023889</v>
      </c>
      <c r="P71" s="84">
        <f t="shared" si="59"/>
        <v>0.13413605840962478</v>
      </c>
      <c r="Q71" s="84">
        <f t="shared" si="59"/>
        <v>0.13276744751885655</v>
      </c>
      <c r="R71" s="84">
        <f t="shared" si="59"/>
        <v>0.13213093279230631</v>
      </c>
      <c r="S71" s="84">
        <f t="shared" si="59"/>
        <v>0.13645084948497016</v>
      </c>
      <c r="T71" s="84">
        <f t="shared" ref="T71:Y71" si="60">T29/T$23</f>
        <v>0.13597675637957751</v>
      </c>
      <c r="U71" s="84">
        <f t="shared" si="60"/>
        <v>0.13654546137788148</v>
      </c>
      <c r="V71" s="84">
        <f t="shared" si="60"/>
        <v>0.13791514604696714</v>
      </c>
      <c r="W71" s="84">
        <f t="shared" si="60"/>
        <v>0.13354537605066874</v>
      </c>
      <c r="X71" s="84">
        <f t="shared" si="60"/>
        <v>0.13057614235121379</v>
      </c>
      <c r="Y71" s="84">
        <f t="shared" si="60"/>
        <v>0.13513674144757382</v>
      </c>
    </row>
    <row r="72" spans="1:25" x14ac:dyDescent="0.25">
      <c r="A72" s="64" t="s">
        <v>154</v>
      </c>
      <c r="B72" s="65"/>
      <c r="C72" s="65"/>
      <c r="D72" s="83">
        <f t="shared" si="46"/>
        <v>2.3938017172738139E-2</v>
      </c>
      <c r="E72" s="83">
        <f t="shared" ref="E72:S72" si="61">E30/E$23</f>
        <v>2.2033611795352938E-2</v>
      </c>
      <c r="F72" s="83">
        <f t="shared" si="61"/>
        <v>2.4315934303355203E-2</v>
      </c>
      <c r="G72" s="83">
        <f t="shared" si="61"/>
        <v>2.0840627636072754E-2</v>
      </c>
      <c r="H72" s="83">
        <f t="shared" si="61"/>
        <v>1.9926418840438741E-2</v>
      </c>
      <c r="I72" s="83">
        <f t="shared" si="61"/>
        <v>2.1152496497884751E-2</v>
      </c>
      <c r="J72" s="83">
        <f t="shared" si="61"/>
        <v>2.0717223931361828E-2</v>
      </c>
      <c r="K72" s="83">
        <f t="shared" si="61"/>
        <v>2.092153146876994E-2</v>
      </c>
      <c r="L72" s="83">
        <f t="shared" si="61"/>
        <v>1.9056781229348761E-2</v>
      </c>
      <c r="M72" s="83">
        <f t="shared" si="61"/>
        <v>2.2872919696653671E-2</v>
      </c>
      <c r="N72" s="83">
        <f t="shared" si="61"/>
        <v>2.125533305146635E-2</v>
      </c>
      <c r="O72" s="83">
        <f t="shared" si="61"/>
        <v>2.5526362312374248E-2</v>
      </c>
      <c r="P72" s="83">
        <f t="shared" si="61"/>
        <v>3.4805149782697269E-2</v>
      </c>
      <c r="Q72" s="83">
        <f t="shared" si="61"/>
        <v>3.528822300315803E-2</v>
      </c>
      <c r="R72" s="83">
        <f t="shared" si="61"/>
        <v>3.4027189801428187E-2</v>
      </c>
      <c r="S72" s="83">
        <f t="shared" si="61"/>
        <v>3.692673561111838E-2</v>
      </c>
      <c r="T72" s="83">
        <f t="shared" ref="T72:Y72" si="62">T30/T$23</f>
        <v>3.8633583141804741E-2</v>
      </c>
      <c r="U72" s="83">
        <f t="shared" si="62"/>
        <v>3.8778263128773222E-2</v>
      </c>
      <c r="V72" s="83">
        <f t="shared" si="62"/>
        <v>3.5587481339674785E-2</v>
      </c>
      <c r="W72" s="83">
        <f t="shared" si="62"/>
        <v>3.3824043982711015E-2</v>
      </c>
      <c r="X72" s="83">
        <f t="shared" si="62"/>
        <v>3.9450634879502462E-2</v>
      </c>
      <c r="Y72" s="83">
        <f t="shared" si="62"/>
        <v>4.5809364958731613E-2</v>
      </c>
    </row>
    <row r="73" spans="1:25" x14ac:dyDescent="0.25">
      <c r="A73" s="64" t="s">
        <v>37</v>
      </c>
      <c r="B73" s="65"/>
      <c r="C73" s="65"/>
      <c r="D73" s="83">
        <f t="shared" si="46"/>
        <v>7.0057161557932346E-2</v>
      </c>
      <c r="E73" s="83">
        <f t="shared" ref="E73:S73" si="63">E31/E$23</f>
        <v>7.0674531613202307E-2</v>
      </c>
      <c r="F73" s="83">
        <f t="shared" si="63"/>
        <v>7.065558096372089E-2</v>
      </c>
      <c r="G73" s="83">
        <f t="shared" si="63"/>
        <v>8.9202521409427499E-2</v>
      </c>
      <c r="H73" s="83">
        <f t="shared" si="63"/>
        <v>9.1872886544260277E-2</v>
      </c>
      <c r="I73" s="83">
        <f t="shared" si="63"/>
        <v>6.3612952653638699E-2</v>
      </c>
      <c r="J73" s="83">
        <f t="shared" si="63"/>
        <v>9.3685945036211374E-2</v>
      </c>
      <c r="K73" s="83">
        <f t="shared" si="63"/>
        <v>7.3159835726151784E-2</v>
      </c>
      <c r="L73" s="83">
        <f t="shared" si="63"/>
        <v>5.0130273797124578E-2</v>
      </c>
      <c r="M73" s="83">
        <f t="shared" si="63"/>
        <v>4.9670677981024605E-2</v>
      </c>
      <c r="N73" s="83">
        <f t="shared" si="63"/>
        <v>4.5854633508859585E-2</v>
      </c>
      <c r="O73" s="83">
        <f t="shared" si="63"/>
        <v>3.5696386529390146E-2</v>
      </c>
      <c r="P73" s="83">
        <f t="shared" si="63"/>
        <v>3.208051485789707E-2</v>
      </c>
      <c r="Q73" s="83">
        <f t="shared" si="63"/>
        <v>3.2319580000351171E-2</v>
      </c>
      <c r="R73" s="83">
        <f t="shared" si="63"/>
        <v>2.3888684761250542E-2</v>
      </c>
      <c r="S73" s="83">
        <f t="shared" si="63"/>
        <v>2.241721403838404E-2</v>
      </c>
      <c r="T73" s="83">
        <f t="shared" ref="T73:Y73" si="64">T31/T$23</f>
        <v>2.2892758445326636E-2</v>
      </c>
      <c r="U73" s="83">
        <f t="shared" si="64"/>
        <v>1.4636766396145758E-2</v>
      </c>
      <c r="V73" s="83">
        <f t="shared" si="64"/>
        <v>1.5623584209075324E-2</v>
      </c>
      <c r="W73" s="83">
        <f t="shared" si="64"/>
        <v>1.6195842888681353E-2</v>
      </c>
      <c r="X73" s="83">
        <f t="shared" si="64"/>
        <v>1.7293599378077219E-2</v>
      </c>
      <c r="Y73" s="83">
        <f t="shared" si="64"/>
        <v>1.7534797084973554E-2</v>
      </c>
    </row>
    <row r="74" spans="1:25" x14ac:dyDescent="0.25">
      <c r="A74" s="64" t="s">
        <v>58</v>
      </c>
      <c r="B74" s="65"/>
      <c r="C74" s="65"/>
      <c r="D74" s="83">
        <f t="shared" si="46"/>
        <v>9.698831167102627E-2</v>
      </c>
      <c r="E74" s="83">
        <f t="shared" ref="E74:S74" si="65">E32/E$23</f>
        <v>0.10419553215723301</v>
      </c>
      <c r="F74" s="83">
        <f t="shared" si="65"/>
        <v>0.10249085374636312</v>
      </c>
      <c r="G74" s="83">
        <f t="shared" si="65"/>
        <v>9.8082153888709625E-2</v>
      </c>
      <c r="H74" s="83">
        <f t="shared" si="65"/>
        <v>9.2660193508150537E-2</v>
      </c>
      <c r="I74" s="83">
        <f t="shared" si="65"/>
        <v>9.1581222510841873E-2</v>
      </c>
      <c r="J74" s="83">
        <f t="shared" si="65"/>
        <v>8.9999797976763204E-2</v>
      </c>
      <c r="K74" s="83">
        <f t="shared" si="65"/>
        <v>8.919261254853432E-2</v>
      </c>
      <c r="L74" s="83">
        <f t="shared" si="65"/>
        <v>8.580532403823983E-2</v>
      </c>
      <c r="M74" s="83">
        <f t="shared" si="65"/>
        <v>7.7212818439961389E-2</v>
      </c>
      <c r="N74" s="83">
        <f t="shared" si="65"/>
        <v>8.2199290747143064E-2</v>
      </c>
      <c r="O74" s="83">
        <f t="shared" si="65"/>
        <v>8.2465252931718108E-2</v>
      </c>
      <c r="P74" s="83">
        <f t="shared" si="65"/>
        <v>7.8924735195217338E-2</v>
      </c>
      <c r="Q74" s="83">
        <f t="shared" si="65"/>
        <v>7.8497216975571091E-2</v>
      </c>
      <c r="R74" s="83">
        <f t="shared" si="65"/>
        <v>7.8447848938447542E-2</v>
      </c>
      <c r="S74" s="83">
        <f t="shared" si="65"/>
        <v>8.2176986516559761E-2</v>
      </c>
      <c r="T74" s="83">
        <f t="shared" ref="T74:Y74" si="66">T32/T$23</f>
        <v>8.2629966766668908E-2</v>
      </c>
      <c r="U74" s="83">
        <f t="shared" si="66"/>
        <v>8.3277505730698018E-2</v>
      </c>
      <c r="V74" s="83">
        <f t="shared" si="66"/>
        <v>8.5738852483984079E-2</v>
      </c>
      <c r="W74" s="83">
        <f t="shared" si="66"/>
        <v>8.4220900346635721E-2</v>
      </c>
      <c r="X74" s="83">
        <f t="shared" si="66"/>
        <v>9.3596613975986856E-2</v>
      </c>
      <c r="Y74" s="83">
        <f t="shared" si="66"/>
        <v>9.3421337153941797E-2</v>
      </c>
    </row>
    <row r="75" spans="1:25" x14ac:dyDescent="0.25">
      <c r="A75" s="85" t="s">
        <v>158</v>
      </c>
      <c r="B75" s="86"/>
      <c r="C75" s="86"/>
      <c r="D75" s="87">
        <f t="shared" si="46"/>
        <v>7.9615926943442071E-3</v>
      </c>
      <c r="E75" s="87">
        <f t="shared" ref="E75:S75" si="67">E33/E$23</f>
        <v>7.0421339585134178E-3</v>
      </c>
      <c r="F75" s="87">
        <f t="shared" si="67"/>
        <v>6.6901055848732557E-3</v>
      </c>
      <c r="G75" s="87">
        <f t="shared" si="67"/>
        <v>6.6299760643036658E-3</v>
      </c>
      <c r="H75" s="87">
        <f t="shared" si="67"/>
        <v>6.2818627591218323E-3</v>
      </c>
      <c r="I75" s="87">
        <f t="shared" si="67"/>
        <v>6.8951825993104812E-3</v>
      </c>
      <c r="J75" s="87">
        <f t="shared" si="67"/>
        <v>7.8136371900950595E-3</v>
      </c>
      <c r="K75" s="87">
        <f t="shared" si="67"/>
        <v>8.338895195038656E-3</v>
      </c>
      <c r="L75" s="87">
        <f t="shared" si="67"/>
        <v>8.2289264419562538E-3</v>
      </c>
      <c r="M75" s="87">
        <f t="shared" si="67"/>
        <v>5.4964690106779528E-3</v>
      </c>
      <c r="N75" s="87">
        <f t="shared" si="67"/>
        <v>7.0166672398411564E-3</v>
      </c>
      <c r="O75" s="87">
        <f t="shared" si="67"/>
        <v>8.5284304399190717E-3</v>
      </c>
      <c r="P75" s="87">
        <f t="shared" si="67"/>
        <v>6.6505888930952434E-3</v>
      </c>
      <c r="Q75" s="87">
        <f t="shared" si="67"/>
        <v>5.46132486511299E-3</v>
      </c>
      <c r="R75" s="87">
        <f t="shared" si="67"/>
        <v>5.8392574724028317E-3</v>
      </c>
      <c r="S75" s="87">
        <f t="shared" si="67"/>
        <v>6.0236556986978584E-3</v>
      </c>
      <c r="T75" s="87">
        <f t="shared" ref="T75:Y75" si="68">T33/T$23</f>
        <v>5.755713333937814E-3</v>
      </c>
      <c r="U75" s="87">
        <f t="shared" si="68"/>
        <v>6.521139116338677E-3</v>
      </c>
      <c r="V75" s="87">
        <f t="shared" si="68"/>
        <v>7.8426382727688117E-3</v>
      </c>
      <c r="W75" s="87">
        <f t="shared" si="68"/>
        <v>7.9440499235991727E-3</v>
      </c>
      <c r="X75" s="87">
        <f t="shared" si="68"/>
        <v>7.7339552561112544E-3</v>
      </c>
      <c r="Y75" s="87">
        <f t="shared" si="68"/>
        <v>8.0374406138601605E-3</v>
      </c>
    </row>
    <row r="76" spans="1:25" x14ac:dyDescent="0.25">
      <c r="A76" s="88" t="s">
        <v>5</v>
      </c>
      <c r="B76" s="44"/>
      <c r="C76" s="44"/>
      <c r="D76" s="89">
        <f t="shared" si="46"/>
        <v>1.725370461604737E-3</v>
      </c>
      <c r="E76" s="89">
        <f t="shared" ref="E76:S76" si="69">E34/E$23</f>
        <v>1.7505194488794623E-3</v>
      </c>
      <c r="F76" s="89">
        <f t="shared" si="69"/>
        <v>2.1000314706194475E-3</v>
      </c>
      <c r="G76" s="89">
        <f t="shared" si="69"/>
        <v>1.9641282226293953E-3</v>
      </c>
      <c r="H76" s="89">
        <f t="shared" si="69"/>
        <v>2.0718040207729359E-3</v>
      </c>
      <c r="I76" s="89">
        <f t="shared" si="69"/>
        <v>2.5163711347237008E-3</v>
      </c>
      <c r="J76" s="89">
        <f t="shared" si="69"/>
        <v>3.0295337311511158E-3</v>
      </c>
      <c r="K76" s="89">
        <f t="shared" si="69"/>
        <v>3.2867182742476876E-3</v>
      </c>
      <c r="L76" s="89">
        <f t="shared" si="69"/>
        <v>3.2915705767825017E-3</v>
      </c>
      <c r="M76" s="89">
        <f t="shared" si="69"/>
        <v>2.1985876042711809E-3</v>
      </c>
      <c r="N76" s="89">
        <f t="shared" si="69"/>
        <v>2.8066668959364628E-3</v>
      </c>
      <c r="O76" s="89">
        <f t="shared" si="69"/>
        <v>3.4113721759676282E-3</v>
      </c>
      <c r="P76" s="89">
        <f t="shared" si="69"/>
        <v>1.7369154184073688E-3</v>
      </c>
      <c r="Q76" s="89">
        <f t="shared" si="69"/>
        <v>8.1970102279434935E-4</v>
      </c>
      <c r="R76" s="89">
        <f t="shared" si="69"/>
        <v>1.7661071218423772E-3</v>
      </c>
      <c r="S76" s="89">
        <f t="shared" si="69"/>
        <v>2.0984509989682284E-3</v>
      </c>
      <c r="T76" s="89">
        <f t="shared" ref="T76:Y76" si="70">T34/T$23</f>
        <v>1.1530002709542798E-3</v>
      </c>
      <c r="U76" s="89">
        <f t="shared" si="70"/>
        <v>3.5496281816747594E-3</v>
      </c>
      <c r="V76" s="89">
        <f t="shared" si="70"/>
        <v>4.2752149064325569E-3</v>
      </c>
      <c r="W76" s="89">
        <f t="shared" si="70"/>
        <v>4.6126788273672305E-3</v>
      </c>
      <c r="X76" s="89">
        <f t="shared" si="70"/>
        <v>3.0508450862362316E-3</v>
      </c>
      <c r="Y76" s="89">
        <f t="shared" si="70"/>
        <v>2.9925154798062688E-3</v>
      </c>
    </row>
    <row r="77" spans="1:25" x14ac:dyDescent="0.25">
      <c r="A77" s="88" t="s">
        <v>269</v>
      </c>
      <c r="B77" s="44"/>
      <c r="C77" s="44"/>
      <c r="D77" s="89">
        <f>D37/D$23</f>
        <v>6.2362222327394697E-3</v>
      </c>
      <c r="E77" s="89">
        <f t="shared" ref="E77:S77" si="71">E37/E$23</f>
        <v>5.2916145096339557E-3</v>
      </c>
      <c r="F77" s="89">
        <f t="shared" si="71"/>
        <v>4.5900741142538073E-3</v>
      </c>
      <c r="G77" s="89">
        <f t="shared" si="71"/>
        <v>4.6658478416742701E-3</v>
      </c>
      <c r="H77" s="89">
        <f t="shared" si="71"/>
        <v>4.2100587383488968E-3</v>
      </c>
      <c r="I77" s="89">
        <f t="shared" si="71"/>
        <v>4.3788114645867812E-3</v>
      </c>
      <c r="J77" s="89">
        <f t="shared" si="71"/>
        <v>4.7841034589439432E-3</v>
      </c>
      <c r="K77" s="89">
        <f t="shared" si="71"/>
        <v>5.0521769207909697E-3</v>
      </c>
      <c r="L77" s="89">
        <f t="shared" si="71"/>
        <v>4.9373558651737521E-3</v>
      </c>
      <c r="M77" s="89">
        <f t="shared" si="71"/>
        <v>3.2978814064067719E-3</v>
      </c>
      <c r="N77" s="89">
        <f t="shared" si="71"/>
        <v>4.210000343904694E-3</v>
      </c>
      <c r="O77" s="89">
        <f t="shared" si="71"/>
        <v>5.117058263951443E-3</v>
      </c>
      <c r="P77" s="89">
        <f t="shared" si="71"/>
        <v>4.9136734746878736E-3</v>
      </c>
      <c r="Q77" s="89">
        <f t="shared" si="71"/>
        <v>4.6416238423186403E-3</v>
      </c>
      <c r="R77" s="89">
        <f t="shared" si="71"/>
        <v>4.073150350560455E-3</v>
      </c>
      <c r="S77" s="89">
        <f t="shared" si="71"/>
        <v>3.9252046997296309E-3</v>
      </c>
      <c r="T77" s="89">
        <f t="shared" ref="T77:Y77" si="72">T37/T$23</f>
        <v>4.6027130629835347E-3</v>
      </c>
      <c r="U77" s="89">
        <f t="shared" si="72"/>
        <v>2.9715109346639176E-3</v>
      </c>
      <c r="V77" s="89">
        <f t="shared" si="72"/>
        <v>3.567423366336254E-3</v>
      </c>
      <c r="W77" s="89">
        <f t="shared" si="72"/>
        <v>3.3313710962319422E-3</v>
      </c>
      <c r="X77" s="89">
        <f t="shared" si="72"/>
        <v>4.6831101698750228E-3</v>
      </c>
      <c r="Y77" s="89">
        <f t="shared" si="72"/>
        <v>5.0449251340538908E-3</v>
      </c>
    </row>
    <row r="78" spans="1:25" x14ac:dyDescent="0.25">
      <c r="A78" s="68" t="s">
        <v>271</v>
      </c>
      <c r="B78" s="44"/>
      <c r="C78" s="44"/>
      <c r="D78" s="89">
        <f>D43/D$23</f>
        <v>7.5333311933307072E-3</v>
      </c>
      <c r="E78" s="89">
        <f t="shared" ref="E78:S78" si="73">E43/E$23</f>
        <v>9.4168242042720809E-3</v>
      </c>
      <c r="F78" s="89">
        <f t="shared" si="73"/>
        <v>8.2607783129191609E-3</v>
      </c>
      <c r="G78" s="89">
        <f t="shared" si="73"/>
        <v>8.4584838399784697E-3</v>
      </c>
      <c r="H78" s="89">
        <f t="shared" si="73"/>
        <v>7.1898977530854306E-3</v>
      </c>
      <c r="I78" s="89">
        <f t="shared" si="73"/>
        <v>7.7099661392290028E-3</v>
      </c>
      <c r="J78" s="89">
        <f t="shared" si="73"/>
        <v>7.4665716294106468E-3</v>
      </c>
      <c r="K78" s="89">
        <f t="shared" si="73"/>
        <v>6.5578003283528283E-3</v>
      </c>
      <c r="L78" s="89">
        <f t="shared" si="73"/>
        <v>6.0948774874438139E-3</v>
      </c>
      <c r="M78" s="89">
        <f t="shared" si="73"/>
        <v>5.793091888588447E-3</v>
      </c>
      <c r="N78" s="89">
        <f t="shared" si="73"/>
        <v>9.0578427465442639E-3</v>
      </c>
      <c r="O78" s="89">
        <f t="shared" si="73"/>
        <v>8.6709825149216668E-3</v>
      </c>
      <c r="P78" s="89">
        <f t="shared" si="73"/>
        <v>8.4092333044639579E-3</v>
      </c>
      <c r="Q78" s="89">
        <f t="shared" si="73"/>
        <v>1.0238494783867238E-2</v>
      </c>
      <c r="R78" s="89">
        <f t="shared" si="73"/>
        <v>9.5595635573589785E-3</v>
      </c>
      <c r="S78" s="89">
        <f t="shared" si="73"/>
        <v>1.0475141751948849E-2</v>
      </c>
      <c r="T78" s="89">
        <f t="shared" ref="T78:Y78" si="74">T43/T$23</f>
        <v>1.0304435184491636E-2</v>
      </c>
      <c r="U78" s="89">
        <f t="shared" si="74"/>
        <v>1.0278325975320095E-2</v>
      </c>
      <c r="V78" s="89">
        <f t="shared" si="74"/>
        <v>1.0298121789668975E-2</v>
      </c>
      <c r="W78" s="89">
        <f t="shared" si="74"/>
        <v>1.0700521338109541E-2</v>
      </c>
      <c r="X78" s="89">
        <f t="shared" si="74"/>
        <v>1.2837177161613542E-2</v>
      </c>
      <c r="Y78" s="89">
        <f t="shared" si="74"/>
        <v>1.2281249723381037E-2</v>
      </c>
    </row>
    <row r="79" spans="1:25" x14ac:dyDescent="0.25">
      <c r="A79" s="88" t="s">
        <v>272</v>
      </c>
      <c r="B79" s="44"/>
      <c r="C79" s="44"/>
      <c r="D79" s="89">
        <f>D44/D$23</f>
        <v>3.6171263888160328E-3</v>
      </c>
      <c r="E79" s="89">
        <f t="shared" ref="E79:S79" si="75">E44/E$23</f>
        <v>3.9440379182743377E-3</v>
      </c>
      <c r="F79" s="89">
        <f t="shared" si="75"/>
        <v>3.4465635189653587E-3</v>
      </c>
      <c r="G79" s="89">
        <f t="shared" si="75"/>
        <v>3.7585647055012228E-3</v>
      </c>
      <c r="H79" s="89">
        <f t="shared" si="75"/>
        <v>3.3500597918442779E-3</v>
      </c>
      <c r="I79" s="89">
        <f t="shared" si="75"/>
        <v>3.3329511996667044E-3</v>
      </c>
      <c r="J79" s="89">
        <f t="shared" si="75"/>
        <v>3.63900830419105E-3</v>
      </c>
      <c r="K79" s="89">
        <f t="shared" si="75"/>
        <v>3.3171430380918511E-3</v>
      </c>
      <c r="L79" s="89">
        <f t="shared" si="75"/>
        <v>3.3832369355562115E-3</v>
      </c>
      <c r="M79" s="89">
        <f t="shared" si="75"/>
        <v>2.9069042035228441E-3</v>
      </c>
      <c r="N79" s="89">
        <f t="shared" si="75"/>
        <v>3.9007895647178064E-3</v>
      </c>
      <c r="O79" s="89">
        <f t="shared" si="75"/>
        <v>4.1109998007638317E-3</v>
      </c>
      <c r="P79" s="89">
        <f t="shared" si="75"/>
        <v>3.7110887886719697E-3</v>
      </c>
      <c r="Q79" s="89">
        <f t="shared" si="75"/>
        <v>4.3520030501646738E-3</v>
      </c>
      <c r="R79" s="89">
        <f t="shared" si="75"/>
        <v>4.6602872342125026E-3</v>
      </c>
      <c r="S79" s="89">
        <f t="shared" si="75"/>
        <v>5.5282618349080694E-3</v>
      </c>
      <c r="T79" s="89">
        <f t="shared" ref="T79:Y79" si="76">T44/T$23</f>
        <v>5.5001228673965119E-3</v>
      </c>
      <c r="U79" s="89">
        <f t="shared" si="76"/>
        <v>5.6678514644541217E-3</v>
      </c>
      <c r="V79" s="89">
        <f t="shared" si="76"/>
        <v>5.4732669755139258E-3</v>
      </c>
      <c r="W79" s="89">
        <f t="shared" si="76"/>
        <v>5.4745536152570077E-3</v>
      </c>
      <c r="X79" s="89">
        <f t="shared" si="76"/>
        <v>6.5737237626328059E-3</v>
      </c>
      <c r="Y79" s="89">
        <f t="shared" si="76"/>
        <v>6.0672813192732926E-3</v>
      </c>
    </row>
    <row r="80" spans="1:25" x14ac:dyDescent="0.25">
      <c r="A80" s="88" t="s">
        <v>11</v>
      </c>
      <c r="B80" s="44"/>
      <c r="C80" s="44"/>
      <c r="D80" s="89">
        <f>D47/D$23</f>
        <v>3.9162048045146749E-3</v>
      </c>
      <c r="E80" s="89">
        <f t="shared" ref="E80:S80" si="77">E47/E$23</f>
        <v>5.472786285997744E-3</v>
      </c>
      <c r="F80" s="89">
        <f t="shared" si="77"/>
        <v>4.8142147939538018E-3</v>
      </c>
      <c r="G80" s="89">
        <f t="shared" si="77"/>
        <v>4.6999191344772465E-3</v>
      </c>
      <c r="H80" s="89">
        <f t="shared" si="77"/>
        <v>3.8398379612411527E-3</v>
      </c>
      <c r="I80" s="89">
        <f t="shared" si="77"/>
        <v>4.3770149395622989E-3</v>
      </c>
      <c r="J80" s="89">
        <f t="shared" si="77"/>
        <v>3.8275633252195965E-3</v>
      </c>
      <c r="K80" s="89">
        <f t="shared" si="77"/>
        <v>3.2406572902609768E-3</v>
      </c>
      <c r="L80" s="89">
        <f t="shared" si="77"/>
        <v>2.7116405518876016E-3</v>
      </c>
      <c r="M80" s="89">
        <f t="shared" si="77"/>
        <v>2.8861876850656033E-3</v>
      </c>
      <c r="N80" s="89">
        <f t="shared" si="77"/>
        <v>5.1570531818264575E-3</v>
      </c>
      <c r="O80" s="89">
        <f t="shared" si="77"/>
        <v>4.5599827141578351E-3</v>
      </c>
      <c r="P80" s="89">
        <f t="shared" si="77"/>
        <v>4.6981445157919877E-3</v>
      </c>
      <c r="Q80" s="89">
        <f t="shared" si="77"/>
        <v>5.8864917337025638E-3</v>
      </c>
      <c r="R80" s="89">
        <f t="shared" si="77"/>
        <v>4.8992763231464767E-3</v>
      </c>
      <c r="S80" s="89">
        <f t="shared" si="77"/>
        <v>4.9468799170407788E-3</v>
      </c>
      <c r="T80" s="89">
        <f t="shared" ref="T80:Y80" si="78">T47/T$23</f>
        <v>4.8043123170951251E-3</v>
      </c>
      <c r="U80" s="89">
        <f t="shared" si="78"/>
        <v>4.6104745108659735E-3</v>
      </c>
      <c r="V80" s="89">
        <f t="shared" si="78"/>
        <v>4.8248548141550489E-3</v>
      </c>
      <c r="W80" s="89">
        <f t="shared" si="78"/>
        <v>5.2259677228525337E-3</v>
      </c>
      <c r="X80" s="89">
        <f t="shared" si="78"/>
        <v>6.2634533989807369E-3</v>
      </c>
      <c r="Y80" s="89">
        <f t="shared" si="78"/>
        <v>6.2139684041077449E-3</v>
      </c>
    </row>
    <row r="81" spans="1:25" x14ac:dyDescent="0.25">
      <c r="A81" s="68" t="s">
        <v>4</v>
      </c>
      <c r="B81" s="44"/>
      <c r="C81" s="44"/>
      <c r="D81" s="89">
        <f>D48/D$23</f>
        <v>9.5658117356178119E-3</v>
      </c>
      <c r="E81" s="89">
        <f t="shared" ref="E81:S81" si="79">E48/E$23</f>
        <v>1.0405970902847344E-2</v>
      </c>
      <c r="F81" s="89">
        <f t="shared" si="79"/>
        <v>9.8760334546432234E-3</v>
      </c>
      <c r="G81" s="89">
        <f t="shared" si="79"/>
        <v>1.0218461511624576E-2</v>
      </c>
      <c r="H81" s="89">
        <f t="shared" si="79"/>
        <v>8.4904418874768971E-3</v>
      </c>
      <c r="I81" s="89">
        <f t="shared" si="79"/>
        <v>7.6881565592311846E-3</v>
      </c>
      <c r="J81" s="89">
        <f t="shared" si="79"/>
        <v>8.3844823361759902E-3</v>
      </c>
      <c r="K81" s="89">
        <f t="shared" si="79"/>
        <v>8.2551018916825394E-3</v>
      </c>
      <c r="L81" s="89">
        <f t="shared" si="79"/>
        <v>7.9123033557837955E-3</v>
      </c>
      <c r="M81" s="89">
        <f t="shared" si="79"/>
        <v>7.1853360949080212E-3</v>
      </c>
      <c r="N81" s="89">
        <f t="shared" si="79"/>
        <v>6.8194277830487364E-3</v>
      </c>
      <c r="O81" s="89">
        <f t="shared" si="79"/>
        <v>4.969679622629862E-3</v>
      </c>
      <c r="P81" s="89">
        <f t="shared" si="79"/>
        <v>4.3376284300938837E-3</v>
      </c>
      <c r="Q81" s="89">
        <f t="shared" si="79"/>
        <v>4.472404287287385E-3</v>
      </c>
      <c r="R81" s="89">
        <f t="shared" si="79"/>
        <v>4.9721232646931955E-3</v>
      </c>
      <c r="S81" s="89">
        <f t="shared" si="79"/>
        <v>4.9680560796121044E-3</v>
      </c>
      <c r="T81" s="89">
        <f t="shared" ref="T81:Y81" si="80">T48/T$23</f>
        <v>4.9409776565310917E-3</v>
      </c>
      <c r="U81" s="89">
        <f t="shared" si="80"/>
        <v>5.0406818008062494E-3</v>
      </c>
      <c r="V81" s="89">
        <f t="shared" si="80"/>
        <v>5.1699463212409921E-3</v>
      </c>
      <c r="W81" s="89">
        <f t="shared" si="80"/>
        <v>5.0969547913514773E-3</v>
      </c>
      <c r="X81" s="89">
        <f t="shared" si="80"/>
        <v>5.0313552733868864E-3</v>
      </c>
      <c r="Y81" s="89">
        <f t="shared" si="80"/>
        <v>5.1511193109753549E-3</v>
      </c>
    </row>
    <row r="82" spans="1:25" x14ac:dyDescent="0.25">
      <c r="A82" s="68" t="s">
        <v>3</v>
      </c>
      <c r="B82" s="44"/>
      <c r="C82" s="44"/>
      <c r="D82" s="89">
        <f>D52/D$23</f>
        <v>8.1166123967220394E-3</v>
      </c>
      <c r="E82" s="89">
        <f t="shared" ref="E82:S82" si="81">E52/E$23</f>
        <v>9.4382311104352773E-3</v>
      </c>
      <c r="F82" s="89">
        <f t="shared" si="81"/>
        <v>1.0051619576206436E-2</v>
      </c>
      <c r="G82" s="89">
        <f t="shared" si="81"/>
        <v>8.7301122523103999E-3</v>
      </c>
      <c r="H82" s="89">
        <f t="shared" si="81"/>
        <v>8.4984522780978764E-3</v>
      </c>
      <c r="I82" s="89">
        <f t="shared" si="81"/>
        <v>8.2697453591730249E-3</v>
      </c>
      <c r="J82" s="89">
        <f t="shared" si="81"/>
        <v>8.2145756139304828E-3</v>
      </c>
      <c r="K82" s="89">
        <f t="shared" si="81"/>
        <v>8.6881963491452583E-3</v>
      </c>
      <c r="L82" s="89">
        <f t="shared" si="81"/>
        <v>5.4583575165712672E-3</v>
      </c>
      <c r="M82" s="89">
        <f t="shared" si="81"/>
        <v>4.6678082723883175E-3</v>
      </c>
      <c r="N82" s="89">
        <f t="shared" si="81"/>
        <v>4.3999571130617027E-3</v>
      </c>
      <c r="O82" s="89">
        <f t="shared" si="81"/>
        <v>4.1732961799972497E-3</v>
      </c>
      <c r="P82" s="89">
        <f t="shared" si="81"/>
        <v>4.0270669940000248E-3</v>
      </c>
      <c r="Q82" s="89">
        <f t="shared" si="81"/>
        <v>3.89610878251774E-3</v>
      </c>
      <c r="R82" s="89">
        <f t="shared" si="81"/>
        <v>4.4315222774254353E-3</v>
      </c>
      <c r="S82" s="89">
        <f t="shared" si="81"/>
        <v>4.1992972080833911E-3</v>
      </c>
      <c r="T82" s="89">
        <f t="shared" ref="T82:Y82" si="82">T52/T$23</f>
        <v>4.2313691633058823E-3</v>
      </c>
      <c r="U82" s="89">
        <f t="shared" si="82"/>
        <v>4.2022959074587835E-3</v>
      </c>
      <c r="V82" s="89">
        <f t="shared" si="82"/>
        <v>4.3036830967496491E-3</v>
      </c>
      <c r="W82" s="89">
        <f t="shared" si="82"/>
        <v>4.1668030217975223E-3</v>
      </c>
      <c r="X82" s="89">
        <f t="shared" si="82"/>
        <v>4.652673404163428E-3</v>
      </c>
      <c r="Y82" s="89">
        <f t="shared" si="82"/>
        <v>4.33485626562502E-3</v>
      </c>
    </row>
    <row r="83" spans="1:25" x14ac:dyDescent="0.25">
      <c r="A83" s="88" t="s">
        <v>21</v>
      </c>
      <c r="B83" s="44"/>
      <c r="C83" s="44"/>
      <c r="D83" s="89">
        <f>D53/D$23</f>
        <v>2.379317553162754E-3</v>
      </c>
      <c r="E83" s="89">
        <f t="shared" ref="E83:S83" si="83">E53/E$23</f>
        <v>2.1694792142632003E-3</v>
      </c>
      <c r="F83" s="89">
        <f t="shared" si="83"/>
        <v>2.6187023911263163E-3</v>
      </c>
      <c r="G83" s="89">
        <f t="shared" si="83"/>
        <v>2.2048003468869266E-3</v>
      </c>
      <c r="H83" s="89">
        <f t="shared" si="83"/>
        <v>2.0094637043479254E-3</v>
      </c>
      <c r="I83" s="89">
        <f t="shared" si="83"/>
        <v>1.8951965798104803E-3</v>
      </c>
      <c r="J83" s="89">
        <f t="shared" si="83"/>
        <v>1.7591561852003993E-3</v>
      </c>
      <c r="K83" s="89">
        <f t="shared" si="83"/>
        <v>2.0690125543803921E-3</v>
      </c>
      <c r="L83" s="89">
        <f t="shared" si="83"/>
        <v>1.9348149298308054E-3</v>
      </c>
      <c r="M83" s="89">
        <f t="shared" si="83"/>
        <v>1.4925309888512172E-3</v>
      </c>
      <c r="N83" s="89">
        <f t="shared" si="83"/>
        <v>1.7023282347776658E-3</v>
      </c>
      <c r="O83" s="89">
        <f t="shared" si="83"/>
        <v>1.7549619627288059E-3</v>
      </c>
      <c r="P83" s="89">
        <f t="shared" si="83"/>
        <v>1.7381810609284221E-3</v>
      </c>
      <c r="Q83" s="89">
        <f t="shared" si="83"/>
        <v>1.8630837265186237E-3</v>
      </c>
      <c r="R83" s="89">
        <f t="shared" si="83"/>
        <v>2.2921226256849372E-3</v>
      </c>
      <c r="S83" s="89">
        <f t="shared" si="83"/>
        <v>2.2844587501187146E-3</v>
      </c>
      <c r="T83" s="89">
        <f t="shared" ref="T83:Y83" si="84">T53/T$23</f>
        <v>2.2806028518376886E-3</v>
      </c>
      <c r="U83" s="89">
        <f t="shared" si="84"/>
        <v>2.2812648612646276E-3</v>
      </c>
      <c r="V83" s="89">
        <f t="shared" si="84"/>
        <v>2.3668007832356214E-3</v>
      </c>
      <c r="W83" s="89">
        <f t="shared" si="84"/>
        <v>2.2643342806868273E-3</v>
      </c>
      <c r="X83" s="89">
        <f t="shared" si="84"/>
        <v>2.7205666407532172E-3</v>
      </c>
      <c r="Y83" s="89">
        <f t="shared" si="84"/>
        <v>2.5183390469638938E-3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5.7372948435592845E-3</v>
      </c>
      <c r="E84" s="89">
        <f t="shared" ref="E84:S84" si="86">E56/E$23</f>
        <v>7.268751896172077E-3</v>
      </c>
      <c r="F84" s="89">
        <f t="shared" si="86"/>
        <v>7.4329171850801186E-3</v>
      </c>
      <c r="G84" s="89">
        <f t="shared" si="86"/>
        <v>6.5253119054234738E-3</v>
      </c>
      <c r="H84" s="89">
        <f t="shared" si="86"/>
        <v>6.4889885737499505E-3</v>
      </c>
      <c r="I84" s="89">
        <f t="shared" si="86"/>
        <v>6.3745487793625448E-3</v>
      </c>
      <c r="J84" s="89">
        <f t="shared" si="86"/>
        <v>6.4554194287300849E-3</v>
      </c>
      <c r="K84" s="89">
        <f t="shared" si="86"/>
        <v>6.6191837947648666E-3</v>
      </c>
      <c r="L84" s="89">
        <f t="shared" si="86"/>
        <v>3.5235425867404615E-3</v>
      </c>
      <c r="M84" s="89">
        <f t="shared" si="86"/>
        <v>3.1752772835370998E-3</v>
      </c>
      <c r="N84" s="89">
        <f t="shared" si="86"/>
        <v>2.6976288782840372E-3</v>
      </c>
      <c r="O84" s="89">
        <f t="shared" si="86"/>
        <v>2.418334217268444E-3</v>
      </c>
      <c r="P84" s="89">
        <f t="shared" si="86"/>
        <v>2.2888859330716027E-3</v>
      </c>
      <c r="Q84" s="89">
        <f t="shared" si="86"/>
        <v>2.0330250559991163E-3</v>
      </c>
      <c r="R84" s="89">
        <f t="shared" si="86"/>
        <v>2.1393996517404985E-3</v>
      </c>
      <c r="S84" s="89">
        <f t="shared" si="86"/>
        <v>1.914838457964676E-3</v>
      </c>
      <c r="T84" s="89">
        <f t="shared" ref="T84:Y84" si="87">T56/T$23</f>
        <v>1.9507663114681933E-3</v>
      </c>
      <c r="U84" s="89">
        <f t="shared" si="87"/>
        <v>1.9210310461941556E-3</v>
      </c>
      <c r="V84" s="89">
        <f t="shared" si="87"/>
        <v>1.9368823135140275E-3</v>
      </c>
      <c r="W84" s="89">
        <f t="shared" si="87"/>
        <v>1.9024687411106946E-3</v>
      </c>
      <c r="X84" s="89">
        <f t="shared" si="87"/>
        <v>1.9321067634102103E-3</v>
      </c>
      <c r="Y84" s="89">
        <f t="shared" si="87"/>
        <v>1.816517218661126E-3</v>
      </c>
    </row>
    <row r="85" spans="1:25" x14ac:dyDescent="0.25">
      <c r="A85" s="68" t="s">
        <v>2</v>
      </c>
      <c r="B85" s="44"/>
      <c r="C85" s="44"/>
      <c r="D85" s="89">
        <f t="shared" si="85"/>
        <v>2.3122206415780066E-2</v>
      </c>
      <c r="E85" s="89">
        <f t="shared" ref="E85:S85" si="88">E57/E$23</f>
        <v>2.6027845217734075E-2</v>
      </c>
      <c r="F85" s="89">
        <f t="shared" si="88"/>
        <v>2.7684993010849302E-2</v>
      </c>
      <c r="G85" s="89">
        <f t="shared" si="88"/>
        <v>2.5300068405503844E-2</v>
      </c>
      <c r="H85" s="89">
        <f t="shared" si="88"/>
        <v>2.423829767755889E-2</v>
      </c>
      <c r="I85" s="89">
        <f t="shared" si="88"/>
        <v>2.2093663757790632E-2</v>
      </c>
      <c r="J85" s="89">
        <f t="shared" si="88"/>
        <v>2.0450449657104408E-2</v>
      </c>
      <c r="K85" s="89">
        <f t="shared" si="88"/>
        <v>2.2050305212235766E-2</v>
      </c>
      <c r="L85" s="89">
        <f t="shared" si="88"/>
        <v>2.2433938253353655E-2</v>
      </c>
      <c r="M85" s="89">
        <f t="shared" si="88"/>
        <v>2.2179387158301041E-2</v>
      </c>
      <c r="N85" s="89">
        <f t="shared" si="88"/>
        <v>2.6145860095524585E-2</v>
      </c>
      <c r="O85" s="89">
        <f t="shared" si="88"/>
        <v>2.8853886929265545E-2</v>
      </c>
      <c r="P85" s="89">
        <f t="shared" si="88"/>
        <v>3.1185544207758372E-2</v>
      </c>
      <c r="Q85" s="89">
        <f t="shared" si="88"/>
        <v>3.0287809123905416E-2</v>
      </c>
      <c r="R85" s="89">
        <f t="shared" si="88"/>
        <v>3.0754828506158443E-2</v>
      </c>
      <c r="S85" s="89">
        <f t="shared" si="88"/>
        <v>3.1615369017092373E-2</v>
      </c>
      <c r="T85" s="89">
        <f t="shared" ref="T85:Y85" si="89">T57/T$23</f>
        <v>3.3691291395471383E-2</v>
      </c>
      <c r="U85" s="89">
        <f t="shared" si="89"/>
        <v>3.2947140222956223E-2</v>
      </c>
      <c r="V85" s="89">
        <f t="shared" si="89"/>
        <v>3.3022108348451172E-2</v>
      </c>
      <c r="W85" s="89">
        <f t="shared" si="89"/>
        <v>3.1645928100149281E-2</v>
      </c>
      <c r="X85" s="89">
        <f t="shared" si="89"/>
        <v>3.7586939621663637E-2</v>
      </c>
      <c r="Y85" s="89">
        <f t="shared" si="89"/>
        <v>3.6842484626308333E-2</v>
      </c>
    </row>
    <row r="86" spans="1:25" x14ac:dyDescent="0.25">
      <c r="A86" s="68" t="s">
        <v>275</v>
      </c>
      <c r="B86" s="44"/>
      <c r="C86" s="44"/>
      <c r="D86" s="89">
        <f t="shared" si="85"/>
        <v>3.0659452248059708E-3</v>
      </c>
      <c r="E86" s="89">
        <f t="shared" ref="E86:S86" si="90">E58/E$23</f>
        <v>2.8987903621679441E-3</v>
      </c>
      <c r="F86" s="89">
        <f t="shared" si="90"/>
        <v>3.0720712440688246E-3</v>
      </c>
      <c r="G86" s="89">
        <f t="shared" si="90"/>
        <v>3.4495562364263671E-3</v>
      </c>
      <c r="H86" s="89">
        <f t="shared" si="90"/>
        <v>3.3077191557048286E-3</v>
      </c>
      <c r="I86" s="89">
        <f t="shared" si="90"/>
        <v>3.283739839671626E-3</v>
      </c>
      <c r="J86" s="89">
        <f t="shared" si="90"/>
        <v>3.4255888847851117E-3</v>
      </c>
      <c r="K86" s="89">
        <f t="shared" si="90"/>
        <v>3.2211704755269964E-3</v>
      </c>
      <c r="L86" s="89">
        <f t="shared" si="90"/>
        <v>2.7200588909586571E-3</v>
      </c>
      <c r="M86" s="89">
        <f t="shared" si="90"/>
        <v>2.959166329630883E-3</v>
      </c>
      <c r="N86" s="89">
        <f t="shared" si="90"/>
        <v>1.5971338578217079E-3</v>
      </c>
      <c r="O86" s="89">
        <f t="shared" si="90"/>
        <v>2.2146082203159155E-3</v>
      </c>
      <c r="P86" s="89">
        <f t="shared" si="90"/>
        <v>9.4372157324645628E-4</v>
      </c>
      <c r="Q86" s="89">
        <f t="shared" si="90"/>
        <v>2.0035518364951198E-3</v>
      </c>
      <c r="R86" s="89">
        <f t="shared" si="90"/>
        <v>1.4959183347444767E-3</v>
      </c>
      <c r="S86" s="89">
        <f t="shared" si="90"/>
        <v>2.5430646142473221E-3</v>
      </c>
      <c r="T86" s="89">
        <f t="shared" ref="T86:Y86" si="91">T58/T$23</f>
        <v>2.2037285984049578E-3</v>
      </c>
      <c r="U86" s="89">
        <f t="shared" si="91"/>
        <v>2.5533839302027544E-3</v>
      </c>
      <c r="V86" s="89">
        <f t="shared" si="91"/>
        <v>2.8719067880206331E-3</v>
      </c>
      <c r="W86" s="89">
        <f t="shared" si="91"/>
        <v>2.8231805400670117E-3</v>
      </c>
      <c r="X86" s="89">
        <f t="shared" si="91"/>
        <v>2.4863090610693617E-3</v>
      </c>
      <c r="Y86" s="89">
        <f t="shared" si="91"/>
        <v>2.5815662387028817E-3</v>
      </c>
    </row>
    <row r="87" spans="1:25" x14ac:dyDescent="0.25">
      <c r="A87" s="68" t="s">
        <v>276</v>
      </c>
      <c r="B87" s="44"/>
      <c r="C87" s="44"/>
      <c r="D87" s="89">
        <f t="shared" si="85"/>
        <v>1.6194861331744512E-2</v>
      </c>
      <c r="E87" s="89">
        <f t="shared" ref="E87:S87" si="92">E59/E$23</f>
        <v>1.8305857446244675E-2</v>
      </c>
      <c r="F87" s="89">
        <f t="shared" si="92"/>
        <v>1.6455025946964758E-2</v>
      </c>
      <c r="G87" s="89">
        <f t="shared" si="92"/>
        <v>1.6251602669932853E-2</v>
      </c>
      <c r="H87" s="89">
        <f t="shared" si="92"/>
        <v>1.5758727034496177E-2</v>
      </c>
      <c r="I87" s="89">
        <f t="shared" si="92"/>
        <v>1.8803213278119676E-2</v>
      </c>
      <c r="J87" s="89">
        <f t="shared" si="92"/>
        <v>1.7310801353659287E-2</v>
      </c>
      <c r="K87" s="89">
        <f t="shared" si="92"/>
        <v>1.6817608285793623E-2</v>
      </c>
      <c r="L87" s="89">
        <f t="shared" si="92"/>
        <v>1.6696840176429681E-2</v>
      </c>
      <c r="M87" s="89">
        <f t="shared" si="92"/>
        <v>1.4301460184970256E-2</v>
      </c>
      <c r="N87" s="89">
        <f t="shared" si="92"/>
        <v>1.4362572649866585E-2</v>
      </c>
      <c r="O87" s="89">
        <f t="shared" si="92"/>
        <v>1.3076627352600312E-2</v>
      </c>
      <c r="P87" s="89">
        <f t="shared" si="92"/>
        <v>1.2525376059204084E-2</v>
      </c>
      <c r="Q87" s="89">
        <f t="shared" si="92"/>
        <v>1.2423902655599789E-2</v>
      </c>
      <c r="R87" s="89">
        <f t="shared" si="92"/>
        <v>1.19992970909149E-2</v>
      </c>
      <c r="S87" s="89">
        <f t="shared" si="92"/>
        <v>1.25388550498089E-2</v>
      </c>
      <c r="T87" s="89">
        <f t="shared" ref="T87:Y87" si="93">T59/T$23</f>
        <v>1.1777529852835082E-2</v>
      </c>
      <c r="U87" s="89">
        <f t="shared" si="93"/>
        <v>1.1990732401995021E-2</v>
      </c>
      <c r="V87" s="89">
        <f t="shared" si="93"/>
        <v>1.2534468986427041E-2</v>
      </c>
      <c r="W87" s="89">
        <f t="shared" si="93"/>
        <v>1.2509219704617028E-2</v>
      </c>
      <c r="X87" s="89">
        <f t="shared" si="93"/>
        <v>1.3595231925369263E-2</v>
      </c>
      <c r="Y87" s="89">
        <f t="shared" si="93"/>
        <v>1.4679457106040853E-2</v>
      </c>
    </row>
    <row r="88" spans="1:25" x14ac:dyDescent="0.25">
      <c r="A88" s="68" t="s">
        <v>1</v>
      </c>
      <c r="B88" s="44"/>
      <c r="C88" s="44"/>
      <c r="D88" s="89">
        <f t="shared" si="85"/>
        <v>1.2240293065530273E-2</v>
      </c>
      <c r="E88" s="89">
        <f t="shared" ref="E88:S88" si="94">E60/E$23</f>
        <v>1.0578702490508992E-2</v>
      </c>
      <c r="F88" s="89">
        <f t="shared" si="94"/>
        <v>1.1188814066643163E-2</v>
      </c>
      <c r="G88" s="89">
        <f t="shared" si="94"/>
        <v>1.0586655070542399E-2</v>
      </c>
      <c r="H88" s="89">
        <f t="shared" si="94"/>
        <v>1.0090231328637718E-2</v>
      </c>
      <c r="I88" s="89">
        <f t="shared" si="94"/>
        <v>8.0438204791956174E-3</v>
      </c>
      <c r="J88" s="89">
        <f t="shared" si="94"/>
        <v>6.6014977691972584E-3</v>
      </c>
      <c r="K88" s="89">
        <f t="shared" si="94"/>
        <v>6.9382803860337993E-3</v>
      </c>
      <c r="L88" s="89">
        <f t="shared" si="94"/>
        <v>6.533098804642621E-3</v>
      </c>
      <c r="M88" s="89">
        <f t="shared" si="94"/>
        <v>5.3820573291981895E-3</v>
      </c>
      <c r="N88" s="89">
        <f t="shared" si="94"/>
        <v>4.6159090311395585E-3</v>
      </c>
      <c r="O88" s="89">
        <f t="shared" si="94"/>
        <v>4.3523281167131087E-3</v>
      </c>
      <c r="P88" s="89">
        <f t="shared" si="94"/>
        <v>4.1299856094497338E-3</v>
      </c>
      <c r="Q88" s="89">
        <f t="shared" si="94"/>
        <v>3.9387508873320338E-3</v>
      </c>
      <c r="R88" s="89">
        <f t="shared" si="94"/>
        <v>3.5969774909340706E-3</v>
      </c>
      <c r="S88" s="89">
        <f t="shared" si="94"/>
        <v>3.6512837888133393E-3</v>
      </c>
      <c r="T88" s="89">
        <f t="shared" ref="T88:Y88" si="95">T60/T$23</f>
        <v>3.4652548085831085E-3</v>
      </c>
      <c r="U88" s="89">
        <f t="shared" si="95"/>
        <v>3.4332355864360301E-3</v>
      </c>
      <c r="V88" s="89">
        <f t="shared" si="95"/>
        <v>3.3352419399926355E-3</v>
      </c>
      <c r="W88" s="89">
        <f t="shared" si="95"/>
        <v>2.9704440813901685E-3</v>
      </c>
      <c r="X88" s="89">
        <f t="shared" si="95"/>
        <v>2.6044743888744924E-3</v>
      </c>
      <c r="Y88" s="89">
        <f t="shared" si="95"/>
        <v>2.732046955041673E-3</v>
      </c>
    </row>
    <row r="89" spans="1:25" x14ac:dyDescent="0.25">
      <c r="A89" s="68" t="s">
        <v>0</v>
      </c>
      <c r="B89" s="44"/>
      <c r="C89" s="44"/>
      <c r="D89" s="89">
        <f t="shared" si="85"/>
        <v>2.37775169758318E-3</v>
      </c>
      <c r="E89" s="89">
        <f t="shared" ref="E89:S89" si="96">E61/E$23</f>
        <v>2.2255800717943348E-3</v>
      </c>
      <c r="F89" s="89">
        <f t="shared" si="96"/>
        <v>2.1488723392872576E-3</v>
      </c>
      <c r="G89" s="89">
        <f t="shared" si="96"/>
        <v>2.1643052854154235E-3</v>
      </c>
      <c r="H89" s="89">
        <f t="shared" si="96"/>
        <v>2.1519342232495867E-3</v>
      </c>
      <c r="I89" s="89">
        <f t="shared" si="96"/>
        <v>2.0707916597929206E-3</v>
      </c>
      <c r="J89" s="89">
        <f t="shared" si="96"/>
        <v>2.807086975147516E-3</v>
      </c>
      <c r="K89" s="89">
        <f t="shared" si="96"/>
        <v>2.1182167615836933E-3</v>
      </c>
      <c r="L89" s="89">
        <f t="shared" si="96"/>
        <v>2.4184017409125198E-3</v>
      </c>
      <c r="M89" s="89">
        <f t="shared" si="96"/>
        <v>2.277875370366621E-3</v>
      </c>
      <c r="N89" s="89">
        <f t="shared" si="96"/>
        <v>1.6527654994811087E-3</v>
      </c>
      <c r="O89" s="89">
        <f t="shared" si="96"/>
        <v>1.3334792527801864E-3</v>
      </c>
      <c r="P89" s="89">
        <f t="shared" si="96"/>
        <v>9.2807312879211441E-4</v>
      </c>
      <c r="Q89" s="89">
        <f t="shared" si="96"/>
        <v>6.7725695881525191E-4</v>
      </c>
      <c r="R89" s="89">
        <f t="shared" si="96"/>
        <v>6.1216991229611655E-4</v>
      </c>
      <c r="S89" s="89">
        <f t="shared" si="96"/>
        <v>5.6983128373747712E-4</v>
      </c>
      <c r="T89" s="89">
        <f t="shared" ref="T89:Y89" si="97">T61/T$23</f>
        <v>5.7360019869037802E-4</v>
      </c>
      <c r="U89" s="89">
        <f t="shared" si="97"/>
        <v>6.161553203813295E-4</v>
      </c>
      <c r="V89" s="89">
        <f t="shared" si="97"/>
        <v>6.1692336462291521E-4</v>
      </c>
      <c r="W89" s="89">
        <f t="shared" si="97"/>
        <v>6.2492605356365193E-4</v>
      </c>
      <c r="X89" s="89">
        <f t="shared" si="97"/>
        <v>7.9675218104863091E-4</v>
      </c>
      <c r="Y89" s="89">
        <f t="shared" si="97"/>
        <v>7.7579764263738325E-4</v>
      </c>
    </row>
    <row r="90" spans="1:25" x14ac:dyDescent="0.25">
      <c r="A90" s="90" t="s">
        <v>278</v>
      </c>
      <c r="B90" s="47"/>
      <c r="C90" s="47"/>
      <c r="D90" s="91">
        <f t="shared" si="85"/>
        <v>6.8099059155675009E-3</v>
      </c>
      <c r="E90" s="91">
        <f t="shared" ref="E90:S90" si="98">E62/E$23</f>
        <v>7.8555963927148635E-3</v>
      </c>
      <c r="F90" s="91">
        <f t="shared" si="98"/>
        <v>7.0625402099077214E-3</v>
      </c>
      <c r="G90" s="91">
        <f t="shared" si="98"/>
        <v>6.2929325526716144E-3</v>
      </c>
      <c r="H90" s="91">
        <f t="shared" si="98"/>
        <v>6.6526294107213347E-3</v>
      </c>
      <c r="I90" s="91">
        <f t="shared" si="98"/>
        <v>6.7229428393277054E-3</v>
      </c>
      <c r="J90" s="91">
        <f t="shared" si="98"/>
        <v>7.5251065672574209E-3</v>
      </c>
      <c r="K90" s="91">
        <f t="shared" si="98"/>
        <v>6.2070376631411768E-3</v>
      </c>
      <c r="L90" s="91">
        <f t="shared" si="98"/>
        <v>7.3085213701875752E-3</v>
      </c>
      <c r="M90" s="91">
        <f t="shared" si="98"/>
        <v>6.9701668009316767E-3</v>
      </c>
      <c r="N90" s="91">
        <f t="shared" si="98"/>
        <v>6.5311547308136578E-3</v>
      </c>
      <c r="O90" s="91">
        <f t="shared" si="98"/>
        <v>6.2919343025751974E-3</v>
      </c>
      <c r="P90" s="91">
        <f t="shared" si="98"/>
        <v>5.7875169951134712E-3</v>
      </c>
      <c r="Q90" s="91">
        <f t="shared" si="98"/>
        <v>5.0976127946381318E-3</v>
      </c>
      <c r="R90" s="91">
        <f t="shared" si="98"/>
        <v>5.1861910315190831E-3</v>
      </c>
      <c r="S90" s="91">
        <f t="shared" si="98"/>
        <v>5.5924320245181458E-3</v>
      </c>
      <c r="T90" s="91">
        <f t="shared" ref="T90:Y90" si="99">T62/T$23</f>
        <v>5.686066574417563E-3</v>
      </c>
      <c r="U90" s="91">
        <f t="shared" si="99"/>
        <v>5.6944154688028442E-3</v>
      </c>
      <c r="V90" s="91">
        <f t="shared" si="99"/>
        <v>5.7438135760412663E-3</v>
      </c>
      <c r="W90" s="91">
        <f t="shared" si="99"/>
        <v>5.7388727919908782E-3</v>
      </c>
      <c r="X90" s="91">
        <f t="shared" si="99"/>
        <v>6.2717457026863609E-3</v>
      </c>
      <c r="Y90" s="91">
        <f t="shared" si="99"/>
        <v>6.0053186713690853E-3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4.1316200962142391E-2</v>
      </c>
      <c r="F93" s="92">
        <f t="shared" ref="F93:F94" si="101">IF(E16=0,"",F16/E16-1)</f>
        <v>3.9224959928522152E-2</v>
      </c>
      <c r="G93" s="92">
        <f t="shared" ref="G93:G94" si="102">IF(F16=0,"",G16/F16-1)</f>
        <v>5.7946684447080843E-2</v>
      </c>
      <c r="H93" s="92">
        <f t="shared" ref="H93:H94" si="103">IF(G16=0,"",H16/G16-1)</f>
        <v>5.0608755787918902E-2</v>
      </c>
      <c r="I93" s="92">
        <f t="shared" ref="I93:I94" si="104">IF(H16=0,"",I16/H16-1)</f>
        <v>5.9937929538704804E-3</v>
      </c>
      <c r="J93" s="92">
        <f t="shared" ref="J93:J94" si="105">IF(I16=0,"",J16/I16-1)</f>
        <v>5.6520267451313222E-2</v>
      </c>
      <c r="K93" s="92">
        <f t="shared" ref="K93:K94" si="106">IF(J16=0,"",K16/J16-1)</f>
        <v>3.2742465842698243E-2</v>
      </c>
      <c r="L93" s="92">
        <f t="shared" ref="L93:L94" si="107">IF(K16=0,"",L16/K16-1)</f>
        <v>-3.3484642964053402E-3</v>
      </c>
      <c r="M93" s="92">
        <f t="shared" ref="M93:M94" si="108">IF(L16=0,"",M16/L16-1)</f>
        <v>-4.3008501658483467E-2</v>
      </c>
      <c r="N93" s="92">
        <f t="shared" ref="N93:N94" si="109">IF(M16=0,"",N16/M16-1)</f>
        <v>-5.4781806695950119E-2</v>
      </c>
      <c r="O93" s="92">
        <f t="shared" ref="O93:O94" si="110">IF(N16=0,"",O16/N16-1)</f>
        <v>-0.10148822653607437</v>
      </c>
      <c r="P93" s="92">
        <f t="shared" ref="P93:P94" si="111">IF(O16=0,"",P16/O16-1)</f>
        <v>-7.0867747002810511E-2</v>
      </c>
      <c r="Q93" s="92">
        <f t="shared" ref="Q93:Q94" si="112">IF(P16=0,"",Q16/P16-1)</f>
        <v>-2.5168232848724825E-2</v>
      </c>
      <c r="R93" s="92">
        <f t="shared" ref="R93:R94" si="113">IF(Q16=0,"",R16/Q16-1)</f>
        <v>4.7577907567857292E-3</v>
      </c>
      <c r="S93" s="92">
        <f t="shared" ref="S93:S94" si="114">IF(R16=0,"",S16/R16-1)</f>
        <v>-1.9567793506962694E-3</v>
      </c>
      <c r="T93" s="92">
        <f t="shared" ref="T93:T94" si="115">IF(S16=0,"",T16/S16-1)</f>
        <v>-4.8676084821275278E-3</v>
      </c>
      <c r="U93" s="92">
        <f t="shared" ref="U93:U94" si="116">IF(T16=0,"",U16/T16-1)</f>
        <v>1.091903262225058E-2</v>
      </c>
      <c r="V93" s="92">
        <f t="shared" ref="V93:V94" si="117">IF(U16=0,"",V16/U16-1)</f>
        <v>1.6686730418926654E-2</v>
      </c>
      <c r="W93" s="92">
        <f t="shared" ref="W93:W94" si="118">IF(V16=0,"",W16/V16-1)</f>
        <v>1.8792638730561251E-2</v>
      </c>
      <c r="X93" s="92">
        <f t="shared" ref="X93:X94" si="119">IF(W16=0,"",X16/W16-1)</f>
        <v>-9.3166213796230801E-2</v>
      </c>
      <c r="Y93" s="92">
        <f t="shared" ref="Y93:Y94" si="120">IF(X16=0,"",Y16/X16-1)</f>
        <v>8.3796683424809837E-2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3.6233804745934961E-2</v>
      </c>
      <c r="F94" s="93">
        <f t="shared" si="101"/>
        <v>5.0854084162000657E-2</v>
      </c>
      <c r="G94" s="93">
        <f t="shared" si="102"/>
        <v>4.5326680640335404E-2</v>
      </c>
      <c r="H94" s="93">
        <f t="shared" si="103"/>
        <v>3.6077257937281892E-2</v>
      </c>
      <c r="I94" s="93">
        <f t="shared" si="104"/>
        <v>3.2241348856346885E-2</v>
      </c>
      <c r="J94" s="93">
        <f t="shared" si="105"/>
        <v>2.7822707895464482E-2</v>
      </c>
      <c r="K94" s="93">
        <f t="shared" si="106"/>
        <v>4.075666521792165E-2</v>
      </c>
      <c r="L94" s="93">
        <f t="shared" si="107"/>
        <v>3.584557420667589E-2</v>
      </c>
      <c r="M94" s="93">
        <f t="shared" si="108"/>
        <v>-1.6703740717432192E-2</v>
      </c>
      <c r="N94" s="93">
        <f t="shared" si="109"/>
        <v>-6.5184770538186609E-2</v>
      </c>
      <c r="O94" s="93">
        <f t="shared" si="110"/>
        <v>-8.6662380432586117E-2</v>
      </c>
      <c r="P94" s="93">
        <f t="shared" si="111"/>
        <v>-7.5703747082440764E-2</v>
      </c>
      <c r="Q94" s="93">
        <f t="shared" si="112"/>
        <v>-3.419888668602411E-2</v>
      </c>
      <c r="R94" s="93">
        <f t="shared" si="113"/>
        <v>-1.0212053252630637E-3</v>
      </c>
      <c r="S94" s="93">
        <f t="shared" si="114"/>
        <v>-3.4874824713301278E-3</v>
      </c>
      <c r="T94" s="93">
        <f t="shared" si="115"/>
        <v>-6.10033752161665E-3</v>
      </c>
      <c r="U94" s="93">
        <f t="shared" si="116"/>
        <v>2.4962889652298426E-2</v>
      </c>
      <c r="V94" s="93">
        <f t="shared" si="117"/>
        <v>1.7486162815718131E-2</v>
      </c>
      <c r="W94" s="93">
        <f t="shared" si="118"/>
        <v>1.7917053938512062E-2</v>
      </c>
      <c r="X94" s="93">
        <f t="shared" si="119"/>
        <v>-7.4432634571812928E-2</v>
      </c>
      <c r="Y94" s="93">
        <f t="shared" si="120"/>
        <v>5.7814347293780655E-2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3.5515537218161697E-2</v>
      </c>
      <c r="F95" s="92">
        <f t="shared" ref="F95:F96" si="122">IF(E20=0,"",F20/E20-1)</f>
        <v>3.4234648605546258E-2</v>
      </c>
      <c r="G95" s="92">
        <f t="shared" ref="G95:G96" si="123">IF(F20=0,"",G20/F20-1)</f>
        <v>5.5281796671362127E-2</v>
      </c>
      <c r="H95" s="92">
        <f t="shared" ref="H95:H96" si="124">IF(G20=0,"",H20/G20-1)</f>
        <v>4.8246502304181149E-2</v>
      </c>
      <c r="I95" s="92">
        <f t="shared" ref="I95:I96" si="125">IF(H20=0,"",I20/H20-1)</f>
        <v>3.2845574900639551E-3</v>
      </c>
      <c r="J95" s="92">
        <f t="shared" ref="J95:J96" si="126">IF(I20=0,"",J20/I20-1)</f>
        <v>5.3178869873367951E-2</v>
      </c>
      <c r="K95" s="92">
        <f t="shared" ref="K95:K96" si="127">IF(J20=0,"",K20/J20-1)</f>
        <v>2.9814180792420153E-2</v>
      </c>
      <c r="L95" s="92">
        <f t="shared" ref="L95:L96" si="128">IF(K20=0,"",L20/K20-1)</f>
        <v>-5.5947049298665785E-3</v>
      </c>
      <c r="M95" s="92">
        <f t="shared" ref="M95:M96" si="129">IF(L20=0,"",M20/L20-1)</f>
        <v>-4.5924654177169622E-2</v>
      </c>
      <c r="N95" s="92">
        <f t="shared" ref="N95:N96" si="130">IF(M20=0,"",N20/M20-1)</f>
        <v>-5.68682202549875E-2</v>
      </c>
      <c r="O95" s="92">
        <f t="shared" ref="O95:O96" si="131">IF(N20=0,"",O20/N20-1)</f>
        <v>-0.10181965365889079</v>
      </c>
      <c r="P95" s="92">
        <f t="shared" ref="P95:P96" si="132">IF(O20=0,"",P20/O20-1)</f>
        <v>-6.7768015177243734E-2</v>
      </c>
      <c r="Q95" s="92">
        <f t="shared" ref="Q95:Q96" si="133">IF(P20=0,"",Q20/P20-1)</f>
        <v>-1.7833616285511722E-2</v>
      </c>
      <c r="R95" s="92">
        <f t="shared" ref="R95:R96" si="134">IF(Q20=0,"",R20/Q20-1)</f>
        <v>1.182055267730342E-2</v>
      </c>
      <c r="S95" s="92">
        <f t="shared" ref="S95:S96" si="135">IF(R20=0,"",S20/R20-1)</f>
        <v>4.3661421166696357E-3</v>
      </c>
      <c r="T95" s="92">
        <f t="shared" ref="T95:T96" si="136">IF(S20=0,"",T20/S20-1)</f>
        <v>1.9860830839246724E-3</v>
      </c>
      <c r="U95" s="92">
        <f t="shared" ref="U95:U96" si="137">IF(T20=0,"",U20/T20-1)</f>
        <v>1.2379337573363403E-2</v>
      </c>
      <c r="V95" s="92">
        <f t="shared" ref="V95:V96" si="138">IF(U20=0,"",V20/U20-1)</f>
        <v>1.9245019854920331E-2</v>
      </c>
      <c r="W95" s="92">
        <f t="shared" ref="W95:W96" si="139">IF(V20=0,"",W20/V20-1)</f>
        <v>2.0366340353643819E-2</v>
      </c>
      <c r="X95" s="92">
        <f t="shared" ref="X95:X96" si="140">IF(W20=0,"",X20/W20-1)</f>
        <v>-9.265571308405951E-2</v>
      </c>
      <c r="Y95" s="92">
        <f t="shared" ref="Y95:Y96" si="141">IF(X20=0,"",Y20/X20-1)</f>
        <v>8.7849567067508794E-2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3.0461452547896117E-2</v>
      </c>
      <c r="F96" s="93">
        <f t="shared" si="122"/>
        <v>4.5807930309663014E-2</v>
      </c>
      <c r="G96" s="93">
        <f t="shared" si="123"/>
        <v>4.2693581700829819E-2</v>
      </c>
      <c r="H96" s="93">
        <f t="shared" si="124"/>
        <v>3.3747677969001133E-2</v>
      </c>
      <c r="I96" s="93">
        <f t="shared" si="125"/>
        <v>2.9461426267244573E-2</v>
      </c>
      <c r="J96" s="93">
        <f t="shared" si="126"/>
        <v>2.4572070484595088E-2</v>
      </c>
      <c r="K96" s="93">
        <f t="shared" si="127"/>
        <v>3.7805656341523663E-2</v>
      </c>
      <c r="L96" s="93">
        <f t="shared" si="128"/>
        <v>3.3510998544650228E-2</v>
      </c>
      <c r="M96" s="93">
        <f t="shared" si="129"/>
        <v>-1.9700049324238744E-2</v>
      </c>
      <c r="N96" s="93">
        <f t="shared" si="130"/>
        <v>-6.7248221267087516E-2</v>
      </c>
      <c r="O96" s="93">
        <f t="shared" si="131"/>
        <v>-8.6999276251153557E-2</v>
      </c>
      <c r="P96" s="93">
        <f t="shared" si="132"/>
        <v>-7.26201489163254E-2</v>
      </c>
      <c r="Q96" s="93">
        <f t="shared" si="133"/>
        <v>-2.6932216598750336E-2</v>
      </c>
      <c r="R96" s="93">
        <f t="shared" si="134"/>
        <v>6.0009341946696271E-3</v>
      </c>
      <c r="S96" s="93">
        <f t="shared" si="135"/>
        <v>2.8257415045631618E-3</v>
      </c>
      <c r="T96" s="93">
        <f t="shared" si="136"/>
        <v>7.4486397347306443E-4</v>
      </c>
      <c r="U96" s="93">
        <f t="shared" si="137"/>
        <v>2.6443481405115321E-2</v>
      </c>
      <c r="V96" s="93">
        <f t="shared" si="138"/>
        <v>2.0046463863936159E-2</v>
      </c>
      <c r="W96" s="93">
        <f t="shared" si="139"/>
        <v>1.9489403069285594E-2</v>
      </c>
      <c r="X96" s="93">
        <f t="shared" si="140"/>
        <v>-7.3911587819473046E-2</v>
      </c>
      <c r="Y96" s="93">
        <f t="shared" si="141"/>
        <v>6.1770069368526137E-2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3.4096740799157255E-2</v>
      </c>
      <c r="F97" s="89">
        <f t="shared" ref="F97:F106" si="143">IF(E23=0,"",F23/E23-1)</f>
        <v>3.8788525498828275E-2</v>
      </c>
      <c r="G97" s="89">
        <f t="shared" ref="G97:G106" si="144">IF(F23=0,"",G23/F23-1)</f>
        <v>6.1548551154402276E-2</v>
      </c>
      <c r="H97" s="89">
        <f t="shared" ref="H97:H106" si="145">IF(G23=0,"",H23/G23-1)</f>
        <v>5.8313721605962376E-2</v>
      </c>
      <c r="I97" s="89">
        <f t="shared" ref="I97:I106" si="146">IF(H23=0,"",I23/H23-1)</f>
        <v>3.9120904043234983E-3</v>
      </c>
      <c r="J97" s="89">
        <f t="shared" ref="J97:J106" si="147">IF(I23=0,"",J23/I23-1)</f>
        <v>4.3746654139376284E-2</v>
      </c>
      <c r="K97" s="89">
        <f t="shared" ref="K97:K106" si="148">IF(J23=0,"",K23/J23-1)</f>
        <v>2.6984216916234205E-2</v>
      </c>
      <c r="L97" s="89">
        <f t="shared" ref="L97:L106" si="149">IF(K23=0,"",L23/K23-1)</f>
        <v>-1.8568462153026877E-3</v>
      </c>
      <c r="M97" s="89">
        <f t="shared" ref="M97:M106" si="150">IF(L23=0,"",M23/L23-1)</f>
        <v>-3.3819841873963252E-2</v>
      </c>
      <c r="N97" s="89">
        <f t="shared" ref="N97:N106" si="151">IF(M23=0,"",N23/M23-1)</f>
        <v>-5.6852356419826888E-2</v>
      </c>
      <c r="O97" s="89">
        <f t="shared" ref="O97:O106" si="152">IF(N23=0,"",O23/N23-1)</f>
        <v>-9.1653873122427121E-2</v>
      </c>
      <c r="P97" s="89">
        <f t="shared" ref="P97:P106" si="153">IF(O23=0,"",P23/O23-1)</f>
        <v>-5.8414387372433318E-2</v>
      </c>
      <c r="Q97" s="89">
        <f t="shared" ref="Q97:Q106" si="154">IF(P23=0,"",Q23/P23-1)</f>
        <v>-2.0681371731210318E-2</v>
      </c>
      <c r="R97" s="89">
        <f t="shared" ref="R97:R106" si="155">IF(Q23=0,"",R23/Q23-1)</f>
        <v>-1.6990669832994687E-3</v>
      </c>
      <c r="S97" s="89">
        <f t="shared" ref="S97:S106" si="156">IF(R23=0,"",S23/R23-1)</f>
        <v>7.2161837787776406E-4</v>
      </c>
      <c r="T97" s="89">
        <f t="shared" ref="T97:T106" si="157">IF(S23=0,"",T23/S23-1)</f>
        <v>-8.2974878648958139E-3</v>
      </c>
      <c r="U97" s="89">
        <f t="shared" ref="U97:U106" si="158">IF(T23=0,"",U23/T23-1)</f>
        <v>1.7447708235595938E-2</v>
      </c>
      <c r="V97" s="89">
        <f t="shared" ref="V97:V106" si="159">IF(U23=0,"",V23/U23-1)</f>
        <v>1.2694825230790796E-2</v>
      </c>
      <c r="W97" s="89">
        <f t="shared" ref="W97:W106" si="160">IF(V23=0,"",W23/V23-1)</f>
        <v>1.336212663941394E-2</v>
      </c>
      <c r="X97" s="89">
        <f t="shared" ref="X97:X106" si="161">IF(W23=0,"",X23/W23-1)</f>
        <v>-9.3586631182297819E-2</v>
      </c>
      <c r="Y97" s="89">
        <f t="shared" ref="Y97:Y106" si="162">IF(X23=0,"",Y23/X23-1)</f>
        <v>7.736393203314762E-2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-6.5652719397399917E-3</v>
      </c>
      <c r="F98" s="83">
        <f t="shared" si="143"/>
        <v>-6.2911425588990655E-3</v>
      </c>
      <c r="G98" s="83">
        <f t="shared" si="144"/>
        <v>5.8009740062029413E-2</v>
      </c>
      <c r="H98" s="83">
        <f t="shared" si="145"/>
        <v>-0.10005418782743492</v>
      </c>
      <c r="I98" s="83">
        <f t="shared" si="146"/>
        <v>1.1268913479697273E-2</v>
      </c>
      <c r="J98" s="83">
        <f t="shared" si="147"/>
        <v>-0.21005775940092475</v>
      </c>
      <c r="K98" s="83">
        <f t="shared" si="148"/>
        <v>-2.1219297397657266E-2</v>
      </c>
      <c r="L98" s="83">
        <f t="shared" si="149"/>
        <v>-7.8981055101760567E-2</v>
      </c>
      <c r="M98" s="83">
        <f t="shared" si="150"/>
        <v>-4.6023305715914065E-2</v>
      </c>
      <c r="N98" s="83">
        <f t="shared" si="151"/>
        <v>1.8389066017464151E-2</v>
      </c>
      <c r="O98" s="83">
        <f t="shared" si="152"/>
        <v>-4.7245933383483818E-2</v>
      </c>
      <c r="P98" s="83">
        <f t="shared" si="153"/>
        <v>3.3972349475665631E-2</v>
      </c>
      <c r="Q98" s="83">
        <f t="shared" si="154"/>
        <v>-4.2203836021897034E-2</v>
      </c>
      <c r="R98" s="83">
        <f t="shared" si="155"/>
        <v>6.2012813943400635E-2</v>
      </c>
      <c r="S98" s="83">
        <f t="shared" si="156"/>
        <v>7.8296633398400539E-2</v>
      </c>
      <c r="T98" s="83">
        <f t="shared" si="157"/>
        <v>-8.6185513566338079E-2</v>
      </c>
      <c r="U98" s="83">
        <f t="shared" si="158"/>
        <v>0.11581954367938052</v>
      </c>
      <c r="V98" s="83">
        <f t="shared" si="159"/>
        <v>-3.8894647042007624E-2</v>
      </c>
      <c r="W98" s="83">
        <f t="shared" si="160"/>
        <v>6.1612249881245473E-2</v>
      </c>
      <c r="X98" s="83">
        <f t="shared" si="161"/>
        <v>-3.565857084986257E-2</v>
      </c>
      <c r="Y98" s="83">
        <f t="shared" si="162"/>
        <v>-2.7728546264720655E-2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8.8453668013734887E-3</v>
      </c>
      <c r="F99" s="83">
        <f t="shared" si="143"/>
        <v>4.4465321866579366E-2</v>
      </c>
      <c r="G99" s="83">
        <f t="shared" si="144"/>
        <v>8.9005232587926919E-2</v>
      </c>
      <c r="H99" s="83">
        <f t="shared" si="145"/>
        <v>2.8109639172099854E-2</v>
      </c>
      <c r="I99" s="83">
        <f t="shared" si="146"/>
        <v>5.2630071808707823E-2</v>
      </c>
      <c r="J99" s="83">
        <f t="shared" si="147"/>
        <v>-6.3342572385630791E-2</v>
      </c>
      <c r="K99" s="83">
        <f t="shared" si="148"/>
        <v>6.3081275235396417E-2</v>
      </c>
      <c r="L99" s="83">
        <f t="shared" si="149"/>
        <v>-0.12910286103670976</v>
      </c>
      <c r="M99" s="83">
        <f t="shared" si="150"/>
        <v>-7.4600032287143514E-2</v>
      </c>
      <c r="N99" s="83">
        <f t="shared" si="151"/>
        <v>0.17669308219490398</v>
      </c>
      <c r="O99" s="83">
        <f t="shared" si="152"/>
        <v>1.859749703743141E-4</v>
      </c>
      <c r="P99" s="83">
        <f t="shared" si="153"/>
        <v>-9.5884446584662775E-2</v>
      </c>
      <c r="Q99" s="83">
        <f t="shared" si="154"/>
        <v>5.8920630361933846E-2</v>
      </c>
      <c r="R99" s="83">
        <f t="shared" si="155"/>
        <v>2.412005863827682E-2</v>
      </c>
      <c r="S99" s="83">
        <f t="shared" si="156"/>
        <v>3.216862019575073E-2</v>
      </c>
      <c r="T99" s="83">
        <f t="shared" si="157"/>
        <v>-7.9106248305406246E-2</v>
      </c>
      <c r="U99" s="83">
        <f t="shared" si="158"/>
        <v>3.9333849130194221E-3</v>
      </c>
      <c r="V99" s="83">
        <f t="shared" si="159"/>
        <v>7.7125788897161485E-2</v>
      </c>
      <c r="W99" s="83">
        <f t="shared" si="160"/>
        <v>-0.14152124677767897</v>
      </c>
      <c r="X99" s="83">
        <f t="shared" si="161"/>
        <v>-0.2639893844672061</v>
      </c>
      <c r="Y99" s="83">
        <f t="shared" si="162"/>
        <v>0.24853458481386248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2.9346760493272006E-2</v>
      </c>
      <c r="F100" s="83">
        <f t="shared" si="143"/>
        <v>4.1529908316469522E-2</v>
      </c>
      <c r="G100" s="83">
        <f t="shared" si="144"/>
        <v>4.6395630348103012E-2</v>
      </c>
      <c r="H100" s="83">
        <f t="shared" si="145"/>
        <v>7.5872570918563031E-2</v>
      </c>
      <c r="I100" s="83">
        <f t="shared" si="146"/>
        <v>4.1100161030805049E-2</v>
      </c>
      <c r="J100" s="83">
        <f t="shared" si="147"/>
        <v>2.2139456964981541E-2</v>
      </c>
      <c r="K100" s="83">
        <f t="shared" si="148"/>
        <v>5.7819357247803405E-2</v>
      </c>
      <c r="L100" s="83">
        <f t="shared" si="149"/>
        <v>3.8561029356505516E-2</v>
      </c>
      <c r="M100" s="83">
        <f t="shared" si="150"/>
        <v>-2.6898328384293957E-2</v>
      </c>
      <c r="N100" s="83">
        <f t="shared" si="151"/>
        <v>-6.0278553380237687E-2</v>
      </c>
      <c r="O100" s="83">
        <f t="shared" si="152"/>
        <v>-8.7735636679160622E-2</v>
      </c>
      <c r="P100" s="83">
        <f t="shared" si="153"/>
        <v>-6.4656994524033617E-2</v>
      </c>
      <c r="Q100" s="83">
        <f t="shared" si="154"/>
        <v>-2.0475316601405225E-2</v>
      </c>
      <c r="R100" s="83">
        <f t="shared" si="155"/>
        <v>7.1334695360201206E-3</v>
      </c>
      <c r="S100" s="83">
        <f t="shared" si="156"/>
        <v>-9.6469064350152012E-3</v>
      </c>
      <c r="T100" s="83">
        <f t="shared" si="157"/>
        <v>-6.8340537707829441E-3</v>
      </c>
      <c r="U100" s="83">
        <f t="shared" si="158"/>
        <v>2.2011479740788875E-2</v>
      </c>
      <c r="V100" s="83">
        <f t="shared" si="159"/>
        <v>1.477535109694883E-2</v>
      </c>
      <c r="W100" s="83">
        <f t="shared" si="160"/>
        <v>1.5268145923583498E-2</v>
      </c>
      <c r="X100" s="83">
        <f t="shared" si="161"/>
        <v>-0.11360755686785129</v>
      </c>
      <c r="Y100" s="83">
        <f t="shared" si="162"/>
        <v>7.4058442471803154E-2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7.3487498090412773E-2</v>
      </c>
      <c r="F101" s="84">
        <f t="shared" si="143"/>
        <v>2.5631031311462715E-2</v>
      </c>
      <c r="G101" s="84">
        <f t="shared" si="144"/>
        <v>7.0806237363294944E-2</v>
      </c>
      <c r="H101" s="84">
        <f t="shared" si="145"/>
        <v>0.1083966742238569</v>
      </c>
      <c r="I101" s="84">
        <f t="shared" si="146"/>
        <v>6.4173644365701055E-2</v>
      </c>
      <c r="J101" s="84">
        <f t="shared" si="147"/>
        <v>2.9067545039319631E-2</v>
      </c>
      <c r="K101" s="84">
        <f t="shared" si="148"/>
        <v>4.8896525977466521E-2</v>
      </c>
      <c r="L101" s="84">
        <f t="shared" si="149"/>
        <v>4.3434085894021646E-2</v>
      </c>
      <c r="M101" s="84">
        <f t="shared" si="150"/>
        <v>-4.2460517609000714E-2</v>
      </c>
      <c r="N101" s="84">
        <f t="shared" si="151"/>
        <v>-7.4005416885264963E-2</v>
      </c>
      <c r="O101" s="84">
        <f t="shared" si="152"/>
        <v>-0.10004707950363534</v>
      </c>
      <c r="P101" s="84">
        <f t="shared" si="153"/>
        <v>-5.9222466317909284E-2</v>
      </c>
      <c r="Q101" s="84">
        <f t="shared" si="154"/>
        <v>-2.1933799449740943E-2</v>
      </c>
      <c r="R101" s="84">
        <f t="shared" si="155"/>
        <v>1.9707824385616801E-2</v>
      </c>
      <c r="S101" s="84">
        <f t="shared" si="156"/>
        <v>-9.8441468564663959E-3</v>
      </c>
      <c r="T101" s="84">
        <f t="shared" si="157"/>
        <v>-1.4625553822762538E-2</v>
      </c>
      <c r="U101" s="84">
        <f t="shared" si="158"/>
        <v>4.0958322446983608E-2</v>
      </c>
      <c r="V101" s="84">
        <f t="shared" si="159"/>
        <v>3.193324264751829E-2</v>
      </c>
      <c r="W101" s="84">
        <f t="shared" si="160"/>
        <v>1.3818223381329542E-2</v>
      </c>
      <c r="X101" s="84">
        <f t="shared" si="161"/>
        <v>-0.1378072194883263</v>
      </c>
      <c r="Y101" s="84">
        <f t="shared" si="162"/>
        <v>8.8807217264343929E-2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9.5925341349116788E-3</v>
      </c>
      <c r="F102" s="84">
        <f t="shared" si="143"/>
        <v>8.1970520980144901E-2</v>
      </c>
      <c r="G102" s="84">
        <f t="shared" si="144"/>
        <v>2.0088612397860306E-2</v>
      </c>
      <c r="H102" s="84">
        <f t="shared" si="145"/>
        <v>8.0568518552492918E-2</v>
      </c>
      <c r="I102" s="84">
        <f t="shared" si="146"/>
        <v>6.5369163105436723E-2</v>
      </c>
      <c r="J102" s="84">
        <f t="shared" si="147"/>
        <v>2.8630997364967437E-2</v>
      </c>
      <c r="K102" s="84">
        <f t="shared" si="148"/>
        <v>7.4087926756804423E-2</v>
      </c>
      <c r="L102" s="84">
        <f t="shared" si="149"/>
        <v>3.1003741641730809E-2</v>
      </c>
      <c r="M102" s="84">
        <f t="shared" si="150"/>
        <v>8.6309028936970567E-3</v>
      </c>
      <c r="N102" s="84">
        <f t="shared" si="151"/>
        <v>-4.2651869174527235E-2</v>
      </c>
      <c r="O102" s="84">
        <f t="shared" si="152"/>
        <v>-6.7883981083405764E-2</v>
      </c>
      <c r="P102" s="84">
        <f t="shared" si="153"/>
        <v>-5.7408085820582655E-2</v>
      </c>
      <c r="Q102" s="84">
        <f t="shared" si="154"/>
        <v>-1.4838462287222187E-2</v>
      </c>
      <c r="R102" s="84">
        <f t="shared" si="155"/>
        <v>-4.0816205160776331E-4</v>
      </c>
      <c r="S102" s="84">
        <f t="shared" si="156"/>
        <v>-2.6474102438595493E-2</v>
      </c>
      <c r="T102" s="84">
        <f t="shared" si="157"/>
        <v>3.5574637339430559E-3</v>
      </c>
      <c r="U102" s="84">
        <f t="shared" si="158"/>
        <v>2.2466978187247744E-3</v>
      </c>
      <c r="V102" s="84">
        <f t="shared" si="159"/>
        <v>-7.3377682507020925E-3</v>
      </c>
      <c r="W102" s="84">
        <f t="shared" si="160"/>
        <v>3.1678155996184287E-2</v>
      </c>
      <c r="X102" s="84">
        <f t="shared" si="161"/>
        <v>-8.6595388400801276E-2</v>
      </c>
      <c r="Y102" s="84">
        <f t="shared" si="162"/>
        <v>4.2150077310432632E-2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-1.4219241098303415E-2</v>
      </c>
      <c r="F103" s="84">
        <f t="shared" si="143"/>
        <v>7.2521990568845673E-3</v>
      </c>
      <c r="G103" s="84">
        <f t="shared" si="144"/>
        <v>4.5352727022526462E-2</v>
      </c>
      <c r="H103" s="84">
        <f t="shared" si="145"/>
        <v>6.4981438941280611E-3</v>
      </c>
      <c r="I103" s="84">
        <f t="shared" si="146"/>
        <v>-4.9762682469417174E-2</v>
      </c>
      <c r="J103" s="84">
        <f t="shared" si="147"/>
        <v>-6.8623378886649711E-3</v>
      </c>
      <c r="K103" s="84">
        <f t="shared" si="148"/>
        <v>4.622733725148831E-2</v>
      </c>
      <c r="L103" s="84">
        <f t="shared" si="149"/>
        <v>4.2562046251705787E-2</v>
      </c>
      <c r="M103" s="84">
        <f t="shared" si="150"/>
        <v>-6.2704170640704993E-2</v>
      </c>
      <c r="N103" s="84">
        <f t="shared" si="151"/>
        <v>-6.5496488262358876E-2</v>
      </c>
      <c r="O103" s="84">
        <f t="shared" si="152"/>
        <v>-0.10279425123167096</v>
      </c>
      <c r="P103" s="84">
        <f t="shared" si="153"/>
        <v>-9.5286297948886878E-2</v>
      </c>
      <c r="Q103" s="84">
        <f t="shared" si="154"/>
        <v>-3.0673510728524866E-2</v>
      </c>
      <c r="R103" s="84">
        <f t="shared" si="155"/>
        <v>-6.4851290585211663E-3</v>
      </c>
      <c r="S103" s="84">
        <f t="shared" si="156"/>
        <v>3.3439422850926048E-2</v>
      </c>
      <c r="T103" s="84">
        <f t="shared" si="157"/>
        <v>-1.1743119206718999E-2</v>
      </c>
      <c r="U103" s="84">
        <f t="shared" si="158"/>
        <v>2.1703050196917983E-2</v>
      </c>
      <c r="V103" s="84">
        <f t="shared" si="159"/>
        <v>2.2853145855907364E-2</v>
      </c>
      <c r="W103" s="84">
        <f t="shared" si="160"/>
        <v>-1.8745727670264389E-2</v>
      </c>
      <c r="X103" s="84">
        <f t="shared" si="161"/>
        <v>-0.1137397297014775</v>
      </c>
      <c r="Y103" s="84">
        <f t="shared" si="162"/>
        <v>0.11499274298136442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-4.8171534793744142E-2</v>
      </c>
      <c r="F104" s="83">
        <f t="shared" si="143"/>
        <v>0.1463900596830916</v>
      </c>
      <c r="G104" s="83">
        <f t="shared" si="144"/>
        <v>-9.0171169397806561E-2</v>
      </c>
      <c r="H104" s="83">
        <f t="shared" si="145"/>
        <v>1.1889029906290594E-2</v>
      </c>
      <c r="I104" s="83">
        <f t="shared" si="146"/>
        <v>6.5683058581842646E-2</v>
      </c>
      <c r="J104" s="83">
        <f t="shared" si="147"/>
        <v>2.226860851046486E-2</v>
      </c>
      <c r="K104" s="83">
        <f t="shared" si="148"/>
        <v>3.711205146638008E-2</v>
      </c>
      <c r="L104" s="83">
        <f t="shared" si="149"/>
        <v>-9.08220200972919E-2</v>
      </c>
      <c r="M104" s="83">
        <f t="shared" si="150"/>
        <v>0.15965864871673285</v>
      </c>
      <c r="N104" s="83">
        <f t="shared" si="151"/>
        <v>-0.12355232533190152</v>
      </c>
      <c r="O104" s="83">
        <f t="shared" si="152"/>
        <v>9.086845562832524E-2</v>
      </c>
      <c r="P104" s="83">
        <f t="shared" si="153"/>
        <v>0.28385031441979258</v>
      </c>
      <c r="Q104" s="83">
        <f t="shared" si="154"/>
        <v>-7.0890554628226798E-3</v>
      </c>
      <c r="R104" s="83">
        <f t="shared" si="155"/>
        <v>-3.7373592780171716E-2</v>
      </c>
      <c r="S104" s="83">
        <f t="shared" si="156"/>
        <v>8.599572394366195E-2</v>
      </c>
      <c r="T104" s="83">
        <f t="shared" si="157"/>
        <v>3.7541521622409091E-2</v>
      </c>
      <c r="U104" s="83">
        <f t="shared" si="158"/>
        <v>2.1257976639340148E-2</v>
      </c>
      <c r="V104" s="83">
        <f t="shared" si="159"/>
        <v>-7.0632480985330925E-2</v>
      </c>
      <c r="W104" s="83">
        <f t="shared" si="160"/>
        <v>-3.6852178025523097E-2</v>
      </c>
      <c r="X104" s="83">
        <f t="shared" si="161"/>
        <v>5.7194192433192903E-2</v>
      </c>
      <c r="Y104" s="83">
        <f t="shared" si="162"/>
        <v>0.25101554655900671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4.3209590189918545E-2</v>
      </c>
      <c r="F105" s="83">
        <f t="shared" si="143"/>
        <v>3.8509985029118621E-2</v>
      </c>
      <c r="G105" s="83">
        <f t="shared" si="144"/>
        <v>0.34020279884357141</v>
      </c>
      <c r="H105" s="83">
        <f t="shared" si="145"/>
        <v>8.9995382833006898E-2</v>
      </c>
      <c r="I105" s="83">
        <f t="shared" si="146"/>
        <v>-0.30488945457765815</v>
      </c>
      <c r="J105" s="83">
        <f t="shared" si="147"/>
        <v>0.53717737649830322</v>
      </c>
      <c r="K105" s="83">
        <f t="shared" si="148"/>
        <v>-0.19802274958211041</v>
      </c>
      <c r="L105" s="83">
        <f t="shared" si="149"/>
        <v>-0.31605656175542829</v>
      </c>
      <c r="M105" s="83">
        <f t="shared" si="150"/>
        <v>-4.2677809817058932E-2</v>
      </c>
      <c r="N105" s="83">
        <f t="shared" si="151"/>
        <v>-0.12931147109296515</v>
      </c>
      <c r="O105" s="83">
        <f t="shared" si="152"/>
        <v>-0.29288117761901811</v>
      </c>
      <c r="P105" s="83">
        <f t="shared" si="153"/>
        <v>-0.15379246549197334</v>
      </c>
      <c r="Q105" s="83">
        <f t="shared" si="154"/>
        <v>-1.3383454337674516E-2</v>
      </c>
      <c r="R105" s="83">
        <f t="shared" si="155"/>
        <v>-0.26211614490537538</v>
      </c>
      <c r="S105" s="83">
        <f t="shared" si="156"/>
        <v>-6.091980633426064E-2</v>
      </c>
      <c r="T105" s="83">
        <f t="shared" si="157"/>
        <v>1.2739853447422123E-2</v>
      </c>
      <c r="U105" s="83">
        <f t="shared" si="158"/>
        <v>-0.34948230632388511</v>
      </c>
      <c r="V105" s="83">
        <f t="shared" si="159"/>
        <v>8.0971196223668995E-2</v>
      </c>
      <c r="W105" s="83">
        <f t="shared" si="160"/>
        <v>5.0479427304428892E-2</v>
      </c>
      <c r="X105" s="83">
        <f t="shared" si="161"/>
        <v>-3.2149806650603741E-2</v>
      </c>
      <c r="Y105" s="83">
        <f t="shared" si="162"/>
        <v>9.2390168284961938E-2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0.1109406726771236</v>
      </c>
      <c r="F106" s="83">
        <f t="shared" si="143"/>
        <v>2.1793551374553299E-2</v>
      </c>
      <c r="G106" s="83">
        <f t="shared" si="144"/>
        <v>1.5885462446520782E-2</v>
      </c>
      <c r="H106" s="83">
        <f t="shared" si="145"/>
        <v>-1.896334004990452E-4</v>
      </c>
      <c r="I106" s="83">
        <f t="shared" si="146"/>
        <v>-7.7778488067197227E-3</v>
      </c>
      <c r="J106" s="83">
        <f t="shared" si="147"/>
        <v>2.5723237100767626E-2</v>
      </c>
      <c r="K106" s="83">
        <f t="shared" si="148"/>
        <v>1.7773455186192777E-2</v>
      </c>
      <c r="L106" s="83">
        <f t="shared" si="149"/>
        <v>-3.9763560009611898E-2</v>
      </c>
      <c r="M106" s="83">
        <f t="shared" si="150"/>
        <v>-0.13057267755982016</v>
      </c>
      <c r="N106" s="83">
        <f t="shared" si="151"/>
        <v>4.0569550302282931E-3</v>
      </c>
      <c r="O106" s="83">
        <f t="shared" si="152"/>
        <v>-8.8714848733545293E-2</v>
      </c>
      <c r="P106" s="83">
        <f t="shared" si="153"/>
        <v>-9.8839905313937493E-2</v>
      </c>
      <c r="Q106" s="83">
        <f t="shared" si="154"/>
        <v>-2.59861289203005E-2</v>
      </c>
      <c r="R106" s="83">
        <f t="shared" si="155"/>
        <v>-2.3269129047286397E-3</v>
      </c>
      <c r="S106" s="83">
        <f t="shared" si="156"/>
        <v>4.8292439538956566E-2</v>
      </c>
      <c r="T106" s="83">
        <f t="shared" si="157"/>
        <v>-2.8309738075774638E-3</v>
      </c>
      <c r="U106" s="83">
        <f t="shared" si="158"/>
        <v>2.5421050846335502E-2</v>
      </c>
      <c r="V106" s="83">
        <f t="shared" si="159"/>
        <v>4.2625994497698549E-2</v>
      </c>
      <c r="W106" s="83">
        <f t="shared" si="160"/>
        <v>-4.5788086714186882E-3</v>
      </c>
      <c r="X106" s="83">
        <f t="shared" si="161"/>
        <v>7.317920311133097E-3</v>
      </c>
      <c r="Y106" s="83">
        <f t="shared" si="162"/>
        <v>7.5346370519211003E-2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-8.5327766146214845E-2</v>
      </c>
      <c r="F107" s="87">
        <f t="shared" ref="F107:F108" si="164">IF(E33=0,"",F33/E33-1)</f>
        <v>-1.3139347123550804E-2</v>
      </c>
      <c r="G107" s="87">
        <f t="shared" ref="G107:G108" si="165">IF(F33=0,"",G33/F33-1)</f>
        <v>5.200753500264188E-2</v>
      </c>
      <c r="H107" s="87">
        <f t="shared" ref="H107:H108" si="166">IF(G33=0,"",H33/G33-1)</f>
        <v>2.7459361457546905E-3</v>
      </c>
      <c r="I107" s="87">
        <f t="shared" ref="I107:I108" si="167">IF(H33=0,"",I33/H33-1)</f>
        <v>0.10192747635909494</v>
      </c>
      <c r="J107" s="87">
        <f t="shared" ref="J107:J108" si="168">IF(I33=0,"",J33/I33-1)</f>
        <v>0.18277617109607247</v>
      </c>
      <c r="K107" s="87">
        <f t="shared" ref="K107:K108" si="169">IF(J33=0,"",K33/J33-1)</f>
        <v>9.6021422990992145E-2</v>
      </c>
      <c r="L107" s="87">
        <f t="shared" ref="L107:L108" si="170">IF(K33=0,"",L33/K33-1)</f>
        <v>-1.5019807908926763E-2</v>
      </c>
      <c r="M107" s="87">
        <f t="shared" ref="M107:M108" si="171">IF(L33=0,"",M33/L33-1)</f>
        <v>-0.35464494240767486</v>
      </c>
      <c r="N107" s="87">
        <f t="shared" ref="N107:N108" si="172">IF(M33=0,"",N33/M33-1)</f>
        <v>0.20400081583033036</v>
      </c>
      <c r="O107" s="87">
        <f t="shared" ref="O107:O108" si="173">IF(N33=0,"",O33/N33-1)</f>
        <v>0.10405217942480838</v>
      </c>
      <c r="P107" s="87">
        <f t="shared" ref="P107:P108" si="174">IF(O33=0,"",P33/O33-1)</f>
        <v>-0.26573841912010743</v>
      </c>
      <c r="Q107" s="87">
        <f t="shared" ref="Q107:Q108" si="175">IF(P33=0,"",Q33/P33-1)</f>
        <v>-0.19580397143695594</v>
      </c>
      <c r="R107" s="87">
        <f t="shared" ref="R107:R108" si="176">IF(Q33=0,"",R33/Q33-1)</f>
        <v>6.7384989320514288E-2</v>
      </c>
      <c r="S107" s="87">
        <f t="shared" ref="S107:S108" si="177">IF(R33=0,"",S33/R33-1)</f>
        <v>3.2323460275771598E-2</v>
      </c>
      <c r="T107" s="87">
        <f t="shared" ref="T107:T108" si="178">IF(S33=0,"",T33/S33-1)</f>
        <v>-5.2410088174604352E-2</v>
      </c>
      <c r="U107" s="87">
        <f t="shared" ref="U107:U108" si="179">IF(T33=0,"",U33/T33-1)</f>
        <v>0.15275338851265508</v>
      </c>
      <c r="V107" s="87">
        <f t="shared" ref="V107:V108" si="180">IF(U33=0,"",V33/U33-1)</f>
        <v>0.21791592746285504</v>
      </c>
      <c r="W107" s="87">
        <f t="shared" ref="W107:W108" si="181">IF(V33=0,"",W33/V33-1)</f>
        <v>2.6465717877109496E-2</v>
      </c>
      <c r="X107" s="87">
        <f t="shared" ref="X107:X108" si="182">IF(W33=0,"",X33/W33-1)</f>
        <v>-0.11755836060995983</v>
      </c>
      <c r="Y107" s="87">
        <f t="shared" ref="Y107:Y108" si="183">IF(X33=0,"",Y33/X33-1)</f>
        <v>0.11964038276390232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4.9169727357072812E-2</v>
      </c>
      <c r="F108" s="89">
        <f t="shared" si="164"/>
        <v>0.24619500586658449</v>
      </c>
      <c r="G108" s="89">
        <f t="shared" si="165"/>
        <v>-7.1494174329268523E-3</v>
      </c>
      <c r="H108" s="89">
        <f t="shared" si="166"/>
        <v>0.11633171317457314</v>
      </c>
      <c r="I108" s="89">
        <f t="shared" si="167"/>
        <v>0.21933125950354371</v>
      </c>
      <c r="J108" s="89">
        <f t="shared" si="168"/>
        <v>0.25659750736194753</v>
      </c>
      <c r="K108" s="89">
        <f t="shared" si="169"/>
        <v>0.11416742398177648</v>
      </c>
      <c r="L108" s="89">
        <f t="shared" si="170"/>
        <v>-3.8325092934055061E-4</v>
      </c>
      <c r="M108" s="89">
        <f t="shared" si="171"/>
        <v>-0.35464494240767497</v>
      </c>
      <c r="N108" s="89">
        <f t="shared" si="172"/>
        <v>0.20400081583033036</v>
      </c>
      <c r="O108" s="89">
        <f t="shared" si="173"/>
        <v>0.10405217942480816</v>
      </c>
      <c r="P108" s="89">
        <f t="shared" si="174"/>
        <v>-0.52058746921699472</v>
      </c>
      <c r="Q108" s="89">
        <f t="shared" si="175"/>
        <v>-0.5378309889323506</v>
      </c>
      <c r="R108" s="89">
        <f t="shared" si="176"/>
        <v>1.1509139777967818</v>
      </c>
      <c r="S108" s="89">
        <f t="shared" si="177"/>
        <v>0.18903618801078537</v>
      </c>
      <c r="T108" s="89">
        <f t="shared" si="178"/>
        <v>-0.45510604452521353</v>
      </c>
      <c r="U108" s="89">
        <f t="shared" si="179"/>
        <v>2.1323158801553133</v>
      </c>
      <c r="V108" s="89">
        <f t="shared" si="180"/>
        <v>0.21970183661633058</v>
      </c>
      <c r="W108" s="89">
        <f t="shared" si="181"/>
        <v>9.3351826354368006E-2</v>
      </c>
      <c r="X108" s="89">
        <f t="shared" si="182"/>
        <v>-0.40049440339320652</v>
      </c>
      <c r="Y108" s="89">
        <f t="shared" si="183"/>
        <v>5.6765634721743563E-2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-0.12253907674258324</v>
      </c>
      <c r="F109" s="89">
        <f t="shared" ref="F109" si="185">IF(E37=0,"",F37/E37-1)</f>
        <v>-9.8929766634515359E-2</v>
      </c>
      <c r="G109" s="89">
        <f t="shared" ref="G109" si="186">IF(F37=0,"",G37/F37-1)</f>
        <v>7.9072775939569295E-2</v>
      </c>
      <c r="H109" s="89">
        <f t="shared" ref="H109" si="187">IF(G37=0,"",H37/G37-1)</f>
        <v>-4.5068960079308718E-2</v>
      </c>
      <c r="I109" s="89">
        <f t="shared" ref="I109" si="188">IF(H37=0,"",I37/H37-1)</f>
        <v>4.4152123308316416E-2</v>
      </c>
      <c r="J109" s="89">
        <f t="shared" ref="J109" si="189">IF(I37=0,"",J37/I37-1)</f>
        <v>0.14035327136437314</v>
      </c>
      <c r="K109" s="89">
        <f t="shared" ref="K109" si="190">IF(J37=0,"",K37/J37-1)</f>
        <v>8.4530467045148772E-2</v>
      </c>
      <c r="L109" s="89">
        <f t="shared" ref="L109" si="191">IF(K37=0,"",L37/K37-1)</f>
        <v>-2.4541691257648268E-2</v>
      </c>
      <c r="M109" s="89">
        <f t="shared" ref="M109" si="192">IF(L37=0,"",M37/L37-1)</f>
        <v>-0.35464494240767486</v>
      </c>
      <c r="N109" s="89">
        <f t="shared" ref="N109" si="193">IF(M37=0,"",N37/M37-1)</f>
        <v>0.20400081583033014</v>
      </c>
      <c r="O109" s="89">
        <f t="shared" ref="O109" si="194">IF(N37=0,"",O37/N37-1)</f>
        <v>0.10405217942480838</v>
      </c>
      <c r="P109" s="89">
        <f t="shared" ref="P109" si="195">IF(O37=0,"",P37/O37-1)</f>
        <v>-9.5839052388849488E-2</v>
      </c>
      <c r="Q109" s="89">
        <f t="shared" ref="Q109" si="196">IF(P37=0,"",Q37/P37-1)</f>
        <v>-7.4902164823244077E-2</v>
      </c>
      <c r="R109" s="89">
        <f t="shared" ref="R109" si="197">IF(Q37=0,"",R37/Q37-1)</f>
        <v>-0.12396395455203657</v>
      </c>
      <c r="S109" s="89">
        <f t="shared" ref="S109" si="198">IF(R37=0,"",S37/R37-1)</f>
        <v>-3.5626760245322298E-2</v>
      </c>
      <c r="T109" s="89">
        <f t="shared" ref="T109" si="199">IF(S37=0,"",T37/S37-1)</f>
        <v>0.16287492153268768</v>
      </c>
      <c r="U109" s="89">
        <f t="shared" ref="U109" si="200">IF(T37=0,"",U37/T37-1)</f>
        <v>-0.34313589635087094</v>
      </c>
      <c r="V109" s="89">
        <f t="shared" ref="V109" si="201">IF(U37=0,"",V37/U37-1)</f>
        <v>0.21578256379687044</v>
      </c>
      <c r="W109" s="89">
        <f t="shared" ref="W109" si="202">IF(V37=0,"",W37/V37-1)</f>
        <v>-5.3690870963343906E-2</v>
      </c>
      <c r="X109" s="89">
        <f t="shared" ref="X109" si="203">IF(W37=0,"",X37/W37-1)</f>
        <v>0.27420018454927497</v>
      </c>
      <c r="Y109" s="89">
        <f t="shared" ref="Y109" si="204">IF(X37=0,"",Y37/X37-1)</f>
        <v>0.16060057997358701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0.2926429183064978</v>
      </c>
      <c r="F110" s="89">
        <f t="shared" ref="F110:F111" si="206">IF(E43=0,"",F43/E43-1)</f>
        <v>-8.8737186018933656E-2</v>
      </c>
      <c r="G110" s="89">
        <f t="shared" ref="G110:G111" si="207">IF(F43=0,"",G43/F43-1)</f>
        <v>8.6954633711635365E-2</v>
      </c>
      <c r="H110" s="89">
        <f t="shared" ref="H110:H111" si="208">IF(G43=0,"",H43/G43-1)</f>
        <v>-0.10041000337791528</v>
      </c>
      <c r="I110" s="89">
        <f t="shared" ref="I110:I111" si="209">IF(H43=0,"",I43/H43-1)</f>
        <v>7.6528274753057124E-2</v>
      </c>
      <c r="J110" s="89">
        <f t="shared" ref="J110:J111" si="210">IF(I43=0,"",J43/I43-1)</f>
        <v>1.0796807062070313E-2</v>
      </c>
      <c r="K110" s="89">
        <f t="shared" ref="K110:K111" si="211">IF(J43=0,"",K43/J43-1)</f>
        <v>-9.8012077138802889E-2</v>
      </c>
      <c r="L110" s="89">
        <f t="shared" ref="L110:L111" si="212">IF(K43=0,"",L43/K43-1)</f>
        <v>-7.2316945829216217E-2</v>
      </c>
      <c r="M110" s="89">
        <f t="shared" ref="M110:M111" si="213">IF(L43=0,"",M43/L43-1)</f>
        <v>-8.1659894151129953E-2</v>
      </c>
      <c r="N110" s="89">
        <f t="shared" ref="N110:N111" si="214">IF(M43=0,"",N43/M43-1)</f>
        <v>0.47466727727057623</v>
      </c>
      <c r="O110" s="89">
        <f t="shared" ref="O110:O111" si="215">IF(N43=0,"",O43/N43-1)</f>
        <v>-0.13044931292749695</v>
      </c>
      <c r="P110" s="89">
        <f t="shared" ref="P110:P111" si="216">IF(O43=0,"",P43/O43-1)</f>
        <v>-8.6837843452465702E-2</v>
      </c>
      <c r="Q110" s="89">
        <f t="shared" ref="Q110:Q111" si="217">IF(P43=0,"",Q43/P43-1)</f>
        <v>0.19234992112199123</v>
      </c>
      <c r="R110" s="89">
        <f t="shared" ref="R110:R111" si="218">IF(Q43=0,"",R43/Q43-1)</f>
        <v>-6.7898024074662167E-2</v>
      </c>
      <c r="S110" s="89">
        <f t="shared" ref="S110:S111" si="219">IF(R43=0,"",S43/R43-1)</f>
        <v>9.6566882352941308E-2</v>
      </c>
      <c r="T110" s="89">
        <f t="shared" ref="T110:T111" si="220">IF(S43=0,"",T43/S43-1)</f>
        <v>-2.4458618262370613E-2</v>
      </c>
      <c r="U110" s="89">
        <f t="shared" ref="U110:U111" si="221">IF(T43=0,"",U43/T43-1)</f>
        <v>1.4869715889600288E-2</v>
      </c>
      <c r="V110" s="89">
        <f t="shared" ref="V110:V111" si="222">IF(U43=0,"",V43/U43-1)</f>
        <v>1.4645251671874471E-2</v>
      </c>
      <c r="W110" s="89">
        <f t="shared" ref="W110:W111" si="223">IF(V43=0,"",W43/V43-1)</f>
        <v>5.295929498670926E-2</v>
      </c>
      <c r="X110" s="89">
        <f t="shared" ref="X110:X111" si="224">IF(W43=0,"",X43/W43-1)</f>
        <v>8.7403933837067793E-2</v>
      </c>
      <c r="Y110" s="89">
        <f t="shared" ref="Y110:Y111" si="225">IF(X43=0,"",Y43/X43-1)</f>
        <v>3.0707555538612707E-2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0.12755715959673064</v>
      </c>
      <c r="F111" s="89">
        <f t="shared" si="206"/>
        <v>-9.2237267974702997E-2</v>
      </c>
      <c r="G111" s="89">
        <f t="shared" si="207"/>
        <v>0.15764554913604001</v>
      </c>
      <c r="H111" s="89">
        <f t="shared" si="208"/>
        <v>-5.6710600001120492E-2</v>
      </c>
      <c r="I111" s="89">
        <f t="shared" si="209"/>
        <v>-1.2148397414237788E-3</v>
      </c>
      <c r="J111" s="89">
        <f t="shared" si="210"/>
        <v>0.13959146544498902</v>
      </c>
      <c r="K111" s="89">
        <f t="shared" si="211"/>
        <v>-6.3851120798363858E-2</v>
      </c>
      <c r="L111" s="89">
        <f t="shared" si="212"/>
        <v>1.8031102692365852E-2</v>
      </c>
      <c r="M111" s="89">
        <f t="shared" si="213"/>
        <v>-0.16985028937820945</v>
      </c>
      <c r="N111" s="89">
        <f t="shared" si="214"/>
        <v>0.26561462933906288</v>
      </c>
      <c r="O111" s="89">
        <f t="shared" si="215"/>
        <v>-4.2703871956127015E-2</v>
      </c>
      <c r="P111" s="89">
        <f t="shared" si="216"/>
        <v>-0.1500102213705431</v>
      </c>
      <c r="Q111" s="89">
        <f t="shared" si="217"/>
        <v>0.14844939046420191</v>
      </c>
      <c r="R111" s="89">
        <f t="shared" si="218"/>
        <v>6.9017884503578264E-2</v>
      </c>
      <c r="S111" s="89">
        <f t="shared" si="219"/>
        <v>0.18710518305224189</v>
      </c>
      <c r="T111" s="89">
        <f t="shared" si="220"/>
        <v>-1.3345274240333382E-2</v>
      </c>
      <c r="U111" s="89">
        <f t="shared" si="221"/>
        <v>4.8475210856208761E-2</v>
      </c>
      <c r="V111" s="89">
        <f t="shared" si="222"/>
        <v>-2.2072265307085948E-2</v>
      </c>
      <c r="W111" s="89">
        <f t="shared" si="223"/>
        <v>1.360034487216244E-2</v>
      </c>
      <c r="X111" s="89">
        <f t="shared" si="224"/>
        <v>8.8401268874093608E-2</v>
      </c>
      <c r="Y111" s="89">
        <f t="shared" si="225"/>
        <v>-5.6366383935834152E-3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0.44512116805442314</v>
      </c>
      <c r="F112" s="89">
        <f t="shared" ref="F112:F113" si="227">IF(E47=0,"",F47/E47-1)</f>
        <v>-8.6214804323536454E-2</v>
      </c>
      <c r="G112" s="89">
        <f t="shared" ref="G112:G113" si="228">IF(F47=0,"",G47/F47-1)</f>
        <v>3.6346021372608117E-2</v>
      </c>
      <c r="H112" s="89">
        <f t="shared" ref="H112:H113" si="229">IF(G47=0,"",H47/G47-1)</f>
        <v>-0.13535678235090087</v>
      </c>
      <c r="I112" s="89">
        <f t="shared" ref="I112:I113" si="230">IF(H47=0,"",I47/H47-1)</f>
        <v>0.14435511655982003</v>
      </c>
      <c r="J112" s="89">
        <f t="shared" ref="J112:J113" si="231">IF(I47=0,"",J47/I47-1)</f>
        <v>-8.7276038723313132E-2</v>
      </c>
      <c r="K112" s="89">
        <f t="shared" ref="K112:K113" si="232">IF(J47=0,"",K47/J47-1)</f>
        <v>-0.13049018219924202</v>
      </c>
      <c r="L112" s="89">
        <f t="shared" ref="L112:L113" si="233">IF(K47=0,"",L47/K47-1)</f>
        <v>-0.16479738214663253</v>
      </c>
      <c r="M112" s="89">
        <f t="shared" ref="M112:M113" si="234">IF(L47=0,"",M47/L47-1)</f>
        <v>2.8372758327775527E-2</v>
      </c>
      <c r="N112" s="89">
        <f t="shared" ref="N112:N113" si="235">IF(M47=0,"",N47/M47-1)</f>
        <v>0.68522046623128796</v>
      </c>
      <c r="O112" s="89">
        <f t="shared" ref="O112:O113" si="236">IF(N47=0,"",O47/N47-1)</f>
        <v>-0.19681987154397018</v>
      </c>
      <c r="P112" s="89">
        <f t="shared" ref="P112:P113" si="237">IF(O47=0,"",P47/O47-1)</f>
        <v>-2.988551505247572E-2</v>
      </c>
      <c r="Q112" s="89">
        <f t="shared" ref="Q112:Q113" si="238">IF(P47=0,"",Q47/P47-1)</f>
        <v>0.22702717862082911</v>
      </c>
      <c r="R112" s="89">
        <f t="shared" ref="R112:R113" si="239">IF(Q47=0,"",R47/Q47-1)</f>
        <v>-0.1691227396955195</v>
      </c>
      <c r="S112" s="89">
        <f t="shared" ref="S112:S113" si="240">IF(R47=0,"",S47/R47-1)</f>
        <v>1.0445084126777138E-2</v>
      </c>
      <c r="T112" s="89">
        <f t="shared" ref="T112:T113" si="241">IF(S47=0,"",T47/S47-1)</f>
        <v>-3.6878057716236312E-2</v>
      </c>
      <c r="U112" s="89">
        <f t="shared" ref="U112:U113" si="242">IF(T47=0,"",U47/T47-1)</f>
        <v>-2.3602876884672108E-2</v>
      </c>
      <c r="V112" s="89">
        <f t="shared" ref="V112:V113" si="243">IF(U47=0,"",V47/U47-1)</f>
        <v>5.978364944196235E-2</v>
      </c>
      <c r="W112" s="89">
        <f t="shared" ref="W112:W113" si="244">IF(V47=0,"",W47/V47-1)</f>
        <v>9.7607693778077653E-2</v>
      </c>
      <c r="X112" s="89">
        <f t="shared" ref="X112:X113" si="245">IF(W47=0,"",X47/W47-1)</f>
        <v>8.6359158128122004E-2</v>
      </c>
      <c r="Y112" s="89">
        <f t="shared" ref="Y112:Y113" si="246">IF(X47=0,"",Y47/X47-1)</f>
        <v>6.8852118300857024E-2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0.12492080054409649</v>
      </c>
      <c r="F113" s="89">
        <f t="shared" si="227"/>
        <v>-1.4113115834412548E-2</v>
      </c>
      <c r="G113" s="89">
        <f t="shared" si="228"/>
        <v>9.8355231633220352E-2</v>
      </c>
      <c r="H113" s="89">
        <f t="shared" si="229"/>
        <v>-0.12065518456053126</v>
      </c>
      <c r="I113" s="89">
        <f t="shared" si="230"/>
        <v>-9.0950338625176652E-2</v>
      </c>
      <c r="J113" s="89">
        <f t="shared" si="231"/>
        <v>0.13828006982593477</v>
      </c>
      <c r="K113" s="89">
        <f t="shared" si="232"/>
        <v>1.1136885006536312E-2</v>
      </c>
      <c r="L113" s="89">
        <f t="shared" si="233"/>
        <v>-4.3305397211323204E-2</v>
      </c>
      <c r="M113" s="89">
        <f t="shared" si="234"/>
        <v>-0.12259062219951489</v>
      </c>
      <c r="N113" s="89">
        <f t="shared" si="235"/>
        <v>-0.10488150321799095</v>
      </c>
      <c r="O113" s="89">
        <f t="shared" si="236"/>
        <v>-0.33803987949556513</v>
      </c>
      <c r="P113" s="89">
        <f t="shared" si="237"/>
        <v>-0.17816663591296222</v>
      </c>
      <c r="Q113" s="89">
        <f t="shared" si="238"/>
        <v>9.7473544074260232E-3</v>
      </c>
      <c r="R113" s="89">
        <f t="shared" si="239"/>
        <v>0.10984494588879001</v>
      </c>
      <c r="S113" s="89">
        <f t="shared" si="240"/>
        <v>-9.6969541189872999E-5</v>
      </c>
      <c r="T113" s="89">
        <f t="shared" si="241"/>
        <v>-1.3702769078266064E-2</v>
      </c>
      <c r="U113" s="89">
        <f t="shared" si="242"/>
        <v>3.7978817693308242E-2</v>
      </c>
      <c r="V113" s="89">
        <f t="shared" si="243"/>
        <v>3.8664627750216951E-2</v>
      </c>
      <c r="W113" s="89">
        <f t="shared" si="244"/>
        <v>-9.4495652150905496E-4</v>
      </c>
      <c r="X113" s="89">
        <f t="shared" si="245"/>
        <v>-0.10525247530004322</v>
      </c>
      <c r="Y113" s="89">
        <f t="shared" si="246"/>
        <v>0.10300900129211521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0.2024775304229145</v>
      </c>
      <c r="F114" s="89">
        <f t="shared" ref="F114:F115" si="248">IF(E52=0,"",F52/E52-1)</f>
        <v>0.10629915248611588</v>
      </c>
      <c r="G114" s="89">
        <f t="shared" ref="G114:G115" si="249">IF(F52=0,"",G52/F52-1)</f>
        <v>-7.8015443919833616E-2</v>
      </c>
      <c r="H114" s="89">
        <f t="shared" ref="H114:H115" si="250">IF(G52=0,"",H52/G52-1)</f>
        <v>3.0230585631265683E-2</v>
      </c>
      <c r="I114" s="89">
        <f t="shared" ref="I114:I115" si="251">IF(H52=0,"",I52/H52-1)</f>
        <v>-2.3104786734529759E-2</v>
      </c>
      <c r="J114" s="89">
        <f t="shared" ref="J114:J115" si="252">IF(I52=0,"",J52/I52-1)</f>
        <v>3.6783533208119001E-2</v>
      </c>
      <c r="K114" s="89">
        <f t="shared" ref="K114:K115" si="253">IF(J52=0,"",K52/J52-1)</f>
        <v>8.6196164401991959E-2</v>
      </c>
      <c r="L114" s="89">
        <f t="shared" ref="L114:L115" si="254">IF(K52=0,"",L52/K52-1)</f>
        <v>-0.37291677499774201</v>
      </c>
      <c r="M114" s="89">
        <f t="shared" ref="M114:M115" si="255">IF(L52=0,"",M52/L52-1)</f>
        <v>-0.17375442685345721</v>
      </c>
      <c r="N114" s="89">
        <f t="shared" ref="N114:N115" si="256">IF(M52=0,"",N52/M52-1)</f>
        <v>-0.1109726576420228</v>
      </c>
      <c r="O114" s="89">
        <f t="shared" ref="O114:O115" si="257">IF(N52=0,"",O52/N52-1)</f>
        <v>-0.13844673391017392</v>
      </c>
      <c r="P114" s="89">
        <f t="shared" ref="P114:P115" si="258">IF(O52=0,"",P52/O52-1)</f>
        <v>-9.140684507077923E-2</v>
      </c>
      <c r="Q114" s="89">
        <f t="shared" ref="Q114:Q115" si="259">IF(P52=0,"",Q52/P52-1)</f>
        <v>-5.2528325412498966E-2</v>
      </c>
      <c r="R114" s="89">
        <f t="shared" ref="R114:R115" si="260">IF(Q52=0,"",R52/Q52-1)</f>
        <v>0.13549006744602154</v>
      </c>
      <c r="S114" s="89">
        <f t="shared" ref="S114:S115" si="261">IF(R52=0,"",S52/R52-1)</f>
        <v>-5.1719198269646549E-2</v>
      </c>
      <c r="T114" s="89">
        <f t="shared" ref="T114:T115" si="262">IF(S52=0,"",T52/S52-1)</f>
        <v>-7.2340177687035823E-4</v>
      </c>
      <c r="U114" s="89">
        <f t="shared" ref="U114:U115" si="263">IF(T52=0,"",U52/T52-1)</f>
        <v>1.0456940852523466E-2</v>
      </c>
      <c r="V114" s="89">
        <f t="shared" ref="V114:V115" si="264">IF(U52=0,"",V52/U52-1)</f>
        <v>3.7127726720977305E-2</v>
      </c>
      <c r="W114" s="89">
        <f t="shared" ref="W114:W115" si="265">IF(V52=0,"",W52/V52-1)</f>
        <v>-1.8868193467754146E-2</v>
      </c>
      <c r="X114" s="89">
        <f t="shared" ref="X114:X115" si="266">IF(W52=0,"",X52/W52-1)</f>
        <v>1.2105768430833219E-2</v>
      </c>
      <c r="Y114" s="89">
        <f t="shared" ref="Y114:Y115" si="267">IF(X52=0,"",Y52/X52-1)</f>
        <v>3.770818504726936E-3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-5.7102999253319298E-2</v>
      </c>
      <c r="F115" s="89">
        <f t="shared" si="248"/>
        <v>0.2538852539881209</v>
      </c>
      <c r="G115" s="89">
        <f t="shared" si="249"/>
        <v>-0.10623573654130314</v>
      </c>
      <c r="H115" s="89">
        <f t="shared" si="250"/>
        <v>-3.5448713357073336E-2</v>
      </c>
      <c r="I115" s="89">
        <f t="shared" si="251"/>
        <v>-5.3174856531153836E-2</v>
      </c>
      <c r="J115" s="89">
        <f t="shared" si="252"/>
        <v>-3.1175234288826514E-2</v>
      </c>
      <c r="K115" s="89">
        <f t="shared" si="253"/>
        <v>0.20787639882478492</v>
      </c>
      <c r="L115" s="89">
        <f t="shared" si="254"/>
        <v>-6.6597120465814896E-2</v>
      </c>
      <c r="M115" s="89">
        <f t="shared" si="255"/>
        <v>-0.25468125938929831</v>
      </c>
      <c r="N115" s="89">
        <f t="shared" si="256"/>
        <v>7.5720956699412145E-2</v>
      </c>
      <c r="O115" s="89">
        <f t="shared" si="257"/>
        <v>-6.3569017363813596E-2</v>
      </c>
      <c r="P115" s="89">
        <f t="shared" si="258"/>
        <v>-6.7417805131749886E-2</v>
      </c>
      <c r="Q115" s="89">
        <f t="shared" si="259"/>
        <v>4.9690760310992843E-2</v>
      </c>
      <c r="R115" s="89">
        <f t="shared" si="260"/>
        <v>0.228193947078142</v>
      </c>
      <c r="S115" s="89">
        <f t="shared" si="261"/>
        <v>-2.6243657652634811E-3</v>
      </c>
      <c r="T115" s="89">
        <f t="shared" si="262"/>
        <v>-9.9713653256433554E-3</v>
      </c>
      <c r="U115" s="89">
        <f t="shared" si="263"/>
        <v>1.7743051185696634E-2</v>
      </c>
      <c r="V115" s="89">
        <f t="shared" si="264"/>
        <v>5.0665771534391446E-2</v>
      </c>
      <c r="W115" s="89">
        <f t="shared" si="265"/>
        <v>-3.0509615193541118E-2</v>
      </c>
      <c r="X115" s="89">
        <f t="shared" si="266"/>
        <v>8.904325433354221E-2</v>
      </c>
      <c r="Y115" s="89">
        <f t="shared" si="267"/>
        <v>-2.7196477427726684E-3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0.31012835325125443</v>
      </c>
      <c r="F116" s="89">
        <f t="shared" ref="F116:F122" si="269">IF(E56=0,"",F56/E56-1)</f>
        <v>6.2249639709189619E-2</v>
      </c>
      <c r="G116" s="89">
        <f t="shared" ref="G116:G122" si="270">IF(F56=0,"",G56/F56-1)</f>
        <v>-6.8073109581107794E-2</v>
      </c>
      <c r="H116" s="89">
        <f t="shared" ref="H116:H122" si="271">IF(G56=0,"",H56/G56-1)</f>
        <v>5.2422588602406783E-2</v>
      </c>
      <c r="I116" s="89">
        <f t="shared" ref="I116:I122" si="272">IF(H56=0,"",I56/H56-1)</f>
        <v>-1.3792901969011506E-2</v>
      </c>
      <c r="J116" s="89">
        <f t="shared" ref="J116:J122" si="273">IF(I56=0,"",J56/I56-1)</f>
        <v>5.6988135633520454E-2</v>
      </c>
      <c r="K116" s="89">
        <f t="shared" ref="K116:K122" si="274">IF(J56=0,"",K56/J56-1)</f>
        <v>5.3037275291110353E-2</v>
      </c>
      <c r="L116" s="89">
        <f t="shared" ref="L116:L122" si="275">IF(K56=0,"",L56/K56-1)</f>
        <v>-0.46866562115930044</v>
      </c>
      <c r="M116" s="89">
        <f t="shared" ref="M116:M122" si="276">IF(L56=0,"",M56/L56-1)</f>
        <v>-0.12931663733915211</v>
      </c>
      <c r="N116" s="89">
        <f t="shared" ref="N116:N122" si="277">IF(M56=0,"",N56/M56-1)</f>
        <v>-0.19872751491698559</v>
      </c>
      <c r="O116" s="89">
        <f t="shared" ref="O116:O122" si="278">IF(N56=0,"",O56/N56-1)</f>
        <v>-0.18569802635394017</v>
      </c>
      <c r="P116" s="89">
        <f t="shared" ref="P116:P122" si="279">IF(O56=0,"",P56/O56-1)</f>
        <v>-0.10881546142941112</v>
      </c>
      <c r="Q116" s="89">
        <f t="shared" ref="Q116:Q122" si="280">IF(P56=0,"",Q56/P56-1)</f>
        <v>-0.13015354749228969</v>
      </c>
      <c r="R116" s="89">
        <f t="shared" ref="R116:R122" si="281">IF(Q56=0,"",R56/Q56-1)</f>
        <v>5.0535339997832329E-2</v>
      </c>
      <c r="S116" s="89">
        <f t="shared" ref="S116:S122" si="282">IF(R56=0,"",S56/R56-1)</f>
        <v>-0.10431870967741885</v>
      </c>
      <c r="T116" s="89">
        <f t="shared" ref="T116:T122" si="283">IF(S56=0,"",T56/S56-1)</f>
        <v>1.0309691464963411E-2</v>
      </c>
      <c r="U116" s="89">
        <f t="shared" ref="U116:U122" si="284">IF(T56=0,"",U56/T56-1)</f>
        <v>1.9388913522055962E-3</v>
      </c>
      <c r="V116" s="89">
        <f t="shared" ref="V116:V122" si="285">IF(U56=0,"",V56/U56-1)</f>
        <v>2.1051013133108532E-2</v>
      </c>
      <c r="W116" s="89">
        <f t="shared" ref="W116:W122" si="286">IF(V56=0,"",W56/V56-1)</f>
        <v>-4.6427932633503755E-3</v>
      </c>
      <c r="X116" s="89">
        <f t="shared" ref="X116:X122" si="287">IF(W56=0,"",X56/W56-1)</f>
        <v>-7.9465873738517434E-2</v>
      </c>
      <c r="Y116" s="89">
        <f t="shared" ref="Y116:Y122" si="288">IF(X56=0,"",Y56/X56-1)</f>
        <v>1.2909933532053941E-2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0.16404591437757499</v>
      </c>
      <c r="F117" s="89">
        <f t="shared" si="269"/>
        <v>0.10492639047164243</v>
      </c>
      <c r="G117" s="89">
        <f t="shared" si="270"/>
        <v>-2.9898582620376812E-2</v>
      </c>
      <c r="H117" s="89">
        <f t="shared" si="271"/>
        <v>1.3899354317562285E-2</v>
      </c>
      <c r="I117" s="89">
        <f t="shared" si="272"/>
        <v>-8.4915266623309504E-2</v>
      </c>
      <c r="J117" s="89">
        <f t="shared" si="273"/>
        <v>-3.3881902103185202E-2</v>
      </c>
      <c r="K117" s="89">
        <f t="shared" si="274"/>
        <v>0.10732603981081734</v>
      </c>
      <c r="L117" s="89">
        <f t="shared" si="275"/>
        <v>1.5508931259058167E-2</v>
      </c>
      <c r="M117" s="89">
        <f t="shared" si="276"/>
        <v>-4.47827951678339E-2</v>
      </c>
      <c r="N117" s="89">
        <f t="shared" si="277"/>
        <v>0.11181639792250353</v>
      </c>
      <c r="O117" s="89">
        <f t="shared" si="278"/>
        <v>2.4270129881120983E-3</v>
      </c>
      <c r="P117" s="89">
        <f t="shared" si="279"/>
        <v>1.7674319580265552E-2</v>
      </c>
      <c r="Q117" s="89">
        <f t="shared" si="280"/>
        <v>-4.8872917307924202E-2</v>
      </c>
      <c r="R117" s="89">
        <f t="shared" si="281"/>
        <v>1.3694119203683464E-2</v>
      </c>
      <c r="S117" s="89">
        <f t="shared" si="282"/>
        <v>2.8722473352864375E-2</v>
      </c>
      <c r="T117" s="89">
        <f t="shared" si="283"/>
        <v>5.6819494844461138E-2</v>
      </c>
      <c r="U117" s="89">
        <f t="shared" si="284"/>
        <v>-5.0250101938956737E-3</v>
      </c>
      <c r="V117" s="89">
        <f t="shared" si="285"/>
        <v>1.4999117264400841E-2</v>
      </c>
      <c r="W117" s="89">
        <f t="shared" si="286"/>
        <v>-2.8869245396035415E-2</v>
      </c>
      <c r="X117" s="89">
        <f t="shared" si="287"/>
        <v>7.657782885056208E-2</v>
      </c>
      <c r="Y117" s="89">
        <f t="shared" si="288"/>
        <v>5.6025430705536561E-2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-2.2282054641864724E-2</v>
      </c>
      <c r="F118" s="89">
        <f t="shared" si="269"/>
        <v>0.10088414791987566</v>
      </c>
      <c r="G118" s="89">
        <f t="shared" si="270"/>
        <v>0.19198779389440634</v>
      </c>
      <c r="H118" s="89">
        <f t="shared" si="271"/>
        <v>1.47985218318476E-2</v>
      </c>
      <c r="I118" s="89">
        <f t="shared" si="272"/>
        <v>-3.3657721203225188E-3</v>
      </c>
      <c r="J118" s="89">
        <f t="shared" si="273"/>
        <v>8.8833802774413106E-2</v>
      </c>
      <c r="K118" s="89">
        <f t="shared" si="274"/>
        <v>-3.4299984725019383E-2</v>
      </c>
      <c r="L118" s="89">
        <f t="shared" si="275"/>
        <v>-0.15713614646322183</v>
      </c>
      <c r="M118" s="89">
        <f t="shared" si="276"/>
        <v>5.1112460023376105E-2</v>
      </c>
      <c r="N118" s="89">
        <f t="shared" si="277"/>
        <v>-0.49096033588806409</v>
      </c>
      <c r="O118" s="89">
        <f t="shared" si="278"/>
        <v>0.25952548662315067</v>
      </c>
      <c r="P118" s="89">
        <f t="shared" si="279"/>
        <v>-0.59875762785331088</v>
      </c>
      <c r="Q118" s="89">
        <f t="shared" si="280"/>
        <v>1.0791255512280227</v>
      </c>
      <c r="R118" s="89">
        <f t="shared" si="281"/>
        <v>-0.2546353719978548</v>
      </c>
      <c r="S118" s="89">
        <f t="shared" si="282"/>
        <v>0.70122905595899199</v>
      </c>
      <c r="T118" s="89">
        <f t="shared" si="283"/>
        <v>-0.14062616621756574</v>
      </c>
      <c r="U118" s="89">
        <f t="shared" si="284"/>
        <v>0.17888138762221306</v>
      </c>
      <c r="V118" s="89">
        <f t="shared" si="285"/>
        <v>0.13902382966071825</v>
      </c>
      <c r="W118" s="89">
        <f t="shared" si="286"/>
        <v>-3.8310965025785126E-3</v>
      </c>
      <c r="X118" s="89">
        <f t="shared" si="287"/>
        <v>-0.201742949137654</v>
      </c>
      <c r="Y118" s="89">
        <f t="shared" si="288"/>
        <v>0.11864063775592282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0.16889099171165656</v>
      </c>
      <c r="F119" s="89">
        <f t="shared" si="269"/>
        <v>-6.6239197443381359E-2</v>
      </c>
      <c r="G119" s="89">
        <f t="shared" si="270"/>
        <v>4.8425285004576768E-2</v>
      </c>
      <c r="H119" s="89">
        <f t="shared" si="271"/>
        <v>2.6217376487155164E-2</v>
      </c>
      <c r="I119" s="89">
        <f t="shared" si="272"/>
        <v>0.19786154725783467</v>
      </c>
      <c r="J119" s="89">
        <f t="shared" si="273"/>
        <v>-3.9095567012571886E-2</v>
      </c>
      <c r="K119" s="89">
        <f t="shared" si="274"/>
        <v>-2.2750580441052159E-3</v>
      </c>
      <c r="L119" s="89">
        <f t="shared" si="275"/>
        <v>-9.0245634976090505E-3</v>
      </c>
      <c r="M119" s="89">
        <f t="shared" si="276"/>
        <v>-0.17243101587246146</v>
      </c>
      <c r="N119" s="89">
        <f t="shared" si="277"/>
        <v>-5.2822133175845054E-2</v>
      </c>
      <c r="O119" s="89">
        <f t="shared" si="278"/>
        <v>-0.17298216009607736</v>
      </c>
      <c r="P119" s="89">
        <f t="shared" si="279"/>
        <v>-9.8107365753515086E-2</v>
      </c>
      <c r="Q119" s="89">
        <f t="shared" si="280"/>
        <v>-2.861524884226907E-2</v>
      </c>
      <c r="R119" s="89">
        <f t="shared" si="281"/>
        <v>-3.5817503286239338E-2</v>
      </c>
      <c r="S119" s="89">
        <f t="shared" si="282"/>
        <v>4.5719863670252492E-2</v>
      </c>
      <c r="T119" s="89">
        <f t="shared" si="283"/>
        <v>-6.8510968871855593E-2</v>
      </c>
      <c r="U119" s="89">
        <f t="shared" si="284"/>
        <v>3.5866039391899474E-2</v>
      </c>
      <c r="V119" s="89">
        <f t="shared" si="285"/>
        <v>5.8616892947968458E-2</v>
      </c>
      <c r="W119" s="89">
        <f t="shared" si="286"/>
        <v>1.1320822301845501E-2</v>
      </c>
      <c r="X119" s="89">
        <f t="shared" si="287"/>
        <v>-1.4894592923036631E-2</v>
      </c>
      <c r="Y119" s="89">
        <f t="shared" si="288"/>
        <v>0.16328413628343075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-0.10627942413196134</v>
      </c>
      <c r="F120" s="89">
        <f t="shared" si="269"/>
        <v>9.8699171925532569E-2</v>
      </c>
      <c r="G120" s="89">
        <f t="shared" si="270"/>
        <v>4.418188091077635E-3</v>
      </c>
      <c r="H120" s="89">
        <f t="shared" si="271"/>
        <v>8.6878431497388053E-3</v>
      </c>
      <c r="I120" s="89">
        <f t="shared" si="272"/>
        <v>-0.19969241842975427</v>
      </c>
      <c r="J120" s="89">
        <f t="shared" si="273"/>
        <v>-0.14340564577129589</v>
      </c>
      <c r="K120" s="89">
        <f t="shared" si="274"/>
        <v>7.9376938100919725E-2</v>
      </c>
      <c r="L120" s="89">
        <f t="shared" si="275"/>
        <v>-6.0146393336999449E-2</v>
      </c>
      <c r="M120" s="89">
        <f t="shared" si="276"/>
        <v>-0.20404739666989336</v>
      </c>
      <c r="N120" s="89">
        <f t="shared" si="277"/>
        <v>-0.19111160297724117</v>
      </c>
      <c r="O120" s="89">
        <f t="shared" si="278"/>
        <v>-0.14352289851329514</v>
      </c>
      <c r="P120" s="89">
        <f t="shared" si="279"/>
        <v>-0.10651611598770128</v>
      </c>
      <c r="Q120" s="89">
        <f t="shared" si="280"/>
        <v>-6.6027710302743792E-2</v>
      </c>
      <c r="R120" s="89">
        <f t="shared" si="281"/>
        <v>-8.8323662004459846E-2</v>
      </c>
      <c r="S120" s="89">
        <f t="shared" si="282"/>
        <v>1.5830271806715146E-2</v>
      </c>
      <c r="T120" s="89">
        <f t="shared" si="283"/>
        <v>-5.8823663778548529E-2</v>
      </c>
      <c r="U120" s="89">
        <f t="shared" si="284"/>
        <v>8.0464128063710838E-3</v>
      </c>
      <c r="V120" s="89">
        <f t="shared" si="285"/>
        <v>-1.6210170118432399E-2</v>
      </c>
      <c r="W120" s="89">
        <f t="shared" si="286"/>
        <v>-9.7476109517965592E-2</v>
      </c>
      <c r="X120" s="89">
        <f t="shared" si="287"/>
        <v>-0.20526010921763171</v>
      </c>
      <c r="Y120" s="89">
        <f t="shared" si="288"/>
        <v>0.13013545556685679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-3.2083500994087966E-2</v>
      </c>
      <c r="F121" s="89">
        <f t="shared" si="269"/>
        <v>2.9852248873420972E-3</v>
      </c>
      <c r="G121" s="89">
        <f t="shared" si="270"/>
        <v>6.9172466871904703E-2</v>
      </c>
      <c r="H121" s="89">
        <f t="shared" si="271"/>
        <v>5.2264452619201762E-2</v>
      </c>
      <c r="I121" s="89">
        <f t="shared" si="272"/>
        <v>-3.3942226712087242E-2</v>
      </c>
      <c r="J121" s="89">
        <f t="shared" si="273"/>
        <v>0.41486354956704385</v>
      </c>
      <c r="K121" s="89">
        <f t="shared" si="274"/>
        <v>-0.2250417598693919</v>
      </c>
      <c r="L121" s="89">
        <f t="shared" si="275"/>
        <v>0.13959590187930271</v>
      </c>
      <c r="M121" s="89">
        <f t="shared" si="276"/>
        <v>-8.9961792410140018E-2</v>
      </c>
      <c r="N121" s="89">
        <f t="shared" si="277"/>
        <v>-0.31567727255625577</v>
      </c>
      <c r="O121" s="89">
        <f t="shared" si="278"/>
        <v>-0.26713092999898547</v>
      </c>
      <c r="P121" s="89">
        <f t="shared" si="279"/>
        <v>-0.34467648918047722</v>
      </c>
      <c r="Q121" s="89">
        <f t="shared" si="280"/>
        <v>-0.28534688127899588</v>
      </c>
      <c r="R121" s="89">
        <f t="shared" si="281"/>
        <v>-9.7639696934182063E-2</v>
      </c>
      <c r="S121" s="89">
        <f t="shared" si="282"/>
        <v>-6.8489853862213068E-2</v>
      </c>
      <c r="T121" s="89">
        <f t="shared" si="283"/>
        <v>-1.7382789666049447E-3</v>
      </c>
      <c r="U121" s="89">
        <f t="shared" si="284"/>
        <v>9.2931662280592464E-2</v>
      </c>
      <c r="V121" s="89">
        <f t="shared" si="285"/>
        <v>1.3957160235089416E-2</v>
      </c>
      <c r="W121" s="89">
        <f t="shared" si="286"/>
        <v>2.6507392889421499E-2</v>
      </c>
      <c r="X121" s="89">
        <f t="shared" si="287"/>
        <v>0.15563565388074019</v>
      </c>
      <c r="Y121" s="89">
        <f t="shared" si="288"/>
        <v>4.90293200500731E-2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0.19288676340884403</v>
      </c>
      <c r="F122" s="91">
        <f t="shared" si="269"/>
        <v>-6.6081636051217085E-2</v>
      </c>
      <c r="G122" s="91">
        <f t="shared" si="270"/>
        <v>-5.4128792862729758E-2</v>
      </c>
      <c r="H122" s="91">
        <f t="shared" si="271"/>
        <v>0.11880572867998707</v>
      </c>
      <c r="I122" s="91">
        <f t="shared" si="272"/>
        <v>1.4522707160151915E-2</v>
      </c>
      <c r="J122" s="91">
        <f t="shared" si="273"/>
        <v>0.16828373962534116</v>
      </c>
      <c r="K122" s="91">
        <f t="shared" si="274"/>
        <v>-0.15289841321491648</v>
      </c>
      <c r="L122" s="91">
        <f t="shared" si="275"/>
        <v>0.17527087249059004</v>
      </c>
      <c r="M122" s="91">
        <f t="shared" si="276"/>
        <v>-7.8550021163011574E-2</v>
      </c>
      <c r="N122" s="91">
        <f t="shared" si="277"/>
        <v>-0.11625598494988143</v>
      </c>
      <c r="O122" s="91">
        <f t="shared" si="278"/>
        <v>-0.1249243985373607</v>
      </c>
      <c r="P122" s="91">
        <f t="shared" si="279"/>
        <v>-0.13390024857602334</v>
      </c>
      <c r="Q122" s="91">
        <f t="shared" si="280"/>
        <v>-0.13742159656628883</v>
      </c>
      <c r="R122" s="91">
        <f t="shared" si="281"/>
        <v>1.5647824608042926E-2</v>
      </c>
      <c r="S122" s="91">
        <f t="shared" si="282"/>
        <v>7.9109425825529822E-2</v>
      </c>
      <c r="T122" s="91">
        <f t="shared" si="283"/>
        <v>8.3066689582516062E-3</v>
      </c>
      <c r="U122" s="91">
        <f t="shared" si="284"/>
        <v>1.8941634370197358E-2</v>
      </c>
      <c r="V122" s="91">
        <f t="shared" si="285"/>
        <v>2.1479784433471538E-2</v>
      </c>
      <c r="W122" s="91">
        <f t="shared" si="286"/>
        <v>1.2490440369258504E-2</v>
      </c>
      <c r="X122" s="91">
        <f t="shared" si="287"/>
        <v>-9.4232165812176971E-3</v>
      </c>
      <c r="Y122" s="91">
        <f t="shared" si="288"/>
        <v>3.1596949813675446E-2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D66953-80B2-492F-8F62-5D136A969E44}"/>
</file>

<file path=customXml/itemProps2.xml><?xml version="1.0" encoding="utf-8"?>
<ds:datastoreItem xmlns:ds="http://schemas.openxmlformats.org/officeDocument/2006/customXml" ds:itemID="{84150136-11B2-49F3-AE10-403F3A41E146}"/>
</file>

<file path=customXml/itemProps3.xml><?xml version="1.0" encoding="utf-8"?>
<ds:datastoreItem xmlns:ds="http://schemas.openxmlformats.org/officeDocument/2006/customXml" ds:itemID="{002892EF-0D82-44E0-A802-7DCC2A60BC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2024-05-20T16:49:04Z</dcterms:created>
  <dcterms:modified xsi:type="dcterms:W3CDTF">2024-05-20T16:49:04Z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