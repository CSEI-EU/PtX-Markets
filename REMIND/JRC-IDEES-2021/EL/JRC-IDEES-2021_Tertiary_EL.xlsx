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J5" i="29" s="1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E4" i="29" s="1"/>
  <c r="D12" i="29"/>
  <c r="D11" i="29" s="1"/>
  <c r="W11" i="29"/>
  <c r="V11" i="29"/>
  <c r="T9" i="29"/>
  <c r="S9" i="29"/>
  <c r="L9" i="29"/>
  <c r="K9" i="29"/>
  <c r="J9" i="29"/>
  <c r="D9" i="29"/>
  <c r="W8" i="29"/>
  <c r="P8" i="29"/>
  <c r="O8" i="29"/>
  <c r="N8" i="29"/>
  <c r="H8" i="29"/>
  <c r="G8" i="29"/>
  <c r="F8" i="29"/>
  <c r="T7" i="29"/>
  <c r="S7" i="29"/>
  <c r="R7" i="29"/>
  <c r="L7" i="29"/>
  <c r="K7" i="29"/>
  <c r="J7" i="29"/>
  <c r="I7" i="29"/>
  <c r="D7" i="29"/>
  <c r="W6" i="29"/>
  <c r="V6" i="29"/>
  <c r="P6" i="29"/>
  <c r="O6" i="29"/>
  <c r="N6" i="29"/>
  <c r="H6" i="29"/>
  <c r="G6" i="29"/>
  <c r="F6" i="29"/>
  <c r="T5" i="29"/>
  <c r="S5" i="29"/>
  <c r="R5" i="29"/>
  <c r="L5" i="29"/>
  <c r="K5" i="29"/>
  <c r="D5" i="29"/>
  <c r="W4" i="29"/>
  <c r="V4" i="29"/>
  <c r="P4" i="29"/>
  <c r="O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U8" i="29"/>
  <c r="R9" i="29"/>
  <c r="V8" i="29"/>
  <c r="U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W3" i="31"/>
  <c r="U27" i="24"/>
  <c r="W3" i="29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L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P10" i="28" s="1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Q19" i="8"/>
  <c r="G18" i="10"/>
  <c r="O17" i="10"/>
  <c r="K16" i="8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L16" i="25" s="1"/>
  <c r="J28" i="26"/>
  <c r="P25" i="26"/>
  <c r="O24" i="26"/>
  <c r="K19" i="19"/>
  <c r="Q16" i="19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O4" i="23" s="1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J29" i="8"/>
  <c r="J29" i="12" s="1"/>
  <c r="F29" i="8"/>
  <c r="B29" i="8"/>
  <c r="N19" i="8"/>
  <c r="J19" i="8"/>
  <c r="F19" i="8"/>
  <c r="B19" i="8"/>
  <c r="N16" i="8"/>
  <c r="J16" i="8"/>
  <c r="J16" i="12" s="1"/>
  <c r="F16" i="8"/>
  <c r="F16" i="12" s="1"/>
  <c r="B16" i="8"/>
  <c r="N4" i="8"/>
  <c r="N4" i="12" s="1"/>
  <c r="J4" i="8"/>
  <c r="J4" i="12" s="1"/>
  <c r="F4" i="8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G16" i="9"/>
  <c r="C16" i="9"/>
  <c r="C16" i="13" s="1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4" i="23" l="1"/>
  <c r="K16" i="12"/>
  <c r="I19" i="12"/>
  <c r="K16" i="13"/>
  <c r="K29" i="24"/>
  <c r="Q16" i="24"/>
  <c r="Q16" i="27" s="1"/>
  <c r="I19" i="13"/>
  <c r="H29" i="12"/>
  <c r="I29" i="24"/>
  <c r="Q16" i="13"/>
  <c r="D16" i="25"/>
  <c r="E19" i="14"/>
  <c r="I29" i="25"/>
  <c r="Q16" i="23"/>
  <c r="Q16" i="26" s="1"/>
  <c r="D16" i="24"/>
  <c r="D16" i="27" s="1"/>
  <c r="E19" i="12"/>
  <c r="I29" i="23"/>
  <c r="F4" i="12"/>
  <c r="P19" i="24"/>
  <c r="N29" i="12"/>
  <c r="O29" i="24"/>
  <c r="P29" i="12"/>
  <c r="P29" i="15" s="1"/>
  <c r="O29" i="23"/>
  <c r="O29" i="26" s="1"/>
  <c r="P16" i="25"/>
  <c r="C4" i="12"/>
  <c r="C4" i="15" s="1"/>
  <c r="J19" i="13"/>
  <c r="J19" i="12"/>
  <c r="C16" i="24"/>
  <c r="J19" i="23"/>
  <c r="C4" i="13"/>
  <c r="C4" i="16" s="1"/>
  <c r="C19" i="24"/>
  <c r="C19" i="27" s="1"/>
  <c r="H16" i="24"/>
  <c r="J19" i="24"/>
  <c r="J19" i="27" s="1"/>
  <c r="M29" i="23"/>
  <c r="J29" i="13"/>
  <c r="M29" i="24"/>
  <c r="I4" i="23"/>
  <c r="K19" i="12"/>
  <c r="C17" i="16"/>
  <c r="C4" i="24"/>
  <c r="P29" i="13"/>
  <c r="P29" i="16" s="1"/>
  <c r="G19" i="23"/>
  <c r="E4" i="13"/>
  <c r="P19" i="13"/>
  <c r="P19" i="16" s="1"/>
  <c r="C16" i="12"/>
  <c r="E19" i="24"/>
  <c r="E19" i="27" s="1"/>
  <c r="K4" i="24"/>
  <c r="K4" i="27" s="1"/>
  <c r="O4" i="13"/>
  <c r="G16" i="13"/>
  <c r="G16" i="16" s="1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H4" i="27" s="1"/>
  <c r="M4" i="12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D4" i="26" s="1"/>
  <c r="C29" i="13"/>
  <c r="C29" i="16" s="1"/>
  <c r="B29" i="12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E29" i="16" s="1"/>
  <c r="L16" i="24"/>
  <c r="L16" i="27" s="1"/>
  <c r="M4" i="13"/>
  <c r="M4" i="16" s="1"/>
  <c r="D27" i="13"/>
  <c r="D27" i="12"/>
  <c r="D27" i="15" s="1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4"/>
  <c r="L15" i="27" s="1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F19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1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14" i="4"/>
  <c r="B23" i="4"/>
  <c r="B25" i="4"/>
  <c r="B8" i="4"/>
  <c r="B16" i="4"/>
  <c r="B17" i="4"/>
  <c r="B15" i="4"/>
  <c r="B20" i="4"/>
  <c r="B9" i="4"/>
  <c r="B33" i="4"/>
  <c r="B37" i="4"/>
  <c r="B26" i="4"/>
  <c r="B22" i="4"/>
  <c r="B13" i="4"/>
  <c r="B34" i="4"/>
  <c r="B43" i="4"/>
  <c r="B29" i="4"/>
  <c r="B35" i="4"/>
  <c r="B39" i="4"/>
  <c r="B7" i="4"/>
  <c r="B42" i="4"/>
  <c r="B27" i="4"/>
  <c r="B30" i="4"/>
  <c r="B36" i="4"/>
  <c r="B12" i="4"/>
  <c r="B45" i="4"/>
  <c r="B44" i="4"/>
  <c r="B28" i="4"/>
  <c r="B21" i="4"/>
  <c r="B4" i="4"/>
  <c r="B10" i="4"/>
  <c r="B11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<sst xmlns="http://schemas.openxmlformats.org/spreadsheetml/2006/main" count="2099" uniqueCount="1055">
  <si>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</si>
  <si>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</si>
  <si>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</si>
  <si>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</si>
  <si>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</si>
  <si>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</si>
  <si>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</si>
  <si>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</si>
  <si>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</si>
  <si>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</si>
  <si>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</si>
  <si>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</si>
  <si>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</si>
  <si>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</si>
  <si>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</si>
  <si>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</si>
  <si>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</si>
  <si>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</si>
  <si>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</si>
  <si>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</si>
  <si>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</si>
  <si>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</si>
  <si>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</si>
  <si>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</si>
  <si>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</si>
  <si>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</si>
  <si>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</si>
  <si>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</si>
  <si>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</si>
  <si>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</si>
  <si>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</si>
  <si>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</si>
  <si>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</si>
  <si>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</si>
  <si>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</si>
  <si>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</si>
  <si>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</si>
  <si>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</si>
  <si>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</si>
  <si>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</si>
  <si>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</si>
  <si>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</si>
  <si>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</si>
  <si>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</si>
  <si>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</si>
  <si>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</si>
  <si>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</si>
  <si>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</si>
  <si>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</si>
  <si>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</si>
  <si>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</si>
  <si>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</si>
  <si>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</si>
  <si>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</si>
  <si>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</si>
  <si>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</si>
  <si>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</si>
  <si>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</si>
  <si>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</si>
  <si>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</si>
  <si>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</si>
  <si>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</si>
  <si>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</si>
  <si>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</si>
  <si>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</si>
  <si>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</si>
  <si>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</si>
  <si>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</si>
  <si>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</si>
  <si>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</si>
  <si>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</si>
  <si>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</si>
  <si>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</si>
  <si>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</si>
  <si>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</si>
  <si>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</si>
  <si>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</si>
  <si>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</si>
  <si>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</si>
  <si>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</si>
  <si>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</si>
  <si>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</si>
  <si>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</si>
  <si>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</si>
  <si>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</si>
  <si>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</si>
  <si>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</si>
  <si>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</si>
  <si>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</si>
  <si>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</si>
  <si>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</si>
  <si>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</si>
  <si>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</si>
  <si>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</si>
  <si>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</si>
  <si>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</si>
  <si>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</si>
  <si>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</si>
  <si>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</si>
  <si>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</si>
  <si>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</si>
  <si>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</si>
  <si>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</si>
  <si>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</si>
  <si>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</si>
  <si>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</si>
  <si>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</si>
  <si>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</si>
  <si>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</si>
  <si>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</si>
  <si>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</si>
  <si>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</si>
  <si>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</si>
  <si>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</si>
  <si>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</si>
  <si>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</si>
  <si>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</si>
  <si>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</si>
  <si>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</si>
  <si>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</si>
  <si>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</si>
  <si>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</si>
  <si>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</si>
  <si>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</si>
  <si>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</si>
  <si>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</si>
  <si>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</si>
  <si>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</si>
  <si>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</si>
  <si>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</si>
  <si>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</si>
  <si>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</si>
  <si>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</si>
  <si>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</si>
  <si>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</si>
  <si>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</si>
  <si>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</si>
  <si>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</si>
  <si>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</si>
  <si>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</si>
  <si>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</si>
  <si>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</si>
  <si>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</si>
  <si>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</si>
  <si>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</si>
  <si>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</si>
  <si>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</si>
  <si>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</si>
  <si>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</si>
  <si>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</si>
  <si>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</si>
  <si>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</si>
  <si>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</si>
  <si>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</si>
  <si>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</si>
  <si>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</si>
  <si>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</si>
  <si>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</si>
  <si>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</si>
  <si>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</si>
  <si>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</si>
  <si>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</si>
  <si>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</si>
  <si>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</si>
  <si>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</si>
  <si>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</si>
  <si>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</si>
  <si>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</si>
  <si>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</si>
  <si>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</si>
  <si>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</si>
  <si>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</si>
  <si>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</si>
  <si>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</si>
  <si>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</si>
  <si>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</si>
  <si>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</si>
  <si>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</si>
  <si>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</si>
  <si>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</si>
  <si>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</si>
  <si>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</si>
  <si>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</si>
  <si>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</si>
  <si>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EL</t>
  </si>
  <si>
    <t>Greece</t>
  </si>
  <si>
    <t>EL - Services sector summary</t>
  </si>
  <si>
    <t>Macro.number.EL.Population</t>
  </si>
  <si>
    <t>Macro.Meuro2015.EL.GDP</t>
  </si>
  <si>
    <t>Macro.Meuro2015.EL.VA</t>
  </si>
  <si>
    <t>Macro.number.EL.Employees</t>
  </si>
  <si>
    <t>NUM.number.EL.Ser.Bld</t>
  </si>
  <si>
    <t>SurfaceArea.ksqm.EL.Ser.Bld</t>
  </si>
  <si>
    <t>NUM.number.EL.Ser.BldNew</t>
  </si>
  <si>
    <t>SurfaceArea.ksqm.EL.Ser.BldNew</t>
  </si>
  <si>
    <t>HDD.Celsius.EL.Actual</t>
  </si>
  <si>
    <t>HDD.Celsius.EL.Mean</t>
  </si>
  <si>
    <t>HDD.ratio.EL.Relative</t>
  </si>
  <si>
    <t>FEC.ktoe.EL.ES.Ser</t>
  </si>
  <si>
    <t>FEC.ktoe.EL.ES.Ser.Solids</t>
  </si>
  <si>
    <t>FEC.ktoe.EL.ES.Ser.LPG</t>
  </si>
  <si>
    <t>FEC.ktoe.EL.ES.Ser.Oil</t>
  </si>
  <si>
    <t>FEC.ktoe.EL.ES.Ser.NG</t>
  </si>
  <si>
    <t>FEC.ktoe.EL.ES.Ser.Biomass_Waste</t>
  </si>
  <si>
    <t>FEC.ktoe.EL.ES.Ser.Biogas</t>
  </si>
  <si>
    <t>FEC.ktoe.EL.ES.Ser.LiqBio</t>
  </si>
  <si>
    <t>FEC.ktoe.EL.ES.Ser.Solar</t>
  </si>
  <si>
    <t>FEC.ktoe.EL.ES.Ser.Geo</t>
  </si>
  <si>
    <t>FEC.ktoe.EL.ES.Ser.Ambient</t>
  </si>
  <si>
    <t>FEC.ktoe.EL.ES.Ser.Steam_Distr</t>
  </si>
  <si>
    <t>FEC.ktoe.EL.ES.Ser.Elec</t>
  </si>
  <si>
    <t>FEC.ktoe.EL.Ser</t>
  </si>
  <si>
    <t>FEC.ktoe.EL.Ser.Bld.Thermal</t>
  </si>
  <si>
    <t>FEC.ktoe.EL.Ser.Bld.Thermal.SH</t>
  </si>
  <si>
    <t>FEC.ktoe.EL.Ser.Bld.Thermal.SC</t>
  </si>
  <si>
    <t>FEC.ktoe.EL.Ser.Bld.Thermal.HW</t>
  </si>
  <si>
    <t>FEC.ktoe.EL.Ser.Bld.Thermal.CA</t>
  </si>
  <si>
    <t>FEC.ktoe.EL.Ser.SEU</t>
  </si>
  <si>
    <t>EMI.ktCO2.EL.ES.Ser</t>
  </si>
  <si>
    <t>EMI.ktCO2.EL.ES.Ser.Solids</t>
  </si>
  <si>
    <t>EMI.ktCO2.EL.ES.Ser.LPG</t>
  </si>
  <si>
    <t>EMI.ktCO2.EL.ES.Ser.Oil</t>
  </si>
  <si>
    <t>EMI.ktCO2.EL.ES.Ser.NG</t>
  </si>
  <si>
    <t>EMI.ktCO2.EL.ES.Ser.Biomass_Waste</t>
  </si>
  <si>
    <t>EMI.ktCO2.EL.ES.Ser.Biogas</t>
  </si>
  <si>
    <t>EMI.ktCO2.EL.ES.Ser.LiqBio</t>
  </si>
  <si>
    <t>EMI.ktCO2.EL.ES.Ser.Solar</t>
  </si>
  <si>
    <t>EMI.ktCO2.EL.ES.Ser.Geo</t>
  </si>
  <si>
    <t>EMI.ktCO2.EL.ES.Ser.Ambient</t>
  </si>
  <si>
    <t>EMI.ktCO2.EL.ES.Ser.Steam_Distr</t>
  </si>
  <si>
    <t>EMI.ktCO2.EL.ES.Ser.Elec</t>
  </si>
  <si>
    <t>EMI.ktCO2.EL.Ser</t>
  </si>
  <si>
    <t>EMI.ktCO2.EL.Ser.Bld.Thermal</t>
  </si>
  <si>
    <t>EMI.ktCO2.EL.Ser.Bld.Thermal.SH</t>
  </si>
  <si>
    <t>EMI.ktCO2.EL.Ser.Bld.Thermal.SC</t>
  </si>
  <si>
    <t>EMI.ktCO2.EL.Ser.Bld.Thermal.HW</t>
  </si>
  <si>
    <t>EMI.ktCO2.EL.Ser.Bld.Thermal.CA</t>
  </si>
  <si>
    <t>EMI.ktCO2.EL.Ser.SEU</t>
  </si>
  <si>
    <t>Eff.ratio.EL.Ser.Bld.Thermal</t>
  </si>
  <si>
    <t>Eff.ratio.EL.Ser.Bld.Thermal.SH</t>
  </si>
  <si>
    <t>Eff.ratio.EL.Ser.Bld.Thermal.SC</t>
  </si>
  <si>
    <t>Eff.ratio.EL.Ser.Bld.Thermal.HW</t>
  </si>
  <si>
    <t>Eff.ratio.EL.Ser.Bld.Thermal.CA</t>
  </si>
  <si>
    <t>EL - Number of buildings</t>
  </si>
  <si>
    <t>NUM.number.EL.Ser.Bld.Thermal</t>
  </si>
  <si>
    <t>NUM.number.EL.Ser.Bld.Thermal.SH</t>
  </si>
  <si>
    <t>NUM.number.EL.Ser.Bld.Thermal.SH.Solids</t>
  </si>
  <si>
    <t>NUM.number.EL.Ser.Bld.Thermal.SH.LPG</t>
  </si>
  <si>
    <t>NUM.number.EL.Ser.Bld.Thermal.SH.Oil</t>
  </si>
  <si>
    <t>NUM.number.EL.Ser.Bld.Thermal.SH.GasHP</t>
  </si>
  <si>
    <t>NUM.number.EL.Ser.Bld.Thermal.SH.GasTH</t>
  </si>
  <si>
    <t>NUM.number.EL.Ser.Bld.Thermal.SH.Biomass</t>
  </si>
  <si>
    <t>NUM.number.EL.Ser.Bld.Thermal.SH.Geo</t>
  </si>
  <si>
    <t>NUM.number.EL.Ser.Bld.Thermal.SH.DistrHeat</t>
  </si>
  <si>
    <t>NUM.number.EL.Ser.Bld.Thermal.SH.AdvElc</t>
  </si>
  <si>
    <t>NUM.number.EL.Ser.Bld.Thermal.SH.ConvElc</t>
  </si>
  <si>
    <t>NUM.number.EL.Ser.Bld.Thermal.SC</t>
  </si>
  <si>
    <t>NUM.number.EL.Ser.Bld.Thermal.SC.GasHP</t>
  </si>
  <si>
    <t>NUM.number.EL.Ser.Bld.Thermal.SC.AC</t>
  </si>
  <si>
    <t>NUM.number.EL.Ser.Bld.Thermal.HW</t>
  </si>
  <si>
    <t>NUM.number.EL.Ser.Bld.Thermal.HW.Solids</t>
  </si>
  <si>
    <t>NUM.number.EL.Ser.Bld.Thermal.HW.LPG</t>
  </si>
  <si>
    <t>NUM.number.EL.Ser.Bld.Thermal.HW.Oil</t>
  </si>
  <si>
    <t>NUM.number.EL.Ser.Bld.Thermal.HW.Gas</t>
  </si>
  <si>
    <t>NUM.number.EL.Ser.Bld.Thermal.HW.Biomass</t>
  </si>
  <si>
    <t>NUM.number.EL.Ser.Bld.Thermal.HW.DistrHeat</t>
  </si>
  <si>
    <t>NUM.number.EL.Ser.Bld.Thermal.HW.Elc</t>
  </si>
  <si>
    <t>NUM.number.EL.Ser.Bld.Thermal.HW.Solar</t>
  </si>
  <si>
    <t>NUM.number.EL.Ser.Bld.Thermal.CA</t>
  </si>
  <si>
    <t>NUM.number.EL.Ser.Bld.Thermal.CA.LPG</t>
  </si>
  <si>
    <t>NUM.number.EL.Ser.Bld.Thermal.CA.Gas</t>
  </si>
  <si>
    <t>NUM.number.EL.Ser.Bld.Thermal.CA.Biomass</t>
  </si>
  <si>
    <t>NUM.number.EL.Ser.Bld.Thermal.CA.Elc</t>
  </si>
  <si>
    <t>EL - Final energy consumption</t>
  </si>
  <si>
    <t>FEC.ktoe.EL.Ser.Bld.Thermal.SH.Solids.Solids</t>
  </si>
  <si>
    <t>FEC.ktoe.EL.Ser.Bld.Thermal.SH.LPG.LPG</t>
  </si>
  <si>
    <t>FEC.ktoe.EL.Ser.Bld.Thermal.SH.Oil.Oil_LiqBio</t>
  </si>
  <si>
    <t>FEC.ktoe.EL.Ser.Bld.Thermal.SH.GasHP.NG_Biogas</t>
  </si>
  <si>
    <t>FEC.ktoe.EL.Ser.Bld.Thermal.SH.GasTH.NG_Biogas</t>
  </si>
  <si>
    <t>FEC.ktoe.EL.Ser.Bld.Thermal.SH.Biomass.Biomass_Waste</t>
  </si>
  <si>
    <t>FEC.ktoe.EL.Ser.Bld.Thermal.SH.Geo.Geo</t>
  </si>
  <si>
    <t>FEC.ktoe.EL.Ser.Bld.Thermal.SH.DistrHeat.Steam_Distr</t>
  </si>
  <si>
    <t>FEC.ktoe.EL.Ser.Bld.Thermal.SH.AdvElc.Elec</t>
  </si>
  <si>
    <t>FEC.ktoe.EL.Ser.Bld.Thermal.SH.ConvElc.Elec</t>
  </si>
  <si>
    <t>FEC.ktoe.EL.Ser.Bld.Thermal.SH.TotalCirculation.Elec</t>
  </si>
  <si>
    <t>FEC.ktoe.EL.Ser.Bld.Thermal.SC.GasHP.NG_Biogas</t>
  </si>
  <si>
    <t>FEC.ktoe.EL.Ser.Bld.Thermal.SC.AC.Elec</t>
  </si>
  <si>
    <t>FEC.ktoe.EL.Ser.Bld.Thermal.HW.Solids.Solids</t>
  </si>
  <si>
    <t>FEC.ktoe.EL.Ser.Bld.Thermal.HW.LPG.LPG</t>
  </si>
  <si>
    <t>FEC.ktoe.EL.Ser.Bld.Thermal.HW.Oil.Oil_LiqBio</t>
  </si>
  <si>
    <t>FEC.ktoe.EL.Ser.Bld.Thermal.HW.Gas.NG_Biogas</t>
  </si>
  <si>
    <t>FEC.ktoe.EL.Ser.Bld.Thermal.HW.Biomass.Biomass_Waste</t>
  </si>
  <si>
    <t>FEC.ktoe.EL.Ser.Bld.Thermal.HW.DistrHeat.Steam_Distr</t>
  </si>
  <si>
    <t>FEC.ktoe.EL.Ser.Bld.Thermal.HW.Elc.Elec</t>
  </si>
  <si>
    <t>FEC.ktoe.EL.Ser.Bld.Thermal.HW.TotalSolar.Solar</t>
  </si>
  <si>
    <t>FEC.ktoe.EL.Ser.Bld.Thermal.CA.LPG</t>
  </si>
  <si>
    <t>FEC.ktoe.EL.Ser.Bld.Thermal.CA.Gas.NG_Biogas</t>
  </si>
  <si>
    <t>FEC.ktoe.EL.Ser.Bld.Thermal.CA.Biomass.Biomass_Waste</t>
  </si>
  <si>
    <t>FEC.ktoe.EL.Ser.Bld.Thermal.CA.Elc.Elec</t>
  </si>
  <si>
    <t>EL - Thermal energy service</t>
  </si>
  <si>
    <t>TES.ktoe.EL.Ser.Bld.Thermal</t>
  </si>
  <si>
    <t>TES.ktoe.EL.Ser.Bld.Thermal.SH</t>
  </si>
  <si>
    <t>TES.ktoe.EL.Ser.Bld.Thermal.SH.Solids.Solids</t>
  </si>
  <si>
    <t>TES.ktoe.EL.Ser.Bld.Thermal.SH.LPG.LPG</t>
  </si>
  <si>
    <t>TES.ktoe.EL.Ser.Bld.Thermal.SH.Oil.Oil_LiqBio</t>
  </si>
  <si>
    <t>TES.ktoe.EL.Ser.Bld.Thermal.SH.GasHP.NG_Biogas</t>
  </si>
  <si>
    <t>TES.ktoe.EL.Ser.Bld.Thermal.SH.GasTH.NG_Biogas</t>
  </si>
  <si>
    <t>TES.ktoe.EL.Ser.Bld.Thermal.SH.Biomass.Biomass_Waste</t>
  </si>
  <si>
    <t>TES.ktoe.EL.Ser.Bld.Thermal.SH.Geo.Geo</t>
  </si>
  <si>
    <t>TES.ktoe.EL.Ser.Bld.Thermal.SH.DistrHeat.Steam_Distr</t>
  </si>
  <si>
    <t>TES.ktoe.EL.Ser.Bld.Thermal.SH.AdvElc.Elec</t>
  </si>
  <si>
    <t>TES.ktoe.EL.Ser.Bld.Thermal.SH.ConvElc.Elec</t>
  </si>
  <si>
    <t>TES.ktoe.EL.Ser.Bld.Thermal.SH.TotalCirculation.Elec</t>
  </si>
  <si>
    <t>TES.ktoe.EL.Ser.Bld.Thermal.SC</t>
  </si>
  <si>
    <t>TES.ktoe.EL.Ser.Bld.Thermal.SC.GasHP.NG_Biogas</t>
  </si>
  <si>
    <t>TES.ktoe.EL.Ser.Bld.Thermal.SC.AC.Elec</t>
  </si>
  <si>
    <t>TES.ktoe.EL.Ser.Bld.Thermal.HW</t>
  </si>
  <si>
    <t>TES.ktoe.EL.Ser.Bld.Thermal.HW.Solids.Solids</t>
  </si>
  <si>
    <t>TES.ktoe.EL.Ser.Bld.Thermal.HW.LPG.LPG</t>
  </si>
  <si>
    <t>TES.ktoe.EL.Ser.Bld.Thermal.HW.Oil.Oil_LiqBio</t>
  </si>
  <si>
    <t>TES.ktoe.EL.Ser.Bld.Thermal.HW.Gas.NG_Biogas</t>
  </si>
  <si>
    <t>TES.ktoe.EL.Ser.Bld.Thermal.HW.Biomass.Biomass_Waste</t>
  </si>
  <si>
    <t>TES.ktoe.EL.Ser.Bld.Thermal.HW.DistrHeat.Steam_Distr</t>
  </si>
  <si>
    <t>TES.ktoe.EL.Ser.Bld.Thermal.HW.Elc.Elec</t>
  </si>
  <si>
    <t>TES.ktoe.EL.Ser.Bld.Thermal.HW.TotalSolar.Solar</t>
  </si>
  <si>
    <t>TES.ktoe.EL.Ser.Bld.Thermal.CA</t>
  </si>
  <si>
    <t>TES.ktoe.EL.Ser.Bld.Thermal.CA.LPG</t>
  </si>
  <si>
    <t>TES.ktoe.EL.Ser.Bld.Thermal.CA.Gas.NG_Biogas</t>
  </si>
  <si>
    <t>TES.ktoe.EL.Ser.Bld.Thermal.CA.Biomass.Biomass_Waste</t>
  </si>
  <si>
    <t>TES.ktoe.EL.Ser.Bld.Thermal.CA.Elc.Elec</t>
  </si>
  <si>
    <t>EL - System efficiency indicator of total stock</t>
  </si>
  <si>
    <t>Eff.ratio.EL.Ser.Bld.Thermal.SH.Solids.Solids</t>
  </si>
  <si>
    <t>Eff.ratio.EL.Ser.Bld.Thermal.SH.LPG.LPG</t>
  </si>
  <si>
    <t>Eff.ratio.EL.Ser.Bld.Thermal.SH.Oil.Oil_LiqBio</t>
  </si>
  <si>
    <t>Eff.ratio.EL.Ser.Bld.Thermal.SH.GasHP.NG_Biogas</t>
  </si>
  <si>
    <t>Eff.ratio.EL.Ser.Bld.Thermal.SH.GasTH.NG_Biogas</t>
  </si>
  <si>
    <t>Eff.ratio.EL.Ser.Bld.Thermal.SH.Biomass.Biomass_Waste</t>
  </si>
  <si>
    <t>Eff.ratio.EL.Ser.Bld.Thermal.SH.Geo.Geo</t>
  </si>
  <si>
    <t>Eff.ratio.EL.Ser.Bld.Thermal.SH.DistrHeat.Steam_Distr</t>
  </si>
  <si>
    <t>Eff.ratio.EL.Ser.Bld.Thermal.SH.AdvElc.Elec</t>
  </si>
  <si>
    <t>Eff.ratio.EL.Ser.Bld.Thermal.SH.ConvElc.Elec</t>
  </si>
  <si>
    <t>Eff.ratio.EL.Ser.Bld.Thermal.SH.TotalCirculation.Elec</t>
  </si>
  <si>
    <t>Eff.ratio.EL.Ser.Bld.Thermal.SC.GasHP.NG_Biogas</t>
  </si>
  <si>
    <t>Eff.ratio.EL.Ser.Bld.Thermal.SC.AC.Elec</t>
  </si>
  <si>
    <t>Eff.ratio.EL.Ser.Bld.Thermal.HW.Solids.Solids</t>
  </si>
  <si>
    <t>Eff.ratio.EL.Ser.Bld.Thermal.HW.LPG.LPG</t>
  </si>
  <si>
    <t>Eff.ratio.EL.Ser.Bld.Thermal.HW.Oil.Oil_LiqBio</t>
  </si>
  <si>
    <t>Eff.ratio.EL.Ser.Bld.Thermal.HW.Gas.NG_Biogas</t>
  </si>
  <si>
    <t>Eff.ratio.EL.Ser.Bld.Thermal.HW.Biomass.Biomass_Waste</t>
  </si>
  <si>
    <t>Eff.ratio.EL.Ser.Bld.Thermal.HW.DistrHeat.Steam_Distr</t>
  </si>
  <si>
    <t>Eff.ratio.EL.Ser.Bld.Thermal.HW.Elc.Elec</t>
  </si>
  <si>
    <t>Eff.ratio.EL.Ser.Bld.Thermal.HW.TotalSolar.Solar</t>
  </si>
  <si>
    <t>Eff.ratio.EL.Ser.Bld.Thermal.CA.LPG</t>
  </si>
  <si>
    <t>Eff.ratio.EL.Ser.Bld.Thermal.CA.Gas.NG_Biogas</t>
  </si>
  <si>
    <t>Eff.ratio.EL.Ser.Bld.Thermal.CA.Biomass.Biomass_Waste</t>
  </si>
  <si>
    <t>Eff.ratio.EL.Ser.Bld.Thermal.CA.Elc.Elec</t>
  </si>
  <si>
    <t>EL - CO2 emissions</t>
  </si>
  <si>
    <t>EMI.ktCO2.EL.Ser.Bld.Thermal.SH.Solids.Solids</t>
  </si>
  <si>
    <t>EMI.ktCO2.EL.Ser.Bld.Thermal.SH.LPG.LPG</t>
  </si>
  <si>
    <t>EMI.ktCO2.EL.Ser.Bld.Thermal.SH.Oil.Oil_LiqBio</t>
  </si>
  <si>
    <t>EMI.ktCO2.EL.Ser.Bld.Thermal.SH.GasHP.NG_Biogas</t>
  </si>
  <si>
    <t>EMI.ktCO2.EL.Ser.Bld.Thermal.SH.GasTH.NG_Biogas</t>
  </si>
  <si>
    <t>EMI.ktCO2.EL.Ser.Bld.Thermal.SH.Biomass.Biomass_Waste</t>
  </si>
  <si>
    <t>EMI.ktCO2.EL.Ser.Bld.Thermal.SH.Geo.Geo</t>
  </si>
  <si>
    <t>EMI.ktCO2.EL.Ser.Bld.Thermal.SH.DistrHeat.Steam_Distr</t>
  </si>
  <si>
    <t>EMI.ktCO2.EL.Ser.Bld.Thermal.SH.AdvElc.Elec</t>
  </si>
  <si>
    <t>EMI.ktCO2.EL.Ser.Bld.Thermal.SH.ConvElc.Elec</t>
  </si>
  <si>
    <t>EMI.ktCO2.EL.Ser.Bld.Thermal.SH.TotalCirculation.Elec</t>
  </si>
  <si>
    <t>EMI.ktCO2.EL.Ser.Bld.Thermal.SC.GasHP.NG_Biogas</t>
  </si>
  <si>
    <t>EMI.ktCO2.EL.Ser.Bld.Thermal.SC.AC.Elec</t>
  </si>
  <si>
    <t>EMI.ktCO2.EL.Ser.Bld.Thermal.HW.Solids.Solids</t>
  </si>
  <si>
    <t>EMI.ktCO2.EL.Ser.Bld.Thermal.HW.LPG.LPG</t>
  </si>
  <si>
    <t>EMI.ktCO2.EL.Ser.Bld.Thermal.HW.Oil.Oil_LiqBio</t>
  </si>
  <si>
    <t>EMI.ktCO2.EL.Ser.Bld.Thermal.HW.Gas.NG_Biogas</t>
  </si>
  <si>
    <t>EMI.ktCO2.EL.Ser.Bld.Thermal.HW.Biomass.Biomass_Waste</t>
  </si>
  <si>
    <t>EMI.ktCO2.EL.Ser.Bld.Thermal.HW.DistrHeat.Steam_Distr</t>
  </si>
  <si>
    <t>EMI.ktCO2.EL.Ser.Bld.Thermal.HW.Elc.Elec</t>
  </si>
  <si>
    <t>EMI.ktCO2.EL.Ser.Bld.Thermal.HW.TotalSolar.Solar</t>
  </si>
  <si>
    <t>EMI.ktCO2.EL.Ser.Bld.Thermal.CA.LPG</t>
  </si>
  <si>
    <t>EMI.ktCO2.EL.Ser.Bld.Thermal.CA.Gas.NG_Biogas</t>
  </si>
  <si>
    <t>EMI.ktCO2.EL.Ser.Bld.Thermal.CA.Biomass.Biomass_Waste</t>
  </si>
  <si>
    <t>EMI.ktCO2.EL.Ser.Bld.Thermal.CA.Elc.Elec</t>
  </si>
  <si>
    <t>EL - Final energy consumption per building</t>
  </si>
  <si>
    <t>FEC_per_building.kWh.EL.Ser.Bld.Thermal</t>
  </si>
  <si>
    <t>FEC_per_building.kWh.EL.Ser.Bld.Thermal.SH</t>
  </si>
  <si>
    <t>FEC_per_building.kWh.EL.Ser.Bld.Thermal.SH.Solids.Solids</t>
  </si>
  <si>
    <t>FEC_per_building.kWh.EL.Ser.Bld.Thermal.SH.LPG.LPG</t>
  </si>
  <si>
    <t>FEC_per_building.kWh.EL.Ser.Bld.Thermal.SH.Oil.Oil_LiqBio</t>
  </si>
  <si>
    <t>FEC_per_building.kWh.EL.Ser.Bld.Thermal.SH.GasHP.NG_Biogas</t>
  </si>
  <si>
    <t>FEC_per_building.kWh.EL.Ser.Bld.Thermal.SH.GasTH.NG_Biogas</t>
  </si>
  <si>
    <t>FEC_per_building.kWh.EL.Ser.Bld.Thermal.SH.Biomass.Biomass_Waste</t>
  </si>
  <si>
    <t>FEC_per_building.kWh.EL.Ser.Bld.Thermal.SH.Geo.Geo</t>
  </si>
  <si>
    <t>FEC_per_building.kWh.EL.Ser.Bld.Thermal.SH.DistrHeat.Steam_Distr</t>
  </si>
  <si>
    <t>FEC_per_building.kWh.EL.Ser.Bld.Thermal.SH.AdvElc.Elec</t>
  </si>
  <si>
    <t>FEC_per_building.kWh.EL.Ser.Bld.Thermal.SH.ConvElc.Elec</t>
  </si>
  <si>
    <t>FEC_per_building.kWh.EL.Ser.Bld.Thermal.SH.TotalCirculation.Elec</t>
  </si>
  <si>
    <t>FEC_per_building.kWh.EL.Ser.Bld.Thermal.SC</t>
  </si>
  <si>
    <t>FEC_per_building.kWh.EL.Ser.Bld.Thermal.SC.GasHP.NG_Biogas</t>
  </si>
  <si>
    <t>FEC_per_building.kWh.EL.Ser.Bld.Thermal.SC.AC.Elec</t>
  </si>
  <si>
    <t>FEC_per_building.kWh.EL.Ser.Bld.Thermal.HW</t>
  </si>
  <si>
    <t>FEC_per_building.kWh.EL.Ser.Bld.Thermal.HW.Solids.Solids</t>
  </si>
  <si>
    <t>FEC_per_building.kWh.EL.Ser.Bld.Thermal.HW.LPG.LPG</t>
  </si>
  <si>
    <t>FEC_per_building.kWh.EL.Ser.Bld.Thermal.HW.Oil.Oil_LiqBio</t>
  </si>
  <si>
    <t>FEC_per_building.kWh.EL.Ser.Bld.Thermal.HW.Gas.NG_Biogas</t>
  </si>
  <si>
    <t>FEC_per_building.kWh.EL.Ser.Bld.Thermal.HW.Biomass.Biomass_Waste</t>
  </si>
  <si>
    <t>FEC_per_building.kWh.EL.Ser.Bld.Thermal.HW.DistrHeat.Steam_Distr</t>
  </si>
  <si>
    <t>FEC_per_building.kWh.EL.Ser.Bld.Thermal.HW.Elc.Elec</t>
  </si>
  <si>
    <t>FEC_per_building.kWh.EL.Ser.Bld.Thermal.HW.TotalSolar.Solar</t>
  </si>
  <si>
    <t>FEC_per_building.kWh.EL.Ser.Bld.Thermal.CA</t>
  </si>
  <si>
    <t>FEC_per_building.kWh.EL.Ser.Bld.Thermal.CA.LPG</t>
  </si>
  <si>
    <t>FEC_per_building.kWh.EL.Ser.Bld.Thermal.CA.Gas.NG_Biogas</t>
  </si>
  <si>
    <t>FEC_per_building.kWh.EL.Ser.Bld.Thermal.CA.Biomass.Biomass_Waste</t>
  </si>
  <si>
    <t>FEC_per_building.kWh.EL.Ser.Bld.Thermal.CA.Elc.Elec</t>
  </si>
  <si>
    <t>EL - Thermal energy service per building</t>
  </si>
  <si>
    <t>TES_per_building.kWh.EL.Ser.Bld.Thermal</t>
  </si>
  <si>
    <t>TES_per_building.kWh.EL.Ser.Bld.Thermal.SH</t>
  </si>
  <si>
    <t>TES_per_building.kWh.EL.Ser.Bld.Thermal.SH.Solids.Solids</t>
  </si>
  <si>
    <t>TES_per_building.kWh.EL.Ser.Bld.Thermal.SH.LPG.LPG</t>
  </si>
  <si>
    <t>TES_per_building.kWh.EL.Ser.Bld.Thermal.SH.Oil.Oil_LiqBio</t>
  </si>
  <si>
    <t>TES_per_building.kWh.EL.Ser.Bld.Thermal.SH.GasHP.NG_Biogas</t>
  </si>
  <si>
    <t>TES_per_building.kWh.EL.Ser.Bld.Thermal.SH.GasTH.NG_Biogas</t>
  </si>
  <si>
    <t>TES_per_building.kWh.EL.Ser.Bld.Thermal.SH.Biomass.Biomass_Waste</t>
  </si>
  <si>
    <t>TES_per_building.kWh.EL.Ser.Bld.Thermal.SH.Geo.Geo</t>
  </si>
  <si>
    <t>TES_per_building.kWh.EL.Ser.Bld.Thermal.SH.DistrHeat.Steam_Distr</t>
  </si>
  <si>
    <t>TES_per_building.kWh.EL.Ser.Bld.Thermal.SH.AdvElc.Elec</t>
  </si>
  <si>
    <t>TES_per_building.kWh.EL.Ser.Bld.Thermal.SH.ConvElc.Elec</t>
  </si>
  <si>
    <t>TES_per_building.kWh.EL.Ser.Bld.Thermal.SH.TotalCirculation.Elec</t>
  </si>
  <si>
    <t>TES_per_building.kWh.EL.Ser.Bld.Thermal.SC</t>
  </si>
  <si>
    <t>TES_per_building.kWh.EL.Ser.Bld.Thermal.SC.GasHP.NG_Biogas</t>
  </si>
  <si>
    <t>TES_per_building.kWh.EL.Ser.Bld.Thermal.SC.AC.Elec</t>
  </si>
  <si>
    <t>TES_per_building.kWh.EL.Ser.Bld.Thermal.HW</t>
  </si>
  <si>
    <t>TES_per_building.kWh.EL.Ser.Bld.Thermal.HW.Solids.Solids</t>
  </si>
  <si>
    <t>TES_per_building.kWh.EL.Ser.Bld.Thermal.HW.LPG.LPG</t>
  </si>
  <si>
    <t>TES_per_building.kWh.EL.Ser.Bld.Thermal.HW.Oil.Oil_LiqBio</t>
  </si>
  <si>
    <t>TES_per_building.kWh.EL.Ser.Bld.Thermal.HW.Gas.NG_Biogas</t>
  </si>
  <si>
    <t>TES_per_building.kWh.EL.Ser.Bld.Thermal.HW.Biomass.Biomass_Waste</t>
  </si>
  <si>
    <t>TES_per_building.kWh.EL.Ser.Bld.Thermal.HW.DistrHeat.Steam_Distr</t>
  </si>
  <si>
    <t>TES_per_building.kWh.EL.Ser.Bld.Thermal.HW.Elc.Elec</t>
  </si>
  <si>
    <t>TES_per_building.kWh.EL.Ser.Bld.Thermal.HW.TotalSolar.Solar</t>
  </si>
  <si>
    <t>TES_per_building.kWh.EL.Ser.Bld.Thermal.CA</t>
  </si>
  <si>
    <t>TES_per_building.kWh.EL.Ser.Bld.Thermal.CA.LPG</t>
  </si>
  <si>
    <t>TES_per_building.kWh.EL.Ser.Bld.Thermal.CA.Gas.NG_Biogas</t>
  </si>
  <si>
    <t>TES_per_building.kWh.EL.Ser.Bld.Thermal.CA.Biomass.Biomass_Waste</t>
  </si>
  <si>
    <t>TES_per_building.kWh.EL.Ser.Bld.Thermal.CA.Elc.Elec</t>
  </si>
  <si>
    <t>EL - CO2 emissions per building</t>
  </si>
  <si>
    <t>EMI_per_building.kgCO2.EL.Ser.Bld.Thermal</t>
  </si>
  <si>
    <t>EMI_per_building.kgCO2.EL.Ser.Bld.Thermal.SH</t>
  </si>
  <si>
    <t>EMI_per_building.kgCO2.EL.Ser.Bld.Thermal.SH.Solids.Solids</t>
  </si>
  <si>
    <t>EMI_per_building.kgCO2.EL.Ser.Bld.Thermal.SH.LPG.LPG</t>
  </si>
  <si>
    <t>EMI_per_building.kgCO2.EL.Ser.Bld.Thermal.SH.Oil.Oil_LiqBio</t>
  </si>
  <si>
    <t>EMI_per_building.kgCO2.EL.Ser.Bld.Thermal.SH.GasHP.NG_Biogas</t>
  </si>
  <si>
    <t>EMI_per_building.kgCO2.EL.Ser.Bld.Thermal.SH.GasTH.NG_Biogas</t>
  </si>
  <si>
    <t>EMI_per_building.kgCO2.EL.Ser.Bld.Thermal.SH.Biomass.Biomass_Waste</t>
  </si>
  <si>
    <t>EMI_per_building.kgCO2.EL.Ser.Bld.Thermal.SH.Geo.Geo</t>
  </si>
  <si>
    <t>EMI_per_building.kgCO2.EL.Ser.Bld.Thermal.SH.DistrHeat.Steam_Distr</t>
  </si>
  <si>
    <t>EMI_per_building.kgCO2.EL.Ser.Bld.Thermal.SH.AdvElc.Elec</t>
  </si>
  <si>
    <t>EMI_per_building.kgCO2.EL.Ser.Bld.Thermal.SH.ConvElc.Elec</t>
  </si>
  <si>
    <t>EMI_per_building.kgCO2.EL.Ser.Bld.Thermal.SH.TotalCirculation.Elec</t>
  </si>
  <si>
    <t>EMI_per_building.kgCO2.EL.Ser.Bld.Thermal.SC</t>
  </si>
  <si>
    <t>EMI_per_building.kgCO2.EL.Ser.Bld.Thermal.SC.GasHP.NG_Biogas</t>
  </si>
  <si>
    <t>EMI_per_building.kgCO2.EL.Ser.Bld.Thermal.SC.AC.Elec</t>
  </si>
  <si>
    <t>EMI_per_building.kgCO2.EL.Ser.Bld.Thermal.HW</t>
  </si>
  <si>
    <t>EMI_per_building.kgCO2.EL.Ser.Bld.Thermal.HW.Solids.Solids</t>
  </si>
  <si>
    <t>EMI_per_building.kgCO2.EL.Ser.Bld.Thermal.HW.LPG.LPG</t>
  </si>
  <si>
    <t>EMI_per_building.kgCO2.EL.Ser.Bld.Thermal.HW.Oil.Oil_LiqBio</t>
  </si>
  <si>
    <t>EMI_per_building.kgCO2.EL.Ser.Bld.Thermal.HW.Gas.NG_Biogas</t>
  </si>
  <si>
    <t>EMI_per_building.kgCO2.EL.Ser.Bld.Thermal.HW.Biomass.Biomass_Waste</t>
  </si>
  <si>
    <t>EMI_per_building.kgCO2.EL.Ser.Bld.Thermal.HW.DistrHeat.Steam_Distr</t>
  </si>
  <si>
    <t>EMI_per_building.kgCO2.EL.Ser.Bld.Thermal.HW.Elc.Elec</t>
  </si>
  <si>
    <t>EMI_per_building.kgCO2.EL.Ser.Bld.Thermal.HW.TotalSolar.Solar</t>
  </si>
  <si>
    <t>EMI_per_building.kgCO2.EL.Ser.Bld.Thermal.CA</t>
  </si>
  <si>
    <t>EMI_per_building.kgCO2.EL.Ser.Bld.Thermal.CA.LPG</t>
  </si>
  <si>
    <t>EMI_per_building.kgCO2.EL.Ser.Bld.Thermal.CA.Gas.NG_Biogas</t>
  </si>
  <si>
    <t>EMI_per_building.kgCO2.EL.Ser.Bld.Thermal.CA.Biomass.Biomass_Waste</t>
  </si>
  <si>
    <t>EMI_per_building.kgCO2.EL.Ser.Bld.Thermal.CA.Elc.Elec</t>
  </si>
  <si>
    <t>EL - Final energy consumption per useful surface area</t>
  </si>
  <si>
    <t>FEC_per_sqm.kWh.EL.Ser.Bld.Thermal</t>
  </si>
  <si>
    <t>FEC_per_sqm.kWh.EL.Ser.Bld.Thermal.SH</t>
  </si>
  <si>
    <t>FEC_per_sqm.kWh.EL.Ser.Bld.Thermal.SH.Solids.Solids</t>
  </si>
  <si>
    <t>FEC_per_sqm.kWh.EL.Ser.Bld.Thermal.SH.LPG.LPG</t>
  </si>
  <si>
    <t>FEC_per_sqm.kWh.EL.Ser.Bld.Thermal.SH.Oil.Oil_LiqBio</t>
  </si>
  <si>
    <t>FEC_per_sqm.kWh.EL.Ser.Bld.Thermal.SH.GasHP.NG_Biogas</t>
  </si>
  <si>
    <t>FEC_per_sqm.kWh.EL.Ser.Bld.Thermal.SH.GasTH.NG_Biogas</t>
  </si>
  <si>
    <t>FEC_per_sqm.kWh.EL.Ser.Bld.Thermal.SH.Biomass.Biomass_Waste</t>
  </si>
  <si>
    <t>FEC_per_sqm.kWh.EL.Ser.Bld.Thermal.SH.Geo.Geo</t>
  </si>
  <si>
    <t>FEC_per_sqm.kWh.EL.Ser.Bld.Thermal.SH.DistrHeat.Steam_Distr</t>
  </si>
  <si>
    <t>FEC_per_sqm.kWh.EL.Ser.Bld.Thermal.SH.AdvElc.Elec</t>
  </si>
  <si>
    <t>FEC_per_sqm.kWh.EL.Ser.Bld.Thermal.SH.ConvElc.Elec</t>
  </si>
  <si>
    <t>FEC_per_sqm.kWh.EL.Ser.Bld.Thermal.SH.TotalCirculation.Elec</t>
  </si>
  <si>
    <t>FEC_per_sqm.kWh.EL.Ser.Bld.Thermal.SC</t>
  </si>
  <si>
    <t>FEC_per_sqm.kWh.EL.Ser.Bld.Thermal.SC.GasHP.NG_Biogas</t>
  </si>
  <si>
    <t>FEC_per_sqm.kWh.EL.Ser.Bld.Thermal.SC.AC.Elec</t>
  </si>
  <si>
    <t>FEC_per_sqm.kWh.EL.Ser.Bld.Thermal.HW</t>
  </si>
  <si>
    <t>FEC_per_sqm.kWh.EL.Ser.Bld.Thermal.HW.Solids.Solids</t>
  </si>
  <si>
    <t>FEC_per_sqm.kWh.EL.Ser.Bld.Thermal.HW.LPG.LPG</t>
  </si>
  <si>
    <t>FEC_per_sqm.kWh.EL.Ser.Bld.Thermal.HW.Oil.Oil_LiqBio</t>
  </si>
  <si>
    <t>FEC_per_sqm.kWh.EL.Ser.Bld.Thermal.HW.Gas.NG_Biogas</t>
  </si>
  <si>
    <t>FEC_per_sqm.kWh.EL.Ser.Bld.Thermal.HW.Biomass.Biomass_Waste</t>
  </si>
  <si>
    <t>FEC_per_sqm.kWh.EL.Ser.Bld.Thermal.HW.DistrHeat.Steam_Distr</t>
  </si>
  <si>
    <t>FEC_per_sqm.kWh.EL.Ser.Bld.Thermal.HW.Elc.Elec</t>
  </si>
  <si>
    <t>FEC_per_sqm.kWh.EL.Ser.Bld.Thermal.HW.TotalSolar.Solar</t>
  </si>
  <si>
    <t>FEC_per_sqm.kWh.EL.Ser.Bld.Thermal.CA</t>
  </si>
  <si>
    <t>FEC_per_sqm.kWh.EL.Ser.Bld.Thermal.CA.LPG</t>
  </si>
  <si>
    <t>FEC_per_sqm.kWh.EL.Ser.Bld.Thermal.CA.Gas.NG_Biogas</t>
  </si>
  <si>
    <t>FEC_per_sqm.kWh.EL.Ser.Bld.Thermal.CA.Biomass.Biomass_Waste</t>
  </si>
  <si>
    <t>FEC_per_sqm.kWh.EL.Ser.Bld.Thermal.CA.Elc.Elec</t>
  </si>
  <si>
    <t>EL - Thermal energy service per useful surface area</t>
  </si>
  <si>
    <t>TES_per_sqm.kWh.EL.Ser.Bld.Thermal</t>
  </si>
  <si>
    <t>TES_per_sqm.kWh.EL.Ser.Bld.Thermal.SH</t>
  </si>
  <si>
    <t>TES_per_sqm.kWh.EL.Ser.Bld.Thermal.SH.Solids.Solids</t>
  </si>
  <si>
    <t>TES_per_sqm.kWh.EL.Ser.Bld.Thermal.SH.LPG.LPG</t>
  </si>
  <si>
    <t>TES_per_sqm.kWh.EL.Ser.Bld.Thermal.SH.Oil.Oil_LiqBio</t>
  </si>
  <si>
    <t>TES_per_sqm.kWh.EL.Ser.Bld.Thermal.SH.GasHP.NG_Biogas</t>
  </si>
  <si>
    <t>TES_per_sqm.kWh.EL.Ser.Bld.Thermal.SH.GasTH.NG_Biogas</t>
  </si>
  <si>
    <t>TES_per_sqm.kWh.EL.Ser.Bld.Thermal.SH.Biomass.Biomass_Waste</t>
  </si>
  <si>
    <t>TES_per_sqm.kWh.EL.Ser.Bld.Thermal.SH.Geo.Geo</t>
  </si>
  <si>
    <t>TES_per_sqm.kWh.EL.Ser.Bld.Thermal.SH.DistrHeat.Steam_Distr</t>
  </si>
  <si>
    <t>TES_per_sqm.kWh.EL.Ser.Bld.Thermal.SH.AdvElc.Elec</t>
  </si>
  <si>
    <t>TES_per_sqm.kWh.EL.Ser.Bld.Thermal.SH.ConvElc.Elec</t>
  </si>
  <si>
    <t>TES_per_sqm.kWh.EL.Ser.Bld.Thermal.SH.TotalCirculation.Elec</t>
  </si>
  <si>
    <t>TES_per_sqm.kWh.EL.Ser.Bld.Thermal.SC</t>
  </si>
  <si>
    <t>TES_per_sqm.kWh.EL.Ser.Bld.Thermal.SC.GasHP.NG_Biogas</t>
  </si>
  <si>
    <t>TES_per_sqm.kWh.EL.Ser.Bld.Thermal.SC.AC.Elec</t>
  </si>
  <si>
    <t>TES_per_sqm.kWh.EL.Ser.Bld.Thermal.HW</t>
  </si>
  <si>
    <t>TES_per_sqm.kWh.EL.Ser.Bld.Thermal.HW.Solids.Solids</t>
  </si>
  <si>
    <t>TES_per_sqm.kWh.EL.Ser.Bld.Thermal.HW.LPG.LPG</t>
  </si>
  <si>
    <t>TES_per_sqm.kWh.EL.Ser.Bld.Thermal.HW.Oil.Oil_LiqBio</t>
  </si>
  <si>
    <t>TES_per_sqm.kWh.EL.Ser.Bld.Thermal.HW.Gas.NG_Biogas</t>
  </si>
  <si>
    <t>TES_per_sqm.kWh.EL.Ser.Bld.Thermal.HW.Biomass.Biomass_Waste</t>
  </si>
  <si>
    <t>TES_per_sqm.kWh.EL.Ser.Bld.Thermal.HW.DistrHeat.Steam_Distr</t>
  </si>
  <si>
    <t>TES_per_sqm.kWh.EL.Ser.Bld.Thermal.HW.Elc.Elec</t>
  </si>
  <si>
    <t>TES_per_sqm.kWh.EL.Ser.Bld.Thermal.HW.TotalSolar.Solar</t>
  </si>
  <si>
    <t>TES_per_sqm.kWh.EL.Ser.Bld.Thermal.CA</t>
  </si>
  <si>
    <t>TES_per_sqm.kWh.EL.Ser.Bld.Thermal.CA.LPG</t>
  </si>
  <si>
    <t>TES_per_sqm.kWh.EL.Ser.Bld.Thermal.CA.Gas.NG_Biogas</t>
  </si>
  <si>
    <t>TES_per_sqm.kWh.EL.Ser.Bld.Thermal.CA.Biomass.Biomass_Waste</t>
  </si>
  <si>
    <t>TES_per_sqm.kWh.EL.Ser.Bld.Thermal.CA.Elc.Elec</t>
  </si>
  <si>
    <t>EL - CO2 emissions per useful surface area</t>
  </si>
  <si>
    <t>EMI_per_sqm.kgCO2.EL.Ser.Bld.Thermal</t>
  </si>
  <si>
    <t>EMI_per_sqm.kgCO2.EL.Ser.Bld.Thermal.SH</t>
  </si>
  <si>
    <t>EMI_per_sqm.kgCO2.EL.Ser.Bld.Thermal.SH.Solids.Solids</t>
  </si>
  <si>
    <t>EMI_per_sqm.kgCO2.EL.Ser.Bld.Thermal.SH.LPG.LPG</t>
  </si>
  <si>
    <t>EMI_per_sqm.kgCO2.EL.Ser.Bld.Thermal.SH.Oil.Oil_LiqBio</t>
  </si>
  <si>
    <t>EMI_per_sqm.kgCO2.EL.Ser.Bld.Thermal.SH.GasHP.NG_Biogas</t>
  </si>
  <si>
    <t>EMI_per_sqm.kgCO2.EL.Ser.Bld.Thermal.SH.GasTH.NG_Biogas</t>
  </si>
  <si>
    <t>EMI_per_sqm.kgCO2.EL.Ser.Bld.Thermal.SH.Biomass.Biomass_Waste</t>
  </si>
  <si>
    <t>EMI_per_sqm.kgCO2.EL.Ser.Bld.Thermal.SH.Geo.Geo</t>
  </si>
  <si>
    <t>EMI_per_sqm.kgCO2.EL.Ser.Bld.Thermal.SH.DistrHeat.Steam_Distr</t>
  </si>
  <si>
    <t>EMI_per_sqm.kgCO2.EL.Ser.Bld.Thermal.SH.AdvElc.Elec</t>
  </si>
  <si>
    <t>EMI_per_sqm.kgCO2.EL.Ser.Bld.Thermal.SH.ConvElc.Elec</t>
  </si>
  <si>
    <t>EMI_per_sqm.kgCO2.EL.Ser.Bld.Thermal.SH.TotalCirculation.Elec</t>
  </si>
  <si>
    <t>EMI_per_sqm.kgCO2.EL.Ser.Bld.Thermal.SC</t>
  </si>
  <si>
    <t>EMI_per_sqm.kgCO2.EL.Ser.Bld.Thermal.SC.GasHP.NG_Biogas</t>
  </si>
  <si>
    <t>EMI_per_sqm.kgCO2.EL.Ser.Bld.Thermal.SC.AC.Elec</t>
  </si>
  <si>
    <t>EMI_per_sqm.kgCO2.EL.Ser.Bld.Thermal.HW</t>
  </si>
  <si>
    <t>EMI_per_sqm.kgCO2.EL.Ser.Bld.Thermal.HW.Solids.Solids</t>
  </si>
  <si>
    <t>EMI_per_sqm.kgCO2.EL.Ser.Bld.Thermal.HW.LPG.LPG</t>
  </si>
  <si>
    <t>EMI_per_sqm.kgCO2.EL.Ser.Bld.Thermal.HW.Oil.Oil_LiqBio</t>
  </si>
  <si>
    <t>EMI_per_sqm.kgCO2.EL.Ser.Bld.Thermal.HW.Gas.NG_Biogas</t>
  </si>
  <si>
    <t>EMI_per_sqm.kgCO2.EL.Ser.Bld.Thermal.HW.Biomass.Biomass_Waste</t>
  </si>
  <si>
    <t>EMI_per_sqm.kgCO2.EL.Ser.Bld.Thermal.HW.DistrHeat.Steam_Distr</t>
  </si>
  <si>
    <t>EMI_per_sqm.kgCO2.EL.Ser.Bld.Thermal.HW.Elc.Elec</t>
  </si>
  <si>
    <t>EMI_per_sqm.kgCO2.EL.Ser.Bld.Thermal.HW.TotalSolar.Solar</t>
  </si>
  <si>
    <t>EMI_per_sqm.kgCO2.EL.Ser.Bld.Thermal.CA</t>
  </si>
  <si>
    <t>EMI_per_sqm.kgCO2.EL.Ser.Bld.Thermal.CA.LPG</t>
  </si>
  <si>
    <t>EMI_per_sqm.kgCO2.EL.Ser.Bld.Thermal.CA.Gas.NG_Biogas</t>
  </si>
  <si>
    <t>EMI_per_sqm.kgCO2.EL.Ser.Bld.Thermal.CA.Biomass.Biomass_Waste</t>
  </si>
  <si>
    <t>EMI_per_sqm.kgCO2.EL.Ser.Bld.Thermal.CA.Elc.Elec</t>
  </si>
  <si>
    <t>EL - Number of new and renovated buildings</t>
  </si>
  <si>
    <t>NUM.number.EL.Ser.BldNew.Thermal</t>
  </si>
  <si>
    <t>NUM.number.EL.Ser.BldNew.Thermal.SH</t>
  </si>
  <si>
    <t>NUM.number.EL.Ser.BldNew.Thermal.SH.Solids</t>
  </si>
  <si>
    <t>NUM.number.EL.Ser.BldNew.Thermal.SH.LPG</t>
  </si>
  <si>
    <t>NUM.number.EL.Ser.BldNew.Thermal.SH.Oil</t>
  </si>
  <si>
    <t>NUM.number.EL.Ser.BldNew.Thermal.SH.GasHP</t>
  </si>
  <si>
    <t>NUM.number.EL.Ser.BldNew.Thermal.SH.GasTH</t>
  </si>
  <si>
    <t>NUM.number.EL.Ser.BldNew.Thermal.SH.Biomass</t>
  </si>
  <si>
    <t>NUM.number.EL.Ser.BldNew.Thermal.SH.Geo</t>
  </si>
  <si>
    <t>NUM.number.EL.Ser.BldNew.Thermal.SH.DistrHeat</t>
  </si>
  <si>
    <t>NUM.number.EL.Ser.BldNew.Thermal.SH.AdvElc</t>
  </si>
  <si>
    <t>NUM.number.EL.Ser.BldNew.Thermal.SH.ConvElc</t>
  </si>
  <si>
    <t>NUM.number.EL.Ser.BldNew.Thermal.SC</t>
  </si>
  <si>
    <t>NUM.number.EL.Ser.BldNew.Thermal.SC.GasHP</t>
  </si>
  <si>
    <t>NUM.number.EL.Ser.BldNew.Thermal.SC.AC</t>
  </si>
  <si>
    <t>NUM.number.EL.Ser.BldNew.Thermal.HW</t>
  </si>
  <si>
    <t>NUM.number.EL.Ser.BldNew.Thermal.HW.Solids</t>
  </si>
  <si>
    <t>NUM.number.EL.Ser.BldNew.Thermal.HW.LPG</t>
  </si>
  <si>
    <t>NUM.number.EL.Ser.BldNew.Thermal.HW.Oil</t>
  </si>
  <si>
    <t>NUM.number.EL.Ser.BldNew.Thermal.HW.Gas</t>
  </si>
  <si>
    <t>NUM.number.EL.Ser.BldNew.Thermal.HW.Biomass</t>
  </si>
  <si>
    <t>NUM.number.EL.Ser.BldNew.Thermal.HW.DistrHeat</t>
  </si>
  <si>
    <t>NUM.number.EL.Ser.BldNew.Thermal.HW.Elc</t>
  </si>
  <si>
    <t>NUM.number.EL.Ser.BldNew.Thermal.HW.Solar</t>
  </si>
  <si>
    <t>NUM.number.EL.Ser.BldNew.Thermal.CA</t>
  </si>
  <si>
    <t>NUM.number.EL.Ser.BldNew.Thermal.CA.LPG</t>
  </si>
  <si>
    <t>NUM.number.EL.Ser.BldNew.Thermal.CA.Gas</t>
  </si>
  <si>
    <t>NUM.number.EL.Ser.BldNew.Thermal.CA.Biomass</t>
  </si>
  <si>
    <t>NUM.number.EL.Ser.BldNew.Thermal.CA.Elc</t>
  </si>
  <si>
    <t>EL - Final energy consumption in new and renovated buildings</t>
  </si>
  <si>
    <t>FEC.ktoe.EL.Ser.BldNew.Thermal</t>
  </si>
  <si>
    <t>FEC.ktoe.EL.Ser.BldNew.Thermal.SH</t>
  </si>
  <si>
    <t>FEC.ktoe.EL.Ser.BldNew.Thermal.SH.Solids.Solids</t>
  </si>
  <si>
    <t>FEC.ktoe.EL.Ser.BldNew.Thermal.SH.LPG.LPG</t>
  </si>
  <si>
    <t>FEC.ktoe.EL.Ser.BldNew.Thermal.SH.Oil.Oil_LiqBio</t>
  </si>
  <si>
    <t>FEC.ktoe.EL.Ser.BldNew.Thermal.SH.GasHP.NG_Biogas</t>
  </si>
  <si>
    <t>FEC.ktoe.EL.Ser.BldNew.Thermal.SH.GasTH.NG_Biogas</t>
  </si>
  <si>
    <t>FEC.ktoe.EL.Ser.BldNew.Thermal.SH.Biomass.Biomass_Waste</t>
  </si>
  <si>
    <t>FEC.ktoe.EL.Ser.BldNew.Thermal.SH.Geo.Geo</t>
  </si>
  <si>
    <t>FEC.ktoe.EL.Ser.BldNew.Thermal.SH.DistrHeat.Steam_Distr</t>
  </si>
  <si>
    <t>FEC.ktoe.EL.Ser.BldNew.Thermal.SH.AdvElc.Elec</t>
  </si>
  <si>
    <t>FEC.ktoe.EL.Ser.BldNew.Thermal.SH.ConvElc.Elec</t>
  </si>
  <si>
    <t>FEC.ktoe.EL.Ser.BldNew.Thermal.SH.TotalCirculation.Elec</t>
  </si>
  <si>
    <t>FEC.ktoe.EL.Ser.BldNew.Thermal.SC</t>
  </si>
  <si>
    <t>FEC.ktoe.EL.Ser.BldNew.Thermal.SC.GasHP.NG_Biogas</t>
  </si>
  <si>
    <t>FEC.ktoe.EL.Ser.BldNew.Thermal.SC.AC.Elec</t>
  </si>
  <si>
    <t>FEC.ktoe.EL.Ser.BldNew.Thermal.HW</t>
  </si>
  <si>
    <t>FEC.ktoe.EL.Ser.BldNew.Thermal.HW.Solids.Solids</t>
  </si>
  <si>
    <t>FEC.ktoe.EL.Ser.BldNew.Thermal.HW.LPG.LPG</t>
  </si>
  <si>
    <t>FEC.ktoe.EL.Ser.BldNew.Thermal.HW.Oil.Oil_LiqBio</t>
  </si>
  <si>
    <t>FEC.ktoe.EL.Ser.BldNew.Thermal.HW.Gas.NG_Biogas</t>
  </si>
  <si>
    <t>FEC.ktoe.EL.Ser.BldNew.Thermal.HW.Biomass.Biomass_Waste</t>
  </si>
  <si>
    <t>FEC.ktoe.EL.Ser.BldNew.Thermal.HW.DistrHeat.Steam_Distr</t>
  </si>
  <si>
    <t>FEC.ktoe.EL.Ser.BldNew.Thermal.HW.Elc.Elec</t>
  </si>
  <si>
    <t>FEC.ktoe.EL.Ser.BldNew.Thermal.HW.TotalSolar.Solar</t>
  </si>
  <si>
    <t>FEC.ktoe.EL.Ser.BldNew.Thermal.CA</t>
  </si>
  <si>
    <t>FEC.ktoe.EL.Ser.BldNew.Thermal.CA.LPG</t>
  </si>
  <si>
    <t>FEC.ktoe.EL.Ser.BldNew.Thermal.CA.Gas.NG_Biogas</t>
  </si>
  <si>
    <t>FEC.ktoe.EL.Ser.BldNew.Thermal.CA.Biomass.Biomass_Waste</t>
  </si>
  <si>
    <t>FEC.ktoe.EL.Ser.BldNew.Thermal.CA.Elc.Elec</t>
  </si>
  <si>
    <t>EL - Thermal energy service in new and renovated buildings</t>
  </si>
  <si>
    <t>TES.ktoe.EL.Ser.BldNew.Thermal</t>
  </si>
  <si>
    <t>TES.ktoe.EL.Ser.BldNew.Thermal.SH</t>
  </si>
  <si>
    <t>TES.ktoe.EL.Ser.BldNew.Thermal.SH.Solids.Solids</t>
  </si>
  <si>
    <t>TES.ktoe.EL.Ser.BldNew.Thermal.SH.LPG.LPG</t>
  </si>
  <si>
    <t>TES.ktoe.EL.Ser.BldNew.Thermal.SH.Oil.Oil_LiqBio</t>
  </si>
  <si>
    <t>TES.ktoe.EL.Ser.BldNew.Thermal.SH.GasHP.NG_Biogas</t>
  </si>
  <si>
    <t>TES.ktoe.EL.Ser.BldNew.Thermal.SH.GasTH.NG_Biogas</t>
  </si>
  <si>
    <t>TES.ktoe.EL.Ser.BldNew.Thermal.SH.Biomass.Biomass_Waste</t>
  </si>
  <si>
    <t>TES.ktoe.EL.Ser.BldNew.Thermal.SH.Geo.Geo</t>
  </si>
  <si>
    <t>TES.ktoe.EL.Ser.BldNew.Thermal.SH.DistrHeat.Steam_Distr</t>
  </si>
  <si>
    <t>TES.ktoe.EL.Ser.BldNew.Thermal.SH.AdvElc.Elec</t>
  </si>
  <si>
    <t>TES.ktoe.EL.Ser.BldNew.Thermal.SH.ConvElc.Elec</t>
  </si>
  <si>
    <t>TES.ktoe.EL.Ser.BldNew.Thermal.SH.TotalCirculation.Elec</t>
  </si>
  <si>
    <t>TES.ktoe.EL.Ser.BldNew.Thermal.SC</t>
  </si>
  <si>
    <t>TES.ktoe.EL.Ser.BldNew.Thermal.SC.GasHP.NG_Biogas</t>
  </si>
  <si>
    <t>TES.ktoe.EL.Ser.BldNew.Thermal.SC.AC.Elec</t>
  </si>
  <si>
    <t>TES.ktoe.EL.Ser.BldNew.Thermal.HW</t>
  </si>
  <si>
    <t>TES.ktoe.EL.Ser.BldNew.Thermal.HW.Solids.Solids</t>
  </si>
  <si>
    <t>TES.ktoe.EL.Ser.BldNew.Thermal.HW.LPG.LPG</t>
  </si>
  <si>
    <t>TES.ktoe.EL.Ser.BldNew.Thermal.HW.Oil.Oil_LiqBio</t>
  </si>
  <si>
    <t>TES.ktoe.EL.Ser.BldNew.Thermal.HW.Gas.NG_Biogas</t>
  </si>
  <si>
    <t>TES.ktoe.EL.Ser.BldNew.Thermal.HW.Biomass.Biomass_Waste</t>
  </si>
  <si>
    <t>TES.ktoe.EL.Ser.BldNew.Thermal.HW.DistrHeat.Steam_Distr</t>
  </si>
  <si>
    <t>TES.ktoe.EL.Ser.BldNew.Thermal.HW.Elc.Elec</t>
  </si>
  <si>
    <t>TES.ktoe.EL.Ser.BldNew.Thermal.HW.TotalSolar.Solar</t>
  </si>
  <si>
    <t>TES.ktoe.EL.Ser.BldNew.Thermal.CA</t>
  </si>
  <si>
    <t>TES.ktoe.EL.Ser.BldNew.Thermal.CA.LPG</t>
  </si>
  <si>
    <t>TES.ktoe.EL.Ser.BldNew.Thermal.CA.Gas.NG_Biogas</t>
  </si>
  <si>
    <t>TES.ktoe.EL.Ser.BldNew.Thermal.CA.Biomass.Biomass_Waste</t>
  </si>
  <si>
    <t>TES.ktoe.EL.Ser.BldNew.Thermal.CA.Elc.Elec</t>
  </si>
  <si>
    <t>EL - System efficiency indicator of new and renovated buildings</t>
  </si>
  <si>
    <t>Eff.ratio.EL.Ser.BldNew.Thermal</t>
  </si>
  <si>
    <t>Eff.ratio.EL.Ser.BldNew.Thermal.SH</t>
  </si>
  <si>
    <t>Eff.ratio.EL.Ser.BldNew.Thermal.SH.Solids.Solids</t>
  </si>
  <si>
    <t>Eff.ratio.EL.Ser.BldNew.Thermal.SH.LPG.LPG</t>
  </si>
  <si>
    <t>Eff.ratio.EL.Ser.BldNew.Thermal.SH.Oil.Oil_LiqBio</t>
  </si>
  <si>
    <t>Eff.ratio.EL.Ser.BldNew.Thermal.SH.GasHP.NG_Biogas</t>
  </si>
  <si>
    <t>Eff.ratio.EL.Ser.BldNew.Thermal.SH.GasTH.NG_Biogas</t>
  </si>
  <si>
    <t>Eff.ratio.EL.Ser.BldNew.Thermal.SH.Biomass.Biomass_Waste</t>
  </si>
  <si>
    <t>Eff.ratio.EL.Ser.BldNew.Thermal.SH.Geo.Geo</t>
  </si>
  <si>
    <t>Eff.ratio.EL.Ser.BldNew.Thermal.SH.DistrHeat.Steam_Distr</t>
  </si>
  <si>
    <t>Eff.ratio.EL.Ser.BldNew.Thermal.SH.AdvElc.Elec</t>
  </si>
  <si>
    <t>Eff.ratio.EL.Ser.BldNew.Thermal.SH.ConvElc.Elec</t>
  </si>
  <si>
    <t>Eff.ratio.EL.Ser.BldNew.Thermal.SH.TotalCirculation.Elec</t>
  </si>
  <si>
    <t>Eff.ratio.EL.Ser.BldNew.Thermal.SC</t>
  </si>
  <si>
    <t>Eff.ratio.EL.Ser.BldNew.Thermal.SC.GasHP.NG_Biogas</t>
  </si>
  <si>
    <t>Eff.ratio.EL.Ser.BldNew.Thermal.SC.AC.Elec</t>
  </si>
  <si>
    <t>Eff.ratio.EL.Ser.BldNew.Thermal.HW</t>
  </si>
  <si>
    <t>Eff.ratio.EL.Ser.BldNew.Thermal.HW.Solids.Solids</t>
  </si>
  <si>
    <t>Eff.ratio.EL.Ser.BldNew.Thermal.HW.LPG.LPG</t>
  </si>
  <si>
    <t>Eff.ratio.EL.Ser.BldNew.Thermal.HW.Oil.Oil_LiqBio</t>
  </si>
  <si>
    <t>Eff.ratio.EL.Ser.BldNew.Thermal.HW.Gas.NG_Biogas</t>
  </si>
  <si>
    <t>Eff.ratio.EL.Ser.BldNew.Thermal.HW.Biomass.Biomass_Waste</t>
  </si>
  <si>
    <t>Eff.ratio.EL.Ser.BldNew.Thermal.HW.DistrHeat.Steam_Distr</t>
  </si>
  <si>
    <t>Eff.ratio.EL.Ser.BldNew.Thermal.HW.Elc.Elec</t>
  </si>
  <si>
    <t>Eff.ratio.EL.Ser.BldNew.Thermal.HW.TotalSolar.Solar</t>
  </si>
  <si>
    <t>Eff.ratio.EL.Ser.BldNew.Thermal.CA</t>
  </si>
  <si>
    <t>Eff.ratio.EL.Ser.BldNew.Thermal.CA.LPG</t>
  </si>
  <si>
    <t>Eff.ratio.EL.Ser.BldNew.Thermal.CA.Gas.NG_Biogas</t>
  </si>
  <si>
    <t>Eff.ratio.EL.Ser.BldNew.Thermal.CA.Biomass.Biomass_Waste</t>
  </si>
  <si>
    <t>Eff.ratio.EL.Ser.BldNew.Thermal.CA.Elc.Elec</t>
  </si>
  <si>
    <t>EL - CO2 emissions in new and renovated buildings</t>
  </si>
  <si>
    <t>EMI.ktCO2.EL.Ser.BldNew.Thermal</t>
  </si>
  <si>
    <t>EMI.ktCO2.EL.Ser.BldNew.Thermal.SH</t>
  </si>
  <si>
    <t>EMI.ktCO2.EL.Ser.BldNew.Thermal.SH.Solids.Solids</t>
  </si>
  <si>
    <t>EMI.ktCO2.EL.Ser.BldNew.Thermal.SH.LPG.LPG</t>
  </si>
  <si>
    <t>EMI.ktCO2.EL.Ser.BldNew.Thermal.SH.Oil.Oil_LiqBio</t>
  </si>
  <si>
    <t>EMI.ktCO2.EL.Ser.BldNew.Thermal.SH.GasHP.NG_Biogas</t>
  </si>
  <si>
    <t>EMI.ktCO2.EL.Ser.BldNew.Thermal.SH.GasTH.NG_Biogas</t>
  </si>
  <si>
    <t>EMI.ktCO2.EL.Ser.BldNew.Thermal.SH.Biomass.Biomass_Waste</t>
  </si>
  <si>
    <t>EMI.ktCO2.EL.Ser.BldNew.Thermal.SH.Geo.Geo</t>
  </si>
  <si>
    <t>EMI.ktCO2.EL.Ser.BldNew.Thermal.SH.DistrHeat.Steam_Distr</t>
  </si>
  <si>
    <t>EMI.ktCO2.EL.Ser.BldNew.Thermal.SH.AdvElc.Elec</t>
  </si>
  <si>
    <t>EMI.ktCO2.EL.Ser.BldNew.Thermal.SH.ConvElc.Elec</t>
  </si>
  <si>
    <t>EMI.ktCO2.EL.Ser.BldNew.Thermal.SH.TotalCirculation.Elec</t>
  </si>
  <si>
    <t>EMI.ktCO2.EL.Ser.BldNew.Thermal.SC</t>
  </si>
  <si>
    <t>EMI.ktCO2.EL.Ser.BldNew.Thermal.SC.GasHP.NG_Biogas</t>
  </si>
  <si>
    <t>EMI.ktCO2.EL.Ser.BldNew.Thermal.SC.AC.Elec</t>
  </si>
  <si>
    <t>EMI.ktCO2.EL.Ser.BldNew.Thermal.HW</t>
  </si>
  <si>
    <t>EMI.ktCO2.EL.Ser.BldNew.Thermal.HW.Solids.Solids</t>
  </si>
  <si>
    <t>EMI.ktCO2.EL.Ser.BldNew.Thermal.HW.LPG.LPG</t>
  </si>
  <si>
    <t>EMI.ktCO2.EL.Ser.BldNew.Thermal.HW.Oil.Oil_LiqBio</t>
  </si>
  <si>
    <t>EMI.ktCO2.EL.Ser.BldNew.Thermal.HW.Gas.NG_Biogas</t>
  </si>
  <si>
    <t>EMI.ktCO2.EL.Ser.BldNew.Thermal.HW.Biomass.Biomass_Waste</t>
  </si>
  <si>
    <t>EMI.ktCO2.EL.Ser.BldNew.Thermal.HW.DistrHeat.Steam_Distr</t>
  </si>
  <si>
    <t>EMI.ktCO2.EL.Ser.BldNew.Thermal.HW.Elc.Elec</t>
  </si>
  <si>
    <t>EMI.ktCO2.EL.Ser.BldNew.Thermal.HW.TotalSolar.Solar</t>
  </si>
  <si>
    <t>EMI.ktCO2.EL.Ser.BldNew.Thermal.CA</t>
  </si>
  <si>
    <t>EMI.ktCO2.EL.Ser.BldNew.Thermal.CA.LPG</t>
  </si>
  <si>
    <t>EMI.ktCO2.EL.Ser.BldNew.Thermal.CA.Gas.NG_Biogas</t>
  </si>
  <si>
    <t>EMI.ktCO2.EL.Ser.BldNew.Thermal.CA.Biomass.Biomass_Waste</t>
  </si>
  <si>
    <t>EMI.ktCO2.EL.Ser.BldNew.Thermal.CA.Elc.Elec</t>
  </si>
  <si>
    <t>EL - Final energy consumption of new and renovated buildings (per building)</t>
  </si>
  <si>
    <t>FEC_per_building.kWh.EL.Ser.BldNew.Thermal</t>
  </si>
  <si>
    <t>FEC_per_building.kWh.EL.Ser.BldNew.Thermal.SH</t>
  </si>
  <si>
    <t>FEC_per_building.kWh.EL.Ser.BldNew.Thermal.SH.Solids.Solids</t>
  </si>
  <si>
    <t>FEC_per_building.kWh.EL.Ser.BldNew.Thermal.SH.LPG.LPG</t>
  </si>
  <si>
    <t>FEC_per_building.kWh.EL.Ser.BldNew.Thermal.SH.Oil.Oil_LiqBio</t>
  </si>
  <si>
    <t>FEC_per_building.kWh.EL.Ser.BldNew.Thermal.SH.GasHP.NG_Biogas</t>
  </si>
  <si>
    <t>FEC_per_building.kWh.EL.Ser.BldNew.Thermal.SH.GasTH.NG_Biogas</t>
  </si>
  <si>
    <t>FEC_per_building.kWh.EL.Ser.BldNew.Thermal.SH.Biomass.Biomass_Waste</t>
  </si>
  <si>
    <t>FEC_per_building.kWh.EL.Ser.BldNew.Thermal.SH.Geo.Geo</t>
  </si>
  <si>
    <t>FEC_per_building.kWh.EL.Ser.BldNew.Thermal.SH.DistrHeat.Steam_Distr</t>
  </si>
  <si>
    <t>FEC_per_building.kWh.EL.Ser.BldNew.Thermal.SH.AdvElc.Elec</t>
  </si>
  <si>
    <t>FEC_per_building.kWh.EL.Ser.BldNew.Thermal.SH.ConvElc.Elec</t>
  </si>
  <si>
    <t>FEC_per_building.kWh.EL.Ser.BldNew.Thermal.SH.TotalCirculation.Elec</t>
  </si>
  <si>
    <t>FEC_per_building.kWh.EL.Ser.BldNew.Thermal.SC</t>
  </si>
  <si>
    <t>FEC_per_building.kWh.EL.Ser.BldNew.Thermal.SC.GasHP.NG_Biogas</t>
  </si>
  <si>
    <t>FEC_per_building.kWh.EL.Ser.BldNew.Thermal.SC.AC.Elec</t>
  </si>
  <si>
    <t>FEC_per_building.kWh.EL.Ser.BldNew.Thermal.HW</t>
  </si>
  <si>
    <t>FEC_per_building.kWh.EL.Ser.BldNew.Thermal.HW.Solids.Solids</t>
  </si>
  <si>
    <t>FEC_per_building.kWh.EL.Ser.BldNew.Thermal.HW.LPG.LPG</t>
  </si>
  <si>
    <t>FEC_per_building.kWh.EL.Ser.BldNew.Thermal.HW.Oil.Oil_LiqBio</t>
  </si>
  <si>
    <t>FEC_per_building.kWh.EL.Ser.BldNew.Thermal.HW.Gas.NG_Biogas</t>
  </si>
  <si>
    <t>FEC_per_building.kWh.EL.Ser.BldNew.Thermal.HW.Biomass.Biomass_Waste</t>
  </si>
  <si>
    <t>FEC_per_building.kWh.EL.Ser.BldNew.Thermal.HW.DistrHeat.Steam_Distr</t>
  </si>
  <si>
    <t>FEC_per_building.kWh.EL.Ser.BldNew.Thermal.HW.Elc.Elec</t>
  </si>
  <si>
    <t>FEC_per_building.kWh.EL.Ser.BldNew.Thermal.HW.TotalSolar.Solar</t>
  </si>
  <si>
    <t>FEC_per_building.kWh.EL.Ser.BldNew.Thermal.CA</t>
  </si>
  <si>
    <t>FEC_per_building.kWh.EL.Ser.BldNew.Thermal.CA.LPG</t>
  </si>
  <si>
    <t>FEC_per_building.kWh.EL.Ser.BldNew.Thermal.CA.Gas.NG_Biogas</t>
  </si>
  <si>
    <t>FEC_per_building.kWh.EL.Ser.BldNew.Thermal.CA.Biomass.Biomass_Waste</t>
  </si>
  <si>
    <t>FEC_per_building.kWh.EL.Ser.BldNew.Thermal.CA.Elc.Elec</t>
  </si>
  <si>
    <t>EL - Thermal energy service of new and renovated buildings (per building)</t>
  </si>
  <si>
    <t>TES_per_building.kWh.EL.Ser.BldNew.Thermal</t>
  </si>
  <si>
    <t>TES_per_building.kWh.EL.Ser.BldNew.Thermal.SH</t>
  </si>
  <si>
    <t>TES_per_building.kWh.EL.Ser.BldNew.Thermal.SH.Solids.Solids</t>
  </si>
  <si>
    <t>TES_per_building.kWh.EL.Ser.BldNew.Thermal.SH.LPG.LPG</t>
  </si>
  <si>
    <t>TES_per_building.kWh.EL.Ser.BldNew.Thermal.SH.Oil.Oil_LiqBio</t>
  </si>
  <si>
    <t>TES_per_building.kWh.EL.Ser.BldNew.Thermal.SH.GasHP.NG_Biogas</t>
  </si>
  <si>
    <t>TES_per_building.kWh.EL.Ser.BldNew.Thermal.SH.GasTH.NG_Biogas</t>
  </si>
  <si>
    <t>TES_per_building.kWh.EL.Ser.BldNew.Thermal.SH.Biomass.Biomass_Waste</t>
  </si>
  <si>
    <t>TES_per_building.kWh.EL.Ser.BldNew.Thermal.SH.Geo.Geo</t>
  </si>
  <si>
    <t>TES_per_building.kWh.EL.Ser.BldNew.Thermal.SH.DistrHeat.Steam_Distr</t>
  </si>
  <si>
    <t>TES_per_building.kWh.EL.Ser.BldNew.Thermal.SH.AdvElc.Elec</t>
  </si>
  <si>
    <t>TES_per_building.kWh.EL.Ser.BldNew.Thermal.SH.ConvElc.Elec</t>
  </si>
  <si>
    <t>TES_per_building.kWh.EL.Ser.BldNew.Thermal.SH.TotalCirculation.Elec</t>
  </si>
  <si>
    <t>TES_per_building.kWh.EL.Ser.BldNew.Thermal.SC</t>
  </si>
  <si>
    <t>TES_per_building.kWh.EL.Ser.BldNew.Thermal.SC.GasHP.NG_Biogas</t>
  </si>
  <si>
    <t>TES_per_building.kWh.EL.Ser.BldNew.Thermal.SC.AC.Elec</t>
  </si>
  <si>
    <t>TES_per_building.kWh.EL.Ser.BldNew.Thermal.HW</t>
  </si>
  <si>
    <t>TES_per_building.kWh.EL.Ser.BldNew.Thermal.HW.Solids.Solids</t>
  </si>
  <si>
    <t>TES_per_building.kWh.EL.Ser.BldNew.Thermal.HW.LPG.LPG</t>
  </si>
  <si>
    <t>TES_per_building.kWh.EL.Ser.BldNew.Thermal.HW.Oil.Oil_LiqBio</t>
  </si>
  <si>
    <t>TES_per_building.kWh.EL.Ser.BldNew.Thermal.HW.Gas.NG_Biogas</t>
  </si>
  <si>
    <t>TES_per_building.kWh.EL.Ser.BldNew.Thermal.HW.Biomass.Biomass_Waste</t>
  </si>
  <si>
    <t>TES_per_building.kWh.EL.Ser.BldNew.Thermal.HW.DistrHeat.Steam_Distr</t>
  </si>
  <si>
    <t>TES_per_building.kWh.EL.Ser.BldNew.Thermal.HW.Elc.Elec</t>
  </si>
  <si>
    <t>TES_per_building.kWh.EL.Ser.BldNew.Thermal.HW.TotalSolar.Solar</t>
  </si>
  <si>
    <t>TES_per_building.kWh.EL.Ser.BldNew.Thermal.CA</t>
  </si>
  <si>
    <t>TES_per_building.kWh.EL.Ser.BldNew.Thermal.CA.LPG</t>
  </si>
  <si>
    <t>TES_per_building.kWh.EL.Ser.BldNew.Thermal.CA.Gas.NG_Biogas</t>
  </si>
  <si>
    <t>TES_per_building.kWh.EL.Ser.BldNew.Thermal.CA.Biomass.Biomass_Waste</t>
  </si>
  <si>
    <t>TES_per_building.kWh.EL.Ser.BldNew.Thermal.CA.Elc.Elec</t>
  </si>
  <si>
    <t>EL - CO2 emissions in new and renovated buildings (per building)</t>
  </si>
  <si>
    <t>EMI_per_building.kgCO2.EL.Ser.BldNew.Thermal</t>
  </si>
  <si>
    <t>EMI_per_building.kgCO2.EL.Ser.BldNew.Thermal.SH</t>
  </si>
  <si>
    <t>EMI_per_building.kgCO2.EL.Ser.BldNew.Thermal.SH.Solids.Solids</t>
  </si>
  <si>
    <t>EMI_per_building.kgCO2.EL.Ser.BldNew.Thermal.SH.LPG.LPG</t>
  </si>
  <si>
    <t>EMI_per_building.kgCO2.EL.Ser.BldNew.Thermal.SH.Oil.Oil_LiqBio</t>
  </si>
  <si>
    <t>EMI_per_building.kgCO2.EL.Ser.BldNew.Thermal.SH.GasHP.NG_Biogas</t>
  </si>
  <si>
    <t>EMI_per_building.kgCO2.EL.Ser.BldNew.Thermal.SH.GasTH.NG_Biogas</t>
  </si>
  <si>
    <t>EMI_per_building.kgCO2.EL.Ser.BldNew.Thermal.SH.Biomass.Biomass_Waste</t>
  </si>
  <si>
    <t>EMI_per_building.kgCO2.EL.Ser.BldNew.Thermal.SH.Geo.Geo</t>
  </si>
  <si>
    <t>EMI_per_building.kgCO2.EL.Ser.BldNew.Thermal.SH.DistrHeat.Steam_Distr</t>
  </si>
  <si>
    <t>EMI_per_building.kgCO2.EL.Ser.BldNew.Thermal.SH.AdvElc.Elec</t>
  </si>
  <si>
    <t>EMI_per_building.kgCO2.EL.Ser.BldNew.Thermal.SH.ConvElc.Elec</t>
  </si>
  <si>
    <t>EMI_per_building.kgCO2.EL.Ser.BldNew.Thermal.SH.TotalCirculation.Elec</t>
  </si>
  <si>
    <t>EMI_per_building.kgCO2.EL.Ser.BldNew.Thermal.SC</t>
  </si>
  <si>
    <t>EMI_per_building.kgCO2.EL.Ser.BldNew.Thermal.SC.GasHP.NG_Biogas</t>
  </si>
  <si>
    <t>EMI_per_building.kgCO2.EL.Ser.BldNew.Thermal.SC.AC.Elec</t>
  </si>
  <si>
    <t>EMI_per_building.kgCO2.EL.Ser.BldNew.Thermal.HW</t>
  </si>
  <si>
    <t>EMI_per_building.kgCO2.EL.Ser.BldNew.Thermal.HW.Solids.Solids</t>
  </si>
  <si>
    <t>EMI_per_building.kgCO2.EL.Ser.BldNew.Thermal.HW.LPG.LPG</t>
  </si>
  <si>
    <t>EMI_per_building.kgCO2.EL.Ser.BldNew.Thermal.HW.Oil.Oil_LiqBio</t>
  </si>
  <si>
    <t>EMI_per_building.kgCO2.EL.Ser.BldNew.Thermal.HW.Gas.NG_Biogas</t>
  </si>
  <si>
    <t>EMI_per_building.kgCO2.EL.Ser.BldNew.Thermal.HW.Biomass.Biomass_Waste</t>
  </si>
  <si>
    <t>EMI_per_building.kgCO2.EL.Ser.BldNew.Thermal.HW.DistrHeat.Steam_Distr</t>
  </si>
  <si>
    <t>EMI_per_building.kgCO2.EL.Ser.BldNew.Thermal.HW.Elc.Elec</t>
  </si>
  <si>
    <t>EMI_per_building.kgCO2.EL.Ser.BldNew.Thermal.HW.TotalSolar.Solar</t>
  </si>
  <si>
    <t>EMI_per_building.kgCO2.EL.Ser.BldNew.Thermal.CA</t>
  </si>
  <si>
    <t>EMI_per_building.kgCO2.EL.Ser.BldNew.Thermal.CA.LPG</t>
  </si>
  <si>
    <t>EMI_per_building.kgCO2.EL.Ser.BldNew.Thermal.CA.Gas.NG_Biogas</t>
  </si>
  <si>
    <t>EMI_per_building.kgCO2.EL.Ser.BldNew.Thermal.CA.Biomass.Biomass_Waste</t>
  </si>
  <si>
    <t>EMI_per_building.kgCO2.EL.Ser.BldNew.Thermal.CA.Elc.Elec</t>
  </si>
  <si>
    <t>EL - Final energy consumption in new and renovated buildings per surface area</t>
  </si>
  <si>
    <t>FEC_per_sqm.kWh.EL.Ser.BldNew.Thermal</t>
  </si>
  <si>
    <t>FEC_per_sqm.kWh.EL.Ser.BldNew.Thermal.SH</t>
  </si>
  <si>
    <t>FEC_per_sqm.kWh.EL.Ser.BldNew.Thermal.SH.Solids.Solids</t>
  </si>
  <si>
    <t>FEC_per_sqm.kWh.EL.Ser.BldNew.Thermal.SH.LPG.LPG</t>
  </si>
  <si>
    <t>FEC_per_sqm.kWh.EL.Ser.BldNew.Thermal.SH.Oil.Oil_LiqBio</t>
  </si>
  <si>
    <t>FEC_per_sqm.kWh.EL.Ser.BldNew.Thermal.SH.GasHP.NG_Biogas</t>
  </si>
  <si>
    <t>FEC_per_sqm.kWh.EL.Ser.BldNew.Thermal.SH.GasTH.NG_Biogas</t>
  </si>
  <si>
    <t>FEC_per_sqm.kWh.EL.Ser.BldNew.Thermal.SH.Biomass.Biomass_Waste</t>
  </si>
  <si>
    <t>FEC_per_sqm.kWh.EL.Ser.BldNew.Thermal.SH.Geo.Geo</t>
  </si>
  <si>
    <t>FEC_per_sqm.kWh.EL.Ser.BldNew.Thermal.SH.DistrHeat.Steam_Distr</t>
  </si>
  <si>
    <t>FEC_per_sqm.kWh.EL.Ser.BldNew.Thermal.SH.AdvElc.Elec</t>
  </si>
  <si>
    <t>FEC_per_sqm.kWh.EL.Ser.BldNew.Thermal.SH.ConvElc.Elec</t>
  </si>
  <si>
    <t>FEC_per_sqm.kWh.EL.Ser.BldNew.Thermal.SH.TotalCirculation.Elec</t>
  </si>
  <si>
    <t>FEC_per_sqm.kWh.EL.Ser.BldNew.Thermal.SC</t>
  </si>
  <si>
    <t>FEC_per_sqm.kWh.EL.Ser.BldNew.Thermal.SC.GasHP.NG_Biogas</t>
  </si>
  <si>
    <t>FEC_per_sqm.kWh.EL.Ser.BldNew.Thermal.SC.AC.Elec</t>
  </si>
  <si>
    <t>FEC_per_sqm.kWh.EL.Ser.BldNew.Thermal.HW</t>
  </si>
  <si>
    <t>FEC_per_sqm.kWh.EL.Ser.BldNew.Thermal.HW.Solids.Solids</t>
  </si>
  <si>
    <t>FEC_per_sqm.kWh.EL.Ser.BldNew.Thermal.HW.LPG.LPG</t>
  </si>
  <si>
    <t>FEC_per_sqm.kWh.EL.Ser.BldNew.Thermal.HW.Oil.Oil_LiqBio</t>
  </si>
  <si>
    <t>FEC_per_sqm.kWh.EL.Ser.BldNew.Thermal.HW.Gas.NG_Biogas</t>
  </si>
  <si>
    <t>FEC_per_sqm.kWh.EL.Ser.BldNew.Thermal.HW.Biomass.Biomass_Waste</t>
  </si>
  <si>
    <t>FEC_per_sqm.kWh.EL.Ser.BldNew.Thermal.HW.DistrHeat.Steam_Distr</t>
  </si>
  <si>
    <t>FEC_per_sqm.kWh.EL.Ser.BldNew.Thermal.HW.Elc.Elec</t>
  </si>
  <si>
    <t>FEC_per_sqm.kWh.EL.Ser.BldNew.Thermal.HW.TotalSolar.Solar</t>
  </si>
  <si>
    <t>FEC_per_sqm.kWh.EL.Ser.BldNew.Thermal.CA</t>
  </si>
  <si>
    <t>FEC_per_sqm.kWh.EL.Ser.BldNew.Thermal.CA.LPG</t>
  </si>
  <si>
    <t>FEC_per_sqm.kWh.EL.Ser.BldNew.Thermal.CA.Gas.NG_Biogas</t>
  </si>
  <si>
    <t>FEC_per_sqm.kWh.EL.Ser.BldNew.Thermal.CA.Biomass.Biomass_Waste</t>
  </si>
  <si>
    <t>FEC_per_sqm.kWh.EL.Ser.BldNew.Thermal.CA.Elc.Elec</t>
  </si>
  <si>
    <t>EL - Thermal energy service in new and renovated buildings per surface area</t>
  </si>
  <si>
    <t>TES_per_sqm.kWh.EL.Ser.BldNew.Thermal</t>
  </si>
  <si>
    <t>TES_per_sqm.kWh.EL.Ser.BldNew.Thermal.SH</t>
  </si>
  <si>
    <t>TES_per_sqm.kWh.EL.Ser.BldNew.Thermal.SH.Solids.Solids</t>
  </si>
  <si>
    <t>TES_per_sqm.kWh.EL.Ser.BldNew.Thermal.SH.LPG.LPG</t>
  </si>
  <si>
    <t>TES_per_sqm.kWh.EL.Ser.BldNew.Thermal.SH.Oil.Oil_LiqBio</t>
  </si>
  <si>
    <t>TES_per_sqm.kWh.EL.Ser.BldNew.Thermal.SH.GasHP.NG_Biogas</t>
  </si>
  <si>
    <t>TES_per_sqm.kWh.EL.Ser.BldNew.Thermal.SH.GasTH.NG_Biogas</t>
  </si>
  <si>
    <t>TES_per_sqm.kWh.EL.Ser.BldNew.Thermal.SH.Biomass.Biomass_Waste</t>
  </si>
  <si>
    <t>TES_per_sqm.kWh.EL.Ser.BldNew.Thermal.SH.Geo.Geo</t>
  </si>
  <si>
    <t>TES_per_sqm.kWh.EL.Ser.BldNew.Thermal.SH.DistrHeat.Steam_Distr</t>
  </si>
  <si>
    <t>TES_per_sqm.kWh.EL.Ser.BldNew.Thermal.SH.AdvElc.Elec</t>
  </si>
  <si>
    <t>TES_per_sqm.kWh.EL.Ser.BldNew.Thermal.SH.ConvElc.Elec</t>
  </si>
  <si>
    <t>TES_per_sqm.kWh.EL.Ser.BldNew.Thermal.SH.TotalCirculation.Elec</t>
  </si>
  <si>
    <t>TES_per_sqm.kWh.EL.Ser.BldNew.Thermal.SC</t>
  </si>
  <si>
    <t>TES_per_sqm.kWh.EL.Ser.BldNew.Thermal.SC.GasHP.NG_Biogas</t>
  </si>
  <si>
    <t>TES_per_sqm.kWh.EL.Ser.BldNew.Thermal.SC.AC.Elec</t>
  </si>
  <si>
    <t>TES_per_sqm.kWh.EL.Ser.BldNew.Thermal.HW</t>
  </si>
  <si>
    <t>TES_per_sqm.kWh.EL.Ser.BldNew.Thermal.HW.Solids.Solids</t>
  </si>
  <si>
    <t>TES_per_sqm.kWh.EL.Ser.BldNew.Thermal.HW.LPG.LPG</t>
  </si>
  <si>
    <t>TES_per_sqm.kWh.EL.Ser.BldNew.Thermal.HW.Oil.Oil_LiqBio</t>
  </si>
  <si>
    <t>TES_per_sqm.kWh.EL.Ser.BldNew.Thermal.HW.Gas.NG_Biogas</t>
  </si>
  <si>
    <t>TES_per_sqm.kWh.EL.Ser.BldNew.Thermal.HW.Biomass.Biomass_Waste</t>
  </si>
  <si>
    <t>TES_per_sqm.kWh.EL.Ser.BldNew.Thermal.HW.DistrHeat.Steam_Distr</t>
  </si>
  <si>
    <t>TES_per_sqm.kWh.EL.Ser.BldNew.Thermal.HW.Elc.Elec</t>
  </si>
  <si>
    <t>TES_per_sqm.kWh.EL.Ser.BldNew.Thermal.HW.TotalSolar.Solar</t>
  </si>
  <si>
    <t>TES_per_sqm.kWh.EL.Ser.BldNew.Thermal.CA</t>
  </si>
  <si>
    <t>TES_per_sqm.kWh.EL.Ser.BldNew.Thermal.CA.LPG</t>
  </si>
  <si>
    <t>TES_per_sqm.kWh.EL.Ser.BldNew.Thermal.CA.Gas.NG_Biogas</t>
  </si>
  <si>
    <t>TES_per_sqm.kWh.EL.Ser.BldNew.Thermal.CA.Biomass.Biomass_Waste</t>
  </si>
  <si>
    <t>TES_per_sqm.kWh.EL.Ser.BldNew.Thermal.CA.Elc.Elec</t>
  </si>
  <si>
    <t>EL - CO2 emissions in new and renovated buildings per surface area</t>
  </si>
  <si>
    <t>EMI_per_sqm.kgCO2.EL.Ser.BldNew.Thermal</t>
  </si>
  <si>
    <t>EMI_per_sqm.kgCO2.EL.Ser.BldNew.Thermal.SH</t>
  </si>
  <si>
    <t>EMI_per_sqm.kgCO2.EL.Ser.BldNew.Thermal.SH.Solids.Solids</t>
  </si>
  <si>
    <t>EMI_per_sqm.kgCO2.EL.Ser.BldNew.Thermal.SH.LPG.LPG</t>
  </si>
  <si>
    <t>EMI_per_sqm.kgCO2.EL.Ser.BldNew.Thermal.SH.Oil.Oil_LiqBio</t>
  </si>
  <si>
    <t>EMI_per_sqm.kgCO2.EL.Ser.BldNew.Thermal.SH.GasHP.NG_Biogas</t>
  </si>
  <si>
    <t>EMI_per_sqm.kgCO2.EL.Ser.BldNew.Thermal.SH.GasTH.NG_Biogas</t>
  </si>
  <si>
    <t>EMI_per_sqm.kgCO2.EL.Ser.BldNew.Thermal.SH.Biomass.Biomass_Waste</t>
  </si>
  <si>
    <t>EMI_per_sqm.kgCO2.EL.Ser.BldNew.Thermal.SH.Geo.Geo</t>
  </si>
  <si>
    <t>EMI_per_sqm.kgCO2.EL.Ser.BldNew.Thermal.SH.DistrHeat.Steam_Distr</t>
  </si>
  <si>
    <t>EMI_per_sqm.kgCO2.EL.Ser.BldNew.Thermal.SH.AdvElc.Elec</t>
  </si>
  <si>
    <t>EMI_per_sqm.kgCO2.EL.Ser.BldNew.Thermal.SH.ConvElc.Elec</t>
  </si>
  <si>
    <t>EMI_per_sqm.kgCO2.EL.Ser.BldNew.Thermal.SH.TotalCirculation.Elec</t>
  </si>
  <si>
    <t>EMI_per_sqm.kgCO2.EL.Ser.BldNew.Thermal.SC</t>
  </si>
  <si>
    <t>EMI_per_sqm.kgCO2.EL.Ser.BldNew.Thermal.SC.GasHP.NG_Biogas</t>
  </si>
  <si>
    <t>EMI_per_sqm.kgCO2.EL.Ser.BldNew.Thermal.SC.AC.Elec</t>
  </si>
  <si>
    <t>EMI_per_sqm.kgCO2.EL.Ser.BldNew.Thermal.HW</t>
  </si>
  <si>
    <t>EMI_per_sqm.kgCO2.EL.Ser.BldNew.Thermal.HW.Solids.Solids</t>
  </si>
  <si>
    <t>EMI_per_sqm.kgCO2.EL.Ser.BldNew.Thermal.HW.LPG.LPG</t>
  </si>
  <si>
    <t>EMI_per_sqm.kgCO2.EL.Ser.BldNew.Thermal.HW.Oil.Oil_LiqBio</t>
  </si>
  <si>
    <t>EMI_per_sqm.kgCO2.EL.Ser.BldNew.Thermal.HW.Gas.NG_Biogas</t>
  </si>
  <si>
    <t>EMI_per_sqm.kgCO2.EL.Ser.BldNew.Thermal.HW.Biomass.Biomass_Waste</t>
  </si>
  <si>
    <t>EMI_per_sqm.kgCO2.EL.Ser.BldNew.Thermal.HW.DistrHeat.Steam_Distr</t>
  </si>
  <si>
    <t>EMI_per_sqm.kgCO2.EL.Ser.BldNew.Thermal.HW.Elc.Elec</t>
  </si>
  <si>
    <t>EMI_per_sqm.kgCO2.EL.Ser.BldNew.Thermal.HW.TotalSolar.Solar</t>
  </si>
  <si>
    <t>EMI_per_sqm.kgCO2.EL.Ser.BldNew.Thermal.CA</t>
  </si>
  <si>
    <t>EMI_per_sqm.kgCO2.EL.Ser.BldNew.Thermal.CA.LPG</t>
  </si>
  <si>
    <t>EMI_per_sqm.kgCO2.EL.Ser.BldNew.Thermal.CA.Gas.NG_Biogas</t>
  </si>
  <si>
    <t>EMI_per_sqm.kgCO2.EL.Ser.BldNew.Thermal.CA.Biomass.Biomass_Waste</t>
  </si>
  <si>
    <t>EMI_per_sqm.kgCO2.EL.Ser.BldNew.Thermal.CA.Elc.Elec</t>
  </si>
  <si>
    <t>FEC.ktoe.EL.Ser.SEU.VE</t>
  </si>
  <si>
    <t>FEC.ktoe.EL.Ser.SEU.SL</t>
  </si>
  <si>
    <t>FEC.ktoe.EL.Ser.SEU.BL</t>
  </si>
  <si>
    <t>FEC.ktoe.EL.Ser.SEU.CR</t>
  </si>
  <si>
    <t>FEC.ktoe.EL.Ser.SEU.BT</t>
  </si>
  <si>
    <t>FEC.ktoe.EL.Ser.SEU.IT</t>
  </si>
  <si>
    <t>Size.MW.EL.Ser.SEU</t>
  </si>
  <si>
    <t>Size.MW.EL.Ser.SEU.VE</t>
  </si>
  <si>
    <t>Size.MW.EL.Ser.SEU.SL</t>
  </si>
  <si>
    <t>Size.MW.EL.Ser.SEU.BL</t>
  </si>
  <si>
    <t>Size.MW.EL.Ser.SEU.CR</t>
  </si>
  <si>
    <t>Size.MW.EL.Ser.SEU.BT</t>
  </si>
  <si>
    <t>Size.MW.EL.Ser.SEU.IT</t>
  </si>
  <si>
    <t>NUM.Msqm.EL.Ser.SEU.VE</t>
  </si>
  <si>
    <t>NUM.k.EL.Ser.SEU.SL</t>
  </si>
  <si>
    <t>NUM.M.EL.Ser.SEU.BL</t>
  </si>
  <si>
    <t>NUM.k.EL.Ser.SEU.CR</t>
  </si>
  <si>
    <t>NUM.Msqm.EL.Ser.SEU.BT</t>
  </si>
  <si>
    <t>NUM.k.EL.Ser.SEU.IT</t>
  </si>
  <si>
    <t>NUM.Msqm.EL.Ser.SEUnew.VE</t>
  </si>
  <si>
    <t>NUM.k.EL.Ser.SEUnew.SL</t>
  </si>
  <si>
    <t>NUM.M.EL.Ser.SEUnew.BL</t>
  </si>
  <si>
    <t>NUM.k.EL.Ser.SEUnew.CR</t>
  </si>
  <si>
    <t>NUM.Msqm.EL.Ser.SEUnew.BT</t>
  </si>
  <si>
    <t>NUM.k.EL.Ser.SEUnew.IT</t>
  </si>
  <si>
    <t>NUM.Msqm.EL.Ser.SEUrepl.VE</t>
  </si>
  <si>
    <t>NUM.k.EL.Ser.SEUrepl.SL</t>
  </si>
  <si>
    <t>NUM.M.EL.Ser.SEUrepl.BL</t>
  </si>
  <si>
    <t>NUM.k.EL.Ser.SEUrepl.CR</t>
  </si>
  <si>
    <t>NUM.Msqm.EL.Ser.SEUrepl.BT</t>
  </si>
  <si>
    <t>NUM.k.EL.Ser.SEUrepl.IT</t>
  </si>
  <si>
    <t>Op.hours.EL.Ser.SEU.VE</t>
  </si>
  <si>
    <t>Op.hours.EL.Ser.SEU.SL</t>
  </si>
  <si>
    <t>Op.hours.EL.Ser.SEU.BL</t>
  </si>
  <si>
    <t>Op.hours.EL.Ser.SEU.CR</t>
  </si>
  <si>
    <t>Op.hours.EL.Ser.SEU.BT</t>
  </si>
  <si>
    <t>Op.hours.EL.Ser.SEU.IT</t>
  </si>
  <si>
    <t>Size_per_appl.W.EL.Ser.SEU.VE</t>
  </si>
  <si>
    <t>Size_per_appl.W.EL.Ser.SEU.SL</t>
  </si>
  <si>
    <t>Size_per_appl.W.EL.Ser.SEU.BL</t>
  </si>
  <si>
    <t>Size_per_appl.W.EL.Ser.SEU.CR</t>
  </si>
  <si>
    <t>Size_per_appl.W.EL.Ser.SEU.BT</t>
  </si>
  <si>
    <t>Size_per_appl.W.EL.Ser.SEU.IT</t>
  </si>
  <si>
    <t>Size_per_appl.W.EL.Ser.SEUnew.VE</t>
  </si>
  <si>
    <t>Size_per_appl.W.EL.Ser.SEUnew.SL</t>
  </si>
  <si>
    <t>Size_per_appl.W.EL.Ser.SEUnew.BL</t>
  </si>
  <si>
    <t>Size_per_appl.W.EL.Ser.SEUnew.CR</t>
  </si>
  <si>
    <t>Size_per_appl.W.EL.Ser.SEUnew.BT</t>
  </si>
  <si>
    <t>Size_per_appl.W.EL.Ser.SEUnew.IT</t>
  </si>
  <si>
    <t>NUM.sqm_per_building.EL.Ser.SEU.VE</t>
  </si>
  <si>
    <t>NUM.number_per_capita.EL.Ser.SEU.SL</t>
  </si>
  <si>
    <t>NUM.number_per_building.EL.Ser.SEU.BL</t>
  </si>
  <si>
    <t>NUM.number_per_capita.EL.Ser.SEU.CR</t>
  </si>
  <si>
    <t>NUM.sqm_per_building.EL.Ser.SEU.BT</t>
  </si>
  <si>
    <t>NUM.number_per_capita.EL.Ser.SEU.IT</t>
  </si>
  <si>
    <t>Lumens_per_sqm.lumen.EL.Ser.SEU.BL</t>
  </si>
  <si>
    <t>EL - Services / specific electric uses</t>
  </si>
  <si>
    <t>EL - Ventilation and others</t>
  </si>
  <si>
    <t>EL - Street lighting</t>
  </si>
  <si>
    <t>EL - Building lighting</t>
  </si>
  <si>
    <t>EL - Commercial refrigeration</t>
  </si>
  <si>
    <t>EL - Miscellaneous building technologies</t>
  </si>
  <si>
    <t>EL - ICT and multimedia</t>
  </si>
  <si>
    <t>EL - Agriculture, forestry and fishing</t>
  </si>
  <si>
    <t>VA.Meuro2015.EL.AGR.AGR</t>
  </si>
  <si>
    <t>OUTPUT.index.EL.AGR.AGR</t>
  </si>
  <si>
    <t>CAP.index.EL.AGR.AGR</t>
  </si>
  <si>
    <t>NEWCAP.index.EL.AGR.AGR</t>
  </si>
  <si>
    <t>CAPOUT.index.EL.AGR.AGR</t>
  </si>
  <si>
    <t>CAPIDLE.index.EL.AGR.AGR</t>
  </si>
  <si>
    <t>FEC.ktoe.EL.ES.AGR</t>
  </si>
  <si>
    <t>FEC.ktoe.EL.ES.AGR.Solids</t>
  </si>
  <si>
    <t>FEC.ktoe.EL.ES.AGR.LPG</t>
  </si>
  <si>
    <t>FEC.ktoe.EL.ES.AGR.Diesel</t>
  </si>
  <si>
    <t>FEC.ktoe.EL.ES.AGR.RFO</t>
  </si>
  <si>
    <t>FEC.ktoe.EL.ES.AGR.NG</t>
  </si>
  <si>
    <t>FEC.ktoe.EL.ES.AGR.Biomass_Waste</t>
  </si>
  <si>
    <t>FEC.ktoe.EL.ES.AGR.Biogas</t>
  </si>
  <si>
    <t>FEC.ktoe.EL.ES.AGR.LiqBio</t>
  </si>
  <si>
    <t>FEC.ktoe.EL.ES.AGR.Solar</t>
  </si>
  <si>
    <t>FEC.ktoe.EL.ES.AGR.Geo</t>
  </si>
  <si>
    <t>FEC.ktoe.EL.ES.AGR.Ambient</t>
  </si>
  <si>
    <t>FEC.ktoe.EL.ES.AGR.Steam_Distr</t>
  </si>
  <si>
    <t>FEC.ktoe.EL.ES.AGR.Elec</t>
  </si>
  <si>
    <t>EL - Agriculture, forestry and fishing / final energy consumption</t>
  </si>
  <si>
    <t>FEC.ktoe.EL.AGR.AGR.LIGHT.GENERIC.ELEC</t>
  </si>
  <si>
    <t>FEC.ktoe.EL.AGR.AGR.FANS.GENERIC.ELEC</t>
  </si>
  <si>
    <t>FEC.ktoe.EL.AGR.AGR.MOTOR.GENERIC.ELEC</t>
  </si>
  <si>
    <t>FEC.ktoe.EL.AGR.AGR.LOW_ENTH.THERM.DIESEL_LIQBIO</t>
  </si>
  <si>
    <t>FEC.ktoe.EL.AGR.AGR.LOW_ENTH.THERM.NG_BIOGAS</t>
  </si>
  <si>
    <t>FEC.ktoe.EL.AGR.AGR.LOW_ENTH.THERM.SOLAR_GEO</t>
  </si>
  <si>
    <t>FEC.ktoe.EL.AGR.AGR.LOW_ENTH.HP.AMBIENT</t>
  </si>
  <si>
    <t>FEC.ktoe.EL.AGR.AGR.LOW_ENTH.THERM.STEAM_DISTR</t>
  </si>
  <si>
    <t>FEC.ktoe.EL.AGR.AGR.LOW_ENTH.THERM.ELEC</t>
  </si>
  <si>
    <t>FEC.ktoe.EL.AGR.AGR.FARM_DRIVES.MECH.DIESEL_LIQBIO</t>
  </si>
  <si>
    <t>FEC.ktoe.EL.AGR.AGR.HEAT_USE.THERM.SOLIDS</t>
  </si>
  <si>
    <t>FEC.ktoe.EL.AGR.AGR.HEAT_USE.THERM.LPG</t>
  </si>
  <si>
    <t>FEC.ktoe.EL.AGR.AGR.HEAT_USE.THERM.DIESEL_LIQBIO</t>
  </si>
  <si>
    <t>FEC.ktoe.EL.AGR.AGR.HEAT_USE.THERM.RFO</t>
  </si>
  <si>
    <t>FEC.ktoe.EL.AGR.AGR.HEAT_USE.THERM.NG_BIOGAS</t>
  </si>
  <si>
    <t>FEC.ktoe.EL.AGR.AGR.HEAT_USE.THERM.BIOMASS_WASTE</t>
  </si>
  <si>
    <t>FEC.ktoe.EL.AGR.AGR.HEAT_USE.THERM.SOLAR_GEO</t>
  </si>
  <si>
    <t>FEC.ktoe.EL.AGR.AGR.FARM_PUMP.MECH.DIESEL_LIQBIO</t>
  </si>
  <si>
    <t>FEC.ktoe.EL.AGR.AGR.FARM_PUMP_ELEC.MECH.ELEC</t>
  </si>
  <si>
    <t>FEC.ktoe.EL.AGR.AGR.GENERIC.MECH.ELEC</t>
  </si>
  <si>
    <t>EL - Agriculture, forestry and fishing / useful energy demand</t>
  </si>
  <si>
    <t>UED.ktoe.EL.AGR.AGR.LIGHT.GENERIC.ELEC</t>
  </si>
  <si>
    <t>UED.ktoe.EL.AGR.AGR.FANS.GENERIC.ELEC</t>
  </si>
  <si>
    <t>UED.ktoe.EL.AGR.AGR.MOTOR.GENERIC.ELEC</t>
  </si>
  <si>
    <t>UED.ktoe.EL.AGR.AGR.LOW_ENTH.THERM.DIESEL_LIQBIO</t>
  </si>
  <si>
    <t>UED.ktoe.EL.AGR.AGR.LOW_ENTH.THERM.NG_BIOGAS</t>
  </si>
  <si>
    <t>UED.ktoe.EL.AGR.AGR.LOW_ENTH.THERM.SOLAR_GEO</t>
  </si>
  <si>
    <t>UED.ktoe.EL.AGR.AGR.LOW_ENTH.HP.AMBIENT</t>
  </si>
  <si>
    <t>UED.ktoe.EL.AGR.AGR.LOW_ENTH.THERM.STEAM_DISTR</t>
  </si>
  <si>
    <t>UED.ktoe.EL.AGR.AGR.LOW_ENTH.THERM.ELEC</t>
  </si>
  <si>
    <t>UED.ktoe.EL.AGR.AGR.FARM_DRIVES.MECH.DIESEL_LIQBIO</t>
  </si>
  <si>
    <t>UED.ktoe.EL.AGR.AGR.HEAT_USE.THERM.SOLIDS</t>
  </si>
  <si>
    <t>UED.ktoe.EL.AGR.AGR.HEAT_USE.THERM.LPG</t>
  </si>
  <si>
    <t>UED.ktoe.EL.AGR.AGR.HEAT_USE.THERM.DIESEL_LIQBIO</t>
  </si>
  <si>
    <t>UED.ktoe.EL.AGR.AGR.HEAT_USE.THERM.RFO</t>
  </si>
  <si>
    <t>UED.ktoe.EL.AGR.AGR.HEAT_USE.THERM.NG_BIOGAS</t>
  </si>
  <si>
    <t>UED.ktoe.EL.AGR.AGR.HEAT_USE.THERM.BIOMASS_WASTE</t>
  </si>
  <si>
    <t>UED.ktoe.EL.AGR.AGR.HEAT_USE.THERM.SOLAR_GEO</t>
  </si>
  <si>
    <t>UED.ktoe.EL.AGR.AGR.FARM_PUMP.MECH.DIESEL_LIQBIO</t>
  </si>
  <si>
    <t>UED.ktoe.EL.AGR.AGR.FARM_PUMP_ELEC.MECH.ELEC</t>
  </si>
  <si>
    <t>UED.ktoe.EL.AGR.AGR.GENERIC.MECH.ELEC</t>
  </si>
  <si>
    <t>EL - Agriculture, forestry and fishing / CO2 emissions</t>
  </si>
  <si>
    <t>FUEL_EMI.ktCO2.EL.AGR.AGR.LIGHT.GENERIC.ELEC</t>
  </si>
  <si>
    <t>FUEL_EMI.ktCO2.EL.AGR.AGR.FANS.GENERIC.ELEC</t>
  </si>
  <si>
    <t>FUEL_EMI.ktCO2.EL.AGR.AGR.MOTOR.GENERIC.ELEC</t>
  </si>
  <si>
    <t>FUEL_EMI.ktCO2.EL.AGR.AGR.LOW_ENTH.THERM.DIESEL_LIQBIO</t>
  </si>
  <si>
    <t>FUEL_EMI.ktCO2.EL.AGR.AGR.LOW_ENTH.THERM.NG_BIOGAS</t>
  </si>
  <si>
    <t>FUEL_EMI.ktCO2.EL.AGR.AGR.LOW_ENTH.THERM.SOLAR_GEO</t>
  </si>
  <si>
    <t>FUEL_EMI.ktCO2.EL.AGR.AGR.LOW_ENTH.HP.AMBIENT</t>
  </si>
  <si>
    <t>FUEL_EMI.ktCO2.EL.AGR.AGR.LOW_ENTH.THERM.STEAM_DISTR</t>
  </si>
  <si>
    <t>FUEL_EMI.ktCO2.EL.AGR.AGR.LOW_ENTH.THERM.ELEC</t>
  </si>
  <si>
    <t>FUEL_EMI.ktCO2.EL.AGR.AGR.FARM_DRIVES.MECH.DIESEL_LIQBIO</t>
  </si>
  <si>
    <t>FUEL_EMI.ktCO2.EL.AGR.AGR.HEAT_USE.THERM.SOLIDS</t>
  </si>
  <si>
    <t>FUEL_EMI.ktCO2.EL.AGR.AGR.HEAT_USE.THERM.LPG</t>
  </si>
  <si>
    <t>FUEL_EMI.ktCO2.EL.AGR.AGR.HEAT_USE.THERM.DIESEL_LIQBIO</t>
  </si>
  <si>
    <t>FUEL_EMI.ktCO2.EL.AGR.AGR.HEAT_USE.THERM.RFO</t>
  </si>
  <si>
    <t>FUEL_EMI.ktCO2.EL.AGR.AGR.HEAT_USE.THERM.NG_BIOGAS</t>
  </si>
  <si>
    <t>FUEL_EMI.ktCO2.EL.AGR.AGR.HEAT_USE.THERM.BIOMASS_WASTE</t>
  </si>
  <si>
    <t>FUEL_EMI.ktCO2.EL.AGR.AGR.HEAT_USE.THERM.SOLAR_GEO</t>
  </si>
  <si>
    <t>FUEL_EMI.ktCO2.EL.AGR.AGR.FARM_PUMP.MECH.DIESEL_LIQBIO</t>
  </si>
  <si>
    <t>FUEL_EMI.ktCO2.EL.AGR.AGR.FARM_PUMP_ELEC.MECH.ELEC</t>
  </si>
  <si>
    <t>FUEL_EMI.ktCO2.EL.AGR.AGR.GENERIC.MECH.ELEC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</si>
</sst>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45432.784236111111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10775627</v>
      </c>
      <c r="C3" s="34">
        <v>10835989</v>
      </c>
      <c r="D3" s="34">
        <v>10888274</v>
      </c>
      <c r="E3" s="34">
        <v>10915770</v>
      </c>
      <c r="F3" s="34">
        <v>10940369</v>
      </c>
      <c r="G3" s="34">
        <v>10969912</v>
      </c>
      <c r="H3" s="34">
        <v>11004716</v>
      </c>
      <c r="I3" s="34">
        <v>11036008</v>
      </c>
      <c r="J3" s="34">
        <v>11060937</v>
      </c>
      <c r="K3" s="34">
        <v>11094745</v>
      </c>
      <c r="L3" s="34">
        <v>11119289</v>
      </c>
      <c r="M3" s="34">
        <v>11123392</v>
      </c>
      <c r="N3" s="34">
        <v>11086406</v>
      </c>
      <c r="O3" s="34">
        <v>11003615</v>
      </c>
      <c r="P3" s="34">
        <v>10926807</v>
      </c>
      <c r="Q3" s="34">
        <v>10858018</v>
      </c>
      <c r="R3" s="34">
        <v>10783748</v>
      </c>
      <c r="S3" s="34">
        <v>10768193</v>
      </c>
      <c r="T3" s="34">
        <v>10741165</v>
      </c>
      <c r="U3" s="34">
        <v>10724599</v>
      </c>
      <c r="V3" s="34">
        <v>10718565</v>
      </c>
      <c r="W3" s="34">
        <v>10678632</v>
      </c>
      <c r="DA3" s="88" t="s">
        <v>187</v>
      </c>
    </row>
    <row r="4" spans="1:105" ht="12" customHeight="1" x14ac:dyDescent="0.25">
      <c r="A4" s="35" t="s">
        <v>178</v>
      </c>
      <c r="B4" s="36">
        <v>181566.04779925331</v>
      </c>
      <c r="C4" s="36">
        <v>189067.66711802923</v>
      </c>
      <c r="D4" s="36">
        <v>196483.83878451309</v>
      </c>
      <c r="E4" s="36">
        <v>207869.42578951037</v>
      </c>
      <c r="F4" s="36">
        <v>218389.43879506664</v>
      </c>
      <c r="G4" s="36">
        <v>219698.41987451623</v>
      </c>
      <c r="H4" s="36">
        <v>232115.83332445478</v>
      </c>
      <c r="I4" s="36">
        <v>239715.87806863018</v>
      </c>
      <c r="J4" s="36">
        <v>238913.1980096359</v>
      </c>
      <c r="K4" s="36">
        <v>228637.8993368049</v>
      </c>
      <c r="L4" s="36">
        <v>216112.70213196796</v>
      </c>
      <c r="M4" s="36">
        <v>194179.80726067565</v>
      </c>
      <c r="N4" s="36">
        <v>180418.72180667159</v>
      </c>
      <c r="O4" s="36">
        <v>175877.90140597196</v>
      </c>
      <c r="P4" s="36">
        <v>176714.69165960417</v>
      </c>
      <c r="Q4" s="36">
        <v>176368.9</v>
      </c>
      <c r="R4" s="36">
        <v>175510.4052463765</v>
      </c>
      <c r="S4" s="36">
        <v>177426.80908680608</v>
      </c>
      <c r="T4" s="36">
        <v>180387.48241912798</v>
      </c>
      <c r="U4" s="36">
        <v>183777.43920774612</v>
      </c>
      <c r="V4" s="36">
        <v>166655.59101559344</v>
      </c>
      <c r="W4" s="36">
        <v>180620.77681690169</v>
      </c>
      <c r="DA4" s="89" t="s">
        <v>188</v>
      </c>
    </row>
    <row r="5" spans="1:105" ht="12" customHeight="1" x14ac:dyDescent="0.25">
      <c r="A5" s="35" t="s">
        <v>147</v>
      </c>
      <c r="B5" s="36">
        <v>114982.96548659458</v>
      </c>
      <c r="C5" s="36">
        <v>118098.10930184978</v>
      </c>
      <c r="D5" s="36">
        <v>122982.59879655229</v>
      </c>
      <c r="E5" s="36">
        <v>128653.33781362008</v>
      </c>
      <c r="F5" s="36">
        <v>138350.00816504273</v>
      </c>
      <c r="G5" s="36">
        <v>144003.58913006325</v>
      </c>
      <c r="H5" s="36">
        <v>147197.40157805593</v>
      </c>
      <c r="I5" s="36">
        <v>155925.06882655711</v>
      </c>
      <c r="J5" s="36">
        <v>161656.99702742224</v>
      </c>
      <c r="K5" s="36">
        <v>157447.23973150371</v>
      </c>
      <c r="L5" s="36">
        <v>148469.38487186009</v>
      </c>
      <c r="M5" s="36">
        <v>135403.11402259566</v>
      </c>
      <c r="N5" s="36">
        <v>126331.58217654726</v>
      </c>
      <c r="O5" s="36">
        <v>123536.63308226549</v>
      </c>
      <c r="P5" s="36">
        <v>124499.87063904313</v>
      </c>
      <c r="Q5" s="36">
        <v>123447.29999999999</v>
      </c>
      <c r="R5" s="36">
        <v>122565.44343128696</v>
      </c>
      <c r="S5" s="36">
        <v>125546.91877464112</v>
      </c>
      <c r="T5" s="36">
        <v>127514.73537718471</v>
      </c>
      <c r="U5" s="36">
        <v>129406.33473134768</v>
      </c>
      <c r="V5" s="36">
        <v>114960.93631558199</v>
      </c>
      <c r="W5" s="36">
        <v>123662.05041347016</v>
      </c>
      <c r="DA5" s="89" t="s">
        <v>189</v>
      </c>
    </row>
    <row r="6" spans="1:105" ht="12" customHeight="1" x14ac:dyDescent="0.25">
      <c r="A6" s="37" t="s">
        <v>70</v>
      </c>
      <c r="B6" s="38">
        <v>2839330</v>
      </c>
      <c r="C6" s="38">
        <v>2880990</v>
      </c>
      <c r="D6" s="38">
        <v>2987900</v>
      </c>
      <c r="E6" s="38">
        <v>3049609.9999999995</v>
      </c>
      <c r="F6" s="38">
        <v>3223170</v>
      </c>
      <c r="G6" s="38">
        <v>3227420</v>
      </c>
      <c r="H6" s="38">
        <v>3318100</v>
      </c>
      <c r="I6" s="38">
        <v>3370439.9999999995</v>
      </c>
      <c r="J6" s="38">
        <v>3426779.9999999995</v>
      </c>
      <c r="K6" s="38">
        <v>3421100</v>
      </c>
      <c r="L6" s="38">
        <v>3452390.0000000005</v>
      </c>
      <c r="M6" s="38">
        <v>3327670</v>
      </c>
      <c r="N6" s="38">
        <v>3212819.9999999995</v>
      </c>
      <c r="O6" s="38">
        <v>3205770.0000000005</v>
      </c>
      <c r="P6" s="38">
        <v>3346250</v>
      </c>
      <c r="Q6" s="38">
        <v>3265790</v>
      </c>
      <c r="R6" s="38">
        <v>3408240.0000000005</v>
      </c>
      <c r="S6" s="38">
        <v>3391890</v>
      </c>
      <c r="T6" s="38">
        <v>3568570.0000000005</v>
      </c>
      <c r="U6" s="38">
        <v>3676779.9999999995</v>
      </c>
      <c r="V6" s="38">
        <v>3573060</v>
      </c>
      <c r="W6" s="38">
        <v>3599459.9999999995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82321.292858613655</v>
      </c>
      <c r="C8" s="34">
        <v>86015.530460422669</v>
      </c>
      <c r="D8" s="34">
        <v>88952.606363310508</v>
      </c>
      <c r="E8" s="34">
        <v>92851.505280293233</v>
      </c>
      <c r="F8" s="34">
        <v>96722.10527202829</v>
      </c>
      <c r="G8" s="34">
        <v>99509.755638579285</v>
      </c>
      <c r="H8" s="34">
        <v>103730.98493346918</v>
      </c>
      <c r="I8" s="34">
        <v>106882.92747508296</v>
      </c>
      <c r="J8" s="34">
        <v>108864.02368563315</v>
      </c>
      <c r="K8" s="34">
        <v>108761.6670957731</v>
      </c>
      <c r="L8" s="34">
        <v>105130.92497909949</v>
      </c>
      <c r="M8" s="34">
        <v>102677.37263257112</v>
      </c>
      <c r="N8" s="34">
        <v>102840.33847654237</v>
      </c>
      <c r="O8" s="34">
        <v>102666.82105583439</v>
      </c>
      <c r="P8" s="34">
        <v>102791.10060854636</v>
      </c>
      <c r="Q8" s="34">
        <v>103111.49547920613</v>
      </c>
      <c r="R8" s="34">
        <v>103152.33338138016</v>
      </c>
      <c r="S8" s="34">
        <v>103841.75142150729</v>
      </c>
      <c r="T8" s="34">
        <v>104565.82746295446</v>
      </c>
      <c r="U8" s="34">
        <v>105402.97498439379</v>
      </c>
      <c r="V8" s="34">
        <v>106208.75666666665</v>
      </c>
      <c r="W8" s="34">
        <v>106957.0116497108</v>
      </c>
      <c r="DA8" s="88" t="s">
        <v>191</v>
      </c>
    </row>
    <row r="9" spans="1:105" ht="12" customHeight="1" x14ac:dyDescent="0.25">
      <c r="A9" s="39" t="s">
        <v>68</v>
      </c>
      <c r="B9" s="40">
        <v>74089.163572752295</v>
      </c>
      <c r="C9" s="40">
        <v>77413.977414380395</v>
      </c>
      <c r="D9" s="40">
        <v>80057.34572697946</v>
      </c>
      <c r="E9" s="40">
        <v>83566.354752263913</v>
      </c>
      <c r="F9" s="40">
        <v>87049.894744825462</v>
      </c>
      <c r="G9" s="40">
        <v>89558.780074721348</v>
      </c>
      <c r="H9" s="40">
        <v>93357.886440122267</v>
      </c>
      <c r="I9" s="40">
        <v>96194.634727574667</v>
      </c>
      <c r="J9" s="40">
        <v>97977.621317069832</v>
      </c>
      <c r="K9" s="40">
        <v>97885.500386195781</v>
      </c>
      <c r="L9" s="40">
        <v>94617.832481189544</v>
      </c>
      <c r="M9" s="40">
        <v>92409.635369314012</v>
      </c>
      <c r="N9" s="40">
        <v>92556.304628888131</v>
      </c>
      <c r="O9" s="40">
        <v>92400.138950250956</v>
      </c>
      <c r="P9" s="40">
        <v>92511.990547691719</v>
      </c>
      <c r="Q9" s="40">
        <v>92800.345931285512</v>
      </c>
      <c r="R9" s="40">
        <v>92837.100043242142</v>
      </c>
      <c r="S9" s="40">
        <v>93457.576279356552</v>
      </c>
      <c r="T9" s="40">
        <v>94109.244716659014</v>
      </c>
      <c r="U9" s="40">
        <v>94862.677485954409</v>
      </c>
      <c r="V9" s="40">
        <v>95587.880999999994</v>
      </c>
      <c r="W9" s="40">
        <v>96261.310484739719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4023.6967024973296</v>
      </c>
      <c r="D10" s="41">
        <v>3281.1194586577076</v>
      </c>
      <c r="E10" s="41">
        <v>4254.5352447404821</v>
      </c>
      <c r="F10" s="41">
        <v>4241.9426557344887</v>
      </c>
      <c r="G10" s="41">
        <v>3174.6993667920738</v>
      </c>
      <c r="H10" s="41">
        <v>4619.1231463454715</v>
      </c>
      <c r="I10" s="41">
        <v>3567.0385708578465</v>
      </c>
      <c r="J10" s="41">
        <v>2408.5329325555672</v>
      </c>
      <c r="K10" s="41">
        <v>435.28989012621861</v>
      </c>
      <c r="L10" s="41">
        <v>434.91592973951208</v>
      </c>
      <c r="M10" s="41">
        <v>420.70543504467008</v>
      </c>
      <c r="N10" s="41">
        <v>573.57434857483224</v>
      </c>
      <c r="O10" s="41">
        <v>411.35642537701074</v>
      </c>
      <c r="P10" s="41">
        <v>534.88805731556488</v>
      </c>
      <c r="Q10" s="41">
        <v>731.37733565008079</v>
      </c>
      <c r="R10" s="41">
        <v>569.61480206735928</v>
      </c>
      <c r="S10" s="41">
        <v>1218.4043651598679</v>
      </c>
      <c r="T10" s="41">
        <v>1256.5978436087375</v>
      </c>
      <c r="U10" s="41">
        <v>1373.382534069862</v>
      </c>
      <c r="V10" s="41">
        <v>1346.3097591159101</v>
      </c>
      <c r="W10" s="41">
        <v>1292.9152736423948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3621.3270322475964</v>
      </c>
      <c r="D11" s="42">
        <v>2953.0075127919367</v>
      </c>
      <c r="E11" s="42">
        <v>3829.0817202664339</v>
      </c>
      <c r="F11" s="42">
        <v>3817.7483901610399</v>
      </c>
      <c r="G11" s="42">
        <v>2857.2294301128668</v>
      </c>
      <c r="H11" s="42">
        <v>4157.210831710925</v>
      </c>
      <c r="I11" s="42">
        <v>3210.3347137720621</v>
      </c>
      <c r="J11" s="42">
        <v>2167.6796393000104</v>
      </c>
      <c r="K11" s="42">
        <v>391.76090111359673</v>
      </c>
      <c r="L11" s="42">
        <v>391.42433676556089</v>
      </c>
      <c r="M11" s="42">
        <v>378.63489154020306</v>
      </c>
      <c r="N11" s="42">
        <v>516.21691371734903</v>
      </c>
      <c r="O11" s="42">
        <v>370.22078283930966</v>
      </c>
      <c r="P11" s="42">
        <v>481.39925158400837</v>
      </c>
      <c r="Q11" s="42">
        <v>658.23960208507276</v>
      </c>
      <c r="R11" s="42">
        <v>512.65332186062335</v>
      </c>
      <c r="S11" s="42">
        <v>1096.5639286438811</v>
      </c>
      <c r="T11" s="42">
        <v>1130.9380592478637</v>
      </c>
      <c r="U11" s="42">
        <v>1236.0442806628757</v>
      </c>
      <c r="V11" s="42">
        <v>1211.6787832043192</v>
      </c>
      <c r="W11" s="42">
        <v>1163.6237462781553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1661.02</v>
      </c>
      <c r="C13" s="43">
        <v>1593.33</v>
      </c>
      <c r="D13" s="43">
        <v>1549.11</v>
      </c>
      <c r="E13" s="43">
        <v>1747.33</v>
      </c>
      <c r="F13" s="43">
        <v>1594.93</v>
      </c>
      <c r="G13" s="43">
        <v>1691.44</v>
      </c>
      <c r="H13" s="43">
        <v>1749.23</v>
      </c>
      <c r="I13" s="43">
        <v>1546.7</v>
      </c>
      <c r="J13" s="43">
        <v>1498.82</v>
      </c>
      <c r="K13" s="43">
        <v>1496.91</v>
      </c>
      <c r="L13" s="43">
        <v>1390.85</v>
      </c>
      <c r="M13" s="43">
        <v>1796.64</v>
      </c>
      <c r="N13" s="43">
        <v>1654.99</v>
      </c>
      <c r="O13" s="43">
        <v>1439.27</v>
      </c>
      <c r="P13" s="43">
        <v>1397.47</v>
      </c>
      <c r="Q13" s="43">
        <v>1572.95</v>
      </c>
      <c r="R13" s="43">
        <v>1458.36</v>
      </c>
      <c r="S13" s="43">
        <v>1612.13</v>
      </c>
      <c r="T13" s="43">
        <v>1371.74</v>
      </c>
      <c r="U13" s="43">
        <v>1448.99</v>
      </c>
      <c r="V13" s="43">
        <v>1489.06</v>
      </c>
      <c r="W13" s="43">
        <v>1535.61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1560.0604761904765</v>
      </c>
      <c r="C14" s="44">
        <f t="shared" ref="C14:W14" si="0">AVERAGE($B$13:$V$13)</f>
        <v>1560.0604761904765</v>
      </c>
      <c r="D14" s="44">
        <f t="shared" si="0"/>
        <v>1560.0604761904765</v>
      </c>
      <c r="E14" s="44">
        <f t="shared" si="0"/>
        <v>1560.0604761904765</v>
      </c>
      <c r="F14" s="44">
        <f t="shared" si="0"/>
        <v>1560.0604761904765</v>
      </c>
      <c r="G14" s="44">
        <f t="shared" si="0"/>
        <v>1560.0604761904765</v>
      </c>
      <c r="H14" s="44">
        <f t="shared" si="0"/>
        <v>1560.0604761904765</v>
      </c>
      <c r="I14" s="44">
        <f t="shared" si="0"/>
        <v>1560.0604761904765</v>
      </c>
      <c r="J14" s="44">
        <f t="shared" si="0"/>
        <v>1560.0604761904765</v>
      </c>
      <c r="K14" s="44">
        <f t="shared" si="0"/>
        <v>1560.0604761904765</v>
      </c>
      <c r="L14" s="44">
        <f t="shared" si="0"/>
        <v>1560.0604761904765</v>
      </c>
      <c r="M14" s="44">
        <f t="shared" si="0"/>
        <v>1560.0604761904765</v>
      </c>
      <c r="N14" s="44">
        <f t="shared" si="0"/>
        <v>1560.0604761904765</v>
      </c>
      <c r="O14" s="44">
        <f t="shared" si="0"/>
        <v>1560.0604761904765</v>
      </c>
      <c r="P14" s="44">
        <f t="shared" si="0"/>
        <v>1560.0604761904765</v>
      </c>
      <c r="Q14" s="44">
        <f t="shared" si="0"/>
        <v>1560.0604761904765</v>
      </c>
      <c r="R14" s="44">
        <f t="shared" si="0"/>
        <v>1560.0604761904765</v>
      </c>
      <c r="S14" s="44">
        <f t="shared" si="0"/>
        <v>1560.0604761904765</v>
      </c>
      <c r="T14" s="44">
        <f t="shared" si="0"/>
        <v>1560.0604761904765</v>
      </c>
      <c r="U14" s="44">
        <f t="shared" si="0"/>
        <v>1560.0604761904765</v>
      </c>
      <c r="V14" s="44">
        <f t="shared" si="0"/>
        <v>1560.0604761904765</v>
      </c>
      <c r="W14" s="44">
        <f t="shared" si="0"/>
        <v>1560.0604761904765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1.0647151346696875</v>
      </c>
      <c r="C15" s="46">
        <f t="shared" ref="C15:W15" si="1">C13/C14</f>
        <v>1.0213257910941789</v>
      </c>
      <c r="D15" s="46">
        <f t="shared" si="1"/>
        <v>0.99298073609478488</v>
      </c>
      <c r="E15" s="46">
        <f t="shared" si="1"/>
        <v>1.1200399129826162</v>
      </c>
      <c r="F15" s="46">
        <f t="shared" si="1"/>
        <v>1.0223513923605525</v>
      </c>
      <c r="G15" s="46">
        <f t="shared" si="1"/>
        <v>1.0842143787466112</v>
      </c>
      <c r="H15" s="46">
        <f t="shared" si="1"/>
        <v>1.1212578144864345</v>
      </c>
      <c r="I15" s="46">
        <f t="shared" si="1"/>
        <v>0.99143592418731008</v>
      </c>
      <c r="J15" s="46">
        <f t="shared" si="1"/>
        <v>0.96074480629108683</v>
      </c>
      <c r="K15" s="46">
        <f t="shared" si="1"/>
        <v>0.95952049477935364</v>
      </c>
      <c r="L15" s="46">
        <f t="shared" si="1"/>
        <v>0.89153595083462855</v>
      </c>
      <c r="M15" s="46">
        <f t="shared" si="1"/>
        <v>1.1516476620106606</v>
      </c>
      <c r="N15" s="46">
        <f t="shared" si="1"/>
        <v>1.0608498998970428</v>
      </c>
      <c r="O15" s="46">
        <f t="shared" si="1"/>
        <v>0.9225732091582528</v>
      </c>
      <c r="P15" s="46">
        <f t="shared" si="1"/>
        <v>0.89577937607424851</v>
      </c>
      <c r="Q15" s="46">
        <f t="shared" si="1"/>
        <v>1.0082621949637482</v>
      </c>
      <c r="R15" s="46">
        <f t="shared" si="1"/>
        <v>0.93480991426767013</v>
      </c>
      <c r="S15" s="46">
        <f t="shared" si="1"/>
        <v>1.0333766059740661</v>
      </c>
      <c r="T15" s="46">
        <f t="shared" si="1"/>
        <v>0.87928642570938165</v>
      </c>
      <c r="U15" s="46">
        <f t="shared" si="1"/>
        <v>0.92880373685147111</v>
      </c>
      <c r="V15" s="46">
        <f t="shared" si="1"/>
        <v>0.95448863856620925</v>
      </c>
      <c r="W15" s="46">
        <f t="shared" si="1"/>
        <v>0.98432722540975948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16849.696801796621</v>
      </c>
      <c r="C19" s="34">
        <f t="shared" si="2"/>
        <v>17448.122835675567</v>
      </c>
      <c r="D19" s="34">
        <f t="shared" ref="D19:W19" si="3">D4*1000000/D3</f>
        <v>18045.453189781329</v>
      </c>
      <c r="E19" s="34">
        <f t="shared" si="3"/>
        <v>19043.038263861403</v>
      </c>
      <c r="F19" s="34">
        <f t="shared" si="3"/>
        <v>19961.798253337402</v>
      </c>
      <c r="G19" s="34">
        <f t="shared" si="3"/>
        <v>20027.363927305545</v>
      </c>
      <c r="H19" s="34">
        <f t="shared" si="3"/>
        <v>21092.396507502308</v>
      </c>
      <c r="I19" s="34">
        <f t="shared" si="3"/>
        <v>21721.249030322393</v>
      </c>
      <c r="J19" s="34">
        <f t="shared" si="3"/>
        <v>21599.725051289588</v>
      </c>
      <c r="K19" s="34">
        <f t="shared" si="3"/>
        <v>20607.765147987167</v>
      </c>
      <c r="L19" s="34">
        <f t="shared" si="3"/>
        <v>19435.838220588379</v>
      </c>
      <c r="M19" s="34">
        <f t="shared" si="3"/>
        <v>17456.887904397838</v>
      </c>
      <c r="N19" s="34">
        <f t="shared" si="3"/>
        <v>16273.869259945162</v>
      </c>
      <c r="O19" s="34">
        <f t="shared" si="3"/>
        <v>15983.647320082715</v>
      </c>
      <c r="P19" s="34">
        <f t="shared" si="3"/>
        <v>16172.582865205193</v>
      </c>
      <c r="Q19" s="34">
        <f t="shared" si="3"/>
        <v>16243.194660388295</v>
      </c>
      <c r="R19" s="34">
        <f t="shared" si="3"/>
        <v>16275.454994532189</v>
      </c>
      <c r="S19" s="34">
        <f t="shared" si="3"/>
        <v>16476.934346069585</v>
      </c>
      <c r="T19" s="34">
        <f t="shared" si="3"/>
        <v>16794.033274707912</v>
      </c>
      <c r="U19" s="34">
        <f t="shared" si="3"/>
        <v>17136.066272291031</v>
      </c>
      <c r="V19" s="34">
        <f t="shared" si="3"/>
        <v>15548.311832376205</v>
      </c>
      <c r="W19" s="34">
        <f t="shared" si="3"/>
        <v>16914.224295481079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40496.513433308057</v>
      </c>
      <c r="C20" s="36">
        <f t="shared" si="4"/>
        <v>40992.196884352175</v>
      </c>
      <c r="D20" s="36">
        <f t="shared" ref="D20:W20" si="5">D5*1000000/D6</f>
        <v>41160.212455755645</v>
      </c>
      <c r="E20" s="36">
        <f t="shared" si="5"/>
        <v>42186.816613803108</v>
      </c>
      <c r="F20" s="36">
        <f t="shared" si="5"/>
        <v>42923.583976347116</v>
      </c>
      <c r="G20" s="36">
        <f t="shared" si="5"/>
        <v>44618.794309406047</v>
      </c>
      <c r="H20" s="36">
        <f t="shared" si="5"/>
        <v>44361.95460596605</v>
      </c>
      <c r="I20" s="36">
        <f t="shared" si="5"/>
        <v>46262.526206239279</v>
      </c>
      <c r="J20" s="36">
        <f t="shared" si="5"/>
        <v>47174.606198069981</v>
      </c>
      <c r="K20" s="36">
        <f t="shared" si="5"/>
        <v>46022.402072872384</v>
      </c>
      <c r="L20" s="36">
        <f t="shared" si="5"/>
        <v>43004.81257096101</v>
      </c>
      <c r="M20" s="36">
        <f t="shared" si="5"/>
        <v>40690.066629983041</v>
      </c>
      <c r="N20" s="36">
        <f t="shared" si="5"/>
        <v>39321.089316098412</v>
      </c>
      <c r="O20" s="36">
        <f t="shared" si="5"/>
        <v>38535.713130469579</v>
      </c>
      <c r="P20" s="36">
        <f t="shared" si="5"/>
        <v>37205.788760266907</v>
      </c>
      <c r="Q20" s="36">
        <f t="shared" si="5"/>
        <v>37800.134117625443</v>
      </c>
      <c r="R20" s="36">
        <f t="shared" si="5"/>
        <v>35961.506065091351</v>
      </c>
      <c r="S20" s="36">
        <f t="shared" si="5"/>
        <v>37013.853271963744</v>
      </c>
      <c r="T20" s="36">
        <f t="shared" si="5"/>
        <v>35732.72637980611</v>
      </c>
      <c r="U20" s="36">
        <f t="shared" si="5"/>
        <v>35195.560988513782</v>
      </c>
      <c r="V20" s="36">
        <f t="shared" si="5"/>
        <v>32174.3649184682</v>
      </c>
      <c r="W20" s="36">
        <f t="shared" si="5"/>
        <v>34355.722917734936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10670.651971026333</v>
      </c>
      <c r="C21" s="36">
        <f t="shared" si="6"/>
        <v>10898.692246905177</v>
      </c>
      <c r="D21" s="36">
        <f t="shared" ref="D21:W21" si="7">D5*1000000/D3</f>
        <v>11294.958117012146</v>
      </c>
      <c r="E21" s="36">
        <f t="shared" si="7"/>
        <v>11786.006650343501</v>
      </c>
      <c r="F21" s="36">
        <f t="shared" si="7"/>
        <v>12645.826494978617</v>
      </c>
      <c r="G21" s="36">
        <f t="shared" si="7"/>
        <v>13127.14168810682</v>
      </c>
      <c r="H21" s="36">
        <f t="shared" si="7"/>
        <v>13375.847371077631</v>
      </c>
      <c r="I21" s="36">
        <f t="shared" si="7"/>
        <v>14128.756415051266</v>
      </c>
      <c r="J21" s="36">
        <f t="shared" si="7"/>
        <v>14615.126822205229</v>
      </c>
      <c r="K21" s="36">
        <f t="shared" si="7"/>
        <v>14191.154436762965</v>
      </c>
      <c r="L21" s="36">
        <f t="shared" si="7"/>
        <v>13352.417125938548</v>
      </c>
      <c r="M21" s="36">
        <f t="shared" si="7"/>
        <v>12172.825881043809</v>
      </c>
      <c r="N21" s="36">
        <f t="shared" si="7"/>
        <v>11395.179120857316</v>
      </c>
      <c r="O21" s="36">
        <f t="shared" si="7"/>
        <v>11226.913435472386</v>
      </c>
      <c r="P21" s="36">
        <f t="shared" si="7"/>
        <v>11393.984595778358</v>
      </c>
      <c r="Q21" s="36">
        <f t="shared" si="7"/>
        <v>11369.229632885117</v>
      </c>
      <c r="R21" s="36">
        <f t="shared" si="7"/>
        <v>11365.755526861993</v>
      </c>
      <c r="S21" s="36">
        <f t="shared" si="7"/>
        <v>11659.051688118992</v>
      </c>
      <c r="T21" s="36">
        <f t="shared" si="7"/>
        <v>11871.59264169061</v>
      </c>
      <c r="U21" s="36">
        <f t="shared" si="7"/>
        <v>12066.309866816249</v>
      </c>
      <c r="V21" s="36">
        <f t="shared" si="7"/>
        <v>10725.403663231224</v>
      </c>
      <c r="W21" s="36">
        <f t="shared" si="7"/>
        <v>11580.326994456796</v>
      </c>
      <c r="DA21" s="89"/>
    </row>
    <row r="22" spans="1:105" ht="12" customHeight="1" x14ac:dyDescent="0.25">
      <c r="A22" s="51" t="s">
        <v>152</v>
      </c>
      <c r="B22" s="52">
        <v>0.73344326160759821</v>
      </c>
      <c r="C22" s="52">
        <v>0.73008317862321548</v>
      </c>
      <c r="D22" s="52">
        <v>0.74221465438806056</v>
      </c>
      <c r="E22" s="52">
        <v>0.76588801404014395</v>
      </c>
      <c r="F22" s="52">
        <v>0.80295005246323448</v>
      </c>
      <c r="G22" s="52">
        <v>0.8169815008757092</v>
      </c>
      <c r="H22" s="52">
        <v>0.80894091266153145</v>
      </c>
      <c r="I22" s="52">
        <v>0.82924182378158995</v>
      </c>
      <c r="J22" s="52">
        <v>0.8466541350768968</v>
      </c>
      <c r="K22" s="52">
        <v>0.84097627715773471</v>
      </c>
      <c r="L22" s="52">
        <v>0.78072599568970713</v>
      </c>
      <c r="M22" s="52">
        <v>0.69849549678610512</v>
      </c>
      <c r="N22" s="52">
        <v>0.65586411901554631</v>
      </c>
      <c r="O22" s="52">
        <v>0.64373078212124635</v>
      </c>
      <c r="P22" s="52">
        <v>0.64486301695574488</v>
      </c>
      <c r="Q22" s="52">
        <v>0.63422555968215533</v>
      </c>
      <c r="R22" s="52">
        <v>0.62390250358108112</v>
      </c>
      <c r="S22" s="52">
        <v>0.62356069301396588</v>
      </c>
      <c r="T22" s="52">
        <v>0.6217951593531611</v>
      </c>
      <c r="U22" s="52">
        <v>0.62016253431514468</v>
      </c>
      <c r="V22" s="52">
        <v>0.58397754581535022</v>
      </c>
      <c r="W22" s="52">
        <v>0.59844227606763389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34.49083343329572</v>
      </c>
      <c r="C23" s="53">
        <f t="shared" si="8"/>
        <v>33.493835178120499</v>
      </c>
      <c r="D23" s="53">
        <f t="shared" ref="D23:W23" si="9">D6/D8</f>
        <v>33.589797108321633</v>
      </c>
      <c r="E23" s="53">
        <f t="shared" si="9"/>
        <v>32.843947879940806</v>
      </c>
      <c r="F23" s="53">
        <f t="shared" si="9"/>
        <v>33.324026508055447</v>
      </c>
      <c r="G23" s="53">
        <f t="shared" si="9"/>
        <v>32.433201943757467</v>
      </c>
      <c r="H23" s="53">
        <f t="shared" si="9"/>
        <v>31.987549353051627</v>
      </c>
      <c r="I23" s="53">
        <f t="shared" si="9"/>
        <v>31.533941665152575</v>
      </c>
      <c r="J23" s="53">
        <f t="shared" si="9"/>
        <v>31.47761660817828</v>
      </c>
      <c r="K23" s="53">
        <f t="shared" si="9"/>
        <v>31.455016195986179</v>
      </c>
      <c r="L23" s="53">
        <f t="shared" si="9"/>
        <v>32.838957715689759</v>
      </c>
      <c r="M23" s="53">
        <f t="shared" si="9"/>
        <v>32.408990556351682</v>
      </c>
      <c r="N23" s="53">
        <f t="shared" si="9"/>
        <v>31.240854003342626</v>
      </c>
      <c r="O23" s="53">
        <f t="shared" si="9"/>
        <v>31.224985511692942</v>
      </c>
      <c r="P23" s="53">
        <f t="shared" si="9"/>
        <v>32.55388822757466</v>
      </c>
      <c r="Q23" s="53">
        <f t="shared" si="9"/>
        <v>31.672414262079943</v>
      </c>
      <c r="R23" s="53">
        <f t="shared" si="9"/>
        <v>33.040842492616029</v>
      </c>
      <c r="S23" s="53">
        <f t="shared" si="9"/>
        <v>32.664029194113589</v>
      </c>
      <c r="T23" s="53">
        <f t="shared" si="9"/>
        <v>34.127497353418562</v>
      </c>
      <c r="U23" s="53">
        <f t="shared" si="9"/>
        <v>34.883076123272538</v>
      </c>
      <c r="V23" s="53">
        <f t="shared" si="9"/>
        <v>33.641858846102053</v>
      </c>
      <c r="W23" s="53">
        <f t="shared" si="9"/>
        <v>33.653333656968641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6.875624367171608</v>
      </c>
      <c r="C24" s="54">
        <f t="shared" si="10"/>
        <v>7.1441543004870534</v>
      </c>
      <c r="D24" s="54">
        <f t="shared" ref="D24:W24" si="11">D9*1000/D3</f>
        <v>7.3526204177980334</v>
      </c>
      <c r="E24" s="54">
        <f t="shared" si="11"/>
        <v>7.6555620677482139</v>
      </c>
      <c r="F24" s="54">
        <f t="shared" si="11"/>
        <v>7.9567603930749931</v>
      </c>
      <c r="G24" s="54">
        <f t="shared" si="11"/>
        <v>8.1640381504173742</v>
      </c>
      <c r="H24" s="54">
        <f t="shared" si="11"/>
        <v>8.4834435018697683</v>
      </c>
      <c r="I24" s="54">
        <f t="shared" si="11"/>
        <v>8.7164339431046685</v>
      </c>
      <c r="J24" s="54">
        <f t="shared" si="11"/>
        <v>8.857985658635414</v>
      </c>
      <c r="K24" s="54">
        <f t="shared" si="11"/>
        <v>8.8226904166067612</v>
      </c>
      <c r="L24" s="54">
        <f t="shared" si="11"/>
        <v>8.5093419625292182</v>
      </c>
      <c r="M24" s="54">
        <f t="shared" si="11"/>
        <v>8.3076848653103319</v>
      </c>
      <c r="N24" s="54">
        <f t="shared" si="11"/>
        <v>8.3486302620423718</v>
      </c>
      <c r="O24" s="54">
        <f t="shared" si="11"/>
        <v>8.3972529891541061</v>
      </c>
      <c r="P24" s="54">
        <f t="shared" si="11"/>
        <v>8.4665163892518382</v>
      </c>
      <c r="Q24" s="54">
        <f t="shared" si="11"/>
        <v>8.5467113732253459</v>
      </c>
      <c r="R24" s="54">
        <f t="shared" si="11"/>
        <v>8.6089827064989031</v>
      </c>
      <c r="S24" s="54">
        <f t="shared" si="11"/>
        <v>8.6790398611314412</v>
      </c>
      <c r="T24" s="54">
        <f t="shared" si="11"/>
        <v>8.761549116567803</v>
      </c>
      <c r="U24" s="54">
        <f t="shared" si="11"/>
        <v>8.845335614502174</v>
      </c>
      <c r="V24" s="54">
        <f t="shared" si="11"/>
        <v>8.9179737212957146</v>
      </c>
      <c r="W24" s="54">
        <f t="shared" si="11"/>
        <v>9.0143859704819604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26.093889605206968</v>
      </c>
      <c r="C25" s="54">
        <f t="shared" si="12"/>
        <v>26.870616494462112</v>
      </c>
      <c r="D25" s="54">
        <f t="shared" ref="D25:W25" si="13">D9*1000/D6</f>
        <v>26.793850439097515</v>
      </c>
      <c r="E25" s="54">
        <f t="shared" si="13"/>
        <v>27.402308738580977</v>
      </c>
      <c r="F25" s="54">
        <f t="shared" si="13"/>
        <v>27.007540633855946</v>
      </c>
      <c r="G25" s="54">
        <f t="shared" si="13"/>
        <v>27.749341602494052</v>
      </c>
      <c r="H25" s="54">
        <f t="shared" si="13"/>
        <v>28.13594721078999</v>
      </c>
      <c r="I25" s="54">
        <f t="shared" si="13"/>
        <v>28.540675617300611</v>
      </c>
      <c r="J25" s="54">
        <f t="shared" si="13"/>
        <v>28.591745404452531</v>
      </c>
      <c r="K25" s="54">
        <f t="shared" si="13"/>
        <v>28.612288558123346</v>
      </c>
      <c r="L25" s="54">
        <f t="shared" si="13"/>
        <v>27.406472756898708</v>
      </c>
      <c r="M25" s="54">
        <f t="shared" si="13"/>
        <v>27.770071963059443</v>
      </c>
      <c r="N25" s="54">
        <f t="shared" si="13"/>
        <v>28.808431418158548</v>
      </c>
      <c r="O25" s="54">
        <f t="shared" si="13"/>
        <v>28.823071820576942</v>
      </c>
      <c r="P25" s="54">
        <f t="shared" si="13"/>
        <v>27.646467104278436</v>
      </c>
      <c r="Q25" s="54">
        <f t="shared" si="13"/>
        <v>28.415895061006836</v>
      </c>
      <c r="R25" s="54">
        <f t="shared" si="13"/>
        <v>27.239014870796108</v>
      </c>
      <c r="S25" s="54">
        <f t="shared" si="13"/>
        <v>27.553245028393182</v>
      </c>
      <c r="T25" s="54">
        <f t="shared" si="13"/>
        <v>26.371696426484277</v>
      </c>
      <c r="U25" s="54">
        <f t="shared" si="13"/>
        <v>25.80047690804302</v>
      </c>
      <c r="V25" s="54">
        <f t="shared" si="13"/>
        <v>26.752386189988414</v>
      </c>
      <c r="W25" s="54">
        <f t="shared" si="13"/>
        <v>26.743264402088016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</v>
      </c>
      <c r="D26" s="55">
        <f t="shared" ref="D26:W26" si="15">D9*1000/D8</f>
        <v>900.00000000000011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899.99999999999989</v>
      </c>
      <c r="J26" s="55">
        <f t="shared" si="15"/>
        <v>900</v>
      </c>
      <c r="K26" s="55">
        <f t="shared" si="15"/>
        <v>899.99999999999989</v>
      </c>
      <c r="L26" s="55">
        <f t="shared" si="15"/>
        <v>900</v>
      </c>
      <c r="M26" s="55">
        <f t="shared" si="15"/>
        <v>900.00000000000011</v>
      </c>
      <c r="N26" s="55">
        <f t="shared" si="15"/>
        <v>900</v>
      </c>
      <c r="O26" s="55">
        <f t="shared" si="15"/>
        <v>900.00000000000011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899.99999999999989</v>
      </c>
      <c r="V26" s="55">
        <f t="shared" si="15"/>
        <v>900.00000000000011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900.00000000000011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899.99999999999989</v>
      </c>
      <c r="U27" s="57">
        <f t="shared" si="17"/>
        <v>899.99999999999989</v>
      </c>
      <c r="V27" s="57">
        <f t="shared" si="17"/>
        <v>900.00000000000011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1328.7188306104902</v>
      </c>
      <c r="C31" s="80">
        <f t="shared" ref="C31:W31" si="18">SUM(C32:C33,C36:C37,C44:C45)</f>
        <v>1487.7328460877047</v>
      </c>
      <c r="D31" s="80">
        <f t="shared" si="18"/>
        <v>1559.6447119518491</v>
      </c>
      <c r="E31" s="80">
        <f t="shared" si="18"/>
        <v>1685.7910576096308</v>
      </c>
      <c r="F31" s="80">
        <f t="shared" si="18"/>
        <v>1803.7120378331906</v>
      </c>
      <c r="G31" s="80">
        <f t="shared" si="18"/>
        <v>1965.5090283748925</v>
      </c>
      <c r="H31" s="80">
        <f t="shared" si="18"/>
        <v>2101.7490111779875</v>
      </c>
      <c r="I31" s="80">
        <f t="shared" si="18"/>
        <v>2159.3168529664654</v>
      </c>
      <c r="J31" s="80">
        <f t="shared" si="18"/>
        <v>2243.2104041272569</v>
      </c>
      <c r="K31" s="80">
        <f t="shared" si="18"/>
        <v>2165.8944110060188</v>
      </c>
      <c r="L31" s="80">
        <f t="shared" si="18"/>
        <v>1969.187274290628</v>
      </c>
      <c r="M31" s="80">
        <f t="shared" si="18"/>
        <v>1881.036027515047</v>
      </c>
      <c r="N31" s="80">
        <f t="shared" si="18"/>
        <v>1954.5436989892378</v>
      </c>
      <c r="O31" s="80">
        <f t="shared" si="18"/>
        <v>1837.507330111725</v>
      </c>
      <c r="P31" s="80">
        <f t="shared" si="18"/>
        <v>1728.9798043670839</v>
      </c>
      <c r="Q31" s="80">
        <f t="shared" si="18"/>
        <v>1893.5080335562743</v>
      </c>
      <c r="R31" s="80">
        <f t="shared" si="18"/>
        <v>2040.3544271146491</v>
      </c>
      <c r="S31" s="80">
        <f t="shared" si="18"/>
        <v>1965.3604332788277</v>
      </c>
      <c r="T31" s="80">
        <f t="shared" si="18"/>
        <v>1841.6420259122669</v>
      </c>
      <c r="U31" s="80">
        <f t="shared" si="18"/>
        <v>1866.3852770974074</v>
      </c>
      <c r="V31" s="80">
        <f t="shared" si="18"/>
        <v>1602.5213377526147</v>
      </c>
      <c r="W31" s="80">
        <f t="shared" si="18"/>
        <v>1705.9751908426897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248.1465176268272</v>
      </c>
      <c r="C33" s="55">
        <f t="shared" ref="C33:W33" si="19">SUM(C34:C35)</f>
        <v>320.98263112639728</v>
      </c>
      <c r="D33" s="55">
        <f t="shared" si="19"/>
        <v>321.12596732588145</v>
      </c>
      <c r="E33" s="55">
        <f t="shared" si="19"/>
        <v>347.10997420464321</v>
      </c>
      <c r="F33" s="55">
        <f t="shared" si="19"/>
        <v>369.12682717110926</v>
      </c>
      <c r="G33" s="55">
        <f t="shared" si="19"/>
        <v>446.60593293207216</v>
      </c>
      <c r="H33" s="55">
        <f t="shared" si="19"/>
        <v>456.46311263972478</v>
      </c>
      <c r="I33" s="55">
        <f t="shared" si="19"/>
        <v>414.1492691315562</v>
      </c>
      <c r="J33" s="55">
        <f t="shared" si="19"/>
        <v>394.96758383490976</v>
      </c>
      <c r="K33" s="55">
        <f t="shared" si="19"/>
        <v>293.15477214101463</v>
      </c>
      <c r="L33" s="55">
        <f t="shared" si="19"/>
        <v>254.56672398968178</v>
      </c>
      <c r="M33" s="55">
        <f t="shared" si="19"/>
        <v>228.72355975924333</v>
      </c>
      <c r="N33" s="55">
        <f t="shared" si="19"/>
        <v>170.33533963886504</v>
      </c>
      <c r="O33" s="55">
        <f t="shared" si="19"/>
        <v>193.40300945829748</v>
      </c>
      <c r="P33" s="55">
        <f t="shared" si="19"/>
        <v>107.4090283748925</v>
      </c>
      <c r="Q33" s="55">
        <f t="shared" si="19"/>
        <v>117.34015477214101</v>
      </c>
      <c r="R33" s="55">
        <f t="shared" si="19"/>
        <v>176.25399828030953</v>
      </c>
      <c r="S33" s="55">
        <f t="shared" si="19"/>
        <v>123.37162510748065</v>
      </c>
      <c r="T33" s="55">
        <f t="shared" si="19"/>
        <v>120.33946689595872</v>
      </c>
      <c r="U33" s="55">
        <f t="shared" si="19"/>
        <v>125.77325881341356</v>
      </c>
      <c r="V33" s="55">
        <f t="shared" si="19"/>
        <v>87.050300945829719</v>
      </c>
      <c r="W33" s="55">
        <f t="shared" si="19"/>
        <v>99.250386930352533</v>
      </c>
      <c r="DA33" s="101"/>
    </row>
    <row r="34" spans="1:105" ht="12" customHeight="1" x14ac:dyDescent="0.25">
      <c r="A34" s="61" t="s">
        <v>52</v>
      </c>
      <c r="B34" s="55">
        <v>27.113757523645749</v>
      </c>
      <c r="C34" s="55">
        <v>28.243508168529662</v>
      </c>
      <c r="D34" s="55">
        <v>19.205588993981081</v>
      </c>
      <c r="E34" s="55">
        <v>22.594840928632841</v>
      </c>
      <c r="F34" s="55">
        <v>54.227601031814267</v>
      </c>
      <c r="G34" s="55">
        <v>48.578847807394673</v>
      </c>
      <c r="H34" s="55">
        <v>47.449097162510739</v>
      </c>
      <c r="I34" s="55">
        <v>45.18968185726569</v>
      </c>
      <c r="J34" s="55">
        <v>44.05993121238177</v>
      </c>
      <c r="K34" s="55">
        <v>41.75030094582975</v>
      </c>
      <c r="L34" s="55">
        <v>43.947635425623382</v>
      </c>
      <c r="M34" s="55">
        <v>38.454170249355109</v>
      </c>
      <c r="N34" s="55">
        <v>103.2769561478934</v>
      </c>
      <c r="O34" s="55">
        <v>72.513585554600169</v>
      </c>
      <c r="P34" s="55">
        <v>41.75030094582975</v>
      </c>
      <c r="Q34" s="55">
        <v>47.243680137575232</v>
      </c>
      <c r="R34" s="55">
        <v>56.03327601031814</v>
      </c>
      <c r="S34" s="55">
        <v>62.466122098022353</v>
      </c>
      <c r="T34" s="55">
        <v>66.960791057609626</v>
      </c>
      <c r="U34" s="55">
        <v>75.22295786758383</v>
      </c>
      <c r="V34" s="55">
        <v>46.595528804815117</v>
      </c>
      <c r="W34" s="55">
        <v>68.882459157351661</v>
      </c>
      <c r="DA34" s="101" t="s">
        <v>200</v>
      </c>
    </row>
    <row r="35" spans="1:105" ht="12" customHeight="1" x14ac:dyDescent="0.25">
      <c r="A35" s="61" t="s">
        <v>170</v>
      </c>
      <c r="B35" s="55">
        <v>221.03276010318146</v>
      </c>
      <c r="C35" s="55">
        <v>292.73912295786761</v>
      </c>
      <c r="D35" s="55">
        <v>301.92037833190034</v>
      </c>
      <c r="E35" s="55">
        <v>324.51513327601037</v>
      </c>
      <c r="F35" s="55">
        <v>314.89922613929497</v>
      </c>
      <c r="G35" s="55">
        <v>398.02708512467751</v>
      </c>
      <c r="H35" s="55">
        <v>409.01401547721406</v>
      </c>
      <c r="I35" s="55">
        <v>368.95958727429053</v>
      </c>
      <c r="J35" s="55">
        <v>350.90765262252796</v>
      </c>
      <c r="K35" s="55">
        <v>251.4044711951849</v>
      </c>
      <c r="L35" s="55">
        <v>210.61908856405839</v>
      </c>
      <c r="M35" s="55">
        <v>190.26938950988821</v>
      </c>
      <c r="N35" s="55">
        <v>67.058383490971636</v>
      </c>
      <c r="O35" s="55">
        <v>120.88942390369731</v>
      </c>
      <c r="P35" s="55">
        <v>65.658727429062751</v>
      </c>
      <c r="Q35" s="55">
        <v>70.096474634565766</v>
      </c>
      <c r="R35" s="55">
        <v>120.2207222699914</v>
      </c>
      <c r="S35" s="55">
        <v>60.9055030094583</v>
      </c>
      <c r="T35" s="55">
        <v>53.378675838349096</v>
      </c>
      <c r="U35" s="55">
        <v>50.550300945829733</v>
      </c>
      <c r="V35" s="55">
        <v>40.454772141014601</v>
      </c>
      <c r="W35" s="55">
        <v>30.367927773000872</v>
      </c>
      <c r="DA35" s="101" t="s">
        <v>201</v>
      </c>
    </row>
    <row r="36" spans="1:105" ht="12" customHeight="1" x14ac:dyDescent="0.25">
      <c r="A36" s="60" t="s">
        <v>153</v>
      </c>
      <c r="B36" s="55">
        <v>8.5985382631126388</v>
      </c>
      <c r="C36" s="55">
        <v>12.18830610490112</v>
      </c>
      <c r="D36" s="55">
        <v>18.16431642304385</v>
      </c>
      <c r="E36" s="55">
        <v>27.665520206362849</v>
      </c>
      <c r="F36" s="55">
        <v>43.508426483233023</v>
      </c>
      <c r="G36" s="55">
        <v>73.818572656921745</v>
      </c>
      <c r="H36" s="55">
        <v>89.596646603611347</v>
      </c>
      <c r="I36" s="55">
        <v>104.96500429922609</v>
      </c>
      <c r="J36" s="55">
        <v>128.8055889939811</v>
      </c>
      <c r="K36" s="55">
        <v>144.81857265692179</v>
      </c>
      <c r="L36" s="55">
        <v>138.94944110060189</v>
      </c>
      <c r="M36" s="55">
        <v>164.78976784178849</v>
      </c>
      <c r="N36" s="55">
        <v>137.98245915735171</v>
      </c>
      <c r="O36" s="55">
        <v>124.6567497850387</v>
      </c>
      <c r="P36" s="55">
        <v>125.30128976784179</v>
      </c>
      <c r="Q36" s="55">
        <v>165.73422184006881</v>
      </c>
      <c r="R36" s="55">
        <v>148.02235597592431</v>
      </c>
      <c r="S36" s="55">
        <v>150.70395528804809</v>
      </c>
      <c r="T36" s="55">
        <v>143.94995700773859</v>
      </c>
      <c r="U36" s="55">
        <v>152.94892519346519</v>
      </c>
      <c r="V36" s="55">
        <v>136.9988822012038</v>
      </c>
      <c r="W36" s="55">
        <v>142.7205503009458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6.711521926053309</v>
      </c>
      <c r="C37" s="55">
        <f t="shared" ref="C37:W37" si="20">SUM(C38:C42)</f>
        <v>6.9264832330180566</v>
      </c>
      <c r="D37" s="55">
        <f t="shared" si="20"/>
        <v>7.2847807394668944</v>
      </c>
      <c r="E37" s="55">
        <f t="shared" si="20"/>
        <v>9.5538263112639719</v>
      </c>
      <c r="F37" s="55">
        <f t="shared" si="20"/>
        <v>15.238435081685296</v>
      </c>
      <c r="G37" s="55">
        <f t="shared" si="20"/>
        <v>15.763800515907135</v>
      </c>
      <c r="H37" s="55">
        <f t="shared" si="20"/>
        <v>16.910232158211521</v>
      </c>
      <c r="I37" s="55">
        <f t="shared" si="20"/>
        <v>13.805331040412725</v>
      </c>
      <c r="J37" s="55">
        <f t="shared" si="20"/>
        <v>13.1603611349957</v>
      </c>
      <c r="K37" s="55">
        <f t="shared" si="20"/>
        <v>15.88323301805675</v>
      </c>
      <c r="L37" s="55">
        <f t="shared" si="20"/>
        <v>16.169819432502148</v>
      </c>
      <c r="M37" s="55">
        <f t="shared" si="20"/>
        <v>28.709286328460873</v>
      </c>
      <c r="N37" s="55">
        <f t="shared" si="20"/>
        <v>46.742046431642315</v>
      </c>
      <c r="O37" s="55">
        <f t="shared" si="20"/>
        <v>43.0938950988822</v>
      </c>
      <c r="P37" s="55">
        <f t="shared" si="20"/>
        <v>36.605503009458296</v>
      </c>
      <c r="Q37" s="55">
        <f t="shared" si="20"/>
        <v>51.380481513327602</v>
      </c>
      <c r="R37" s="55">
        <f t="shared" si="20"/>
        <v>41.90309544282028</v>
      </c>
      <c r="S37" s="55">
        <f t="shared" si="20"/>
        <v>34.611177987962158</v>
      </c>
      <c r="T37" s="55">
        <f t="shared" si="20"/>
        <v>44.233963886500376</v>
      </c>
      <c r="U37" s="55">
        <f t="shared" si="20"/>
        <v>45.691745485812476</v>
      </c>
      <c r="V37" s="55">
        <f t="shared" si="20"/>
        <v>34.905245055889885</v>
      </c>
      <c r="W37" s="55">
        <f t="shared" si="20"/>
        <v>40.944282029234699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10.413671539122966</v>
      </c>
      <c r="O38" s="55">
        <v>7.2847807394668989</v>
      </c>
      <c r="P38" s="55">
        <v>5.9472914875322447</v>
      </c>
      <c r="Q38" s="55">
        <v>18.247807394668957</v>
      </c>
      <c r="R38" s="55">
        <v>11.655717970765256</v>
      </c>
      <c r="S38" s="55">
        <v>8.6939810834049922</v>
      </c>
      <c r="T38" s="55">
        <v>13.232072226999094</v>
      </c>
      <c r="U38" s="55">
        <v>6.1024935511607055</v>
      </c>
      <c r="V38" s="55">
        <v>6.188650042992208</v>
      </c>
      <c r="W38" s="55">
        <v>13.369991401547679</v>
      </c>
      <c r="DA38" s="101" t="s">
        <v>203</v>
      </c>
    </row>
    <row r="39" spans="1:105" ht="12" customHeight="1" x14ac:dyDescent="0.25">
      <c r="A39" s="61" t="s">
        <v>50</v>
      </c>
      <c r="B39" s="55">
        <v>0.93147033533963886</v>
      </c>
      <c r="C39" s="55">
        <v>1.050902837489252</v>
      </c>
      <c r="D39" s="55">
        <v>1.2897678417884779</v>
      </c>
      <c r="E39" s="55">
        <v>3.3915735167669818</v>
      </c>
      <c r="F39" s="55">
        <v>3.79767841788478</v>
      </c>
      <c r="G39" s="55">
        <v>5.0874462596732588</v>
      </c>
      <c r="H39" s="55">
        <v>5.7561478933791914</v>
      </c>
      <c r="I39" s="55">
        <v>2.2451418744625968</v>
      </c>
      <c r="J39" s="55">
        <v>0.50154772141014614</v>
      </c>
      <c r="K39" s="55">
        <v>1.098710232158211</v>
      </c>
      <c r="L39" s="55">
        <v>1.361392949269131</v>
      </c>
      <c r="M39" s="55">
        <v>13.90085984522786</v>
      </c>
      <c r="N39" s="55">
        <v>13.49475494411006</v>
      </c>
      <c r="O39" s="55">
        <v>14.593465176268269</v>
      </c>
      <c r="P39" s="55">
        <v>13.208168529664659</v>
      </c>
      <c r="Q39" s="55">
        <v>14.044110060189171</v>
      </c>
      <c r="R39" s="55">
        <v>11.84677558039553</v>
      </c>
      <c r="S39" s="55">
        <v>10.03387790197764</v>
      </c>
      <c r="T39" s="55">
        <v>12.48211521926053</v>
      </c>
      <c r="U39" s="55">
        <v>19.35846947549441</v>
      </c>
      <c r="V39" s="55">
        <v>14.0274290627687</v>
      </c>
      <c r="W39" s="55">
        <v>12.578933791917461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7.9535683576956142</v>
      </c>
      <c r="O40" s="55">
        <v>6.4549441100601896</v>
      </c>
      <c r="P40" s="55">
        <v>1.75786758383491</v>
      </c>
      <c r="Q40" s="55">
        <v>3.5158211521926046</v>
      </c>
      <c r="R40" s="55">
        <v>2.636801375752365</v>
      </c>
      <c r="S40" s="55">
        <v>0</v>
      </c>
      <c r="T40" s="55">
        <v>2.4214961306964748</v>
      </c>
      <c r="U40" s="55">
        <v>2.1024075666380053</v>
      </c>
      <c r="V40" s="55">
        <v>1.4833190025795355</v>
      </c>
      <c r="W40" s="55">
        <v>1.5148753224419604</v>
      </c>
      <c r="DA40" s="101" t="s">
        <v>205</v>
      </c>
    </row>
    <row r="41" spans="1:105" ht="12" customHeight="1" x14ac:dyDescent="0.25">
      <c r="A41" s="61" t="s">
        <v>26</v>
      </c>
      <c r="B41" s="55">
        <v>5.7800515907136703</v>
      </c>
      <c r="C41" s="55">
        <v>5.8755803955288046</v>
      </c>
      <c r="D41" s="55">
        <v>5.9950128976784169</v>
      </c>
      <c r="E41" s="55">
        <v>6.1622527944969896</v>
      </c>
      <c r="F41" s="55">
        <v>6.3772141014617363</v>
      </c>
      <c r="G41" s="55">
        <v>5.9950128976784169</v>
      </c>
      <c r="H41" s="55">
        <v>6.4727429062768707</v>
      </c>
      <c r="I41" s="55">
        <v>7.0220980223559746</v>
      </c>
      <c r="J41" s="55">
        <v>8.1207222699914006</v>
      </c>
      <c r="K41" s="55">
        <v>8.9089423903697327</v>
      </c>
      <c r="L41" s="55">
        <v>8.9328460877042115</v>
      </c>
      <c r="M41" s="55">
        <v>8.9328460877042115</v>
      </c>
      <c r="N41" s="55">
        <v>9.0044711951848662</v>
      </c>
      <c r="O41" s="55">
        <v>9.1239036973344803</v>
      </c>
      <c r="P41" s="55">
        <v>9.3627687016337049</v>
      </c>
      <c r="Q41" s="55">
        <v>9.5777300085984507</v>
      </c>
      <c r="R41" s="55">
        <v>9.7687876182287177</v>
      </c>
      <c r="S41" s="55">
        <v>10.031556319862419</v>
      </c>
      <c r="T41" s="55">
        <v>10.24651762682717</v>
      </c>
      <c r="U41" s="55">
        <v>10.437575236457439</v>
      </c>
      <c r="V41" s="55">
        <v>10.697936371453141</v>
      </c>
      <c r="W41" s="55">
        <v>11.09200343938091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5.0635425623387791</v>
      </c>
      <c r="G42" s="55">
        <v>4.6813413585554597</v>
      </c>
      <c r="H42" s="55">
        <v>4.6813413585554597</v>
      </c>
      <c r="I42" s="55">
        <v>4.5380911435941522</v>
      </c>
      <c r="J42" s="55">
        <v>4.5380911435941522</v>
      </c>
      <c r="K42" s="55">
        <v>5.8755803955288046</v>
      </c>
      <c r="L42" s="55">
        <v>5.8755803955288046</v>
      </c>
      <c r="M42" s="55">
        <v>5.8755803955288046</v>
      </c>
      <c r="N42" s="55">
        <v>5.8755803955288046</v>
      </c>
      <c r="O42" s="55">
        <v>5.6368013757523636</v>
      </c>
      <c r="P42" s="55">
        <v>6.3294067067927768</v>
      </c>
      <c r="Q42" s="55">
        <v>5.9950128976784169</v>
      </c>
      <c r="R42" s="55">
        <v>5.9950128976784169</v>
      </c>
      <c r="S42" s="55">
        <v>5.8517626827171103</v>
      </c>
      <c r="T42" s="55">
        <v>5.8517626827171103</v>
      </c>
      <c r="U42" s="55">
        <v>7.690799656061909</v>
      </c>
      <c r="V42" s="55">
        <v>2.507910576096303</v>
      </c>
      <c r="W42" s="55">
        <v>2.3884780739466889</v>
      </c>
      <c r="DA42" s="101" t="s">
        <v>207</v>
      </c>
    </row>
    <row r="43" spans="1:105" ht="12" customHeight="1" x14ac:dyDescent="0.25">
      <c r="A43" s="61" t="s">
        <v>157</v>
      </c>
      <c r="B43" s="55">
        <v>1.5846952461030892</v>
      </c>
      <c r="C43" s="55">
        <v>2.2093929822192981</v>
      </c>
      <c r="D43" s="55">
        <v>3.3845671041969734</v>
      </c>
      <c r="E43" s="55">
        <v>5.1559484920559866</v>
      </c>
      <c r="F43" s="55">
        <v>8.9336291674695829</v>
      </c>
      <c r="G43" s="55">
        <v>11.398182849804861</v>
      </c>
      <c r="H43" s="55">
        <v>17.011873565191447</v>
      </c>
      <c r="I43" s="55">
        <v>26.256724691047481</v>
      </c>
      <c r="J43" s="55">
        <v>36.822880541498265</v>
      </c>
      <c r="K43" s="55">
        <v>50.492736083478469</v>
      </c>
      <c r="L43" s="55">
        <v>61.298027814226081</v>
      </c>
      <c r="M43" s="55">
        <v>72.446982918428148</v>
      </c>
      <c r="N43" s="55">
        <v>108.65199167957978</v>
      </c>
      <c r="O43" s="55">
        <v>127.36599112100717</v>
      </c>
      <c r="P43" s="55">
        <v>171.16075370075046</v>
      </c>
      <c r="Q43" s="55">
        <v>221.63130981003769</v>
      </c>
      <c r="R43" s="55">
        <v>225.34818591548668</v>
      </c>
      <c r="S43" s="55">
        <v>228.36887360275142</v>
      </c>
      <c r="T43" s="55">
        <v>254.41865864144432</v>
      </c>
      <c r="U43" s="55">
        <v>271.52003439380928</v>
      </c>
      <c r="V43" s="55">
        <v>303.31040412725719</v>
      </c>
      <c r="W43" s="55">
        <v>340.74995700773889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1065.262252794497</v>
      </c>
      <c r="C45" s="63">
        <v>1147.6354256233883</v>
      </c>
      <c r="D45" s="63">
        <v>1213.0696474634569</v>
      </c>
      <c r="E45" s="63">
        <v>1301.4617368873608</v>
      </c>
      <c r="F45" s="63">
        <v>1375.838349097163</v>
      </c>
      <c r="G45" s="63">
        <v>1429.3207222699914</v>
      </c>
      <c r="H45" s="63">
        <v>1538.7790197764398</v>
      </c>
      <c r="I45" s="63">
        <v>1626.3972484952706</v>
      </c>
      <c r="J45" s="63">
        <v>1706.2768701633704</v>
      </c>
      <c r="K45" s="63">
        <v>1712.0378331900256</v>
      </c>
      <c r="L45" s="63">
        <v>1559.5012897678421</v>
      </c>
      <c r="M45" s="63">
        <v>1458.8134135855541</v>
      </c>
      <c r="N45" s="63">
        <v>1599.4838537613787</v>
      </c>
      <c r="O45" s="63">
        <v>1476.3536757695065</v>
      </c>
      <c r="P45" s="63">
        <v>1459.6639832148915</v>
      </c>
      <c r="Q45" s="63">
        <v>1559.0531754307369</v>
      </c>
      <c r="R45" s="63">
        <v>1674.1749774155949</v>
      </c>
      <c r="S45" s="63">
        <v>1656.6736748953367</v>
      </c>
      <c r="T45" s="63">
        <v>1533.1186381220693</v>
      </c>
      <c r="U45" s="63">
        <v>1541.9713476047161</v>
      </c>
      <c r="V45" s="63">
        <v>1343.5669095496912</v>
      </c>
      <c r="W45" s="63">
        <v>1423.0599715821565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1328.7188306104902</v>
      </c>
      <c r="C47" s="82">
        <f t="shared" ref="C47:W47" si="22">SUM(C48,C53)</f>
        <v>1487.7328460877045</v>
      </c>
      <c r="D47" s="82">
        <f t="shared" si="22"/>
        <v>1559.6447119518491</v>
      </c>
      <c r="E47" s="82">
        <f t="shared" si="22"/>
        <v>1685.7910576096308</v>
      </c>
      <c r="F47" s="82">
        <f t="shared" si="22"/>
        <v>1803.7120378331906</v>
      </c>
      <c r="G47" s="82">
        <f t="shared" si="22"/>
        <v>1965.5090283748923</v>
      </c>
      <c r="H47" s="82">
        <f t="shared" si="22"/>
        <v>2101.7490111779875</v>
      </c>
      <c r="I47" s="82">
        <f t="shared" si="22"/>
        <v>2159.3168529664654</v>
      </c>
      <c r="J47" s="82">
        <f t="shared" si="22"/>
        <v>2243.2104041272564</v>
      </c>
      <c r="K47" s="82">
        <f t="shared" si="22"/>
        <v>2165.8944110060188</v>
      </c>
      <c r="L47" s="82">
        <f t="shared" si="22"/>
        <v>1969.187274290628</v>
      </c>
      <c r="M47" s="82">
        <f t="shared" si="22"/>
        <v>1881.0360275150474</v>
      </c>
      <c r="N47" s="82">
        <f t="shared" si="22"/>
        <v>1954.5436989892378</v>
      </c>
      <c r="O47" s="82">
        <f t="shared" si="22"/>
        <v>1837.507330111725</v>
      </c>
      <c r="P47" s="82">
        <f t="shared" si="22"/>
        <v>1728.9798043670842</v>
      </c>
      <c r="Q47" s="82">
        <f t="shared" si="22"/>
        <v>1893.5080335562741</v>
      </c>
      <c r="R47" s="82">
        <f t="shared" si="22"/>
        <v>2040.3544271146493</v>
      </c>
      <c r="S47" s="82">
        <f t="shared" si="22"/>
        <v>1965.3604332788277</v>
      </c>
      <c r="T47" s="82">
        <f t="shared" si="22"/>
        <v>1841.6420259122676</v>
      </c>
      <c r="U47" s="82">
        <f t="shared" si="22"/>
        <v>1866.3852770974072</v>
      </c>
      <c r="V47" s="82">
        <f t="shared" si="22"/>
        <v>1602.5213377526143</v>
      </c>
      <c r="W47" s="82">
        <f t="shared" si="22"/>
        <v>1705.9751908426897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914.78253509559966</v>
      </c>
      <c r="C48" s="64">
        <f t="shared" ref="C48:W48" si="24">SUM(C49:C52)</f>
        <v>1054.7925847140257</v>
      </c>
      <c r="D48" s="64">
        <f t="shared" si="24"/>
        <v>1105.7756277377378</v>
      </c>
      <c r="E48" s="64">
        <f t="shared" si="24"/>
        <v>1207.3135351151057</v>
      </c>
      <c r="F48" s="64">
        <f t="shared" si="24"/>
        <v>1298.5770405548967</v>
      </c>
      <c r="G48" s="64">
        <f t="shared" si="24"/>
        <v>1436.9624135077252</v>
      </c>
      <c r="H48" s="64">
        <f t="shared" si="24"/>
        <v>1548.2364399475227</v>
      </c>
      <c r="I48" s="64">
        <f t="shared" si="24"/>
        <v>1583.408745843137</v>
      </c>
      <c r="J48" s="64">
        <f t="shared" si="24"/>
        <v>1647.4810547318409</v>
      </c>
      <c r="K48" s="64">
        <f t="shared" si="24"/>
        <v>1560.1626925883556</v>
      </c>
      <c r="L48" s="64">
        <f t="shared" si="24"/>
        <v>1368.3360895950893</v>
      </c>
      <c r="M48" s="64">
        <f t="shared" si="24"/>
        <v>1283.0080187852361</v>
      </c>
      <c r="N48" s="64">
        <f t="shared" si="24"/>
        <v>1347.4571955579061</v>
      </c>
      <c r="O48" s="64">
        <f t="shared" si="24"/>
        <v>1227.6266582764197</v>
      </c>
      <c r="P48" s="64">
        <f t="shared" si="24"/>
        <v>1110.5871982714862</v>
      </c>
      <c r="Q48" s="64">
        <f t="shared" si="24"/>
        <v>1260.7847333449154</v>
      </c>
      <c r="R48" s="64">
        <f t="shared" si="24"/>
        <v>1389.5710547618664</v>
      </c>
      <c r="S48" s="64">
        <f t="shared" si="24"/>
        <v>1320.9794401018839</v>
      </c>
      <c r="T48" s="64">
        <f t="shared" si="24"/>
        <v>1205.6082997932581</v>
      </c>
      <c r="U48" s="64">
        <f t="shared" si="24"/>
        <v>1244.2281233351541</v>
      </c>
      <c r="V48" s="64">
        <f t="shared" si="24"/>
        <v>1033.3373058082018</v>
      </c>
      <c r="W48" s="64">
        <f t="shared" si="24"/>
        <v>1135.4108360572677</v>
      </c>
      <c r="DA48" s="108" t="s">
        <v>212</v>
      </c>
    </row>
    <row r="49" spans="1:105" ht="12" customHeight="1" x14ac:dyDescent="0.25">
      <c r="A49" s="61" t="s">
        <v>32</v>
      </c>
      <c r="B49" s="65">
        <v>368.74605099823464</v>
      </c>
      <c r="C49" s="65">
        <v>461.76399694808401</v>
      </c>
      <c r="D49" s="65">
        <v>483.33506760399712</v>
      </c>
      <c r="E49" s="65">
        <v>547.90144254367556</v>
      </c>
      <c r="F49" s="65">
        <v>615.98697485888738</v>
      </c>
      <c r="G49" s="65">
        <v>714.40358200286369</v>
      </c>
      <c r="H49" s="65">
        <v>803.03127970027504</v>
      </c>
      <c r="I49" s="65">
        <v>813.29430989985076</v>
      </c>
      <c r="J49" s="65">
        <v>867.52937990475891</v>
      </c>
      <c r="K49" s="65">
        <v>785.74932695519192</v>
      </c>
      <c r="L49" s="65">
        <v>571.01134372717684</v>
      </c>
      <c r="M49" s="65">
        <v>490.68311861295876</v>
      </c>
      <c r="N49" s="65">
        <v>506.67797491546349</v>
      </c>
      <c r="O49" s="65">
        <v>419.08250037098071</v>
      </c>
      <c r="P49" s="65">
        <v>312.45829894626797</v>
      </c>
      <c r="Q49" s="65">
        <v>450.76559481235057</v>
      </c>
      <c r="R49" s="65">
        <v>579.2240743379374</v>
      </c>
      <c r="S49" s="65">
        <v>511.3597485509232</v>
      </c>
      <c r="T49" s="65">
        <v>416.82791340123669</v>
      </c>
      <c r="U49" s="65">
        <v>453.71398202451439</v>
      </c>
      <c r="V49" s="65">
        <v>353.65909117788885</v>
      </c>
      <c r="W49" s="65">
        <v>390.1970256149886</v>
      </c>
      <c r="DA49" s="109" t="s">
        <v>213</v>
      </c>
    </row>
    <row r="50" spans="1:105" ht="12" customHeight="1" x14ac:dyDescent="0.25">
      <c r="A50" s="61" t="s">
        <v>31</v>
      </c>
      <c r="B50" s="65">
        <v>38.28095744844606</v>
      </c>
      <c r="C50" s="65">
        <v>48.268291633730996</v>
      </c>
      <c r="D50" s="65">
        <v>39.988184922564642</v>
      </c>
      <c r="E50" s="65">
        <v>55.442210102439105</v>
      </c>
      <c r="F50" s="65">
        <v>35.178444517730469</v>
      </c>
      <c r="G50" s="65">
        <v>36.189784571520129</v>
      </c>
      <c r="H50" s="65">
        <v>44.611195844263385</v>
      </c>
      <c r="I50" s="65">
        <v>68.340164490006188</v>
      </c>
      <c r="J50" s="65">
        <v>66.875780839884371</v>
      </c>
      <c r="K50" s="65">
        <v>47.357086552453701</v>
      </c>
      <c r="L50" s="65">
        <v>60.86257207772379</v>
      </c>
      <c r="M50" s="65">
        <v>53.360724326850558</v>
      </c>
      <c r="N50" s="65">
        <v>89.901571441279089</v>
      </c>
      <c r="O50" s="65">
        <v>58.757583432347118</v>
      </c>
      <c r="P50" s="65">
        <v>50.444428577472408</v>
      </c>
      <c r="Q50" s="65">
        <v>66.329184259534671</v>
      </c>
      <c r="R50" s="65">
        <v>73.066451791325292</v>
      </c>
      <c r="S50" s="65">
        <v>75.339711673870951</v>
      </c>
      <c r="T50" s="65">
        <v>66.60548739438704</v>
      </c>
      <c r="U50" s="65">
        <v>86.645827869239938</v>
      </c>
      <c r="V50" s="65">
        <v>74.535794076240563</v>
      </c>
      <c r="W50" s="65">
        <v>99.244200964757198</v>
      </c>
      <c r="DA50" s="109" t="s">
        <v>214</v>
      </c>
    </row>
    <row r="51" spans="1:105" ht="12" customHeight="1" x14ac:dyDescent="0.25">
      <c r="A51" s="61" t="s">
        <v>35</v>
      </c>
      <c r="B51" s="65">
        <v>241.2250679244116</v>
      </c>
      <c r="C51" s="65">
        <v>261.82474652674097</v>
      </c>
      <c r="D51" s="65">
        <v>282.60145136069463</v>
      </c>
      <c r="E51" s="65">
        <v>296.27928774755048</v>
      </c>
      <c r="F51" s="65">
        <v>312.48845757149064</v>
      </c>
      <c r="G51" s="65">
        <v>339.62390274434716</v>
      </c>
      <c r="H51" s="65">
        <v>348.33197184201521</v>
      </c>
      <c r="I51" s="65">
        <v>350.53302027693803</v>
      </c>
      <c r="J51" s="65">
        <v>359.29302704781367</v>
      </c>
      <c r="K51" s="65">
        <v>364.93579989584902</v>
      </c>
      <c r="L51" s="65">
        <v>370.1237690611996</v>
      </c>
      <c r="M51" s="65">
        <v>370.85870413662292</v>
      </c>
      <c r="N51" s="65">
        <v>367.22561232886017</v>
      </c>
      <c r="O51" s="65">
        <v>368.85279537576611</v>
      </c>
      <c r="P51" s="65">
        <v>375.28967625213915</v>
      </c>
      <c r="Q51" s="65">
        <v>376.70065971012855</v>
      </c>
      <c r="R51" s="65">
        <v>370.52149940397379</v>
      </c>
      <c r="S51" s="65">
        <v>367.12696036033134</v>
      </c>
      <c r="T51" s="65">
        <v>359.05384935303874</v>
      </c>
      <c r="U51" s="65">
        <v>347.7047062104262</v>
      </c>
      <c r="V51" s="65">
        <v>304.43871342240379</v>
      </c>
      <c r="W51" s="65">
        <v>304.8145937203825</v>
      </c>
      <c r="DA51" s="109" t="s">
        <v>215</v>
      </c>
    </row>
    <row r="52" spans="1:105" ht="12" customHeight="1" x14ac:dyDescent="0.25">
      <c r="A52" s="66" t="s">
        <v>34</v>
      </c>
      <c r="B52" s="67">
        <v>266.5304587245073</v>
      </c>
      <c r="C52" s="67">
        <v>282.93554960546976</v>
      </c>
      <c r="D52" s="67">
        <v>299.85092385048148</v>
      </c>
      <c r="E52" s="67">
        <v>307.69059472144062</v>
      </c>
      <c r="F52" s="67">
        <v>334.92316360678819</v>
      </c>
      <c r="G52" s="67">
        <v>346.74514418899412</v>
      </c>
      <c r="H52" s="67">
        <v>352.26199256096902</v>
      </c>
      <c r="I52" s="67">
        <v>351.24125117634202</v>
      </c>
      <c r="J52" s="67">
        <v>353.78286693938418</v>
      </c>
      <c r="K52" s="67">
        <v>362.1204791848611</v>
      </c>
      <c r="L52" s="67">
        <v>366.33840472898908</v>
      </c>
      <c r="M52" s="67">
        <v>368.10547170880386</v>
      </c>
      <c r="N52" s="67">
        <v>383.65203687230331</v>
      </c>
      <c r="O52" s="67">
        <v>380.93377909732578</v>
      </c>
      <c r="P52" s="67">
        <v>372.39479449560667</v>
      </c>
      <c r="Q52" s="67">
        <v>366.98929456290159</v>
      </c>
      <c r="R52" s="67">
        <v>366.75902922862997</v>
      </c>
      <c r="S52" s="67">
        <v>367.15301951675849</v>
      </c>
      <c r="T52" s="67">
        <v>363.1210496445957</v>
      </c>
      <c r="U52" s="67">
        <v>356.16360723097353</v>
      </c>
      <c r="V52" s="67">
        <v>300.70370713166858</v>
      </c>
      <c r="W52" s="67">
        <v>341.15501575713938</v>
      </c>
      <c r="DA52" s="110" t="s">
        <v>216</v>
      </c>
    </row>
    <row r="53" spans="1:105" ht="12" customHeight="1" x14ac:dyDescent="0.25">
      <c r="A53" s="78" t="s">
        <v>33</v>
      </c>
      <c r="B53" s="68">
        <v>413.93629551489056</v>
      </c>
      <c r="C53" s="68">
        <v>432.94026137367888</v>
      </c>
      <c r="D53" s="68">
        <v>453.86908421411135</v>
      </c>
      <c r="E53" s="68">
        <v>478.47752249452515</v>
      </c>
      <c r="F53" s="68">
        <v>505.13499727829378</v>
      </c>
      <c r="G53" s="68">
        <v>528.54661486716702</v>
      </c>
      <c r="H53" s="68">
        <v>553.5125712304648</v>
      </c>
      <c r="I53" s="68">
        <v>575.90810712332859</v>
      </c>
      <c r="J53" s="68">
        <v>595.72934939541562</v>
      </c>
      <c r="K53" s="68">
        <v>605.73171841766316</v>
      </c>
      <c r="L53" s="68">
        <v>600.85118469553856</v>
      </c>
      <c r="M53" s="68">
        <v>598.02800872981118</v>
      </c>
      <c r="N53" s="68">
        <v>607.08650343133172</v>
      </c>
      <c r="O53" s="68">
        <v>609.88067183530541</v>
      </c>
      <c r="P53" s="68">
        <v>618.39260609559801</v>
      </c>
      <c r="Q53" s="68">
        <v>632.72330021135872</v>
      </c>
      <c r="R53" s="68">
        <v>650.78337235278275</v>
      </c>
      <c r="S53" s="68">
        <v>644.38099317694366</v>
      </c>
      <c r="T53" s="68">
        <v>636.03372611900954</v>
      </c>
      <c r="U53" s="68">
        <v>622.15715376225307</v>
      </c>
      <c r="V53" s="68">
        <v>569.1840319444126</v>
      </c>
      <c r="W53" s="68">
        <v>570.56435478542198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0.68846960998911688</v>
      </c>
      <c r="C56" s="70">
        <f t="shared" ref="C56:W56" si="28">IF(C48=0,0,C48/C$47)</f>
        <v>0.7089932762376101</v>
      </c>
      <c r="D56" s="70">
        <f t="shared" si="28"/>
        <v>0.7089920026426354</v>
      </c>
      <c r="E56" s="70">
        <f t="shared" si="28"/>
        <v>0.71617032826536475</v>
      </c>
      <c r="F56" s="70">
        <f t="shared" si="28"/>
        <v>0.71994698339701979</v>
      </c>
      <c r="G56" s="70">
        <f t="shared" si="28"/>
        <v>0.73108919509559511</v>
      </c>
      <c r="H56" s="70">
        <f t="shared" si="28"/>
        <v>0.73664192618307345</v>
      </c>
      <c r="I56" s="70">
        <f t="shared" si="28"/>
        <v>0.73329152396872788</v>
      </c>
      <c r="J56" s="70">
        <f t="shared" si="28"/>
        <v>0.73443001677446751</v>
      </c>
      <c r="K56" s="70">
        <f t="shared" si="28"/>
        <v>0.72033183365743503</v>
      </c>
      <c r="L56" s="70">
        <f t="shared" si="28"/>
        <v>0.69487351835950351</v>
      </c>
      <c r="M56" s="70">
        <f t="shared" si="28"/>
        <v>0.68207519686912144</v>
      </c>
      <c r="N56" s="70">
        <f t="shared" si="28"/>
        <v>0.68939732391489783</v>
      </c>
      <c r="O56" s="70">
        <f t="shared" si="28"/>
        <v>0.66809347541583786</v>
      </c>
      <c r="P56" s="70">
        <f t="shared" si="28"/>
        <v>0.64233670946667376</v>
      </c>
      <c r="Q56" s="70">
        <f t="shared" si="28"/>
        <v>0.6658459911453265</v>
      </c>
      <c r="R56" s="70">
        <f t="shared" si="28"/>
        <v>0.68104395799847239</v>
      </c>
      <c r="S56" s="70">
        <f t="shared" si="28"/>
        <v>0.67213088130510623</v>
      </c>
      <c r="T56" s="70">
        <f t="shared" si="28"/>
        <v>0.65463769985160569</v>
      </c>
      <c r="U56" s="70">
        <f t="shared" si="28"/>
        <v>0.66665127431254245</v>
      </c>
      <c r="V56" s="70">
        <f t="shared" si="28"/>
        <v>0.64481968599392281</v>
      </c>
      <c r="W56" s="70">
        <f t="shared" si="28"/>
        <v>0.66554944183943032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0.27752000084834455</v>
      </c>
      <c r="C57" s="71">
        <f t="shared" ref="C57:W57" si="30">IF(C49=0,0,C49/C$47)</f>
        <v>0.31038099223418114</v>
      </c>
      <c r="D57" s="71">
        <f t="shared" si="30"/>
        <v>0.30990075104933201</v>
      </c>
      <c r="E57" s="71">
        <f t="shared" si="30"/>
        <v>0.32501147759116306</v>
      </c>
      <c r="F57" s="71">
        <f t="shared" si="30"/>
        <v>0.34151070788376842</v>
      </c>
      <c r="G57" s="71">
        <f t="shared" si="30"/>
        <v>0.36347000786536282</v>
      </c>
      <c r="H57" s="71">
        <f t="shared" si="30"/>
        <v>0.3820776293598408</v>
      </c>
      <c r="I57" s="71">
        <f t="shared" si="30"/>
        <v>0.37664426542244073</v>
      </c>
      <c r="J57" s="71">
        <f t="shared" si="30"/>
        <v>0.38673562600663841</v>
      </c>
      <c r="K57" s="71">
        <f t="shared" si="30"/>
        <v>0.36278284064190625</v>
      </c>
      <c r="L57" s="71">
        <f t="shared" si="30"/>
        <v>0.28997310270191323</v>
      </c>
      <c r="M57" s="71">
        <f t="shared" si="30"/>
        <v>0.26085790566232708</v>
      </c>
      <c r="N57" s="71">
        <f t="shared" si="30"/>
        <v>0.25923082465615083</v>
      </c>
      <c r="O57" s="71">
        <f t="shared" si="30"/>
        <v>0.22807119922917501</v>
      </c>
      <c r="P57" s="71">
        <f t="shared" si="30"/>
        <v>0.18071830460775534</v>
      </c>
      <c r="Q57" s="71">
        <f t="shared" si="30"/>
        <v>0.23805845384545291</v>
      </c>
      <c r="R57" s="71">
        <f t="shared" si="30"/>
        <v>0.28388404810483953</v>
      </c>
      <c r="S57" s="71">
        <f t="shared" si="30"/>
        <v>0.26018624364886461</v>
      </c>
      <c r="T57" s="71">
        <f t="shared" si="30"/>
        <v>0.22633492694909516</v>
      </c>
      <c r="U57" s="71">
        <f t="shared" si="30"/>
        <v>0.24309770741983566</v>
      </c>
      <c r="V57" s="71">
        <f t="shared" si="30"/>
        <v>0.22068916203877981</v>
      </c>
      <c r="W57" s="71">
        <f t="shared" si="30"/>
        <v>0.22872373977621882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2.8810427433212171E-2</v>
      </c>
      <c r="C58" s="72">
        <f t="shared" ref="C58:W58" si="32">IF(C50=0,0,C50/C$47)</f>
        <v>3.2444193028783541E-2</v>
      </c>
      <c r="D58" s="72">
        <f t="shared" si="32"/>
        <v>2.5639291189927874E-2</v>
      </c>
      <c r="E58" s="72">
        <f t="shared" si="32"/>
        <v>3.2887948866601208E-2</v>
      </c>
      <c r="F58" s="72">
        <f t="shared" si="32"/>
        <v>1.950335961608957E-2</v>
      </c>
      <c r="G58" s="72">
        <f t="shared" si="32"/>
        <v>1.8412423473547868E-2</v>
      </c>
      <c r="H58" s="72">
        <f t="shared" si="32"/>
        <v>2.122574846330472E-2</v>
      </c>
      <c r="I58" s="72">
        <f t="shared" si="32"/>
        <v>3.1648974719074047E-2</v>
      </c>
      <c r="J58" s="72">
        <f t="shared" si="32"/>
        <v>2.9812531502546712E-2</v>
      </c>
      <c r="K58" s="72">
        <f t="shared" si="32"/>
        <v>2.1864910086017163E-2</v>
      </c>
      <c r="L58" s="72">
        <f t="shared" si="32"/>
        <v>3.0907457544711522E-2</v>
      </c>
      <c r="M58" s="72">
        <f t="shared" si="32"/>
        <v>2.8367731157889105E-2</v>
      </c>
      <c r="N58" s="72">
        <f t="shared" si="32"/>
        <v>4.5996194143814902E-2</v>
      </c>
      <c r="O58" s="72">
        <f t="shared" si="32"/>
        <v>3.1976788592606331E-2</v>
      </c>
      <c r="P58" s="72">
        <f t="shared" si="32"/>
        <v>2.9175834471900183E-2</v>
      </c>
      <c r="Q58" s="72">
        <f t="shared" si="32"/>
        <v>3.5029787613289995E-2</v>
      </c>
      <c r="R58" s="72">
        <f t="shared" si="32"/>
        <v>3.5810666431445259E-2</v>
      </c>
      <c r="S58" s="72">
        <f t="shared" si="32"/>
        <v>3.8333788753537212E-2</v>
      </c>
      <c r="T58" s="72">
        <f t="shared" si="32"/>
        <v>3.6166359399511225E-2</v>
      </c>
      <c r="U58" s="72">
        <f t="shared" si="32"/>
        <v>4.6424406006883578E-2</v>
      </c>
      <c r="V58" s="72">
        <f t="shared" si="32"/>
        <v>4.651157667627067E-2</v>
      </c>
      <c r="W58" s="72">
        <f t="shared" si="32"/>
        <v>5.8174469064660998E-2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0.18154711317937661</v>
      </c>
      <c r="C59" s="72">
        <f t="shared" ref="C59:W59" si="34">IF(C51=0,0,C51/C$47)</f>
        <v>0.17598908783607373</v>
      </c>
      <c r="D59" s="72">
        <f t="shared" si="34"/>
        <v>0.18119604368550532</v>
      </c>
      <c r="E59" s="72">
        <f t="shared" si="34"/>
        <v>0.17575089534978316</v>
      </c>
      <c r="F59" s="72">
        <f t="shared" si="34"/>
        <v>0.17324742032929202</v>
      </c>
      <c r="G59" s="72">
        <f t="shared" si="34"/>
        <v>0.17279183043242111</v>
      </c>
      <c r="H59" s="72">
        <f t="shared" si="34"/>
        <v>0.16573433363805046</v>
      </c>
      <c r="I59" s="72">
        <f t="shared" si="34"/>
        <v>0.16233514770904345</v>
      </c>
      <c r="J59" s="72">
        <f t="shared" si="34"/>
        <v>0.16016911582915033</v>
      </c>
      <c r="K59" s="72">
        <f t="shared" si="34"/>
        <v>0.16849196250815521</v>
      </c>
      <c r="L59" s="72">
        <f t="shared" si="34"/>
        <v>0.18795762794807389</v>
      </c>
      <c r="M59" s="72">
        <f t="shared" si="34"/>
        <v>0.19715661939051096</v>
      </c>
      <c r="N59" s="72">
        <f t="shared" si="34"/>
        <v>0.1878830401790276</v>
      </c>
      <c r="O59" s="72">
        <f t="shared" si="34"/>
        <v>0.20073541440149736</v>
      </c>
      <c r="P59" s="72">
        <f t="shared" si="34"/>
        <v>0.21705844990451978</v>
      </c>
      <c r="Q59" s="72">
        <f t="shared" si="34"/>
        <v>0.19894325930195911</v>
      </c>
      <c r="R59" s="72">
        <f t="shared" si="34"/>
        <v>0.18159663560411107</v>
      </c>
      <c r="S59" s="72">
        <f t="shared" si="34"/>
        <v>0.18679879483879214</v>
      </c>
      <c r="T59" s="72">
        <f t="shared" si="34"/>
        <v>0.19496397470359605</v>
      </c>
      <c r="U59" s="72">
        <f t="shared" si="34"/>
        <v>0.18629846177911066</v>
      </c>
      <c r="V59" s="72">
        <f t="shared" si="34"/>
        <v>0.18997482669987439</v>
      </c>
      <c r="W59" s="72">
        <f t="shared" si="34"/>
        <v>0.17867469313537623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0.20059206852818351</v>
      </c>
      <c r="C60" s="73">
        <f t="shared" ref="C60:W60" si="36">IF(C52=0,0,C52/C$47)</f>
        <v>0.1901790031385717</v>
      </c>
      <c r="D60" s="73">
        <f t="shared" si="36"/>
        <v>0.19225591671787029</v>
      </c>
      <c r="E60" s="73">
        <f t="shared" si="36"/>
        <v>0.18252000645781738</v>
      </c>
      <c r="F60" s="73">
        <f t="shared" si="36"/>
        <v>0.18568549556786973</v>
      </c>
      <c r="G60" s="73">
        <f t="shared" si="36"/>
        <v>0.17641493332426328</v>
      </c>
      <c r="H60" s="73">
        <f t="shared" si="36"/>
        <v>0.16760421472187745</v>
      </c>
      <c r="I60" s="73">
        <f t="shared" si="36"/>
        <v>0.16266313611816971</v>
      </c>
      <c r="J60" s="73">
        <f t="shared" si="36"/>
        <v>0.15771274343613209</v>
      </c>
      <c r="K60" s="73">
        <f t="shared" si="36"/>
        <v>0.16719212042135639</v>
      </c>
      <c r="L60" s="73">
        <f t="shared" si="36"/>
        <v>0.18603533016480484</v>
      </c>
      <c r="M60" s="73">
        <f t="shared" si="36"/>
        <v>0.19569294065839427</v>
      </c>
      <c r="N60" s="73">
        <f t="shared" si="36"/>
        <v>0.19628726493590451</v>
      </c>
      <c r="O60" s="73">
        <f t="shared" si="36"/>
        <v>0.20731007319255923</v>
      </c>
      <c r="P60" s="73">
        <f t="shared" si="36"/>
        <v>0.21538412048249847</v>
      </c>
      <c r="Q60" s="73">
        <f t="shared" si="36"/>
        <v>0.19381449038462442</v>
      </c>
      <c r="R60" s="73">
        <f t="shared" si="36"/>
        <v>0.17975260785807654</v>
      </c>
      <c r="S60" s="73">
        <f t="shared" si="36"/>
        <v>0.18681205406391233</v>
      </c>
      <c r="T60" s="73">
        <f t="shared" si="36"/>
        <v>0.1971724387994033</v>
      </c>
      <c r="U60" s="73">
        <f t="shared" si="36"/>
        <v>0.19083069910671249</v>
      </c>
      <c r="V60" s="73">
        <f t="shared" si="36"/>
        <v>0.1876441205789979</v>
      </c>
      <c r="W60" s="73">
        <f t="shared" si="36"/>
        <v>0.19997653986317421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0.31153039001088312</v>
      </c>
      <c r="C61" s="70">
        <f t="shared" ref="C61:W61" si="38">IF(C53=0,0,C53/C$47)</f>
        <v>0.29100672376239001</v>
      </c>
      <c r="D61" s="70">
        <f t="shared" si="38"/>
        <v>0.2910079973573646</v>
      </c>
      <c r="E61" s="70">
        <f t="shared" si="38"/>
        <v>0.2838296717346353</v>
      </c>
      <c r="F61" s="70">
        <f t="shared" si="38"/>
        <v>0.28005301660298021</v>
      </c>
      <c r="G61" s="70">
        <f t="shared" si="38"/>
        <v>0.26891080490440489</v>
      </c>
      <c r="H61" s="70">
        <f t="shared" si="38"/>
        <v>0.26335807381692655</v>
      </c>
      <c r="I61" s="70">
        <f t="shared" si="38"/>
        <v>0.26670847603127218</v>
      </c>
      <c r="J61" s="70">
        <f t="shared" si="38"/>
        <v>0.26556998322553255</v>
      </c>
      <c r="K61" s="70">
        <f t="shared" si="38"/>
        <v>0.27966816634256503</v>
      </c>
      <c r="L61" s="70">
        <f t="shared" si="38"/>
        <v>0.30512648164049644</v>
      </c>
      <c r="M61" s="70">
        <f t="shared" si="38"/>
        <v>0.31792480313087851</v>
      </c>
      <c r="N61" s="70">
        <f t="shared" si="38"/>
        <v>0.31060267608510223</v>
      </c>
      <c r="O61" s="70">
        <f t="shared" si="38"/>
        <v>0.33190652458416214</v>
      </c>
      <c r="P61" s="70">
        <f t="shared" si="38"/>
        <v>0.35766329053332624</v>
      </c>
      <c r="Q61" s="70">
        <f t="shared" si="38"/>
        <v>0.33415400885467356</v>
      </c>
      <c r="R61" s="70">
        <f t="shared" si="38"/>
        <v>0.31895604200152755</v>
      </c>
      <c r="S61" s="70">
        <f t="shared" si="38"/>
        <v>0.32786911869489371</v>
      </c>
      <c r="T61" s="70">
        <f t="shared" si="38"/>
        <v>0.34536230014839431</v>
      </c>
      <c r="U61" s="70">
        <f t="shared" si="38"/>
        <v>0.33334872568745755</v>
      </c>
      <c r="V61" s="70">
        <f t="shared" si="38"/>
        <v>0.3551803140060773</v>
      </c>
      <c r="W61" s="70">
        <f t="shared" si="38"/>
        <v>0.33445055816056968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779.29659792000029</v>
      </c>
      <c r="C65" s="80">
        <v>1013.5760133600002</v>
      </c>
      <c r="D65" s="80">
        <v>1032.3528372000001</v>
      </c>
      <c r="E65" s="80">
        <v>1133.7215734800002</v>
      </c>
      <c r="F65" s="80">
        <v>1225.4703195600005</v>
      </c>
      <c r="G65" s="80">
        <v>1539.77010696</v>
      </c>
      <c r="H65" s="80">
        <v>1608.5975677199999</v>
      </c>
      <c r="I65" s="80">
        <v>1514.4599919599998</v>
      </c>
      <c r="J65" s="80">
        <v>1510.5340832400002</v>
      </c>
      <c r="K65" s="80">
        <v>1232.38997316</v>
      </c>
      <c r="L65" s="80">
        <v>1095.8963194799999</v>
      </c>
      <c r="M65" s="80">
        <v>1078.9436304000001</v>
      </c>
      <c r="N65" s="80">
        <v>803.50164252000013</v>
      </c>
      <c r="O65" s="80">
        <v>858.27907907999997</v>
      </c>
      <c r="P65" s="80">
        <v>614.63318939999999</v>
      </c>
      <c r="Q65" s="80">
        <v>732.89761559999999</v>
      </c>
      <c r="R65" s="80">
        <v>867.15783972000008</v>
      </c>
      <c r="S65" s="80">
        <v>708.2180161199999</v>
      </c>
      <c r="T65" s="80">
        <v>680.73654060000013</v>
      </c>
      <c r="U65" s="80">
        <v>714.92015628000001</v>
      </c>
      <c r="V65" s="80">
        <v>570.46517748000008</v>
      </c>
      <c r="W65" s="80">
        <v>611.522334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759.10039596000024</v>
      </c>
      <c r="C67" s="55">
        <f t="shared" ref="C67:W67" si="39">SUM(C68:C69)</f>
        <v>984.94818336000014</v>
      </c>
      <c r="D67" s="55">
        <f t="shared" si="39"/>
        <v>989.68858524000007</v>
      </c>
      <c r="E67" s="55">
        <f t="shared" si="39"/>
        <v>1068.7409434800002</v>
      </c>
      <c r="F67" s="55">
        <f t="shared" si="39"/>
        <v>1123.2779536800003</v>
      </c>
      <c r="G67" s="55">
        <f t="shared" si="39"/>
        <v>1366.38542736</v>
      </c>
      <c r="H67" s="55">
        <f t="shared" si="39"/>
        <v>1398.1534300799999</v>
      </c>
      <c r="I67" s="55">
        <f t="shared" si="39"/>
        <v>1267.9187356799998</v>
      </c>
      <c r="J67" s="55">
        <f t="shared" si="39"/>
        <v>1207.9961856</v>
      </c>
      <c r="K67" s="55">
        <f t="shared" si="39"/>
        <v>892.24086275999991</v>
      </c>
      <c r="L67" s="55">
        <f t="shared" si="39"/>
        <v>769.53259475999982</v>
      </c>
      <c r="M67" s="55">
        <f t="shared" si="39"/>
        <v>691.88628059999996</v>
      </c>
      <c r="N67" s="55">
        <f t="shared" si="39"/>
        <v>479.40915996000007</v>
      </c>
      <c r="O67" s="55">
        <f t="shared" si="39"/>
        <v>565.48595339999997</v>
      </c>
      <c r="P67" s="55">
        <f t="shared" si="39"/>
        <v>320.32617155999998</v>
      </c>
      <c r="Q67" s="55">
        <f t="shared" si="39"/>
        <v>343.6219371599999</v>
      </c>
      <c r="R67" s="55">
        <f t="shared" si="39"/>
        <v>519.48369972</v>
      </c>
      <c r="S67" s="55">
        <f t="shared" si="39"/>
        <v>354.24534960000005</v>
      </c>
      <c r="T67" s="55">
        <f t="shared" si="39"/>
        <v>342.62763012000005</v>
      </c>
      <c r="U67" s="55">
        <f t="shared" si="39"/>
        <v>355.67451611999996</v>
      </c>
      <c r="V67" s="55">
        <f t="shared" si="39"/>
        <v>248.68291535999998</v>
      </c>
      <c r="W67" s="55">
        <f t="shared" si="39"/>
        <v>276.3010476</v>
      </c>
      <c r="DA67" s="101"/>
    </row>
    <row r="68" spans="1:105" ht="12" customHeight="1" x14ac:dyDescent="0.25">
      <c r="A68" s="61" t="s">
        <v>52</v>
      </c>
      <c r="B68" s="55">
        <v>71.631044280000026</v>
      </c>
      <c r="C68" s="55">
        <v>74.615699520000007</v>
      </c>
      <c r="D68" s="55">
        <v>50.738684760000005</v>
      </c>
      <c r="E68" s="55">
        <v>59.692650479999998</v>
      </c>
      <c r="F68" s="55">
        <v>143.26231572</v>
      </c>
      <c r="G68" s="55">
        <v>128.33903952000003</v>
      </c>
      <c r="H68" s="55">
        <v>125.35438427999999</v>
      </c>
      <c r="I68" s="55">
        <v>119.38530096000001</v>
      </c>
      <c r="J68" s="55">
        <v>116.40064572000001</v>
      </c>
      <c r="K68" s="55">
        <v>110.29890096000001</v>
      </c>
      <c r="L68" s="55">
        <v>116.10397476</v>
      </c>
      <c r="M68" s="55">
        <v>101.59094952</v>
      </c>
      <c r="N68" s="55">
        <v>272.84437476000011</v>
      </c>
      <c r="O68" s="55">
        <v>191.57152428000003</v>
      </c>
      <c r="P68" s="55">
        <v>110.29890096000001</v>
      </c>
      <c r="Q68" s="55">
        <v>124.81169904000001</v>
      </c>
      <c r="R68" s="55">
        <v>148.03267572000001</v>
      </c>
      <c r="S68" s="55">
        <v>165.02742396000002</v>
      </c>
      <c r="T68" s="55">
        <v>176.90175864000003</v>
      </c>
      <c r="U68" s="55">
        <v>198.72933588000001</v>
      </c>
      <c r="V68" s="55">
        <v>123.09936695999998</v>
      </c>
      <c r="W68" s="55">
        <v>181.97855747999998</v>
      </c>
      <c r="DA68" s="101" t="s">
        <v>220</v>
      </c>
    </row>
    <row r="69" spans="1:105" ht="12" customHeight="1" x14ac:dyDescent="0.25">
      <c r="A69" s="61" t="s">
        <v>170</v>
      </c>
      <c r="B69" s="55">
        <v>687.46935168000027</v>
      </c>
      <c r="C69" s="55">
        <v>910.33248384000012</v>
      </c>
      <c r="D69" s="55">
        <v>938.94990048000011</v>
      </c>
      <c r="E69" s="55">
        <v>1009.0482930000002</v>
      </c>
      <c r="F69" s="55">
        <v>980.01563796000028</v>
      </c>
      <c r="G69" s="55">
        <v>1238.0463878400001</v>
      </c>
      <c r="H69" s="55">
        <v>1272.7990457999999</v>
      </c>
      <c r="I69" s="55">
        <v>1148.5334347199998</v>
      </c>
      <c r="J69" s="55">
        <v>1091.5955398799999</v>
      </c>
      <c r="K69" s="55">
        <v>781.94196179999994</v>
      </c>
      <c r="L69" s="55">
        <v>653.4286199999998</v>
      </c>
      <c r="M69" s="55">
        <v>590.29533107999998</v>
      </c>
      <c r="N69" s="55">
        <v>206.56478519999996</v>
      </c>
      <c r="O69" s="55">
        <v>373.91442911999991</v>
      </c>
      <c r="P69" s="55">
        <v>210.02727059999995</v>
      </c>
      <c r="Q69" s="55">
        <v>218.81023811999989</v>
      </c>
      <c r="R69" s="55">
        <v>371.45102399999996</v>
      </c>
      <c r="S69" s="55">
        <v>189.21792564000003</v>
      </c>
      <c r="T69" s="55">
        <v>165.72587148000002</v>
      </c>
      <c r="U69" s="55">
        <v>156.94518023999996</v>
      </c>
      <c r="V69" s="55">
        <v>125.5835484</v>
      </c>
      <c r="W69" s="55">
        <v>94.322490120000026</v>
      </c>
      <c r="DA69" s="101" t="s">
        <v>221</v>
      </c>
    </row>
    <row r="70" spans="1:105" ht="12" customHeight="1" x14ac:dyDescent="0.25">
      <c r="A70" s="60" t="s">
        <v>153</v>
      </c>
      <c r="B70" s="55">
        <v>20.19620196</v>
      </c>
      <c r="C70" s="55">
        <v>28.627830000000007</v>
      </c>
      <c r="D70" s="55">
        <v>42.664251960000001</v>
      </c>
      <c r="E70" s="55">
        <v>64.980629999999991</v>
      </c>
      <c r="F70" s="55">
        <v>102.19236588000003</v>
      </c>
      <c r="G70" s="55">
        <v>173.3846796</v>
      </c>
      <c r="H70" s="55">
        <v>210.44413764000001</v>
      </c>
      <c r="I70" s="55">
        <v>246.54125627999991</v>
      </c>
      <c r="J70" s="55">
        <v>302.5378976400001</v>
      </c>
      <c r="K70" s="55">
        <v>340.1491104000001</v>
      </c>
      <c r="L70" s="55">
        <v>326.36372472000005</v>
      </c>
      <c r="M70" s="55">
        <v>387.05734980000005</v>
      </c>
      <c r="N70" s="55">
        <v>324.09248256000012</v>
      </c>
      <c r="O70" s="55">
        <v>292.79312568000006</v>
      </c>
      <c r="P70" s="55">
        <v>294.30701784000007</v>
      </c>
      <c r="Q70" s="55">
        <v>389.27567844000009</v>
      </c>
      <c r="R70" s="55">
        <v>347.67414000000002</v>
      </c>
      <c r="S70" s="55">
        <v>353.9726665199999</v>
      </c>
      <c r="T70" s="55">
        <v>338.10891048000002</v>
      </c>
      <c r="U70" s="55">
        <v>359.24564016000005</v>
      </c>
      <c r="V70" s="55">
        <v>321.7822621200001</v>
      </c>
      <c r="W70" s="55">
        <v>335.2212864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779.29659792000029</v>
      </c>
      <c r="C81" s="82">
        <f t="shared" ref="C81:W81" si="42">C82+C87</f>
        <v>1013.57601336</v>
      </c>
      <c r="D81" s="82">
        <f t="shared" si="42"/>
        <v>1032.3528372000003</v>
      </c>
      <c r="E81" s="82">
        <f t="shared" si="42"/>
        <v>1133.7215734800002</v>
      </c>
      <c r="F81" s="82">
        <f t="shared" si="42"/>
        <v>1225.4703195600007</v>
      </c>
      <c r="G81" s="82">
        <f t="shared" si="42"/>
        <v>1539.7701069599993</v>
      </c>
      <c r="H81" s="82">
        <f t="shared" si="42"/>
        <v>1608.5975677200001</v>
      </c>
      <c r="I81" s="82">
        <f t="shared" si="42"/>
        <v>1514.4599919600003</v>
      </c>
      <c r="J81" s="82">
        <f t="shared" si="42"/>
        <v>1510.53408324</v>
      </c>
      <c r="K81" s="82">
        <f t="shared" si="42"/>
        <v>1232.38997316</v>
      </c>
      <c r="L81" s="82">
        <f t="shared" si="42"/>
        <v>1095.8963194799999</v>
      </c>
      <c r="M81" s="82">
        <f t="shared" si="42"/>
        <v>1078.9436304000001</v>
      </c>
      <c r="N81" s="82">
        <f t="shared" si="42"/>
        <v>803.50164252000036</v>
      </c>
      <c r="O81" s="82">
        <f t="shared" si="42"/>
        <v>858.27907907999986</v>
      </c>
      <c r="P81" s="82">
        <f t="shared" si="42"/>
        <v>614.63318939999988</v>
      </c>
      <c r="Q81" s="82">
        <f t="shared" si="42"/>
        <v>732.89761559999988</v>
      </c>
      <c r="R81" s="82">
        <f t="shared" si="42"/>
        <v>867.15783971999986</v>
      </c>
      <c r="S81" s="82">
        <f t="shared" si="42"/>
        <v>708.21801611999979</v>
      </c>
      <c r="T81" s="82">
        <f t="shared" si="42"/>
        <v>680.7365405999999</v>
      </c>
      <c r="U81" s="82">
        <f t="shared" si="42"/>
        <v>714.92015628000001</v>
      </c>
      <c r="V81" s="82">
        <f t="shared" si="42"/>
        <v>570.46517747999997</v>
      </c>
      <c r="W81" s="82">
        <f t="shared" si="42"/>
        <v>611.52233400000011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779.29659792000029</v>
      </c>
      <c r="C82" s="64">
        <f t="shared" ref="C82:W82" si="44">SUM(C83:C86)</f>
        <v>1013.57601336</v>
      </c>
      <c r="D82" s="64">
        <f t="shared" si="44"/>
        <v>1032.3528372000003</v>
      </c>
      <c r="E82" s="64">
        <f t="shared" si="44"/>
        <v>1133.7215734800002</v>
      </c>
      <c r="F82" s="64">
        <f t="shared" si="44"/>
        <v>1225.4703195600007</v>
      </c>
      <c r="G82" s="64">
        <f t="shared" si="44"/>
        <v>1539.7701069599993</v>
      </c>
      <c r="H82" s="64">
        <f t="shared" si="44"/>
        <v>1608.5975677200001</v>
      </c>
      <c r="I82" s="64">
        <f t="shared" si="44"/>
        <v>1514.4599919600003</v>
      </c>
      <c r="J82" s="64">
        <f t="shared" si="44"/>
        <v>1510.53408324</v>
      </c>
      <c r="K82" s="64">
        <f t="shared" si="44"/>
        <v>1232.38997316</v>
      </c>
      <c r="L82" s="64">
        <f t="shared" si="44"/>
        <v>1095.8963194799999</v>
      </c>
      <c r="M82" s="64">
        <f t="shared" si="44"/>
        <v>1078.9436304000001</v>
      </c>
      <c r="N82" s="64">
        <f t="shared" si="44"/>
        <v>803.50164252000036</v>
      </c>
      <c r="O82" s="64">
        <f t="shared" si="44"/>
        <v>858.27907907999986</v>
      </c>
      <c r="P82" s="64">
        <f t="shared" si="44"/>
        <v>614.63318939999988</v>
      </c>
      <c r="Q82" s="64">
        <f t="shared" si="44"/>
        <v>732.89761559999988</v>
      </c>
      <c r="R82" s="64">
        <f t="shared" si="44"/>
        <v>867.15783971999986</v>
      </c>
      <c r="S82" s="64">
        <f t="shared" si="44"/>
        <v>708.21801611999979</v>
      </c>
      <c r="T82" s="64">
        <f t="shared" si="44"/>
        <v>680.7365405999999</v>
      </c>
      <c r="U82" s="64">
        <f t="shared" si="44"/>
        <v>714.92015628000001</v>
      </c>
      <c r="V82" s="64">
        <f t="shared" si="44"/>
        <v>570.46517747999997</v>
      </c>
      <c r="W82" s="64">
        <f t="shared" si="44"/>
        <v>611.52233400000011</v>
      </c>
      <c r="DA82" s="108" t="s">
        <v>232</v>
      </c>
    </row>
    <row r="83" spans="1:105" ht="12" customHeight="1" x14ac:dyDescent="0.25">
      <c r="A83" s="61" t="s">
        <v>32</v>
      </c>
      <c r="B83" s="65">
        <v>660.67522922063347</v>
      </c>
      <c r="C83" s="65">
        <v>881.86062591288578</v>
      </c>
      <c r="D83" s="65">
        <v>915.8809566903808</v>
      </c>
      <c r="E83" s="65">
        <v>1000.2079032913884</v>
      </c>
      <c r="F83" s="65">
        <v>997.8987669857413</v>
      </c>
      <c r="G83" s="65">
        <v>1298.7466638013977</v>
      </c>
      <c r="H83" s="65">
        <v>1357.6521159638301</v>
      </c>
      <c r="I83" s="65">
        <v>1251.0945322084335</v>
      </c>
      <c r="J83" s="65">
        <v>1236.6609947256998</v>
      </c>
      <c r="K83" s="65">
        <v>948.88534772393223</v>
      </c>
      <c r="L83" s="65">
        <v>785.27178416853894</v>
      </c>
      <c r="M83" s="65">
        <v>780.86383068023281</v>
      </c>
      <c r="N83" s="65">
        <v>333.58602121479066</v>
      </c>
      <c r="O83" s="65">
        <v>464.88951605002228</v>
      </c>
      <c r="P83" s="65">
        <v>296.40627910580235</v>
      </c>
      <c r="Q83" s="65">
        <v>393.25520843683029</v>
      </c>
      <c r="R83" s="65">
        <v>509.84737162697104</v>
      </c>
      <c r="S83" s="65">
        <v>332.36924532952526</v>
      </c>
      <c r="T83" s="65">
        <v>306.60708966775644</v>
      </c>
      <c r="U83" s="65">
        <v>327.43148649044861</v>
      </c>
      <c r="V83" s="65">
        <v>282.56561156395901</v>
      </c>
      <c r="W83" s="65">
        <v>258.8465299648264</v>
      </c>
      <c r="DA83" s="109" t="s">
        <v>233</v>
      </c>
    </row>
    <row r="84" spans="1:105" ht="12" customHeight="1" x14ac:dyDescent="0.25">
      <c r="A84" s="61" t="s">
        <v>31</v>
      </c>
      <c r="B84" s="65">
        <v>9.0606608575786854E-2</v>
      </c>
      <c r="C84" s="65">
        <v>0.11883900306980161</v>
      </c>
      <c r="D84" s="65">
        <v>0.13466317991934945</v>
      </c>
      <c r="E84" s="65">
        <v>0.16252952924563505</v>
      </c>
      <c r="F84" s="65">
        <v>0.21986013712133678</v>
      </c>
      <c r="G84" s="65">
        <v>0.34927906876802339</v>
      </c>
      <c r="H84" s="65">
        <v>0.58223367769912004</v>
      </c>
      <c r="I84" s="65">
        <v>0.86581294905473816</v>
      </c>
      <c r="J84" s="65">
        <v>1.1616241530016567</v>
      </c>
      <c r="K84" s="65">
        <v>1.3679949903103561</v>
      </c>
      <c r="L84" s="65">
        <v>1.8470089945506218</v>
      </c>
      <c r="M84" s="65">
        <v>2.1444704941687744</v>
      </c>
      <c r="N84" s="65">
        <v>4.1038478440105974</v>
      </c>
      <c r="O84" s="65">
        <v>4.1748006824617079</v>
      </c>
      <c r="P84" s="65">
        <v>5.0784321884730987</v>
      </c>
      <c r="Q84" s="65">
        <v>7.4761127169607162</v>
      </c>
      <c r="R84" s="65">
        <v>9.0008258105966572</v>
      </c>
      <c r="S84" s="65">
        <v>10.269574269889677</v>
      </c>
      <c r="T84" s="65">
        <v>10.152227573363033</v>
      </c>
      <c r="U84" s="65">
        <v>12.978212709403367</v>
      </c>
      <c r="V84" s="65">
        <v>11.112939681551278</v>
      </c>
      <c r="W84" s="65">
        <v>14.966428045456553</v>
      </c>
      <c r="DA84" s="109" t="s">
        <v>234</v>
      </c>
    </row>
    <row r="85" spans="1:105" ht="12" customHeight="1" x14ac:dyDescent="0.25">
      <c r="A85" s="61" t="s">
        <v>35</v>
      </c>
      <c r="B85" s="65">
        <v>54.546791068361372</v>
      </c>
      <c r="C85" s="65">
        <v>64.454136985614213</v>
      </c>
      <c r="D85" s="65">
        <v>70.986099880832072</v>
      </c>
      <c r="E85" s="65">
        <v>75.221390377650508</v>
      </c>
      <c r="F85" s="65">
        <v>81.15831335373278</v>
      </c>
      <c r="G85" s="65">
        <v>102.68588026858092</v>
      </c>
      <c r="H85" s="65">
        <v>113.03259922329443</v>
      </c>
      <c r="I85" s="65">
        <v>128.53524960654758</v>
      </c>
      <c r="J85" s="65">
        <v>135.27851585050536</v>
      </c>
      <c r="K85" s="65">
        <v>140.03723851842042</v>
      </c>
      <c r="L85" s="65">
        <v>151.50915306922948</v>
      </c>
      <c r="M85" s="65">
        <v>149.60373454832069</v>
      </c>
      <c r="N85" s="65">
        <v>148.5280499792384</v>
      </c>
      <c r="O85" s="65">
        <v>153.76577050854718</v>
      </c>
      <c r="P85" s="65">
        <v>154.26451437060354</v>
      </c>
      <c r="Q85" s="65">
        <v>157.59680929295843</v>
      </c>
      <c r="R85" s="65">
        <v>158.25148795908686</v>
      </c>
      <c r="S85" s="65">
        <v>163.27096415809538</v>
      </c>
      <c r="T85" s="65">
        <v>152.53914696534801</v>
      </c>
      <c r="U85" s="65">
        <v>144.70379081289127</v>
      </c>
      <c r="V85" s="65">
        <v>109.1200203312162</v>
      </c>
      <c r="W85" s="65">
        <v>113.62856579403885</v>
      </c>
      <c r="DA85" s="109" t="s">
        <v>235</v>
      </c>
    </row>
    <row r="86" spans="1:105" ht="12" customHeight="1" x14ac:dyDescent="0.25">
      <c r="A86" s="66" t="s">
        <v>34</v>
      </c>
      <c r="B86" s="67">
        <v>63.983971022429692</v>
      </c>
      <c r="C86" s="67">
        <v>67.142411458430274</v>
      </c>
      <c r="D86" s="67">
        <v>45.351117448868138</v>
      </c>
      <c r="E86" s="67">
        <v>58.129750281715573</v>
      </c>
      <c r="F86" s="67">
        <v>146.19337908340532</v>
      </c>
      <c r="G86" s="67">
        <v>137.98828382125268</v>
      </c>
      <c r="H86" s="67">
        <v>137.33061885517645</v>
      </c>
      <c r="I86" s="67">
        <v>133.96439719596449</v>
      </c>
      <c r="J86" s="67">
        <v>137.43294851079332</v>
      </c>
      <c r="K86" s="67">
        <v>142.09939192733694</v>
      </c>
      <c r="L86" s="67">
        <v>157.26837324768081</v>
      </c>
      <c r="M86" s="67">
        <v>146.33159467727774</v>
      </c>
      <c r="N86" s="67">
        <v>317.28372348196069</v>
      </c>
      <c r="O86" s="67">
        <v>235.44899183896871</v>
      </c>
      <c r="P86" s="67">
        <v>158.88396373512094</v>
      </c>
      <c r="Q86" s="67">
        <v>174.56948515325053</v>
      </c>
      <c r="R86" s="67">
        <v>190.05815432334526</v>
      </c>
      <c r="S86" s="67">
        <v>202.30823236248943</v>
      </c>
      <c r="T86" s="67">
        <v>211.43807639353247</v>
      </c>
      <c r="U86" s="67">
        <v>229.80666626725679</v>
      </c>
      <c r="V86" s="67">
        <v>167.66660590327353</v>
      </c>
      <c r="W86" s="67">
        <v>224.08081019567828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0.84778405421507552</v>
      </c>
      <c r="C91" s="71">
        <f t="shared" ref="C91:W91" si="50">IF(C83=0,0,C83/C$81)</f>
        <v>0.87004883135456379</v>
      </c>
      <c r="D91" s="71">
        <f t="shared" si="50"/>
        <v>0.88717822404060953</v>
      </c>
      <c r="E91" s="71">
        <f t="shared" si="50"/>
        <v>0.88223416285641754</v>
      </c>
      <c r="F91" s="71">
        <f t="shared" si="50"/>
        <v>0.81429860116402664</v>
      </c>
      <c r="G91" s="71">
        <f t="shared" si="50"/>
        <v>0.84346790337782351</v>
      </c>
      <c r="H91" s="71">
        <f t="shared" si="50"/>
        <v>0.84399736963928396</v>
      </c>
      <c r="I91" s="71">
        <f t="shared" si="50"/>
        <v>0.82609942741985443</v>
      </c>
      <c r="J91" s="71">
        <f t="shared" si="50"/>
        <v>0.81869122216238921</v>
      </c>
      <c r="K91" s="71">
        <f t="shared" si="50"/>
        <v>0.76995542676387829</v>
      </c>
      <c r="L91" s="71">
        <f t="shared" si="50"/>
        <v>0.71655663972039663</v>
      </c>
      <c r="M91" s="71">
        <f t="shared" si="50"/>
        <v>0.72372996019332425</v>
      </c>
      <c r="N91" s="71">
        <f t="shared" si="50"/>
        <v>0.41516532582133109</v>
      </c>
      <c r="O91" s="71">
        <f t="shared" si="50"/>
        <v>0.54165309091343949</v>
      </c>
      <c r="P91" s="71">
        <f t="shared" si="50"/>
        <v>0.48224906207091073</v>
      </c>
      <c r="Q91" s="71">
        <f t="shared" si="50"/>
        <v>0.53657591465198695</v>
      </c>
      <c r="R91" s="71">
        <f t="shared" si="50"/>
        <v>0.58795221385716556</v>
      </c>
      <c r="S91" s="71">
        <f t="shared" si="50"/>
        <v>0.46930357286083063</v>
      </c>
      <c r="T91" s="71">
        <f t="shared" si="50"/>
        <v>0.45040492375730784</v>
      </c>
      <c r="U91" s="71">
        <f t="shared" si="50"/>
        <v>0.45799727929647205</v>
      </c>
      <c r="V91" s="71">
        <f t="shared" si="50"/>
        <v>0.49532490802011403</v>
      </c>
      <c r="W91" s="71">
        <f t="shared" si="50"/>
        <v>0.42328221811899736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1.1626716813293236E-4</v>
      </c>
      <c r="C92" s="72">
        <f t="shared" ref="C92:W92" si="52">IF(C84=0,0,C84/C$81)</f>
        <v>1.17247252799374E-4</v>
      </c>
      <c r="D92" s="72">
        <f t="shared" si="52"/>
        <v>1.3044297944159262E-4</v>
      </c>
      <c r="E92" s="72">
        <f t="shared" si="52"/>
        <v>1.4335929830350204E-4</v>
      </c>
      <c r="F92" s="72">
        <f t="shared" si="52"/>
        <v>1.7940878176492804E-4</v>
      </c>
      <c r="G92" s="72">
        <f t="shared" si="52"/>
        <v>2.2683845282437157E-4</v>
      </c>
      <c r="H92" s="72">
        <f t="shared" si="52"/>
        <v>3.6195111156631207E-4</v>
      </c>
      <c r="I92" s="72">
        <f t="shared" si="52"/>
        <v>5.716974721360654E-4</v>
      </c>
      <c r="J92" s="72">
        <f t="shared" si="52"/>
        <v>7.6901551966973591E-4</v>
      </c>
      <c r="K92" s="72">
        <f t="shared" si="52"/>
        <v>1.1100341775766385E-3</v>
      </c>
      <c r="L92" s="72">
        <f t="shared" si="52"/>
        <v>1.6853866207224995E-3</v>
      </c>
      <c r="M92" s="72">
        <f t="shared" si="52"/>
        <v>1.9875649049188493E-3</v>
      </c>
      <c r="N92" s="72">
        <f t="shared" si="52"/>
        <v>5.1074542064902459E-3</v>
      </c>
      <c r="O92" s="72">
        <f t="shared" si="52"/>
        <v>4.864152912752725E-3</v>
      </c>
      <c r="P92" s="72">
        <f t="shared" si="52"/>
        <v>8.2625414247978132E-3</v>
      </c>
      <c r="Q92" s="72">
        <f t="shared" si="52"/>
        <v>1.0200760048646442E-2</v>
      </c>
      <c r="R92" s="72">
        <f t="shared" si="52"/>
        <v>1.0379685679256467E-2</v>
      </c>
      <c r="S92" s="72">
        <f t="shared" si="52"/>
        <v>1.4500583204804565E-2</v>
      </c>
      <c r="T92" s="72">
        <f t="shared" si="52"/>
        <v>1.4913592804074951E-2</v>
      </c>
      <c r="U92" s="72">
        <f t="shared" si="52"/>
        <v>1.8153373625572282E-2</v>
      </c>
      <c r="V92" s="72">
        <f t="shared" si="52"/>
        <v>1.9480487364087862E-2</v>
      </c>
      <c r="W92" s="72">
        <f t="shared" si="52"/>
        <v>2.4474049782548989E-2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6.9994904653697648E-2</v>
      </c>
      <c r="C93" s="72">
        <f t="shared" ref="C93:W93" si="54">IF(C85=0,0,C85/C$81)</f>
        <v>6.3590827067768738E-2</v>
      </c>
      <c r="D93" s="72">
        <f t="shared" si="54"/>
        <v>6.8761471197545374E-2</v>
      </c>
      <c r="E93" s="72">
        <f t="shared" si="54"/>
        <v>6.6349086175325811E-2</v>
      </c>
      <c r="F93" s="72">
        <f t="shared" si="54"/>
        <v>6.6226257836152477E-2</v>
      </c>
      <c r="G93" s="72">
        <f t="shared" si="54"/>
        <v>6.6689098459844651E-2</v>
      </c>
      <c r="H93" s="72">
        <f t="shared" si="54"/>
        <v>7.0267791952156794E-2</v>
      </c>
      <c r="I93" s="72">
        <f t="shared" si="54"/>
        <v>8.4872000771838443E-2</v>
      </c>
      <c r="J93" s="72">
        <f t="shared" si="54"/>
        <v>8.9556745095311918E-2</v>
      </c>
      <c r="K93" s="72">
        <f t="shared" si="54"/>
        <v>0.11363062144959495</v>
      </c>
      <c r="L93" s="72">
        <f t="shared" si="54"/>
        <v>0.13825135678995637</v>
      </c>
      <c r="M93" s="72">
        <f t="shared" si="54"/>
        <v>0.1386576002055433</v>
      </c>
      <c r="N93" s="72">
        <f t="shared" si="54"/>
        <v>0.18485095999731116</v>
      </c>
      <c r="O93" s="72">
        <f t="shared" si="54"/>
        <v>0.1791559112373689</v>
      </c>
      <c r="P93" s="72">
        <f t="shared" si="54"/>
        <v>0.25098630700563918</v>
      </c>
      <c r="Q93" s="72">
        <f t="shared" si="54"/>
        <v>0.21503250377467656</v>
      </c>
      <c r="R93" s="72">
        <f t="shared" si="54"/>
        <v>0.18249444416046026</v>
      </c>
      <c r="S93" s="72">
        <f t="shared" si="54"/>
        <v>0.23053771641193452</v>
      </c>
      <c r="T93" s="72">
        <f t="shared" si="54"/>
        <v>0.22407956363103454</v>
      </c>
      <c r="U93" s="72">
        <f t="shared" si="54"/>
        <v>0.20240552674558768</v>
      </c>
      <c r="V93" s="72">
        <f t="shared" si="54"/>
        <v>0.19128252632921114</v>
      </c>
      <c r="W93" s="72">
        <f t="shared" si="54"/>
        <v>0.18581261791501277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8.2104773963093888E-2</v>
      </c>
      <c r="C94" s="73">
        <f t="shared" ref="C94:W94" si="56">IF(C86=0,0,C86/C$81)</f>
        <v>6.6243094324868121E-2</v>
      </c>
      <c r="D94" s="73">
        <f t="shared" si="56"/>
        <v>4.3929861782403525E-2</v>
      </c>
      <c r="E94" s="73">
        <f t="shared" si="56"/>
        <v>5.1273391669953108E-2</v>
      </c>
      <c r="F94" s="73">
        <f t="shared" si="56"/>
        <v>0.11929573221805596</v>
      </c>
      <c r="G94" s="73">
        <f t="shared" si="56"/>
        <v>8.9616159709507454E-2</v>
      </c>
      <c r="H94" s="73">
        <f t="shared" si="56"/>
        <v>8.5372887296992883E-2</v>
      </c>
      <c r="I94" s="73">
        <f t="shared" si="56"/>
        <v>8.8456874336171137E-2</v>
      </c>
      <c r="J94" s="73">
        <f t="shared" si="56"/>
        <v>9.0983017222629192E-2</v>
      </c>
      <c r="K94" s="73">
        <f t="shared" si="56"/>
        <v>0.11530391760895016</v>
      </c>
      <c r="L94" s="73">
        <f t="shared" si="56"/>
        <v>0.14350661686892449</v>
      </c>
      <c r="M94" s="73">
        <f t="shared" si="56"/>
        <v>0.13562487469621354</v>
      </c>
      <c r="N94" s="73">
        <f t="shared" si="56"/>
        <v>0.39487625997486747</v>
      </c>
      <c r="O94" s="73">
        <f t="shared" si="56"/>
        <v>0.27432684493643889</v>
      </c>
      <c r="P94" s="73">
        <f t="shared" si="56"/>
        <v>0.25850208949865239</v>
      </c>
      <c r="Q94" s="73">
        <f t="shared" si="56"/>
        <v>0.23819082152469012</v>
      </c>
      <c r="R94" s="73">
        <f t="shared" si="56"/>
        <v>0.21917365630311769</v>
      </c>
      <c r="S94" s="73">
        <f t="shared" si="56"/>
        <v>0.28565812752243019</v>
      </c>
      <c r="T94" s="73">
        <f t="shared" si="56"/>
        <v>0.31060191980758273</v>
      </c>
      <c r="U94" s="73">
        <f t="shared" si="56"/>
        <v>0.32144382033236801</v>
      </c>
      <c r="V94" s="73">
        <f t="shared" si="56"/>
        <v>0.29391207828658705</v>
      </c>
      <c r="W94" s="73">
        <f t="shared" si="56"/>
        <v>0.36643111418344082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187715.7107644123</v>
      </c>
      <c r="C99" s="82">
        <f t="shared" ref="C99:W99" si="60">C47*11630*1000/C$8</f>
        <v>201153.59293123381</v>
      </c>
      <c r="D99" s="82">
        <f t="shared" si="60"/>
        <v>203913.84515385597</v>
      </c>
      <c r="E99" s="82">
        <f t="shared" si="60"/>
        <v>211151.66567106935</v>
      </c>
      <c r="F99" s="82">
        <f t="shared" si="60"/>
        <v>216880.83547191496</v>
      </c>
      <c r="G99" s="82">
        <f t="shared" si="60"/>
        <v>229714.86416893342</v>
      </c>
      <c r="H99" s="82">
        <f t="shared" si="60"/>
        <v>235641.6553422049</v>
      </c>
      <c r="I99" s="82">
        <f t="shared" si="60"/>
        <v>234956.653913268</v>
      </c>
      <c r="J99" s="82">
        <f t="shared" si="60"/>
        <v>239643.32859251933</v>
      </c>
      <c r="K99" s="82">
        <f t="shared" si="60"/>
        <v>231601.37824863257</v>
      </c>
      <c r="L99" s="82">
        <f t="shared" si="60"/>
        <v>217839.30850558914</v>
      </c>
      <c r="M99" s="82">
        <f t="shared" si="60"/>
        <v>213060.07778641189</v>
      </c>
      <c r="N99" s="82">
        <f t="shared" si="60"/>
        <v>221035.28203021034</v>
      </c>
      <c r="O99" s="82">
        <f t="shared" si="60"/>
        <v>208151.08551551792</v>
      </c>
      <c r="P99" s="82">
        <f t="shared" si="60"/>
        <v>195620.38936975197</v>
      </c>
      <c r="Q99" s="82">
        <f t="shared" si="60"/>
        <v>213569.77054707165</v>
      </c>
      <c r="R99" s="82">
        <f t="shared" si="60"/>
        <v>230041.54350643812</v>
      </c>
      <c r="S99" s="82">
        <f t="shared" si="60"/>
        <v>220115.14180122624</v>
      </c>
      <c r="T99" s="82">
        <f t="shared" si="60"/>
        <v>204830.74902216729</v>
      </c>
      <c r="U99" s="82">
        <f t="shared" si="60"/>
        <v>205934.0429039759</v>
      </c>
      <c r="V99" s="82">
        <f t="shared" si="60"/>
        <v>175478.21613763587</v>
      </c>
      <c r="W99" s="82">
        <f t="shared" si="60"/>
        <v>185499.68032464309</v>
      </c>
      <c r="DA99" s="107"/>
    </row>
    <row r="100" spans="1:105" ht="12" customHeight="1" x14ac:dyDescent="0.25">
      <c r="A100" s="77" t="s">
        <v>36</v>
      </c>
      <c r="B100" s="64">
        <f t="shared" si="59"/>
        <v>129236.5621788048</v>
      </c>
      <c r="C100" s="64">
        <f t="shared" ref="C100:W100" si="61">C48*11630*1000/C$8</f>
        <v>142616.54487928201</v>
      </c>
      <c r="D100" s="64">
        <f t="shared" si="61"/>
        <v>144573.28544219263</v>
      </c>
      <c r="E100" s="64">
        <f t="shared" si="61"/>
        <v>151220.55771742828</v>
      </c>
      <c r="F100" s="64">
        <f t="shared" si="61"/>
        <v>156142.70325463053</v>
      </c>
      <c r="G100" s="64">
        <f t="shared" si="61"/>
        <v>167942.05514675949</v>
      </c>
      <c r="H100" s="64">
        <f t="shared" si="61"/>
        <v>173583.52288024977</v>
      </c>
      <c r="I100" s="64">
        <f t="shared" si="61"/>
        <v>172291.7228146533</v>
      </c>
      <c r="J100" s="64">
        <f t="shared" si="61"/>
        <v>176001.25383809322</v>
      </c>
      <c r="K100" s="64">
        <f t="shared" si="61"/>
        <v>166829.84547142667</v>
      </c>
      <c r="L100" s="64">
        <f t="shared" si="61"/>
        <v>151370.76673828004</v>
      </c>
      <c r="M100" s="64">
        <f t="shared" si="61"/>
        <v>145322.99450111721</v>
      </c>
      <c r="N100" s="64">
        <f t="shared" si="61"/>
        <v>152381.13192240172</v>
      </c>
      <c r="O100" s="64">
        <f t="shared" si="61"/>
        <v>139064.38213364166</v>
      </c>
      <c r="P100" s="64">
        <f t="shared" si="61"/>
        <v>125654.15721235596</v>
      </c>
      <c r="Q100" s="64">
        <f t="shared" si="61"/>
        <v>142204.57554859488</v>
      </c>
      <c r="R100" s="64">
        <f t="shared" si="61"/>
        <v>156668.4032937024</v>
      </c>
      <c r="S100" s="64">
        <f t="shared" si="61"/>
        <v>147946.18424745664</v>
      </c>
      <c r="T100" s="64">
        <f t="shared" si="61"/>
        <v>134089.93039875312</v>
      </c>
      <c r="U100" s="64">
        <f t="shared" si="61"/>
        <v>137286.19212626931</v>
      </c>
      <c r="V100" s="64">
        <f t="shared" si="61"/>
        <v>113151.80822864406</v>
      </c>
      <c r="W100" s="64">
        <f t="shared" si="61"/>
        <v>123459.20870145898</v>
      </c>
      <c r="DA100" s="108"/>
    </row>
    <row r="101" spans="1:105" ht="12" customHeight="1" x14ac:dyDescent="0.25">
      <c r="A101" s="61" t="s">
        <v>32</v>
      </c>
      <c r="B101" s="65">
        <f t="shared" si="59"/>
        <v>52094.8642105873</v>
      </c>
      <c r="C101" s="65">
        <f t="shared" ref="C101:W101" si="62">C49*11630*1000/C$8</f>
        <v>62434.251765466914</v>
      </c>
      <c r="D101" s="65">
        <f t="shared" si="62"/>
        <v>63193.053762537165</v>
      </c>
      <c r="E101" s="65">
        <f t="shared" si="62"/>
        <v>68626.714855589496</v>
      </c>
      <c r="F101" s="65">
        <f t="shared" si="62"/>
        <v>74067.127648436799</v>
      </c>
      <c r="G101" s="65">
        <f t="shared" si="62"/>
        <v>83494.463486272973</v>
      </c>
      <c r="H101" s="65">
        <f t="shared" si="62"/>
        <v>90033.405051578331</v>
      </c>
      <c r="I101" s="65">
        <f t="shared" si="62"/>
        <v>88495.076319277447</v>
      </c>
      <c r="J101" s="65">
        <f t="shared" si="62"/>
        <v>92678.61270154253</v>
      </c>
      <c r="K101" s="65">
        <f t="shared" si="62"/>
        <v>84021.005897619514</v>
      </c>
      <c r="L101" s="65">
        <f t="shared" si="62"/>
        <v>63167.540177804964</v>
      </c>
      <c r="M101" s="65">
        <f t="shared" si="62"/>
        <v>55578.405671615903</v>
      </c>
      <c r="N101" s="65">
        <f t="shared" si="62"/>
        <v>57299.158438796294</v>
      </c>
      <c r="O101" s="65">
        <f t="shared" si="62"/>
        <v>47473.267694378752</v>
      </c>
      <c r="P101" s="65">
        <f t="shared" si="62"/>
        <v>35352.185113610547</v>
      </c>
      <c r="Q101" s="65">
        <f t="shared" si="62"/>
        <v>50842.089364564017</v>
      </c>
      <c r="R101" s="65">
        <f t="shared" si="62"/>
        <v>65305.124602893207</v>
      </c>
      <c r="S101" s="65">
        <f t="shared" si="62"/>
        <v>57270.931915498244</v>
      </c>
      <c r="T101" s="65">
        <f t="shared" si="62"/>
        <v>46360.352616860684</v>
      </c>
      <c r="U101" s="65">
        <f t="shared" si="62"/>
        <v>50062.093709654611</v>
      </c>
      <c r="V101" s="65">
        <f t="shared" si="62"/>
        <v>38726.140475474742</v>
      </c>
      <c r="W101" s="65">
        <f t="shared" si="62"/>
        <v>42428.180611145443</v>
      </c>
      <c r="DA101" s="109"/>
    </row>
    <row r="102" spans="1:105" ht="12" customHeight="1" x14ac:dyDescent="0.25">
      <c r="A102" s="61" t="s">
        <v>31</v>
      </c>
      <c r="B102" s="65">
        <f t="shared" si="59"/>
        <v>5408.169863051945</v>
      </c>
      <c r="C102" s="65">
        <f t="shared" ref="C102:W102" si="63">C50*11630*1000/C$8</f>
        <v>6526.2659974942981</v>
      </c>
      <c r="D102" s="65">
        <f t="shared" si="63"/>
        <v>5228.2064535575773</v>
      </c>
      <c r="E102" s="65">
        <f t="shared" si="63"/>
        <v>6944.3451836878012</v>
      </c>
      <c r="F102" s="65">
        <f t="shared" si="63"/>
        <v>4229.9049280467125</v>
      </c>
      <c r="G102" s="65">
        <f t="shared" si="63"/>
        <v>4229.6073572469295</v>
      </c>
      <c r="H102" s="65">
        <f t="shared" si="63"/>
        <v>5001.6705037703859</v>
      </c>
      <c r="I102" s="65">
        <f t="shared" si="63"/>
        <v>7436.1371997792494</v>
      </c>
      <c r="J102" s="65">
        <f t="shared" si="63"/>
        <v>7144.374283039635</v>
      </c>
      <c r="K102" s="65">
        <f t="shared" si="63"/>
        <v>5063.9433112040024</v>
      </c>
      <c r="L102" s="65">
        <f t="shared" si="63"/>
        <v>6732.8591792058123</v>
      </c>
      <c r="M102" s="65">
        <f t="shared" si="63"/>
        <v>6044.0310071238719</v>
      </c>
      <c r="N102" s="65">
        <f t="shared" si="63"/>
        <v>10166.781744894435</v>
      </c>
      <c r="O102" s="65">
        <f t="shared" si="63"/>
        <v>6656.0032568512388</v>
      </c>
      <c r="P102" s="65">
        <f t="shared" si="63"/>
        <v>5707.3880995805457</v>
      </c>
      <c r="Q102" s="65">
        <f t="shared" si="63"/>
        <v>7481.3037028829967</v>
      </c>
      <c r="R102" s="65">
        <f t="shared" si="63"/>
        <v>8237.9409798838569</v>
      </c>
      <c r="S102" s="65">
        <f t="shared" si="63"/>
        <v>8437.8473472630958</v>
      </c>
      <c r="T102" s="65">
        <f t="shared" si="63"/>
        <v>7407.982485206785</v>
      </c>
      <c r="U102" s="65">
        <f t="shared" si="63"/>
        <v>9560.3656184131578</v>
      </c>
      <c r="V102" s="65">
        <f t="shared" si="63"/>
        <v>8161.7685049008469</v>
      </c>
      <c r="W102" s="65">
        <f t="shared" si="63"/>
        <v>10791.345414550455</v>
      </c>
      <c r="DA102" s="109"/>
    </row>
    <row r="103" spans="1:105" ht="12" customHeight="1" x14ac:dyDescent="0.25">
      <c r="A103" s="61" t="s">
        <v>35</v>
      </c>
      <c r="B103" s="65">
        <f t="shared" si="59"/>
        <v>34079.245387693889</v>
      </c>
      <c r="C103" s="65">
        <f t="shared" ref="C103:W103" si="64">C51*11630*1000/C$8</f>
        <v>35400.837334916716</v>
      </c>
      <c r="D103" s="65">
        <f t="shared" si="64"/>
        <v>36948.381994577467</v>
      </c>
      <c r="E103" s="65">
        <f t="shared" si="64"/>
        <v>37110.094296288509</v>
      </c>
      <c r="F103" s="65">
        <f t="shared" si="64"/>
        <v>37574.045264370885</v>
      </c>
      <c r="G103" s="65">
        <f t="shared" si="64"/>
        <v>39692.851857284993</v>
      </c>
      <c r="H103" s="65">
        <f t="shared" si="64"/>
        <v>39053.912725507478</v>
      </c>
      <c r="I103" s="65">
        <f t="shared" si="64"/>
        <v>38141.723118232963</v>
      </c>
      <c r="J103" s="65">
        <f t="shared" si="64"/>
        <v>38383.46005501836</v>
      </c>
      <c r="K103" s="65">
        <f t="shared" si="64"/>
        <v>39022.97074070567</v>
      </c>
      <c r="L103" s="65">
        <f t="shared" si="64"/>
        <v>40944.559700559214</v>
      </c>
      <c r="M103" s="65">
        <f t="shared" si="64"/>
        <v>42006.204663448269</v>
      </c>
      <c r="N103" s="65">
        <f t="shared" si="64"/>
        <v>41528.780774664709</v>
      </c>
      <c r="O103" s="65">
        <f t="shared" si="64"/>
        <v>41783.294409079012</v>
      </c>
      <c r="P103" s="65">
        <f t="shared" si="64"/>
        <v>42461.058486316964</v>
      </c>
      <c r="Q103" s="65">
        <f t="shared" si="64"/>
        <v>42488.266241005986</v>
      </c>
      <c r="R103" s="65">
        <f t="shared" si="64"/>
        <v>41774.770349945909</v>
      </c>
      <c r="S103" s="65">
        <f t="shared" si="64"/>
        <v>41117.243214238908</v>
      </c>
      <c r="T103" s="65">
        <f t="shared" si="64"/>
        <v>39934.616970876457</v>
      </c>
      <c r="U103" s="65">
        <f t="shared" si="64"/>
        <v>38365.19542096409</v>
      </c>
      <c r="V103" s="65">
        <f t="shared" si="64"/>
        <v>33336.443700350479</v>
      </c>
      <c r="W103" s="65">
        <f t="shared" si="64"/>
        <v>33144.098458715998</v>
      </c>
      <c r="DA103" s="109"/>
    </row>
    <row r="104" spans="1:105" ht="12" customHeight="1" x14ac:dyDescent="0.25">
      <c r="A104" s="66" t="s">
        <v>34</v>
      </c>
      <c r="B104" s="67">
        <f t="shared" si="59"/>
        <v>37654.282717471666</v>
      </c>
      <c r="C104" s="67">
        <f t="shared" ref="C104:W104" si="65">C52*11630*1000/C$8</f>
        <v>38255.189781404086</v>
      </c>
      <c r="D104" s="67">
        <f t="shared" si="65"/>
        <v>39203.643231520437</v>
      </c>
      <c r="E104" s="67">
        <f t="shared" si="65"/>
        <v>38539.403381862474</v>
      </c>
      <c r="F104" s="67">
        <f t="shared" si="65"/>
        <v>40271.62541377615</v>
      </c>
      <c r="G104" s="67">
        <f t="shared" si="65"/>
        <v>40525.132445954587</v>
      </c>
      <c r="H104" s="67">
        <f t="shared" si="65"/>
        <v>39494.534599393548</v>
      </c>
      <c r="I104" s="67">
        <f t="shared" si="65"/>
        <v>38218.786177363603</v>
      </c>
      <c r="J104" s="67">
        <f t="shared" si="65"/>
        <v>37794.806798492704</v>
      </c>
      <c r="K104" s="67">
        <f t="shared" si="65"/>
        <v>38721.925521897487</v>
      </c>
      <c r="L104" s="67">
        <f t="shared" si="65"/>
        <v>40525.807680710051</v>
      </c>
      <c r="M104" s="67">
        <f t="shared" si="65"/>
        <v>41694.353158929167</v>
      </c>
      <c r="N104" s="67">
        <f t="shared" si="65"/>
        <v>43386.41096404627</v>
      </c>
      <c r="O104" s="67">
        <f t="shared" si="65"/>
        <v>43151.816773332685</v>
      </c>
      <c r="P104" s="67">
        <f t="shared" si="65"/>
        <v>42133.525512847926</v>
      </c>
      <c r="Q104" s="67">
        <f t="shared" si="65"/>
        <v>41392.916240141865</v>
      </c>
      <c r="R104" s="67">
        <f t="shared" si="65"/>
        <v>41350.567360979425</v>
      </c>
      <c r="S104" s="67">
        <f t="shared" si="65"/>
        <v>41120.161770456412</v>
      </c>
      <c r="T104" s="67">
        <f t="shared" si="65"/>
        <v>40386.978325809214</v>
      </c>
      <c r="U104" s="67">
        <f t="shared" si="65"/>
        <v>39298.537377237444</v>
      </c>
      <c r="V104" s="67">
        <f t="shared" si="65"/>
        <v>32927.455547917998</v>
      </c>
      <c r="W104" s="67">
        <f t="shared" si="65"/>
        <v>37095.584217047064</v>
      </c>
      <c r="DA104" s="110"/>
    </row>
    <row r="105" spans="1:105" ht="12" customHeight="1" x14ac:dyDescent="0.25">
      <c r="A105" s="78" t="s">
        <v>33</v>
      </c>
      <c r="B105" s="68">
        <f t="shared" si="59"/>
        <v>58479.148585607501</v>
      </c>
      <c r="C105" s="68">
        <f t="shared" ref="C105:W105" si="66">C53*11630*1000/C$8</f>
        <v>58537.048051951802</v>
      </c>
      <c r="D105" s="68">
        <f t="shared" si="66"/>
        <v>59340.55971166338</v>
      </c>
      <c r="E105" s="68">
        <f t="shared" si="66"/>
        <v>59931.107953641076</v>
      </c>
      <c r="F105" s="68">
        <f t="shared" si="66"/>
        <v>60738.132217284423</v>
      </c>
      <c r="G105" s="68">
        <f t="shared" si="66"/>
        <v>61772.809022173918</v>
      </c>
      <c r="H105" s="68">
        <f t="shared" si="66"/>
        <v>62058.132461955167</v>
      </c>
      <c r="I105" s="68">
        <f t="shared" si="66"/>
        <v>62664.931098614747</v>
      </c>
      <c r="J105" s="68">
        <f t="shared" si="66"/>
        <v>63642.074754426154</v>
      </c>
      <c r="K105" s="68">
        <f t="shared" si="66"/>
        <v>64771.532777205888</v>
      </c>
      <c r="L105" s="68">
        <f t="shared" si="66"/>
        <v>66468.5417673091</v>
      </c>
      <c r="M105" s="68">
        <f t="shared" si="66"/>
        <v>67737.083285294648</v>
      </c>
      <c r="N105" s="68">
        <f t="shared" si="66"/>
        <v>68654.150107808644</v>
      </c>
      <c r="O105" s="68">
        <f t="shared" si="66"/>
        <v>69086.703381876301</v>
      </c>
      <c r="P105" s="68">
        <f t="shared" si="66"/>
        <v>69966.232157396007</v>
      </c>
      <c r="Q105" s="68">
        <f t="shared" si="66"/>
        <v>71365.194998476771</v>
      </c>
      <c r="R105" s="68">
        <f t="shared" si="66"/>
        <v>73373.1402127357</v>
      </c>
      <c r="S105" s="68">
        <f t="shared" si="66"/>
        <v>72168.957553769607</v>
      </c>
      <c r="T105" s="68">
        <f t="shared" si="66"/>
        <v>70740.818623414161</v>
      </c>
      <c r="U105" s="68">
        <f t="shared" si="66"/>
        <v>68647.850777706568</v>
      </c>
      <c r="V105" s="68">
        <f t="shared" si="66"/>
        <v>62326.407908991801</v>
      </c>
      <c r="W105" s="68">
        <f t="shared" si="66"/>
        <v>62040.47162318413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76392.932551854945</v>
      </c>
      <c r="C107" s="85">
        <f t="shared" ref="C107:W107" si="68">SUM(C108:C111)</f>
        <v>84750.253638718932</v>
      </c>
      <c r="D107" s="85">
        <f t="shared" si="68"/>
        <v>85546.17042628456</v>
      </c>
      <c r="E107" s="85">
        <f t="shared" si="68"/>
        <v>92461.448009661064</v>
      </c>
      <c r="F107" s="85">
        <f t="shared" si="68"/>
        <v>93294.21428749022</v>
      </c>
      <c r="G107" s="85">
        <f t="shared" si="68"/>
        <v>99502.678189622777</v>
      </c>
      <c r="H107" s="85">
        <f t="shared" si="68"/>
        <v>105951.94226922953</v>
      </c>
      <c r="I107" s="85">
        <f t="shared" si="68"/>
        <v>112900.14290940977</v>
      </c>
      <c r="J107" s="85">
        <f t="shared" si="68"/>
        <v>117758.09434639273</v>
      </c>
      <c r="K107" s="85">
        <f t="shared" si="68"/>
        <v>112791.21746289301</v>
      </c>
      <c r="L107" s="85">
        <f t="shared" si="68"/>
        <v>109476.53668858099</v>
      </c>
      <c r="M107" s="85">
        <f t="shared" si="68"/>
        <v>106895.52453378637</v>
      </c>
      <c r="N107" s="85">
        <f t="shared" si="68"/>
        <v>127335.77614687366</v>
      </c>
      <c r="O107" s="85">
        <f t="shared" si="68"/>
        <v>115042.18263581078</v>
      </c>
      <c r="P107" s="85">
        <f t="shared" si="68"/>
        <v>113217.19655399545</v>
      </c>
      <c r="Q107" s="85">
        <f t="shared" si="68"/>
        <v>134660.14527913963</v>
      </c>
      <c r="R107" s="85">
        <f t="shared" si="68"/>
        <v>146900.7427873562</v>
      </c>
      <c r="S107" s="85">
        <f t="shared" si="68"/>
        <v>145205.06237003944</v>
      </c>
      <c r="T107" s="85">
        <f t="shared" si="68"/>
        <v>138343.18689836026</v>
      </c>
      <c r="U107" s="85">
        <f t="shared" si="68"/>
        <v>149484.52468467815</v>
      </c>
      <c r="V107" s="85">
        <f t="shared" si="68"/>
        <v>135496.16284447431</v>
      </c>
      <c r="W107" s="85">
        <f t="shared" si="68"/>
        <v>155388.91784972511</v>
      </c>
      <c r="DA107" s="117"/>
    </row>
    <row r="108" spans="1:105" ht="12" customHeight="1" x14ac:dyDescent="0.25">
      <c r="A108" s="61" t="s">
        <v>32</v>
      </c>
      <c r="B108" s="65">
        <v>24764.137497005137</v>
      </c>
      <c r="C108" s="65">
        <v>29588.402106475241</v>
      </c>
      <c r="D108" s="65">
        <v>30490.44897453563</v>
      </c>
      <c r="E108" s="65">
        <v>33941.879423299761</v>
      </c>
      <c r="F108" s="65">
        <v>38658.007372311797</v>
      </c>
      <c r="G108" s="65">
        <v>43013.024058620344</v>
      </c>
      <c r="H108" s="65">
        <v>48062.943493268132</v>
      </c>
      <c r="I108" s="65">
        <v>49802.368715133016</v>
      </c>
      <c r="J108" s="65">
        <v>54351.298563268923</v>
      </c>
      <c r="K108" s="65">
        <v>53166.18547032636</v>
      </c>
      <c r="L108" s="65">
        <v>43112.13666939571</v>
      </c>
      <c r="M108" s="65">
        <v>40328.383195258692</v>
      </c>
      <c r="N108" s="65">
        <v>49173.706025678053</v>
      </c>
      <c r="O108" s="65">
        <v>44837.15771176108</v>
      </c>
      <c r="P108" s="65">
        <v>44530.438416868441</v>
      </c>
      <c r="Q108" s="65">
        <v>60312.241063928363</v>
      </c>
      <c r="R108" s="65">
        <v>69458.630053751025</v>
      </c>
      <c r="S108" s="65">
        <v>66163.972935605954</v>
      </c>
      <c r="T108" s="65">
        <v>62405.216629149574</v>
      </c>
      <c r="U108" s="65">
        <v>66947.315758630124</v>
      </c>
      <c r="V108" s="65">
        <v>63437.566676264818</v>
      </c>
      <c r="W108" s="65">
        <v>70384.102599681049</v>
      </c>
      <c r="DA108" s="109"/>
    </row>
    <row r="109" spans="1:105" ht="12" customHeight="1" x14ac:dyDescent="0.25">
      <c r="A109" s="61" t="s">
        <v>31</v>
      </c>
      <c r="B109" s="65">
        <v>9089.3133083969515</v>
      </c>
      <c r="C109" s="65">
        <v>11424.419373829103</v>
      </c>
      <c r="D109" s="65">
        <v>9547.5346942729757</v>
      </c>
      <c r="E109" s="65">
        <v>13302.982570595639</v>
      </c>
      <c r="F109" s="65">
        <v>8471.4749788613826</v>
      </c>
      <c r="G109" s="65">
        <v>8850.1638908820478</v>
      </c>
      <c r="H109" s="65">
        <v>11045.601898848246</v>
      </c>
      <c r="I109" s="65">
        <v>17367.082855635988</v>
      </c>
      <c r="J109" s="65">
        <v>17596.769315336009</v>
      </c>
      <c r="K109" s="65">
        <v>12635.103862955621</v>
      </c>
      <c r="L109" s="65">
        <v>17076.833117567894</v>
      </c>
      <c r="M109" s="65">
        <v>15704.899346800619</v>
      </c>
      <c r="N109" s="65">
        <v>27340.504317406674</v>
      </c>
      <c r="O109" s="65">
        <v>18412.119464561856</v>
      </c>
      <c r="P109" s="65">
        <v>16272.442100044796</v>
      </c>
      <c r="Q109" s="65">
        <v>22066.298170234324</v>
      </c>
      <c r="R109" s="65">
        <v>25112.21470241126</v>
      </c>
      <c r="S109" s="65">
        <v>26499.32119963775</v>
      </c>
      <c r="T109" s="65">
        <v>23770.1019998888</v>
      </c>
      <c r="U109" s="65">
        <v>31326.486330986692</v>
      </c>
      <c r="V109" s="65">
        <v>27200.264853739576</v>
      </c>
      <c r="W109" s="65">
        <v>36788.410986300594</v>
      </c>
      <c r="DA109" s="109"/>
    </row>
    <row r="110" spans="1:105" ht="12" customHeight="1" x14ac:dyDescent="0.25">
      <c r="A110" s="61" t="s">
        <v>35</v>
      </c>
      <c r="B110" s="65">
        <v>18098.682648737693</v>
      </c>
      <c r="C110" s="65">
        <v>18832.483119155939</v>
      </c>
      <c r="D110" s="65">
        <v>19713.768970732952</v>
      </c>
      <c r="E110" s="65">
        <v>19882.245084938684</v>
      </c>
      <c r="F110" s="65">
        <v>20219.922011984301</v>
      </c>
      <c r="G110" s="65">
        <v>21364.918582442773</v>
      </c>
      <c r="H110" s="65">
        <v>21129.592490646592</v>
      </c>
      <c r="I110" s="65">
        <v>20732.118810898861</v>
      </c>
      <c r="J110" s="65">
        <v>21012.497496455555</v>
      </c>
      <c r="K110" s="65">
        <v>21501.172135603472</v>
      </c>
      <c r="L110" s="65">
        <v>22641.912937403304</v>
      </c>
      <c r="M110" s="65">
        <v>23378.090357366546</v>
      </c>
      <c r="N110" s="65">
        <v>23348.093337236794</v>
      </c>
      <c r="O110" s="65">
        <v>23778.881263280407</v>
      </c>
      <c r="P110" s="65">
        <v>24374.814349531825</v>
      </c>
      <c r="Q110" s="65">
        <v>24685.186459748329</v>
      </c>
      <c r="R110" s="65">
        <v>24666.147242412349</v>
      </c>
      <c r="S110" s="65">
        <v>24835.782361152193</v>
      </c>
      <c r="T110" s="65">
        <v>24734.501437112303</v>
      </c>
      <c r="U110" s="65">
        <v>24391.894751823223</v>
      </c>
      <c r="V110" s="65">
        <v>21853.966317636845</v>
      </c>
      <c r="W110" s="65">
        <v>22269.917217197188</v>
      </c>
      <c r="DA110" s="109"/>
    </row>
    <row r="111" spans="1:105" ht="12" customHeight="1" x14ac:dyDescent="0.25">
      <c r="A111" s="74" t="s">
        <v>34</v>
      </c>
      <c r="B111" s="68">
        <v>24440.79909771516</v>
      </c>
      <c r="C111" s="68">
        <v>24904.949039258645</v>
      </c>
      <c r="D111" s="68">
        <v>25794.417786743001</v>
      </c>
      <c r="E111" s="68">
        <v>25334.340930826977</v>
      </c>
      <c r="F111" s="68">
        <v>25944.809924332734</v>
      </c>
      <c r="G111" s="68">
        <v>26274.571657677621</v>
      </c>
      <c r="H111" s="68">
        <v>25713.804386466567</v>
      </c>
      <c r="I111" s="68">
        <v>24998.572527741904</v>
      </c>
      <c r="J111" s="68">
        <v>24797.528971332238</v>
      </c>
      <c r="K111" s="68">
        <v>25488.755994007555</v>
      </c>
      <c r="L111" s="68">
        <v>26645.653964214078</v>
      </c>
      <c r="M111" s="68">
        <v>27484.151634360522</v>
      </c>
      <c r="N111" s="68">
        <v>27473.472466552128</v>
      </c>
      <c r="O111" s="68">
        <v>28014.024196207432</v>
      </c>
      <c r="P111" s="68">
        <v>28039.50168755039</v>
      </c>
      <c r="Q111" s="68">
        <v>27596.419585228621</v>
      </c>
      <c r="R111" s="68">
        <v>27663.750788781566</v>
      </c>
      <c r="S111" s="68">
        <v>27705.985873643542</v>
      </c>
      <c r="T111" s="68">
        <v>27433.366832209584</v>
      </c>
      <c r="U111" s="68">
        <v>26818.827843238094</v>
      </c>
      <c r="V111" s="68">
        <v>23004.364996833086</v>
      </c>
      <c r="W111" s="68">
        <v>25946.487046546263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9466.5252556035248</v>
      </c>
      <c r="C113" s="82">
        <f t="shared" ref="C113:W113" si="70">C81*1000000/C$8</f>
        <v>11783.639628036301</v>
      </c>
      <c r="D113" s="82">
        <f t="shared" si="70"/>
        <v>11605.650237875499</v>
      </c>
      <c r="E113" s="82">
        <f t="shared" si="70"/>
        <v>12210.050553920539</v>
      </c>
      <c r="F113" s="82">
        <f t="shared" si="70"/>
        <v>12670.012879820995</v>
      </c>
      <c r="G113" s="82">
        <f t="shared" si="70"/>
        <v>15473.559321685647</v>
      </c>
      <c r="H113" s="82">
        <f t="shared" si="70"/>
        <v>15507.397030421718</v>
      </c>
      <c r="I113" s="82">
        <f t="shared" si="70"/>
        <v>14169.334876358604</v>
      </c>
      <c r="J113" s="82">
        <f t="shared" si="70"/>
        <v>13875.420291298182</v>
      </c>
      <c r="K113" s="82">
        <f t="shared" si="70"/>
        <v>11331.105949992332</v>
      </c>
      <c r="L113" s="82">
        <f t="shared" si="70"/>
        <v>10424.109934330636</v>
      </c>
      <c r="M113" s="82">
        <f t="shared" si="70"/>
        <v>10508.095432680946</v>
      </c>
      <c r="N113" s="82">
        <f t="shared" si="70"/>
        <v>7813.0979965928163</v>
      </c>
      <c r="O113" s="82">
        <f t="shared" si="70"/>
        <v>8359.8485884084475</v>
      </c>
      <c r="P113" s="82">
        <f t="shared" si="70"/>
        <v>5979.4397157072317</v>
      </c>
      <c r="Q113" s="82">
        <f t="shared" si="70"/>
        <v>7107.8167588772767</v>
      </c>
      <c r="R113" s="82">
        <f t="shared" si="70"/>
        <v>8406.5751233556584</v>
      </c>
      <c r="S113" s="82">
        <f t="shared" si="70"/>
        <v>6820.1663244801211</v>
      </c>
      <c r="T113" s="82">
        <f t="shared" si="70"/>
        <v>6510.1243600943244</v>
      </c>
      <c r="U113" s="82">
        <f t="shared" si="70"/>
        <v>6782.7322367879342</v>
      </c>
      <c r="V113" s="82">
        <f t="shared" si="70"/>
        <v>5371.1689636890278</v>
      </c>
      <c r="W113" s="82">
        <f t="shared" si="70"/>
        <v>5717.4590479655908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9466.5252556035248</v>
      </c>
      <c r="C114" s="64">
        <f t="shared" ref="C114:W114" si="72">C82*1000000/C$8</f>
        <v>11783.639628036301</v>
      </c>
      <c r="D114" s="64">
        <f t="shared" si="72"/>
        <v>11605.650237875499</v>
      </c>
      <c r="E114" s="64">
        <f t="shared" si="72"/>
        <v>12210.050553920539</v>
      </c>
      <c r="F114" s="64">
        <f t="shared" si="72"/>
        <v>12670.012879820995</v>
      </c>
      <c r="G114" s="64">
        <f t="shared" si="72"/>
        <v>15473.559321685647</v>
      </c>
      <c r="H114" s="64">
        <f t="shared" si="72"/>
        <v>15507.397030421718</v>
      </c>
      <c r="I114" s="64">
        <f t="shared" si="72"/>
        <v>14169.334876358604</v>
      </c>
      <c r="J114" s="64">
        <f t="shared" si="72"/>
        <v>13875.420291298182</v>
      </c>
      <c r="K114" s="64">
        <f t="shared" si="72"/>
        <v>11331.105949992332</v>
      </c>
      <c r="L114" s="64">
        <f t="shared" si="72"/>
        <v>10424.109934330636</v>
      </c>
      <c r="M114" s="64">
        <f t="shared" si="72"/>
        <v>10508.095432680946</v>
      </c>
      <c r="N114" s="64">
        <f t="shared" si="72"/>
        <v>7813.0979965928163</v>
      </c>
      <c r="O114" s="64">
        <f t="shared" si="72"/>
        <v>8359.8485884084475</v>
      </c>
      <c r="P114" s="64">
        <f t="shared" si="72"/>
        <v>5979.4397157072317</v>
      </c>
      <c r="Q114" s="64">
        <f t="shared" si="72"/>
        <v>7107.8167588772767</v>
      </c>
      <c r="R114" s="64">
        <f t="shared" si="72"/>
        <v>8406.5751233556584</v>
      </c>
      <c r="S114" s="64">
        <f t="shared" si="72"/>
        <v>6820.1663244801211</v>
      </c>
      <c r="T114" s="64">
        <f t="shared" si="72"/>
        <v>6510.1243600943244</v>
      </c>
      <c r="U114" s="64">
        <f t="shared" si="72"/>
        <v>6782.7322367879342</v>
      </c>
      <c r="V114" s="64">
        <f t="shared" si="72"/>
        <v>5371.1689636890278</v>
      </c>
      <c r="W114" s="64">
        <f t="shared" si="72"/>
        <v>5717.4590479655908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8025.5691605249613</v>
      </c>
      <c r="C115" s="65">
        <f t="shared" ref="C115:W115" si="74">C83*1000000/C$8</f>
        <v>10252.34188747631</v>
      </c>
      <c r="D115" s="65">
        <f t="shared" si="74"/>
        <v>10296.280166874863</v>
      </c>
      <c r="E115" s="65">
        <f t="shared" si="74"/>
        <v>10772.123728872622</v>
      </c>
      <c r="F115" s="65">
        <f t="shared" si="74"/>
        <v>10317.173764768437</v>
      </c>
      <c r="G115" s="65">
        <f t="shared" si="74"/>
        <v>13051.450638854571</v>
      </c>
      <c r="H115" s="65">
        <f t="shared" si="74"/>
        <v>13088.202303627973</v>
      </c>
      <c r="I115" s="65">
        <f t="shared" si="74"/>
        <v>11705.279428280017</v>
      </c>
      <c r="J115" s="65">
        <f t="shared" si="74"/>
        <v>11359.684796299722</v>
      </c>
      <c r="K115" s="65">
        <f t="shared" si="74"/>
        <v>8724.4465174330671</v>
      </c>
      <c r="L115" s="65">
        <f t="shared" si="74"/>
        <v>7469.4651866199647</v>
      </c>
      <c r="M115" s="65">
        <f t="shared" si="74"/>
        <v>7605.0234892018325</v>
      </c>
      <c r="N115" s="65">
        <f t="shared" si="74"/>
        <v>3243.7273754294461</v>
      </c>
      <c r="O115" s="65">
        <f t="shared" si="74"/>
        <v>4528.1378274797898</v>
      </c>
      <c r="P115" s="65">
        <f t="shared" si="74"/>
        <v>2883.5791946093655</v>
      </c>
      <c r="Q115" s="65">
        <f t="shared" si="74"/>
        <v>3813.8832785732961</v>
      </c>
      <c r="R115" s="65">
        <f t="shared" si="74"/>
        <v>4942.6644547335336</v>
      </c>
      <c r="S115" s="65">
        <f t="shared" si="74"/>
        <v>3200.7284235836401</v>
      </c>
      <c r="T115" s="65">
        <f t="shared" si="74"/>
        <v>2932.1920660588762</v>
      </c>
      <c r="U115" s="65">
        <f t="shared" si="74"/>
        <v>3106.4729106453483</v>
      </c>
      <c r="V115" s="65">
        <f t="shared" si="74"/>
        <v>2660.4737728997584</v>
      </c>
      <c r="W115" s="65">
        <f t="shared" si="74"/>
        <v>2420.0987478274064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1.1006460835279055</v>
      </c>
      <c r="C116" s="65">
        <f t="shared" ref="C116:W116" si="76">C84*1000000/C$8</f>
        <v>1.3815993743650936</v>
      </c>
      <c r="D116" s="65">
        <f t="shared" si="76"/>
        <v>1.5138755953855081</v>
      </c>
      <c r="E116" s="65">
        <f t="shared" si="76"/>
        <v>1.7504242796603349</v>
      </c>
      <c r="F116" s="65">
        <f t="shared" si="76"/>
        <v>2.2731115757146325</v>
      </c>
      <c r="G116" s="65">
        <f t="shared" si="76"/>
        <v>3.5099982562173047</v>
      </c>
      <c r="H116" s="65">
        <f t="shared" si="76"/>
        <v>5.6129195926612683</v>
      </c>
      <c r="I116" s="65">
        <f t="shared" si="76"/>
        <v>8.1005729306636027</v>
      </c>
      <c r="J116" s="65">
        <f t="shared" si="76"/>
        <v>10.670413545948669</v>
      </c>
      <c r="K116" s="65">
        <f t="shared" si="76"/>
        <v>12.577914874233494</v>
      </c>
      <c r="L116" s="65">
        <f t="shared" si="76"/>
        <v>17.568655416261347</v>
      </c>
      <c r="M116" s="65">
        <f t="shared" si="76"/>
        <v>20.885521699534699</v>
      </c>
      <c r="N116" s="65">
        <f t="shared" si="76"/>
        <v>39.905040228418493</v>
      </c>
      <c r="O116" s="65">
        <f t="shared" si="76"/>
        <v>40.663581861478711</v>
      </c>
      <c r="P116" s="65">
        <f t="shared" si="76"/>
        <v>49.405368348112255</v>
      </c>
      <c r="Q116" s="65">
        <f t="shared" si="76"/>
        <v>72.505133227054955</v>
      </c>
      <c r="R116" s="65">
        <f t="shared" si="76"/>
        <v>87.257607419488394</v>
      </c>
      <c r="S116" s="65">
        <f t="shared" si="76"/>
        <v>98.896389258730125</v>
      </c>
      <c r="T116" s="65">
        <f t="shared" si="76"/>
        <v>97.089343810335748</v>
      </c>
      <c r="U116" s="65">
        <f t="shared" si="76"/>
        <v>123.129472496625</v>
      </c>
      <c r="V116" s="65">
        <f t="shared" si="76"/>
        <v>104.63298912752498</v>
      </c>
      <c r="W116" s="65">
        <f t="shared" si="76"/>
        <v>139.92937736959502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662.60853266778952</v>
      </c>
      <c r="C117" s="65">
        <f t="shared" ref="C117:W117" si="78">C85*1000000/C$8</f>
        <v>749.33138981536297</v>
      </c>
      <c r="D117" s="65">
        <f t="shared" si="78"/>
        <v>798.02158456046186</v>
      </c>
      <c r="E117" s="65">
        <f t="shared" si="78"/>
        <v>810.12569640715856</v>
      </c>
      <c r="F117" s="65">
        <f t="shared" si="78"/>
        <v>839.08753976639809</v>
      </c>
      <c r="G117" s="65">
        <f t="shared" si="78"/>
        <v>1031.917721128141</v>
      </c>
      <c r="H117" s="65">
        <f t="shared" si="78"/>
        <v>1089.6705482531675</v>
      </c>
      <c r="I117" s="65">
        <f t="shared" si="78"/>
        <v>1202.5798005627448</v>
      </c>
      <c r="J117" s="65">
        <f t="shared" si="78"/>
        <v>1242.6374781181098</v>
      </c>
      <c r="K117" s="65">
        <f t="shared" si="78"/>
        <v>1287.5606108088318</v>
      </c>
      <c r="L117" s="65">
        <f t="shared" si="78"/>
        <v>1441.1473417488735</v>
      </c>
      <c r="M117" s="65">
        <f t="shared" si="78"/>
        <v>1457.0272954263701</v>
      </c>
      <c r="N117" s="65">
        <f t="shared" si="78"/>
        <v>1444.2586652232508</v>
      </c>
      <c r="O117" s="65">
        <f t="shared" si="78"/>
        <v>1497.7162916627478</v>
      </c>
      <c r="P117" s="65">
        <f t="shared" si="78"/>
        <v>1500.7574922082069</v>
      </c>
      <c r="Q117" s="65">
        <f t="shared" si="78"/>
        <v>1528.4116340329874</v>
      </c>
      <c r="R117" s="65">
        <f t="shared" si="78"/>
        <v>1534.1532544299434</v>
      </c>
      <c r="S117" s="65">
        <f t="shared" si="78"/>
        <v>1572.305569995224</v>
      </c>
      <c r="T117" s="65">
        <f t="shared" si="78"/>
        <v>1458.7858257937041</v>
      </c>
      <c r="U117" s="65">
        <f t="shared" si="78"/>
        <v>1372.8624911613401</v>
      </c>
      <c r="V117" s="65">
        <f t="shared" si="78"/>
        <v>1027.4107687154881</v>
      </c>
      <c r="W117" s="65">
        <f t="shared" si="78"/>
        <v>1062.376033524363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777.24691632724705</v>
      </c>
      <c r="C118" s="67">
        <f t="shared" ref="C118:W118" si="80">C86*1000000/C$8</f>
        <v>780.58475137026255</v>
      </c>
      <c r="D118" s="67">
        <f t="shared" si="80"/>
        <v>509.83461084478927</v>
      </c>
      <c r="E118" s="67">
        <f t="shared" si="80"/>
        <v>626.05070436109565</v>
      </c>
      <c r="F118" s="67">
        <f t="shared" si="80"/>
        <v>1511.4784637104456</v>
      </c>
      <c r="G118" s="67">
        <f t="shared" si="80"/>
        <v>1386.6809634467188</v>
      </c>
      <c r="H118" s="67">
        <f t="shared" si="80"/>
        <v>1323.9112589479155</v>
      </c>
      <c r="I118" s="67">
        <f t="shared" si="80"/>
        <v>1253.3750745851801</v>
      </c>
      <c r="J118" s="67">
        <f t="shared" si="80"/>
        <v>1262.4276033344011</v>
      </c>
      <c r="K118" s="67">
        <f t="shared" si="80"/>
        <v>1306.520906876201</v>
      </c>
      <c r="L118" s="67">
        <f t="shared" si="80"/>
        <v>1495.9287505455363</v>
      </c>
      <c r="M118" s="67">
        <f t="shared" si="80"/>
        <v>1425.1591263532071</v>
      </c>
      <c r="N118" s="67">
        <f t="shared" si="80"/>
        <v>3085.2069157117016</v>
      </c>
      <c r="O118" s="67">
        <f t="shared" si="80"/>
        <v>2293.3308874044319</v>
      </c>
      <c r="P118" s="67">
        <f t="shared" si="80"/>
        <v>1545.6976605415475</v>
      </c>
      <c r="Q118" s="67">
        <f t="shared" si="80"/>
        <v>1693.0167130439388</v>
      </c>
      <c r="R118" s="67">
        <f t="shared" si="80"/>
        <v>1842.4998067726922</v>
      </c>
      <c r="S118" s="67">
        <f t="shared" si="80"/>
        <v>1948.2359416425268</v>
      </c>
      <c r="T118" s="67">
        <f t="shared" si="80"/>
        <v>2022.0571244314081</v>
      </c>
      <c r="U118" s="67">
        <f t="shared" si="80"/>
        <v>2180.2673624846216</v>
      </c>
      <c r="V118" s="67">
        <f t="shared" si="80"/>
        <v>1578.6514329462559</v>
      </c>
      <c r="W118" s="67">
        <f t="shared" si="80"/>
        <v>2095.0548892442266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0.59110929031183734</v>
      </c>
      <c r="C121" s="86">
        <f t="shared" ref="C121:W121" si="84">IF(C107=0,"",C107/C100)</f>
        <v>0.59425260730061802</v>
      </c>
      <c r="D121" s="86">
        <f t="shared" si="84"/>
        <v>0.59171492274407811</v>
      </c>
      <c r="E121" s="86">
        <f t="shared" si="84"/>
        <v>0.61143438038652875</v>
      </c>
      <c r="F121" s="86">
        <f t="shared" si="84"/>
        <v>0.5974932695724513</v>
      </c>
      <c r="G121" s="86">
        <f t="shared" si="84"/>
        <v>0.59248219930779333</v>
      </c>
      <c r="H121" s="86">
        <f t="shared" si="84"/>
        <v>0.61038018189274046</v>
      </c>
      <c r="I121" s="86">
        <f t="shared" si="84"/>
        <v>0.65528477552496611</v>
      </c>
      <c r="J121" s="86">
        <f t="shared" si="84"/>
        <v>0.66907531496747485</v>
      </c>
      <c r="K121" s="86">
        <f t="shared" si="84"/>
        <v>0.6760853679637977</v>
      </c>
      <c r="L121" s="86">
        <f t="shared" si="84"/>
        <v>0.72323434073545956</v>
      </c>
      <c r="M121" s="86">
        <f t="shared" si="84"/>
        <v>0.73557199189812039</v>
      </c>
      <c r="N121" s="86">
        <f t="shared" si="84"/>
        <v>0.83564004637869393</v>
      </c>
      <c r="O121" s="86">
        <f t="shared" si="84"/>
        <v>0.82725843145985856</v>
      </c>
      <c r="P121" s="86">
        <f t="shared" si="84"/>
        <v>0.90102229059288508</v>
      </c>
      <c r="Q121" s="86">
        <f t="shared" si="84"/>
        <v>0.94694664190409872</v>
      </c>
      <c r="R121" s="86">
        <f t="shared" si="84"/>
        <v>0.93765392190769303</v>
      </c>
      <c r="S121" s="86">
        <f t="shared" si="84"/>
        <v>0.98147216914474544</v>
      </c>
      <c r="T121" s="86">
        <f t="shared" si="84"/>
        <v>1.031719432525313</v>
      </c>
      <c r="U121" s="86">
        <f t="shared" si="84"/>
        <v>1.0888533097865327</v>
      </c>
      <c r="V121" s="86">
        <f t="shared" si="84"/>
        <v>1.1974723600587927</v>
      </c>
      <c r="W121" s="86">
        <f t="shared" si="84"/>
        <v>1.258625577501282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0.47536619726848794</v>
      </c>
      <c r="C122" s="75">
        <f t="shared" ref="C122:W122" si="86">IF(C108=0,"",C108/C101)</f>
        <v>0.47391297676832123</v>
      </c>
      <c r="D122" s="75">
        <f t="shared" si="86"/>
        <v>0.48249684354724648</v>
      </c>
      <c r="E122" s="75">
        <f t="shared" si="86"/>
        <v>0.4945869767294459</v>
      </c>
      <c r="F122" s="75">
        <f t="shared" si="86"/>
        <v>0.52193204461504028</v>
      </c>
      <c r="G122" s="75">
        <f t="shared" si="86"/>
        <v>0.51516019461208895</v>
      </c>
      <c r="H122" s="75">
        <f t="shared" si="86"/>
        <v>0.53383456357930525</v>
      </c>
      <c r="I122" s="75">
        <f t="shared" si="86"/>
        <v>0.56276993914840268</v>
      </c>
      <c r="J122" s="75">
        <f t="shared" si="86"/>
        <v>0.58644920310038595</v>
      </c>
      <c r="K122" s="75">
        <f t="shared" si="86"/>
        <v>0.63277254184637965</v>
      </c>
      <c r="L122" s="75">
        <f t="shared" si="86"/>
        <v>0.68250459885002657</v>
      </c>
      <c r="M122" s="75">
        <f t="shared" si="86"/>
        <v>0.72561245159744747</v>
      </c>
      <c r="N122" s="75">
        <f t="shared" si="86"/>
        <v>0.85819246504645641</v>
      </c>
      <c r="O122" s="75">
        <f t="shared" si="86"/>
        <v>0.94447169721729918</v>
      </c>
      <c r="P122" s="75">
        <f t="shared" si="86"/>
        <v>1.259623366243471</v>
      </c>
      <c r="Q122" s="75">
        <f t="shared" si="86"/>
        <v>1.1862659819398544</v>
      </c>
      <c r="R122" s="75">
        <f t="shared" si="86"/>
        <v>1.0636015240169039</v>
      </c>
      <c r="S122" s="75">
        <f t="shared" si="86"/>
        <v>1.1552801870454834</v>
      </c>
      <c r="T122" s="75">
        <f t="shared" si="86"/>
        <v>1.346090206536815</v>
      </c>
      <c r="U122" s="75">
        <f t="shared" si="86"/>
        <v>1.3372855747285526</v>
      </c>
      <c r="V122" s="75">
        <f t="shared" si="86"/>
        <v>1.6381071260235658</v>
      </c>
      <c r="W122" s="75">
        <f t="shared" si="86"/>
        <v>1.6588998534901087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1.6806634293227727</v>
      </c>
      <c r="C123" s="76">
        <f t="shared" ref="C123:W123" si="88">IF(C109=0,"",C109/C102)</f>
        <v>1.7505292273124338</v>
      </c>
      <c r="D123" s="76">
        <f t="shared" si="88"/>
        <v>1.8261586987974192</v>
      </c>
      <c r="E123" s="76">
        <f t="shared" si="88"/>
        <v>1.9156568717010518</v>
      </c>
      <c r="F123" s="76">
        <f t="shared" si="88"/>
        <v>2.0027577742210259</v>
      </c>
      <c r="G123" s="76">
        <f t="shared" si="88"/>
        <v>2.0924315529474251</v>
      </c>
      <c r="H123" s="76">
        <f t="shared" si="88"/>
        <v>2.2083825574919005</v>
      </c>
      <c r="I123" s="76">
        <f t="shared" si="88"/>
        <v>2.3354979055727414</v>
      </c>
      <c r="J123" s="76">
        <f t="shared" si="88"/>
        <v>2.4630245586530655</v>
      </c>
      <c r="K123" s="76">
        <f t="shared" si="88"/>
        <v>2.4951116326678426</v>
      </c>
      <c r="L123" s="76">
        <f t="shared" si="88"/>
        <v>2.5363419407774135</v>
      </c>
      <c r="M123" s="76">
        <f t="shared" si="88"/>
        <v>2.598414754704244</v>
      </c>
      <c r="N123" s="76">
        <f t="shared" si="88"/>
        <v>2.689199493353593</v>
      </c>
      <c r="O123" s="76">
        <f t="shared" si="88"/>
        <v>2.7662425563884252</v>
      </c>
      <c r="P123" s="76">
        <f t="shared" si="88"/>
        <v>2.851118903450899</v>
      </c>
      <c r="Q123" s="76">
        <f t="shared" si="88"/>
        <v>2.949525784086382</v>
      </c>
      <c r="R123" s="76">
        <f t="shared" si="88"/>
        <v>3.0483605992969016</v>
      </c>
      <c r="S123" s="76">
        <f t="shared" si="88"/>
        <v>3.1405310038268328</v>
      </c>
      <c r="T123" s="76">
        <f t="shared" si="88"/>
        <v>3.2087146598086598</v>
      </c>
      <c r="U123" s="76">
        <f t="shared" si="88"/>
        <v>3.2767037978811424</v>
      </c>
      <c r="V123" s="76">
        <f t="shared" si="88"/>
        <v>3.3326435119308764</v>
      </c>
      <c r="W123" s="76">
        <f t="shared" si="88"/>
        <v>3.409066207508948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0.53107639100697868</v>
      </c>
      <c r="C124" s="76">
        <f t="shared" ref="C124:W124" si="90">IF(C110=0,"",C110/C103)</f>
        <v>0.53197846539581706</v>
      </c>
      <c r="D124" s="76">
        <f t="shared" si="90"/>
        <v>0.53354891084611333</v>
      </c>
      <c r="E124" s="76">
        <f t="shared" si="90"/>
        <v>0.53576379855567136</v>
      </c>
      <c r="F124" s="76">
        <f t="shared" si="90"/>
        <v>0.53813535033869742</v>
      </c>
      <c r="G124" s="76">
        <f t="shared" si="90"/>
        <v>0.5382560733922569</v>
      </c>
      <c r="H124" s="76">
        <f t="shared" si="90"/>
        <v>0.54103650610265519</v>
      </c>
      <c r="I124" s="76">
        <f t="shared" si="90"/>
        <v>0.54355485583681573</v>
      </c>
      <c r="J124" s="76">
        <f t="shared" si="90"/>
        <v>0.54743625161297371</v>
      </c>
      <c r="K124" s="76">
        <f t="shared" si="90"/>
        <v>0.55098757802094123</v>
      </c>
      <c r="L124" s="76">
        <f t="shared" si="90"/>
        <v>0.5529895327484512</v>
      </c>
      <c r="M124" s="76">
        <f t="shared" si="90"/>
        <v>0.55653898143549752</v>
      </c>
      <c r="N124" s="76">
        <f t="shared" si="90"/>
        <v>0.56221475568771495</v>
      </c>
      <c r="O124" s="76">
        <f t="shared" si="90"/>
        <v>0.56910020139803863</v>
      </c>
      <c r="P124" s="76">
        <f t="shared" si="90"/>
        <v>0.57405102977794553</v>
      </c>
      <c r="Q124" s="76">
        <f t="shared" si="90"/>
        <v>0.58098832086314522</v>
      </c>
      <c r="R124" s="76">
        <f t="shared" si="90"/>
        <v>0.59045560360439631</v>
      </c>
      <c r="S124" s="76">
        <f t="shared" si="90"/>
        <v>0.60402352929516334</v>
      </c>
      <c r="T124" s="76">
        <f t="shared" si="90"/>
        <v>0.61937495118960817</v>
      </c>
      <c r="U124" s="76">
        <f t="shared" si="90"/>
        <v>0.63578184560724627</v>
      </c>
      <c r="V124" s="76">
        <f t="shared" si="90"/>
        <v>0.65555781876658559</v>
      </c>
      <c r="W124" s="76">
        <f t="shared" si="90"/>
        <v>0.67191199196250284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0.64908417672167151</v>
      </c>
      <c r="C125" s="56">
        <f t="shared" ref="C125:W125" si="92">IF(C111=0,"",C111/C104)</f>
        <v>0.6510214478498022</v>
      </c>
      <c r="D125" s="56">
        <f t="shared" si="92"/>
        <v>0.65795971140773524</v>
      </c>
      <c r="E125" s="56">
        <f t="shared" si="92"/>
        <v>0.65736204268148835</v>
      </c>
      <c r="F125" s="56">
        <f t="shared" si="92"/>
        <v>0.64424541244013245</v>
      </c>
      <c r="G125" s="56">
        <f t="shared" si="92"/>
        <v>0.64835251785341108</v>
      </c>
      <c r="H125" s="56">
        <f t="shared" si="92"/>
        <v>0.65107247489533426</v>
      </c>
      <c r="I125" s="56">
        <f t="shared" si="92"/>
        <v>0.6540912213101151</v>
      </c>
      <c r="J125" s="56">
        <f t="shared" si="92"/>
        <v>0.65610942539124684</v>
      </c>
      <c r="K125" s="56">
        <f t="shared" si="92"/>
        <v>0.65825125301667931</v>
      </c>
      <c r="L125" s="56">
        <f t="shared" si="92"/>
        <v>0.65749840630313183</v>
      </c>
      <c r="M125" s="56">
        <f t="shared" si="92"/>
        <v>0.65918162897496779</v>
      </c>
      <c r="N125" s="56">
        <f t="shared" si="92"/>
        <v>0.6332275903005441</v>
      </c>
      <c r="O125" s="56">
        <f t="shared" si="92"/>
        <v>0.64919686564668044</v>
      </c>
      <c r="P125" s="56">
        <f t="shared" si="92"/>
        <v>0.66549146662318126</v>
      </c>
      <c r="Q125" s="56">
        <f t="shared" si="92"/>
        <v>0.66669425814618666</v>
      </c>
      <c r="R125" s="56">
        <f t="shared" si="92"/>
        <v>0.66900534996979366</v>
      </c>
      <c r="S125" s="56">
        <f t="shared" si="92"/>
        <v>0.67378105242643893</v>
      </c>
      <c r="T125" s="56">
        <f t="shared" si="92"/>
        <v>0.67926267251042027</v>
      </c>
      <c r="U125" s="56">
        <f t="shared" si="92"/>
        <v>0.68243832043408659</v>
      </c>
      <c r="V125" s="56">
        <f t="shared" si="92"/>
        <v>0.69863779675765603</v>
      </c>
      <c r="W125" s="56">
        <f t="shared" si="92"/>
        <v>0.6994494788040756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208.57301196045808</v>
      </c>
      <c r="C129" s="82">
        <f t="shared" ref="C129:W129" si="94">IF(C99=0,0,C99/C$26)</f>
        <v>223.50399214581535</v>
      </c>
      <c r="D129" s="82">
        <f t="shared" si="94"/>
        <v>226.57093905983993</v>
      </c>
      <c r="E129" s="82">
        <f t="shared" si="94"/>
        <v>234.61296185674368</v>
      </c>
      <c r="F129" s="82">
        <f t="shared" si="94"/>
        <v>240.97870607990549</v>
      </c>
      <c r="G129" s="82">
        <f t="shared" si="94"/>
        <v>255.23873796548156</v>
      </c>
      <c r="H129" s="82">
        <f t="shared" si="94"/>
        <v>261.8240614913388</v>
      </c>
      <c r="I129" s="82">
        <f t="shared" si="94"/>
        <v>261.06294879252005</v>
      </c>
      <c r="J129" s="82">
        <f t="shared" si="94"/>
        <v>266.27036510279925</v>
      </c>
      <c r="K129" s="82">
        <f t="shared" si="94"/>
        <v>257.33486472070291</v>
      </c>
      <c r="L129" s="82">
        <f t="shared" si="94"/>
        <v>242.04367611732127</v>
      </c>
      <c r="M129" s="82">
        <f t="shared" si="94"/>
        <v>236.73341976267983</v>
      </c>
      <c r="N129" s="82">
        <f t="shared" si="94"/>
        <v>245.59475781134481</v>
      </c>
      <c r="O129" s="82">
        <f t="shared" si="94"/>
        <v>231.27898390613097</v>
      </c>
      <c r="P129" s="82">
        <f t="shared" si="94"/>
        <v>217.35598818861334</v>
      </c>
      <c r="Q129" s="82">
        <f t="shared" si="94"/>
        <v>237.29974505230183</v>
      </c>
      <c r="R129" s="82">
        <f t="shared" si="94"/>
        <v>255.60171500715347</v>
      </c>
      <c r="S129" s="82">
        <f t="shared" si="94"/>
        <v>244.57237977914028</v>
      </c>
      <c r="T129" s="82">
        <f t="shared" si="94"/>
        <v>227.58972113574143</v>
      </c>
      <c r="U129" s="82">
        <f t="shared" si="94"/>
        <v>228.81560322663992</v>
      </c>
      <c r="V129" s="82">
        <f t="shared" si="94"/>
        <v>194.97579570848427</v>
      </c>
      <c r="W129" s="82">
        <f t="shared" si="94"/>
        <v>206.11075591627011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143.59618019867199</v>
      </c>
      <c r="C130" s="64">
        <f t="shared" ref="C130:W130" si="96">IF(C100=0,0,C100/C$26)</f>
        <v>158.46282764364668</v>
      </c>
      <c r="D130" s="64">
        <f t="shared" si="96"/>
        <v>160.63698382465847</v>
      </c>
      <c r="E130" s="64">
        <f t="shared" si="96"/>
        <v>168.02284190825361</v>
      </c>
      <c r="F130" s="64">
        <f t="shared" si="96"/>
        <v>173.49189250514502</v>
      </c>
      <c r="G130" s="64">
        <f t="shared" si="96"/>
        <v>186.60228349639942</v>
      </c>
      <c r="H130" s="64">
        <f t="shared" si="96"/>
        <v>192.8705809780553</v>
      </c>
      <c r="I130" s="64">
        <f t="shared" si="96"/>
        <v>191.43524757183704</v>
      </c>
      <c r="J130" s="64">
        <f t="shared" si="96"/>
        <v>195.55694870899248</v>
      </c>
      <c r="K130" s="64">
        <f t="shared" si="96"/>
        <v>185.36649496825189</v>
      </c>
      <c r="L130" s="64">
        <f t="shared" si="96"/>
        <v>168.18974082031116</v>
      </c>
      <c r="M130" s="64">
        <f t="shared" si="96"/>
        <v>161.46999389013021</v>
      </c>
      <c r="N130" s="64">
        <f t="shared" si="96"/>
        <v>169.31236880266857</v>
      </c>
      <c r="O130" s="64">
        <f t="shared" si="96"/>
        <v>154.51598014849071</v>
      </c>
      <c r="P130" s="64">
        <f t="shared" si="96"/>
        <v>139.61573023595108</v>
      </c>
      <c r="Q130" s="64">
        <f t="shared" si="96"/>
        <v>158.0050839428832</v>
      </c>
      <c r="R130" s="64">
        <f t="shared" si="96"/>
        <v>174.07600365966934</v>
      </c>
      <c r="S130" s="64">
        <f t="shared" si="96"/>
        <v>164.38464916384072</v>
      </c>
      <c r="T130" s="64">
        <f t="shared" si="96"/>
        <v>148.98881155417013</v>
      </c>
      <c r="U130" s="64">
        <f t="shared" si="96"/>
        <v>152.54021347363258</v>
      </c>
      <c r="V130" s="64">
        <f t="shared" si="96"/>
        <v>125.72423136516005</v>
      </c>
      <c r="W130" s="64">
        <f t="shared" si="96"/>
        <v>137.17689855717663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57.883182456208104</v>
      </c>
      <c r="C131" s="65">
        <f t="shared" ref="C131:W131" si="98">IF(C101=0,0,C101/C$26)</f>
        <v>69.371390850518793</v>
      </c>
      <c r="D131" s="65">
        <f t="shared" si="98"/>
        <v>70.214504180596848</v>
      </c>
      <c r="E131" s="65">
        <f t="shared" si="98"/>
        <v>76.251905395099428</v>
      </c>
      <c r="F131" s="65">
        <f t="shared" si="98"/>
        <v>82.296808498263104</v>
      </c>
      <c r="G131" s="65">
        <f t="shared" si="98"/>
        <v>92.771626095858863</v>
      </c>
      <c r="H131" s="65">
        <f t="shared" si="98"/>
        <v>100.03711672397593</v>
      </c>
      <c r="I131" s="65">
        <f t="shared" si="98"/>
        <v>98.327862576974951</v>
      </c>
      <c r="J131" s="65">
        <f t="shared" si="98"/>
        <v>102.97623633504726</v>
      </c>
      <c r="K131" s="65">
        <f t="shared" si="98"/>
        <v>93.356673219577246</v>
      </c>
      <c r="L131" s="65">
        <f t="shared" si="98"/>
        <v>70.186155753116623</v>
      </c>
      <c r="M131" s="65">
        <f t="shared" si="98"/>
        <v>61.753784079573215</v>
      </c>
      <c r="N131" s="65">
        <f t="shared" si="98"/>
        <v>63.665731598662546</v>
      </c>
      <c r="O131" s="65">
        <f t="shared" si="98"/>
        <v>52.748075215976385</v>
      </c>
      <c r="P131" s="65">
        <f t="shared" si="98"/>
        <v>39.280205681789504</v>
      </c>
      <c r="Q131" s="65">
        <f t="shared" si="98"/>
        <v>56.491210405071129</v>
      </c>
      <c r="R131" s="65">
        <f t="shared" si="98"/>
        <v>72.561249558770228</v>
      </c>
      <c r="S131" s="65">
        <f t="shared" si="98"/>
        <v>63.634368794998046</v>
      </c>
      <c r="T131" s="65">
        <f t="shared" si="98"/>
        <v>51.511502907622983</v>
      </c>
      <c r="U131" s="65">
        <f t="shared" si="98"/>
        <v>55.624548566282911</v>
      </c>
      <c r="V131" s="65">
        <f t="shared" si="98"/>
        <v>43.029044972749709</v>
      </c>
      <c r="W131" s="65">
        <f t="shared" si="98"/>
        <v>47.142422901272717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6.0090776256132719</v>
      </c>
      <c r="C132" s="65">
        <f t="shared" ref="C132:W132" si="100">IF(C102=0,0,C102/C$26)</f>
        <v>7.2514066638825536</v>
      </c>
      <c r="D132" s="65">
        <f t="shared" si="100"/>
        <v>5.8091182817306404</v>
      </c>
      <c r="E132" s="65">
        <f t="shared" si="100"/>
        <v>7.7159390929864449</v>
      </c>
      <c r="F132" s="65">
        <f t="shared" si="100"/>
        <v>4.6998943644963465</v>
      </c>
      <c r="G132" s="65">
        <f t="shared" si="100"/>
        <v>4.6995637302743658</v>
      </c>
      <c r="H132" s="65">
        <f t="shared" si="100"/>
        <v>5.5574116708559842</v>
      </c>
      <c r="I132" s="65">
        <f t="shared" si="100"/>
        <v>8.2623746664213886</v>
      </c>
      <c r="J132" s="65">
        <f t="shared" si="100"/>
        <v>7.9381936478218167</v>
      </c>
      <c r="K132" s="65">
        <f t="shared" si="100"/>
        <v>5.6266036791155587</v>
      </c>
      <c r="L132" s="65">
        <f t="shared" si="100"/>
        <v>7.480954643562014</v>
      </c>
      <c r="M132" s="65">
        <f t="shared" si="100"/>
        <v>6.7155900079154121</v>
      </c>
      <c r="N132" s="65">
        <f t="shared" si="100"/>
        <v>11.296424160993817</v>
      </c>
      <c r="O132" s="65">
        <f t="shared" si="100"/>
        <v>7.3955591742791533</v>
      </c>
      <c r="P132" s="65">
        <f t="shared" si="100"/>
        <v>6.3415423328672738</v>
      </c>
      <c r="Q132" s="65">
        <f t="shared" si="100"/>
        <v>8.3125596698699962</v>
      </c>
      <c r="R132" s="65">
        <f t="shared" si="100"/>
        <v>9.1532677554265085</v>
      </c>
      <c r="S132" s="65">
        <f t="shared" si="100"/>
        <v>9.3753859414034402</v>
      </c>
      <c r="T132" s="65">
        <f t="shared" si="100"/>
        <v>8.2310916502297609</v>
      </c>
      <c r="U132" s="65">
        <f t="shared" si="100"/>
        <v>10.62262846490351</v>
      </c>
      <c r="V132" s="65">
        <f t="shared" si="100"/>
        <v>9.0686316721120512</v>
      </c>
      <c r="W132" s="65">
        <f t="shared" si="100"/>
        <v>11.99038379394495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37.865828208548763</v>
      </c>
      <c r="C133" s="65">
        <f t="shared" ref="C133:W133" si="102">IF(C103=0,0,C103/C$26)</f>
        <v>39.334263705463016</v>
      </c>
      <c r="D133" s="65">
        <f t="shared" si="102"/>
        <v>41.053757771752736</v>
      </c>
      <c r="E133" s="65">
        <f t="shared" si="102"/>
        <v>41.233438106987229</v>
      </c>
      <c r="F133" s="65">
        <f t="shared" si="102"/>
        <v>41.748939182634309</v>
      </c>
      <c r="G133" s="65">
        <f t="shared" si="102"/>
        <v>44.103168730316661</v>
      </c>
      <c r="H133" s="65">
        <f t="shared" si="102"/>
        <v>43.393236361674973</v>
      </c>
      <c r="I133" s="65">
        <f t="shared" si="102"/>
        <v>42.379692353592183</v>
      </c>
      <c r="J133" s="65">
        <f t="shared" si="102"/>
        <v>42.648288950020401</v>
      </c>
      <c r="K133" s="65">
        <f t="shared" si="102"/>
        <v>43.35885637856186</v>
      </c>
      <c r="L133" s="65">
        <f t="shared" si="102"/>
        <v>45.493955222843567</v>
      </c>
      <c r="M133" s="65">
        <f t="shared" si="102"/>
        <v>46.673560737164735</v>
      </c>
      <c r="N133" s="65">
        <f t="shared" si="102"/>
        <v>46.143089749627457</v>
      </c>
      <c r="O133" s="65">
        <f t="shared" si="102"/>
        <v>46.425882676754455</v>
      </c>
      <c r="P133" s="65">
        <f t="shared" si="102"/>
        <v>47.178953873685522</v>
      </c>
      <c r="Q133" s="65">
        <f t="shared" si="102"/>
        <v>47.209184712228875</v>
      </c>
      <c r="R133" s="65">
        <f t="shared" si="102"/>
        <v>46.416411499939898</v>
      </c>
      <c r="S133" s="65">
        <f t="shared" si="102"/>
        <v>45.685825793598788</v>
      </c>
      <c r="T133" s="65">
        <f t="shared" si="102"/>
        <v>44.371796634307174</v>
      </c>
      <c r="U133" s="65">
        <f t="shared" si="102"/>
        <v>42.627994912182331</v>
      </c>
      <c r="V133" s="65">
        <f t="shared" si="102"/>
        <v>37.040493000389418</v>
      </c>
      <c r="W133" s="65">
        <f t="shared" si="102"/>
        <v>36.826776065239997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41.838091908301848</v>
      </c>
      <c r="C134" s="67">
        <f t="shared" ref="C134:W134" si="104">IF(C104=0,0,C104/C$26)</f>
        <v>42.505766423782319</v>
      </c>
      <c r="D134" s="67">
        <f t="shared" si="104"/>
        <v>43.559603590578256</v>
      </c>
      <c r="E134" s="67">
        <f t="shared" si="104"/>
        <v>42.821559313180522</v>
      </c>
      <c r="F134" s="67">
        <f t="shared" si="104"/>
        <v>44.746250459751273</v>
      </c>
      <c r="G134" s="67">
        <f t="shared" si="104"/>
        <v>45.027924939949543</v>
      </c>
      <c r="H134" s="67">
        <f t="shared" si="104"/>
        <v>43.882816221548389</v>
      </c>
      <c r="I134" s="67">
        <f t="shared" si="104"/>
        <v>42.465317974848453</v>
      </c>
      <c r="J134" s="67">
        <f t="shared" si="104"/>
        <v>41.994229776103005</v>
      </c>
      <c r="K134" s="67">
        <f t="shared" si="104"/>
        <v>43.02436169099721</v>
      </c>
      <c r="L134" s="67">
        <f t="shared" si="104"/>
        <v>45.028675200788946</v>
      </c>
      <c r="M134" s="67">
        <f t="shared" si="104"/>
        <v>46.327059065476845</v>
      </c>
      <c r="N134" s="67">
        <f t="shared" si="104"/>
        <v>48.207123293384747</v>
      </c>
      <c r="O134" s="67">
        <f t="shared" si="104"/>
        <v>47.946463081480758</v>
      </c>
      <c r="P134" s="67">
        <f t="shared" si="104"/>
        <v>46.815028347608809</v>
      </c>
      <c r="Q134" s="67">
        <f t="shared" si="104"/>
        <v>45.992129155713187</v>
      </c>
      <c r="R134" s="67">
        <f t="shared" si="104"/>
        <v>45.945074845532694</v>
      </c>
      <c r="S134" s="67">
        <f t="shared" si="104"/>
        <v>45.689068633840456</v>
      </c>
      <c r="T134" s="67">
        <f t="shared" si="104"/>
        <v>44.874420362010241</v>
      </c>
      <c r="U134" s="67">
        <f t="shared" si="104"/>
        <v>43.665041530263835</v>
      </c>
      <c r="V134" s="67">
        <f t="shared" si="104"/>
        <v>36.586061719908884</v>
      </c>
      <c r="W134" s="67">
        <f t="shared" si="104"/>
        <v>41.217315796718957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64.976831761786102</v>
      </c>
      <c r="C135" s="68">
        <f t="shared" ref="C135:W135" si="106">IF(C105=0,0,C105/C$26)</f>
        <v>65.04116450216867</v>
      </c>
      <c r="D135" s="68">
        <f t="shared" si="106"/>
        <v>65.933955235181529</v>
      </c>
      <c r="E135" s="68">
        <f t="shared" si="106"/>
        <v>66.59011994849007</v>
      </c>
      <c r="F135" s="68">
        <f t="shared" si="106"/>
        <v>67.486813574760461</v>
      </c>
      <c r="G135" s="68">
        <f t="shared" si="106"/>
        <v>68.636454469082125</v>
      </c>
      <c r="H135" s="68">
        <f t="shared" si="106"/>
        <v>68.953480513283523</v>
      </c>
      <c r="I135" s="68">
        <f t="shared" si="106"/>
        <v>69.627701220683065</v>
      </c>
      <c r="J135" s="68">
        <f t="shared" si="106"/>
        <v>70.713416393806838</v>
      </c>
      <c r="K135" s="68">
        <f t="shared" si="106"/>
        <v>71.968369752450997</v>
      </c>
      <c r="L135" s="68">
        <f t="shared" si="106"/>
        <v>73.853935297010111</v>
      </c>
      <c r="M135" s="68">
        <f t="shared" si="106"/>
        <v>75.263425872549604</v>
      </c>
      <c r="N135" s="68">
        <f t="shared" si="106"/>
        <v>76.282389008676276</v>
      </c>
      <c r="O135" s="68">
        <f t="shared" si="106"/>
        <v>76.76300375764032</v>
      </c>
      <c r="P135" s="68">
        <f t="shared" si="106"/>
        <v>77.740257952662233</v>
      </c>
      <c r="Q135" s="68">
        <f t="shared" si="106"/>
        <v>79.294661109418641</v>
      </c>
      <c r="R135" s="68">
        <f t="shared" si="106"/>
        <v>81.525711347484105</v>
      </c>
      <c r="S135" s="68">
        <f t="shared" si="106"/>
        <v>80.187730615299557</v>
      </c>
      <c r="T135" s="68">
        <f t="shared" si="106"/>
        <v>78.600909581571287</v>
      </c>
      <c r="U135" s="68">
        <f t="shared" si="106"/>
        <v>76.275389753007303</v>
      </c>
      <c r="V135" s="68">
        <f t="shared" si="106"/>
        <v>69.251564343324219</v>
      </c>
      <c r="W135" s="68">
        <f t="shared" si="106"/>
        <v>68.93385735909348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84.881036168727704</v>
      </c>
      <c r="C137" s="85">
        <f t="shared" ref="C137:W137" si="108">IF(C107=0,0,C107/C$26)</f>
        <v>94.166948487465476</v>
      </c>
      <c r="D137" s="85">
        <f t="shared" si="108"/>
        <v>95.051300473649505</v>
      </c>
      <c r="E137" s="85">
        <f t="shared" si="108"/>
        <v>102.73494223295673</v>
      </c>
      <c r="F137" s="85">
        <f t="shared" si="108"/>
        <v>103.66023809721135</v>
      </c>
      <c r="G137" s="85">
        <f t="shared" si="108"/>
        <v>110.55853132180309</v>
      </c>
      <c r="H137" s="85">
        <f t="shared" si="108"/>
        <v>117.72438029914393</v>
      </c>
      <c r="I137" s="85">
        <f t="shared" si="108"/>
        <v>125.44460323267754</v>
      </c>
      <c r="J137" s="85">
        <f t="shared" si="108"/>
        <v>130.84232705154747</v>
      </c>
      <c r="K137" s="85">
        <f t="shared" si="108"/>
        <v>125.32357495877002</v>
      </c>
      <c r="L137" s="85">
        <f t="shared" si="108"/>
        <v>121.64059632064554</v>
      </c>
      <c r="M137" s="85">
        <f t="shared" si="108"/>
        <v>118.77280503754039</v>
      </c>
      <c r="N137" s="85">
        <f t="shared" si="108"/>
        <v>141.48419571874851</v>
      </c>
      <c r="O137" s="85">
        <f t="shared" si="108"/>
        <v>127.82464737312307</v>
      </c>
      <c r="P137" s="85">
        <f t="shared" si="108"/>
        <v>125.79688505999496</v>
      </c>
      <c r="Q137" s="85">
        <f t="shared" si="108"/>
        <v>149.62238364348849</v>
      </c>
      <c r="R137" s="85">
        <f t="shared" si="108"/>
        <v>163.22304754150687</v>
      </c>
      <c r="S137" s="85">
        <f t="shared" si="108"/>
        <v>161.33895818893271</v>
      </c>
      <c r="T137" s="85">
        <f t="shared" si="108"/>
        <v>153.71465210928918</v>
      </c>
      <c r="U137" s="85">
        <f t="shared" si="108"/>
        <v>166.09391631630908</v>
      </c>
      <c r="V137" s="85">
        <f t="shared" si="108"/>
        <v>150.55129204941588</v>
      </c>
      <c r="W137" s="85">
        <f t="shared" si="108"/>
        <v>172.65435316636123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27.515708330005705</v>
      </c>
      <c r="C138" s="65">
        <f t="shared" ref="C138:W138" si="110">IF(C108=0,0,C108/C$26)</f>
        <v>32.876002340528046</v>
      </c>
      <c r="D138" s="65">
        <f t="shared" si="110"/>
        <v>33.878276638372917</v>
      </c>
      <c r="E138" s="65">
        <f t="shared" si="110"/>
        <v>37.713199359221953</v>
      </c>
      <c r="F138" s="65">
        <f t="shared" si="110"/>
        <v>42.953341524790879</v>
      </c>
      <c r="G138" s="65">
        <f t="shared" si="110"/>
        <v>47.792248954022604</v>
      </c>
      <c r="H138" s="65">
        <f t="shared" si="110"/>
        <v>53.403270548075703</v>
      </c>
      <c r="I138" s="65">
        <f t="shared" si="110"/>
        <v>55.335965239036689</v>
      </c>
      <c r="J138" s="65">
        <f t="shared" si="110"/>
        <v>60.390331736965472</v>
      </c>
      <c r="K138" s="65">
        <f t="shared" si="110"/>
        <v>59.073539411473739</v>
      </c>
      <c r="L138" s="65">
        <f t="shared" si="110"/>
        <v>47.902374077106344</v>
      </c>
      <c r="M138" s="65">
        <f t="shared" si="110"/>
        <v>44.809314661398538</v>
      </c>
      <c r="N138" s="65">
        <f t="shared" si="110"/>
        <v>54.63745113964228</v>
      </c>
      <c r="O138" s="65">
        <f t="shared" si="110"/>
        <v>49.819064124178972</v>
      </c>
      <c r="P138" s="65">
        <f t="shared" si="110"/>
        <v>49.478264907631605</v>
      </c>
      <c r="Q138" s="65">
        <f t="shared" si="110"/>
        <v>67.013601182142622</v>
      </c>
      <c r="R138" s="65">
        <f t="shared" si="110"/>
        <v>77.176255615278919</v>
      </c>
      <c r="S138" s="65">
        <f t="shared" si="110"/>
        <v>73.515525484006616</v>
      </c>
      <c r="T138" s="65">
        <f t="shared" si="110"/>
        <v>69.339129587943972</v>
      </c>
      <c r="U138" s="65">
        <f t="shared" si="110"/>
        <v>74.385906398477928</v>
      </c>
      <c r="V138" s="65">
        <f t="shared" si="110"/>
        <v>70.486185195849785</v>
      </c>
      <c r="W138" s="65">
        <f t="shared" si="110"/>
        <v>78.204558444090054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10.099237009329945</v>
      </c>
      <c r="C139" s="65">
        <f t="shared" ref="C139:W139" si="112">IF(C109=0,0,C109/C$26)</f>
        <v>12.69379930425456</v>
      </c>
      <c r="D139" s="65">
        <f t="shared" si="112"/>
        <v>10.608371882525526</v>
      </c>
      <c r="E139" s="65">
        <f t="shared" si="112"/>
        <v>14.781091745106265</v>
      </c>
      <c r="F139" s="65">
        <f t="shared" si="112"/>
        <v>9.4127499765126466</v>
      </c>
      <c r="G139" s="65">
        <f t="shared" si="112"/>
        <v>9.8335154343133873</v>
      </c>
      <c r="H139" s="65">
        <f t="shared" si="112"/>
        <v>12.272890998720273</v>
      </c>
      <c r="I139" s="65">
        <f t="shared" si="112"/>
        <v>19.296758728484434</v>
      </c>
      <c r="J139" s="65">
        <f t="shared" si="112"/>
        <v>19.551965905928899</v>
      </c>
      <c r="K139" s="65">
        <f t="shared" si="112"/>
        <v>14.039004292172914</v>
      </c>
      <c r="L139" s="65">
        <f t="shared" si="112"/>
        <v>18.974259019519881</v>
      </c>
      <c r="M139" s="65">
        <f t="shared" si="112"/>
        <v>17.449888163111797</v>
      </c>
      <c r="N139" s="65">
        <f t="shared" si="112"/>
        <v>30.378338130451858</v>
      </c>
      <c r="O139" s="65">
        <f t="shared" si="112"/>
        <v>20.457910516179837</v>
      </c>
      <c r="P139" s="65">
        <f t="shared" si="112"/>
        <v>18.080491222271998</v>
      </c>
      <c r="Q139" s="65">
        <f t="shared" si="112"/>
        <v>24.518109078038137</v>
      </c>
      <c r="R139" s="65">
        <f t="shared" si="112"/>
        <v>27.902460780456956</v>
      </c>
      <c r="S139" s="65">
        <f t="shared" si="112"/>
        <v>29.443690221819722</v>
      </c>
      <c r="T139" s="65">
        <f t="shared" si="112"/>
        <v>26.41122444432089</v>
      </c>
      <c r="U139" s="65">
        <f t="shared" si="112"/>
        <v>34.807207034429659</v>
      </c>
      <c r="V139" s="65">
        <f t="shared" si="112"/>
        <v>30.222516504155081</v>
      </c>
      <c r="W139" s="65">
        <f t="shared" si="112"/>
        <v>40.876012207000663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20.109647387486323</v>
      </c>
      <c r="C140" s="65">
        <f t="shared" ref="C140:W140" si="114">IF(C110=0,0,C110/C$26)</f>
        <v>20.924981243506597</v>
      </c>
      <c r="D140" s="65">
        <f t="shared" si="114"/>
        <v>21.904187745258831</v>
      </c>
      <c r="E140" s="65">
        <f t="shared" si="114"/>
        <v>22.091383427709648</v>
      </c>
      <c r="F140" s="65">
        <f t="shared" si="114"/>
        <v>22.466580013315887</v>
      </c>
      <c r="G140" s="65">
        <f t="shared" si="114"/>
        <v>23.738798424936416</v>
      </c>
      <c r="H140" s="65">
        <f t="shared" si="114"/>
        <v>23.477324989607325</v>
      </c>
      <c r="I140" s="65">
        <f t="shared" si="114"/>
        <v>23.035687567665406</v>
      </c>
      <c r="J140" s="65">
        <f t="shared" si="114"/>
        <v>23.347219440506173</v>
      </c>
      <c r="K140" s="65">
        <f t="shared" si="114"/>
        <v>23.890191261781638</v>
      </c>
      <c r="L140" s="65">
        <f t="shared" si="114"/>
        <v>25.157681041559226</v>
      </c>
      <c r="M140" s="65">
        <f t="shared" si="114"/>
        <v>25.975655952629491</v>
      </c>
      <c r="N140" s="65">
        <f t="shared" si="114"/>
        <v>25.942325930263106</v>
      </c>
      <c r="O140" s="65">
        <f t="shared" si="114"/>
        <v>26.420979181422673</v>
      </c>
      <c r="P140" s="65">
        <f t="shared" si="114"/>
        <v>27.083127055035366</v>
      </c>
      <c r="Q140" s="65">
        <f t="shared" si="114"/>
        <v>27.427984955275921</v>
      </c>
      <c r="R140" s="65">
        <f t="shared" si="114"/>
        <v>27.406830269347054</v>
      </c>
      <c r="S140" s="65">
        <f t="shared" si="114"/>
        <v>27.595313734613548</v>
      </c>
      <c r="T140" s="65">
        <f t="shared" si="114"/>
        <v>27.482779374569226</v>
      </c>
      <c r="U140" s="65">
        <f t="shared" si="114"/>
        <v>27.102105279803585</v>
      </c>
      <c r="V140" s="65">
        <f t="shared" si="114"/>
        <v>24.282184797374271</v>
      </c>
      <c r="W140" s="65">
        <f t="shared" si="114"/>
        <v>24.744352463552431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27.156443441905729</v>
      </c>
      <c r="C141" s="68">
        <f t="shared" ref="C141:W141" si="116">IF(C111=0,0,C111/C$26)</f>
        <v>27.672165599176271</v>
      </c>
      <c r="D141" s="68">
        <f t="shared" si="116"/>
        <v>28.660464207492218</v>
      </c>
      <c r="E141" s="68">
        <f t="shared" si="116"/>
        <v>28.149267700918859</v>
      </c>
      <c r="F141" s="68">
        <f t="shared" si="116"/>
        <v>28.827566582591924</v>
      </c>
      <c r="G141" s="68">
        <f t="shared" si="116"/>
        <v>29.193968508530691</v>
      </c>
      <c r="H141" s="68">
        <f t="shared" si="116"/>
        <v>28.570893762740631</v>
      </c>
      <c r="I141" s="68">
        <f t="shared" si="116"/>
        <v>27.776191697491008</v>
      </c>
      <c r="J141" s="68">
        <f t="shared" si="116"/>
        <v>27.552809968146931</v>
      </c>
      <c r="K141" s="68">
        <f t="shared" si="116"/>
        <v>28.320839993341732</v>
      </c>
      <c r="L141" s="68">
        <f t="shared" si="116"/>
        <v>29.606282182460088</v>
      </c>
      <c r="M141" s="68">
        <f t="shared" si="116"/>
        <v>30.537946260400577</v>
      </c>
      <c r="N141" s="68">
        <f t="shared" si="116"/>
        <v>30.526080518391254</v>
      </c>
      <c r="O141" s="68">
        <f t="shared" si="116"/>
        <v>31.126693551341589</v>
      </c>
      <c r="P141" s="68">
        <f t="shared" si="116"/>
        <v>31.155001875055994</v>
      </c>
      <c r="Q141" s="68">
        <f t="shared" si="116"/>
        <v>30.6626884280318</v>
      </c>
      <c r="R141" s="68">
        <f t="shared" si="116"/>
        <v>30.737500876423962</v>
      </c>
      <c r="S141" s="68">
        <f t="shared" si="116"/>
        <v>30.784428748492825</v>
      </c>
      <c r="T141" s="68">
        <f t="shared" si="116"/>
        <v>30.481518702455094</v>
      </c>
      <c r="U141" s="68">
        <f t="shared" si="116"/>
        <v>29.798697603597887</v>
      </c>
      <c r="V141" s="68">
        <f t="shared" si="116"/>
        <v>25.560405552036759</v>
      </c>
      <c r="W141" s="68">
        <f t="shared" si="116"/>
        <v>28.82943005171807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10.518361395115026</v>
      </c>
      <c r="C143" s="82">
        <f t="shared" ref="C143:W143" si="118">IF(C113=0,0,C113/C$26)</f>
        <v>13.092932920040335</v>
      </c>
      <c r="D143" s="82">
        <f t="shared" si="118"/>
        <v>12.895166930972776</v>
      </c>
      <c r="E143" s="82">
        <f t="shared" si="118"/>
        <v>13.566722837689486</v>
      </c>
      <c r="F143" s="82">
        <f t="shared" si="118"/>
        <v>14.077792088689993</v>
      </c>
      <c r="G143" s="82">
        <f t="shared" si="118"/>
        <v>17.19284369076183</v>
      </c>
      <c r="H143" s="82">
        <f t="shared" si="118"/>
        <v>17.230441144913019</v>
      </c>
      <c r="I143" s="82">
        <f t="shared" si="118"/>
        <v>15.743705418176228</v>
      </c>
      <c r="J143" s="82">
        <f t="shared" si="118"/>
        <v>15.417133656997979</v>
      </c>
      <c r="K143" s="82">
        <f t="shared" si="118"/>
        <v>12.590117722213703</v>
      </c>
      <c r="L143" s="82">
        <f t="shared" si="118"/>
        <v>11.582344371478484</v>
      </c>
      <c r="M143" s="82">
        <f t="shared" si="118"/>
        <v>11.675661591867716</v>
      </c>
      <c r="N143" s="82">
        <f t="shared" si="118"/>
        <v>8.6812199962142405</v>
      </c>
      <c r="O143" s="82">
        <f t="shared" si="118"/>
        <v>9.2887206537871627</v>
      </c>
      <c r="P143" s="82">
        <f t="shared" si="118"/>
        <v>6.643821906341369</v>
      </c>
      <c r="Q143" s="82">
        <f t="shared" si="118"/>
        <v>7.8975741765303074</v>
      </c>
      <c r="R143" s="82">
        <f t="shared" si="118"/>
        <v>9.3406390259507308</v>
      </c>
      <c r="S143" s="82">
        <f t="shared" si="118"/>
        <v>7.5779625827556902</v>
      </c>
      <c r="T143" s="82">
        <f t="shared" si="118"/>
        <v>7.2334715112159156</v>
      </c>
      <c r="U143" s="82">
        <f t="shared" si="118"/>
        <v>7.5363691519865945</v>
      </c>
      <c r="V143" s="82">
        <f t="shared" si="118"/>
        <v>5.9679655152100297</v>
      </c>
      <c r="W143" s="82">
        <f t="shared" si="118"/>
        <v>6.3527322755173232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10.518361395115026</v>
      </c>
      <c r="C144" s="64">
        <f t="shared" ref="C144:W144" si="120">IF(C114=0,0,C114/C$26)</f>
        <v>13.092932920040335</v>
      </c>
      <c r="D144" s="64">
        <f t="shared" si="120"/>
        <v>12.895166930972776</v>
      </c>
      <c r="E144" s="64">
        <f t="shared" si="120"/>
        <v>13.566722837689486</v>
      </c>
      <c r="F144" s="64">
        <f t="shared" si="120"/>
        <v>14.077792088689993</v>
      </c>
      <c r="G144" s="64">
        <f t="shared" si="120"/>
        <v>17.19284369076183</v>
      </c>
      <c r="H144" s="64">
        <f t="shared" si="120"/>
        <v>17.230441144913019</v>
      </c>
      <c r="I144" s="64">
        <f t="shared" si="120"/>
        <v>15.743705418176228</v>
      </c>
      <c r="J144" s="64">
        <f t="shared" si="120"/>
        <v>15.417133656997979</v>
      </c>
      <c r="K144" s="64">
        <f t="shared" si="120"/>
        <v>12.590117722213703</v>
      </c>
      <c r="L144" s="64">
        <f t="shared" si="120"/>
        <v>11.582344371478484</v>
      </c>
      <c r="M144" s="64">
        <f t="shared" si="120"/>
        <v>11.675661591867716</v>
      </c>
      <c r="N144" s="64">
        <f t="shared" si="120"/>
        <v>8.6812199962142405</v>
      </c>
      <c r="O144" s="64">
        <f t="shared" si="120"/>
        <v>9.2887206537871627</v>
      </c>
      <c r="P144" s="64">
        <f t="shared" si="120"/>
        <v>6.643821906341369</v>
      </c>
      <c r="Q144" s="64">
        <f t="shared" si="120"/>
        <v>7.8975741765303074</v>
      </c>
      <c r="R144" s="64">
        <f t="shared" si="120"/>
        <v>9.3406390259507308</v>
      </c>
      <c r="S144" s="64">
        <f t="shared" si="120"/>
        <v>7.5779625827556902</v>
      </c>
      <c r="T144" s="64">
        <f t="shared" si="120"/>
        <v>7.2334715112159156</v>
      </c>
      <c r="U144" s="64">
        <f t="shared" si="120"/>
        <v>7.5363691519865945</v>
      </c>
      <c r="V144" s="64">
        <f t="shared" si="120"/>
        <v>5.9679655152100297</v>
      </c>
      <c r="W144" s="64">
        <f t="shared" si="120"/>
        <v>6.3527322755173232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8.9172990672499566</v>
      </c>
      <c r="C145" s="65">
        <f t="shared" ref="C145:W145" si="122">IF(C115=0,0,C115/C$26)</f>
        <v>11.39149098608479</v>
      </c>
      <c r="D145" s="65">
        <f t="shared" si="122"/>
        <v>11.440311296527625</v>
      </c>
      <c r="E145" s="65">
        <f t="shared" si="122"/>
        <v>11.969026365414024</v>
      </c>
      <c r="F145" s="65">
        <f t="shared" si="122"/>
        <v>11.463526405298262</v>
      </c>
      <c r="G145" s="65">
        <f t="shared" si="122"/>
        <v>14.501611820949522</v>
      </c>
      <c r="H145" s="65">
        <f t="shared" si="122"/>
        <v>14.542447004031082</v>
      </c>
      <c r="I145" s="65">
        <f t="shared" si="122"/>
        <v>13.005866031422242</v>
      </c>
      <c r="J145" s="65">
        <f t="shared" si="122"/>
        <v>12.621871995888579</v>
      </c>
      <c r="K145" s="65">
        <f t="shared" si="122"/>
        <v>9.6938294638145202</v>
      </c>
      <c r="L145" s="65">
        <f t="shared" si="122"/>
        <v>8.2994057629110713</v>
      </c>
      <c r="M145" s="65">
        <f t="shared" si="122"/>
        <v>8.4500260991131455</v>
      </c>
      <c r="N145" s="65">
        <f t="shared" si="122"/>
        <v>3.6041415282549401</v>
      </c>
      <c r="O145" s="65">
        <f t="shared" si="122"/>
        <v>5.0312642527553217</v>
      </c>
      <c r="P145" s="65">
        <f t="shared" si="122"/>
        <v>3.2039768828992954</v>
      </c>
      <c r="Q145" s="65">
        <f t="shared" si="122"/>
        <v>4.2376480873036622</v>
      </c>
      <c r="R145" s="65">
        <f t="shared" si="122"/>
        <v>5.491849394148371</v>
      </c>
      <c r="S145" s="65">
        <f t="shared" si="122"/>
        <v>3.5563649150929333</v>
      </c>
      <c r="T145" s="65">
        <f t="shared" si="122"/>
        <v>3.2579911845098626</v>
      </c>
      <c r="U145" s="65">
        <f t="shared" si="122"/>
        <v>3.4516365673837206</v>
      </c>
      <c r="V145" s="65">
        <f t="shared" si="122"/>
        <v>2.9560819698886203</v>
      </c>
      <c r="W145" s="65">
        <f t="shared" si="122"/>
        <v>2.6889986086971183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1.2229400928087837E-3</v>
      </c>
      <c r="C146" s="65">
        <f t="shared" ref="C146:W146" si="124">IF(C116=0,0,C116/C$26)</f>
        <v>1.535110415961215E-3</v>
      </c>
      <c r="D146" s="65">
        <f t="shared" si="124"/>
        <v>1.6820839948727866E-3</v>
      </c>
      <c r="E146" s="65">
        <f t="shared" si="124"/>
        <v>1.9449158662892608E-3</v>
      </c>
      <c r="F146" s="65">
        <f t="shared" si="124"/>
        <v>2.5256795285718138E-3</v>
      </c>
      <c r="G146" s="65">
        <f t="shared" si="124"/>
        <v>3.8999980624636718E-3</v>
      </c>
      <c r="H146" s="65">
        <f t="shared" si="124"/>
        <v>6.2365773251791866E-3</v>
      </c>
      <c r="I146" s="65">
        <f t="shared" si="124"/>
        <v>9.0006365896262257E-3</v>
      </c>
      <c r="J146" s="65">
        <f t="shared" si="124"/>
        <v>1.1856015051054077E-2</v>
      </c>
      <c r="K146" s="65">
        <f t="shared" si="124"/>
        <v>1.397546097137055E-2</v>
      </c>
      <c r="L146" s="65">
        <f t="shared" si="124"/>
        <v>1.9520728240290386E-2</v>
      </c>
      <c r="M146" s="65">
        <f t="shared" si="124"/>
        <v>2.3206135221705219E-2</v>
      </c>
      <c r="N146" s="65">
        <f t="shared" si="124"/>
        <v>4.433893358713166E-2</v>
      </c>
      <c r="O146" s="65">
        <f t="shared" si="124"/>
        <v>4.5181757623865226E-2</v>
      </c>
      <c r="P146" s="65">
        <f t="shared" si="124"/>
        <v>5.4894853720124731E-2</v>
      </c>
      <c r="Q146" s="65">
        <f t="shared" si="124"/>
        <v>8.0561259141172167E-2</v>
      </c>
      <c r="R146" s="65">
        <f t="shared" si="124"/>
        <v>9.6952897132764879E-2</v>
      </c>
      <c r="S146" s="65">
        <f t="shared" si="124"/>
        <v>0.10988487695414459</v>
      </c>
      <c r="T146" s="65">
        <f t="shared" si="124"/>
        <v>0.10787704867815083</v>
      </c>
      <c r="U146" s="65">
        <f t="shared" si="124"/>
        <v>0.13681052499625002</v>
      </c>
      <c r="V146" s="65">
        <f t="shared" si="124"/>
        <v>0.11625887680836107</v>
      </c>
      <c r="W146" s="65">
        <f t="shared" si="124"/>
        <v>0.15547708596621668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0.73623170296421048</v>
      </c>
      <c r="C147" s="65">
        <f t="shared" ref="C147:W147" si="126">IF(C117=0,0,C117/C$26)</f>
        <v>0.83259043312818104</v>
      </c>
      <c r="D147" s="65">
        <f t="shared" si="126"/>
        <v>0.88669064951162413</v>
      </c>
      <c r="E147" s="65">
        <f t="shared" si="126"/>
        <v>0.90013966267462053</v>
      </c>
      <c r="F147" s="65">
        <f t="shared" si="126"/>
        <v>0.93231948862933112</v>
      </c>
      <c r="G147" s="65">
        <f t="shared" si="126"/>
        <v>1.1465752456979346</v>
      </c>
      <c r="H147" s="65">
        <f t="shared" si="126"/>
        <v>1.2107450536146305</v>
      </c>
      <c r="I147" s="65">
        <f t="shared" si="126"/>
        <v>1.3361997784030499</v>
      </c>
      <c r="J147" s="65">
        <f t="shared" si="126"/>
        <v>1.380708309020122</v>
      </c>
      <c r="K147" s="65">
        <f t="shared" si="126"/>
        <v>1.4306229008987021</v>
      </c>
      <c r="L147" s="65">
        <f t="shared" si="126"/>
        <v>1.6012748241654149</v>
      </c>
      <c r="M147" s="65">
        <f t="shared" si="126"/>
        <v>1.618919217140411</v>
      </c>
      <c r="N147" s="65">
        <f t="shared" si="126"/>
        <v>1.6047318502480563</v>
      </c>
      <c r="O147" s="65">
        <f t="shared" si="126"/>
        <v>1.6641292129586085</v>
      </c>
      <c r="P147" s="65">
        <f t="shared" si="126"/>
        <v>1.6675083246757858</v>
      </c>
      <c r="Q147" s="65">
        <f t="shared" si="126"/>
        <v>1.6982351489255416</v>
      </c>
      <c r="R147" s="65">
        <f t="shared" si="126"/>
        <v>1.7046147271443817</v>
      </c>
      <c r="S147" s="65">
        <f t="shared" si="126"/>
        <v>1.7470061888835822</v>
      </c>
      <c r="T147" s="65">
        <f t="shared" si="126"/>
        <v>1.6208731397707823</v>
      </c>
      <c r="U147" s="65">
        <f t="shared" si="126"/>
        <v>1.5254027679570448</v>
      </c>
      <c r="V147" s="65">
        <f t="shared" si="126"/>
        <v>1.1415675207949867</v>
      </c>
      <c r="W147" s="65">
        <f t="shared" si="126"/>
        <v>1.1804178150270701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0.86360768480805217</v>
      </c>
      <c r="C148" s="67">
        <f t="shared" ref="C148:W148" si="128">IF(C118=0,0,C118/C$26)</f>
        <v>0.86731639041140285</v>
      </c>
      <c r="D148" s="67">
        <f t="shared" si="128"/>
        <v>0.56648290093865472</v>
      </c>
      <c r="E148" s="67">
        <f t="shared" si="128"/>
        <v>0.69561189373455068</v>
      </c>
      <c r="F148" s="67">
        <f t="shared" si="128"/>
        <v>1.6794205152338282</v>
      </c>
      <c r="G148" s="67">
        <f t="shared" si="128"/>
        <v>1.5407566260519099</v>
      </c>
      <c r="H148" s="67">
        <f t="shared" si="128"/>
        <v>1.4710125099421283</v>
      </c>
      <c r="I148" s="67">
        <f t="shared" si="128"/>
        <v>1.3926389717613115</v>
      </c>
      <c r="J148" s="67">
        <f t="shared" si="128"/>
        <v>1.4026973370382234</v>
      </c>
      <c r="K148" s="67">
        <f t="shared" si="128"/>
        <v>1.4516898965291125</v>
      </c>
      <c r="L148" s="67">
        <f t="shared" si="128"/>
        <v>1.662143056161707</v>
      </c>
      <c r="M148" s="67">
        <f t="shared" si="128"/>
        <v>1.5835101403924521</v>
      </c>
      <c r="N148" s="67">
        <f t="shared" si="128"/>
        <v>3.4280076841241129</v>
      </c>
      <c r="O148" s="67">
        <f t="shared" si="128"/>
        <v>2.5481454304493685</v>
      </c>
      <c r="P148" s="67">
        <f t="shared" si="128"/>
        <v>1.7174418450461642</v>
      </c>
      <c r="Q148" s="67">
        <f t="shared" si="128"/>
        <v>1.8811296811599321</v>
      </c>
      <c r="R148" s="67">
        <f t="shared" si="128"/>
        <v>2.0472220075252134</v>
      </c>
      <c r="S148" s="67">
        <f t="shared" si="128"/>
        <v>2.1647066018250296</v>
      </c>
      <c r="T148" s="67">
        <f t="shared" si="128"/>
        <v>2.2467301382571199</v>
      </c>
      <c r="U148" s="67">
        <f t="shared" si="128"/>
        <v>2.4225192916495799</v>
      </c>
      <c r="V148" s="67">
        <f t="shared" si="128"/>
        <v>1.754057147718062</v>
      </c>
      <c r="W148" s="67">
        <f t="shared" si="128"/>
        <v>2.3278387658269186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5442.4811487217057</v>
      </c>
      <c r="C153" s="82">
        <f t="shared" ref="C153:W153" si="132">IF(C99=0,0,C99/C$23)</f>
        <v>6005.6900579314761</v>
      </c>
      <c r="D153" s="82">
        <f t="shared" si="132"/>
        <v>6070.7078550152291</v>
      </c>
      <c r="E153" s="82">
        <f t="shared" si="132"/>
        <v>6428.9368148714129</v>
      </c>
      <c r="F153" s="82">
        <f t="shared" si="132"/>
        <v>6508.2421963470761</v>
      </c>
      <c r="G153" s="82">
        <f t="shared" si="132"/>
        <v>7082.7069299936156</v>
      </c>
      <c r="H153" s="82">
        <f t="shared" si="132"/>
        <v>7366.6679726349394</v>
      </c>
      <c r="I153" s="82">
        <f t="shared" si="132"/>
        <v>7450.9129371832742</v>
      </c>
      <c r="J153" s="82">
        <f t="shared" si="132"/>
        <v>7613.1344877698584</v>
      </c>
      <c r="K153" s="82">
        <f t="shared" si="132"/>
        <v>7362.9394054543864</v>
      </c>
      <c r="L153" s="82">
        <f t="shared" si="132"/>
        <v>6633.5634154889794</v>
      </c>
      <c r="M153" s="82">
        <f t="shared" si="132"/>
        <v>6574.1041028707778</v>
      </c>
      <c r="N153" s="82">
        <f t="shared" si="132"/>
        <v>7075.1997370673862</v>
      </c>
      <c r="O153" s="82">
        <f t="shared" si="132"/>
        <v>6666.1707637164718</v>
      </c>
      <c r="P153" s="82">
        <f t="shared" si="132"/>
        <v>6009.1251773744307</v>
      </c>
      <c r="Q153" s="82">
        <f t="shared" si="132"/>
        <v>6743.0846534098855</v>
      </c>
      <c r="R153" s="82">
        <f t="shared" si="132"/>
        <v>6962.338916080842</v>
      </c>
      <c r="S153" s="82">
        <f t="shared" si="132"/>
        <v>6738.7627072318855</v>
      </c>
      <c r="T153" s="82">
        <f t="shared" si="132"/>
        <v>6001.9270355799863</v>
      </c>
      <c r="U153" s="82">
        <f t="shared" si="132"/>
        <v>5903.551687248857</v>
      </c>
      <c r="V153" s="82">
        <f t="shared" si="132"/>
        <v>5216.0677844936572</v>
      </c>
      <c r="W153" s="82">
        <f t="shared" si="132"/>
        <v>5512.0744415830386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3746.9828738335532</v>
      </c>
      <c r="C154" s="64">
        <f t="shared" ref="C154:W154" si="134">IF(C100=0,0,C100/C$23)</f>
        <v>4257.9938702404788</v>
      </c>
      <c r="D154" s="64">
        <f t="shared" si="134"/>
        <v>4304.0833195856258</v>
      </c>
      <c r="E154" s="64">
        <f t="shared" si="134"/>
        <v>4604.2137891037482</v>
      </c>
      <c r="F154" s="64">
        <f t="shared" si="134"/>
        <v>4685.5893364772719</v>
      </c>
      <c r="G154" s="64">
        <f t="shared" si="134"/>
        <v>5178.0905085470258</v>
      </c>
      <c r="H154" s="64">
        <f t="shared" si="134"/>
        <v>5426.5964849129596</v>
      </c>
      <c r="I154" s="64">
        <f t="shared" si="134"/>
        <v>5463.6913026654347</v>
      </c>
      <c r="J154" s="64">
        <f t="shared" si="134"/>
        <v>5591.3144895590949</v>
      </c>
      <c r="K154" s="64">
        <f t="shared" si="134"/>
        <v>5303.7596430395424</v>
      </c>
      <c r="L154" s="64">
        <f t="shared" si="134"/>
        <v>4609.487549781712</v>
      </c>
      <c r="M154" s="64">
        <f t="shared" si="134"/>
        <v>4484.0333502036847</v>
      </c>
      <c r="N154" s="64">
        <f t="shared" si="134"/>
        <v>4877.6237648976448</v>
      </c>
      <c r="O154" s="64">
        <f t="shared" si="134"/>
        <v>4453.6251932467885</v>
      </c>
      <c r="P154" s="64">
        <f t="shared" si="134"/>
        <v>3859.881693208034</v>
      </c>
      <c r="Q154" s="64">
        <f t="shared" si="134"/>
        <v>4489.8558844265453</v>
      </c>
      <c r="R154" s="64">
        <f t="shared" si="134"/>
        <v>4741.6588523344908</v>
      </c>
      <c r="S154" s="64">
        <f t="shared" si="134"/>
        <v>4529.3305173177514</v>
      </c>
      <c r="T154" s="64">
        <f t="shared" si="134"/>
        <v>3929.0877092492483</v>
      </c>
      <c r="U154" s="64">
        <f t="shared" si="134"/>
        <v>3935.6102552744101</v>
      </c>
      <c r="V154" s="64">
        <f t="shared" si="134"/>
        <v>3363.4231909202158</v>
      </c>
      <c r="W154" s="64">
        <f t="shared" si="134"/>
        <v>3668.558067972981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1510.3973730103469</v>
      </c>
      <c r="C155" s="65">
        <f t="shared" ref="C155:W155" si="136">IF(C101=0,0,C101/C$23)</f>
        <v>1864.0520392317283</v>
      </c>
      <c r="D155" s="65">
        <f t="shared" si="136"/>
        <v>1881.316923670299</v>
      </c>
      <c r="E155" s="65">
        <f t="shared" si="136"/>
        <v>2089.4782535415829</v>
      </c>
      <c r="F155" s="65">
        <f t="shared" si="136"/>
        <v>2222.6343995535021</v>
      </c>
      <c r="G155" s="65">
        <f t="shared" si="136"/>
        <v>2574.3515435528388</v>
      </c>
      <c r="H155" s="65">
        <f t="shared" si="136"/>
        <v>2814.639035265423</v>
      </c>
      <c r="I155" s="65">
        <f t="shared" si="136"/>
        <v>2806.343629951954</v>
      </c>
      <c r="J155" s="65">
        <f t="shared" si="136"/>
        <v>2944.2703320004052</v>
      </c>
      <c r="K155" s="65">
        <f t="shared" si="136"/>
        <v>2671.1480729849704</v>
      </c>
      <c r="L155" s="65">
        <f t="shared" si="136"/>
        <v>1923.5549655592404</v>
      </c>
      <c r="M155" s="65">
        <f t="shared" si="136"/>
        <v>1714.9070278809829</v>
      </c>
      <c r="N155" s="65">
        <f t="shared" si="136"/>
        <v>1834.1098624469596</v>
      </c>
      <c r="O155" s="65">
        <f t="shared" si="136"/>
        <v>1520.361560347282</v>
      </c>
      <c r="P155" s="65">
        <f t="shared" si="136"/>
        <v>1085.9589142308844</v>
      </c>
      <c r="Q155" s="65">
        <f t="shared" si="136"/>
        <v>1605.2483067397588</v>
      </c>
      <c r="R155" s="65">
        <f t="shared" si="136"/>
        <v>1976.49695577489</v>
      </c>
      <c r="S155" s="65">
        <f t="shared" si="136"/>
        <v>1753.3333556357184</v>
      </c>
      <c r="T155" s="65">
        <f t="shared" si="136"/>
        <v>1358.4457171517956</v>
      </c>
      <c r="U155" s="65">
        <f t="shared" si="136"/>
        <v>1435.1398808046995</v>
      </c>
      <c r="V155" s="65">
        <f t="shared" si="136"/>
        <v>1151.1296284973796</v>
      </c>
      <c r="W155" s="65">
        <f t="shared" si="136"/>
        <v>1260.7422802037854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156.80020819187192</v>
      </c>
      <c r="C156" s="65">
        <f t="shared" ref="C156:W156" si="138">IF(C102=0,0,C102/C$23)</f>
        <v>194.84976751057502</v>
      </c>
      <c r="D156" s="65">
        <f t="shared" si="138"/>
        <v>155.64864642371793</v>
      </c>
      <c r="E156" s="65">
        <f t="shared" si="138"/>
        <v>211.43454523410102</v>
      </c>
      <c r="F156" s="65">
        <f t="shared" si="138"/>
        <v>126.93258802396565</v>
      </c>
      <c r="G156" s="65">
        <f t="shared" si="138"/>
        <v>130.40979933407459</v>
      </c>
      <c r="H156" s="65">
        <f t="shared" si="138"/>
        <v>156.36304139983216</v>
      </c>
      <c r="I156" s="65">
        <f t="shared" si="138"/>
        <v>235.81375518293521</v>
      </c>
      <c r="J156" s="65">
        <f t="shared" si="138"/>
        <v>226.96681174976371</v>
      </c>
      <c r="K156" s="65">
        <f t="shared" si="138"/>
        <v>160.99000806905283</v>
      </c>
      <c r="L156" s="65">
        <f t="shared" si="138"/>
        <v>205.02657963437721</v>
      </c>
      <c r="M156" s="65">
        <f t="shared" si="138"/>
        <v>186.49241779421394</v>
      </c>
      <c r="N156" s="65">
        <f t="shared" si="138"/>
        <v>325.43226071241958</v>
      </c>
      <c r="O156" s="65">
        <f t="shared" si="138"/>
        <v>213.16273323357473</v>
      </c>
      <c r="P156" s="65">
        <f t="shared" si="138"/>
        <v>175.32124149600421</v>
      </c>
      <c r="Q156" s="65">
        <f t="shared" si="138"/>
        <v>236.20882326738345</v>
      </c>
      <c r="R156" s="65">
        <f t="shared" si="138"/>
        <v>249.32599650644116</v>
      </c>
      <c r="S156" s="65">
        <f t="shared" si="138"/>
        <v>258.32230607924168</v>
      </c>
      <c r="T156" s="65">
        <f t="shared" si="138"/>
        <v>217.06785025842879</v>
      </c>
      <c r="U156" s="65">
        <f t="shared" si="138"/>
        <v>274.06888041146345</v>
      </c>
      <c r="V156" s="65">
        <f t="shared" si="138"/>
        <v>242.60753670710196</v>
      </c>
      <c r="W156" s="65">
        <f t="shared" si="138"/>
        <v>320.66200408398106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988.06674108360323</v>
      </c>
      <c r="C157" s="65">
        <f t="shared" ref="C157:W157" si="140">IF(C103=0,0,C103/C$23)</f>
        <v>1056.9359151215369</v>
      </c>
      <c r="D157" s="65">
        <f t="shared" si="140"/>
        <v>1099.9882456992802</v>
      </c>
      <c r="E157" s="65">
        <f t="shared" si="140"/>
        <v>1129.8914013608339</v>
      </c>
      <c r="F157" s="65">
        <f t="shared" si="140"/>
        <v>1127.5361713953769</v>
      </c>
      <c r="G157" s="65">
        <f t="shared" si="140"/>
        <v>1223.8338948499909</v>
      </c>
      <c r="H157" s="65">
        <f t="shared" si="140"/>
        <v>1220.9098075774198</v>
      </c>
      <c r="I157" s="65">
        <f t="shared" si="140"/>
        <v>1209.5450522248696</v>
      </c>
      <c r="J157" s="65">
        <f t="shared" si="140"/>
        <v>1219.3890195945094</v>
      </c>
      <c r="K157" s="65">
        <f t="shared" si="140"/>
        <v>1240.5961102536389</v>
      </c>
      <c r="L157" s="65">
        <f t="shared" si="140"/>
        <v>1246.828844418432</v>
      </c>
      <c r="M157" s="65">
        <f t="shared" si="140"/>
        <v>1296.1281404432905</v>
      </c>
      <c r="N157" s="65">
        <f t="shared" si="140"/>
        <v>1329.3100364740772</v>
      </c>
      <c r="O157" s="65">
        <f t="shared" si="140"/>
        <v>1338.1365507257724</v>
      </c>
      <c r="P157" s="65">
        <f t="shared" si="140"/>
        <v>1304.3313962831164</v>
      </c>
      <c r="Q157" s="65">
        <f t="shared" si="140"/>
        <v>1341.491238698384</v>
      </c>
      <c r="R157" s="65">
        <f t="shared" si="140"/>
        <v>1264.3373230958543</v>
      </c>
      <c r="S157" s="65">
        <f t="shared" si="140"/>
        <v>1258.7927524155127</v>
      </c>
      <c r="T157" s="65">
        <f t="shared" si="140"/>
        <v>1170.1595507376458</v>
      </c>
      <c r="U157" s="65">
        <f t="shared" si="140"/>
        <v>1099.8225983679354</v>
      </c>
      <c r="V157" s="65">
        <f t="shared" si="140"/>
        <v>990.92157341398035</v>
      </c>
      <c r="W157" s="65">
        <f t="shared" si="140"/>
        <v>984.86820938919982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1091.7185515477313</v>
      </c>
      <c r="C158" s="67">
        <f t="shared" ref="C158:W158" si="142">IF(C104=0,0,C104/C$23)</f>
        <v>1142.1561483766391</v>
      </c>
      <c r="D158" s="67">
        <f t="shared" si="142"/>
        <v>1167.1295037923289</v>
      </c>
      <c r="E158" s="67">
        <f t="shared" si="142"/>
        <v>1173.4095889672303</v>
      </c>
      <c r="F158" s="67">
        <f t="shared" si="142"/>
        <v>1208.4861775044278</v>
      </c>
      <c r="G158" s="67">
        <f t="shared" si="142"/>
        <v>1249.4952708101212</v>
      </c>
      <c r="H158" s="67">
        <f t="shared" si="142"/>
        <v>1234.684600670284</v>
      </c>
      <c r="I158" s="67">
        <f t="shared" si="142"/>
        <v>1211.9888653056746</v>
      </c>
      <c r="J158" s="67">
        <f t="shared" si="142"/>
        <v>1200.6883262144167</v>
      </c>
      <c r="K158" s="67">
        <f t="shared" si="142"/>
        <v>1231.0254517318799</v>
      </c>
      <c r="L158" s="67">
        <f t="shared" si="142"/>
        <v>1234.0771601696626</v>
      </c>
      <c r="M158" s="67">
        <f t="shared" si="142"/>
        <v>1286.5057640851974</v>
      </c>
      <c r="N158" s="67">
        <f t="shared" si="142"/>
        <v>1388.7716052641879</v>
      </c>
      <c r="O158" s="67">
        <f t="shared" si="142"/>
        <v>1381.9643489401606</v>
      </c>
      <c r="P158" s="67">
        <f t="shared" si="142"/>
        <v>1294.2701411980295</v>
      </c>
      <c r="Q158" s="67">
        <f t="shared" si="142"/>
        <v>1306.9075157210189</v>
      </c>
      <c r="R158" s="67">
        <f t="shared" si="142"/>
        <v>1251.4985769573052</v>
      </c>
      <c r="S158" s="67">
        <f t="shared" si="142"/>
        <v>1258.8821031872794</v>
      </c>
      <c r="T158" s="67">
        <f t="shared" si="142"/>
        <v>1183.4145911013788</v>
      </c>
      <c r="U158" s="67">
        <f t="shared" si="142"/>
        <v>1126.5788956903114</v>
      </c>
      <c r="V158" s="67">
        <f t="shared" si="142"/>
        <v>978.76445230175409</v>
      </c>
      <c r="W158" s="67">
        <f t="shared" si="142"/>
        <v>1102.2855742960141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1695.4982748881523</v>
      </c>
      <c r="C159" s="68">
        <f t="shared" ref="C159:W159" si="144">IF(C105=0,0,C105/C$23)</f>
        <v>1747.696187690997</v>
      </c>
      <c r="D159" s="68">
        <f t="shared" si="144"/>
        <v>1766.6245354296045</v>
      </c>
      <c r="E159" s="68">
        <f t="shared" si="144"/>
        <v>1824.7230257676651</v>
      </c>
      <c r="F159" s="68">
        <f t="shared" si="144"/>
        <v>1822.6528598698042</v>
      </c>
      <c r="G159" s="68">
        <f t="shared" si="144"/>
        <v>1904.6164214465896</v>
      </c>
      <c r="H159" s="68">
        <f t="shared" si="144"/>
        <v>1940.0714877219812</v>
      </c>
      <c r="I159" s="68">
        <f t="shared" si="144"/>
        <v>1987.2216345178408</v>
      </c>
      <c r="J159" s="68">
        <f t="shared" si="144"/>
        <v>2021.8199982107649</v>
      </c>
      <c r="K159" s="68">
        <f t="shared" si="144"/>
        <v>2059.1797624148439</v>
      </c>
      <c r="L159" s="68">
        <f t="shared" si="144"/>
        <v>2024.0758657072674</v>
      </c>
      <c r="M159" s="68">
        <f t="shared" si="144"/>
        <v>2090.0707526670922</v>
      </c>
      <c r="N159" s="68">
        <f t="shared" si="144"/>
        <v>2197.5759721697418</v>
      </c>
      <c r="O159" s="68">
        <f t="shared" si="144"/>
        <v>2212.5455704696847</v>
      </c>
      <c r="P159" s="68">
        <f t="shared" si="144"/>
        <v>2149.2434841663967</v>
      </c>
      <c r="Q159" s="68">
        <f t="shared" si="144"/>
        <v>2253.2287689833402</v>
      </c>
      <c r="R159" s="68">
        <f t="shared" si="144"/>
        <v>2220.6800637463507</v>
      </c>
      <c r="S159" s="68">
        <f t="shared" si="144"/>
        <v>2209.4321899141346</v>
      </c>
      <c r="T159" s="68">
        <f t="shared" si="144"/>
        <v>2072.8393263307375</v>
      </c>
      <c r="U159" s="68">
        <f t="shared" si="144"/>
        <v>1967.941431974446</v>
      </c>
      <c r="V159" s="68">
        <f t="shared" si="144"/>
        <v>1852.6445935734407</v>
      </c>
      <c r="W159" s="68">
        <f t="shared" si="144"/>
        <v>1843.5163736100576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2214.8763873623607</v>
      </c>
      <c r="C161" s="85">
        <f t="shared" ref="C161:W161" si="146">IF(C107=0,0,C107/C$23)</f>
        <v>2530.3239592604541</v>
      </c>
      <c r="D161" s="85">
        <f t="shared" si="146"/>
        <v>2546.7903289326837</v>
      </c>
      <c r="E161" s="85">
        <f t="shared" si="146"/>
        <v>2815.1746053077618</v>
      </c>
      <c r="F161" s="85">
        <f t="shared" si="146"/>
        <v>2799.6080925256174</v>
      </c>
      <c r="G161" s="85">
        <f t="shared" si="146"/>
        <v>3067.926452718752</v>
      </c>
      <c r="H161" s="85">
        <f t="shared" si="146"/>
        <v>3312.2869495196783</v>
      </c>
      <c r="I161" s="85">
        <f t="shared" si="146"/>
        <v>3580.2737288048288</v>
      </c>
      <c r="J161" s="85">
        <f t="shared" si="146"/>
        <v>3741.0105031839576</v>
      </c>
      <c r="K161" s="85">
        <f t="shared" si="146"/>
        <v>3585.794289855929</v>
      </c>
      <c r="L161" s="85">
        <f t="shared" si="146"/>
        <v>3333.7396891946855</v>
      </c>
      <c r="M161" s="85">
        <f t="shared" si="146"/>
        <v>3298.329343146926</v>
      </c>
      <c r="N161" s="85">
        <f t="shared" si="146"/>
        <v>4075.937749116888</v>
      </c>
      <c r="O161" s="85">
        <f t="shared" si="146"/>
        <v>3684.2989916754482</v>
      </c>
      <c r="P161" s="85">
        <f t="shared" si="146"/>
        <v>3477.8394446318462</v>
      </c>
      <c r="Q161" s="85">
        <f t="shared" si="146"/>
        <v>4251.6539523910742</v>
      </c>
      <c r="R161" s="85">
        <f t="shared" si="146"/>
        <v>4446.0350192397664</v>
      </c>
      <c r="S161" s="85">
        <f t="shared" si="146"/>
        <v>4445.4118476053454</v>
      </c>
      <c r="T161" s="85">
        <f t="shared" si="146"/>
        <v>4053.7161417288157</v>
      </c>
      <c r="U161" s="85">
        <f t="shared" si="146"/>
        <v>4285.3022524853623</v>
      </c>
      <c r="V161" s="85">
        <f t="shared" si="146"/>
        <v>4027.6063063077058</v>
      </c>
      <c r="W161" s="85">
        <f t="shared" si="146"/>
        <v>4617.3410168994806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717.99185557224257</v>
      </c>
      <c r="C162" s="65">
        <f t="shared" ref="C162:W162" si="148">IF(C108=0,0,C108/C$23)</f>
        <v>883.39845076336792</v>
      </c>
      <c r="D162" s="65">
        <f t="shared" si="148"/>
        <v>907.72947738293533</v>
      </c>
      <c r="E162" s="65">
        <f t="shared" si="148"/>
        <v>1033.4287323610542</v>
      </c>
      <c r="F162" s="65">
        <f t="shared" si="148"/>
        <v>1160.0641165906816</v>
      </c>
      <c r="G162" s="65">
        <f t="shared" si="148"/>
        <v>1326.2034421766123</v>
      </c>
      <c r="H162" s="65">
        <f t="shared" si="148"/>
        <v>1502.5516010241936</v>
      </c>
      <c r="I162" s="65">
        <f t="shared" si="148"/>
        <v>1579.3258338575686</v>
      </c>
      <c r="J162" s="65">
        <f t="shared" si="148"/>
        <v>1726.6649899137462</v>
      </c>
      <c r="K162" s="65">
        <f t="shared" si="148"/>
        <v>1690.2291557907586</v>
      </c>
      <c r="L162" s="65">
        <f t="shared" si="148"/>
        <v>1312.8351101349858</v>
      </c>
      <c r="M162" s="65">
        <f t="shared" si="148"/>
        <v>1244.3578927624121</v>
      </c>
      <c r="N162" s="65">
        <f t="shared" si="148"/>
        <v>1574.0192640193734</v>
      </c>
      <c r="O162" s="65">
        <f t="shared" si="148"/>
        <v>1435.9384632851386</v>
      </c>
      <c r="P162" s="65">
        <f t="shared" si="148"/>
        <v>1367.8992231456114</v>
      </c>
      <c r="Q162" s="65">
        <f t="shared" si="148"/>
        <v>1904.2514588519286</v>
      </c>
      <c r="R162" s="65">
        <f t="shared" si="148"/>
        <v>2102.2051743769443</v>
      </c>
      <c r="S162" s="65">
        <f t="shared" si="148"/>
        <v>2025.5912870519176</v>
      </c>
      <c r="T162" s="65">
        <f t="shared" si="148"/>
        <v>1828.5904759699124</v>
      </c>
      <c r="U162" s="65">
        <f t="shared" si="148"/>
        <v>1919.1918603177792</v>
      </c>
      <c r="V162" s="65">
        <f t="shared" si="148"/>
        <v>1885.6736474184177</v>
      </c>
      <c r="W162" s="65">
        <f t="shared" si="148"/>
        <v>2091.4451839188455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263.52837561827613</v>
      </c>
      <c r="C163" s="65">
        <f t="shared" ref="C163:W163" si="150">IF(C109=0,0,C109/C$23)</f>
        <v>341.09021296229423</v>
      </c>
      <c r="D163" s="65">
        <f t="shared" si="150"/>
        <v>284.23912962271635</v>
      </c>
      <c r="E163" s="65">
        <f t="shared" si="150"/>
        <v>405.03603949269251</v>
      </c>
      <c r="F163" s="65">
        <f t="shared" si="150"/>
        <v>254.21522746699188</v>
      </c>
      <c r="G163" s="65">
        <f t="shared" si="150"/>
        <v>272.8735789401598</v>
      </c>
      <c r="H163" s="65">
        <f t="shared" si="150"/>
        <v>345.30941326377325</v>
      </c>
      <c r="I163" s="65">
        <f t="shared" si="150"/>
        <v>550.74253133498837</v>
      </c>
      <c r="J163" s="65">
        <f t="shared" si="150"/>
        <v>559.02483133885517</v>
      </c>
      <c r="K163" s="65">
        <f t="shared" si="150"/>
        <v>401.68804187638358</v>
      </c>
      <c r="L163" s="65">
        <f t="shared" si="150"/>
        <v>520.0175129008112</v>
      </c>
      <c r="M163" s="65">
        <f t="shared" si="150"/>
        <v>484.58465003695375</v>
      </c>
      <c r="N163" s="65">
        <f t="shared" si="150"/>
        <v>875.15227062875317</v>
      </c>
      <c r="O163" s="65">
        <f t="shared" si="150"/>
        <v>589.65982410678771</v>
      </c>
      <c r="P163" s="65">
        <f t="shared" si="150"/>
        <v>499.86170580573781</v>
      </c>
      <c r="Q163" s="65">
        <f t="shared" si="150"/>
        <v>696.70401465585087</v>
      </c>
      <c r="R163" s="65">
        <f t="shared" si="150"/>
        <v>760.03554413067218</v>
      </c>
      <c r="S163" s="65">
        <f t="shared" si="150"/>
        <v>811.26921122190322</v>
      </c>
      <c r="T163" s="65">
        <f t="shared" si="150"/>
        <v>696.50879329737143</v>
      </c>
      <c r="U163" s="65">
        <f t="shared" si="150"/>
        <v>898.04254132527501</v>
      </c>
      <c r="V163" s="65">
        <f t="shared" si="150"/>
        <v>808.52443315245523</v>
      </c>
      <c r="W163" s="65">
        <f t="shared" si="150"/>
        <v>1093.1580021547959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524.73891892870677</v>
      </c>
      <c r="C164" s="65">
        <f t="shared" ref="C164:W164" si="152">IF(C110=0,0,C110/C$23)</f>
        <v>562.26714614807872</v>
      </c>
      <c r="D164" s="65">
        <f t="shared" si="152"/>
        <v>586.89753043637779</v>
      </c>
      <c r="E164" s="65">
        <f t="shared" si="152"/>
        <v>605.35490914847105</v>
      </c>
      <c r="F164" s="65">
        <f t="shared" si="152"/>
        <v>606.76707261340471</v>
      </c>
      <c r="G164" s="65">
        <f t="shared" si="152"/>
        <v>658.7360267263083</v>
      </c>
      <c r="H164" s="65">
        <f t="shared" si="152"/>
        <v>660.55677655815225</v>
      </c>
      <c r="I164" s="65">
        <f t="shared" si="152"/>
        <v>657.45408649022272</v>
      </c>
      <c r="J164" s="65">
        <f t="shared" si="152"/>
        <v>667.53775414483709</v>
      </c>
      <c r="K164" s="65">
        <f t="shared" si="152"/>
        <v>683.55304609085317</v>
      </c>
      <c r="L164" s="65">
        <f t="shared" si="152"/>
        <v>689.48330009224003</v>
      </c>
      <c r="M164" s="65">
        <f t="shared" si="152"/>
        <v>721.34583509219442</v>
      </c>
      <c r="N164" s="65">
        <f t="shared" si="152"/>
        <v>747.35771738950086</v>
      </c>
      <c r="O164" s="65">
        <f t="shared" si="152"/>
        <v>761.53378051611378</v>
      </c>
      <c r="P164" s="65">
        <f t="shared" si="152"/>
        <v>748.75278120802852</v>
      </c>
      <c r="Q164" s="65">
        <f t="shared" si="152"/>
        <v>779.39074222399495</v>
      </c>
      <c r="R164" s="65">
        <f t="shared" si="152"/>
        <v>746.53505726812932</v>
      </c>
      <c r="S164" s="65">
        <f t="shared" si="152"/>
        <v>760.34044096519085</v>
      </c>
      <c r="T164" s="65">
        <f t="shared" si="152"/>
        <v>724.76751462218317</v>
      </c>
      <c r="U164" s="65">
        <f t="shared" si="152"/>
        <v>699.24724143092317</v>
      </c>
      <c r="V164" s="65">
        <f t="shared" si="152"/>
        <v>649.60638523602199</v>
      </c>
      <c r="W164" s="65">
        <f t="shared" si="152"/>
        <v>661.74476039124067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708.61723724313481</v>
      </c>
      <c r="C165" s="68">
        <f t="shared" ref="C165:W165" si="154">IF(C111=0,0,C111/C$23)</f>
        <v>743.568149386713</v>
      </c>
      <c r="D165" s="68">
        <f t="shared" si="154"/>
        <v>767.92419149065404</v>
      </c>
      <c r="E165" s="68">
        <f t="shared" si="154"/>
        <v>771.35492430554416</v>
      </c>
      <c r="F165" s="68">
        <f t="shared" si="154"/>
        <v>778.56167585453909</v>
      </c>
      <c r="G165" s="68">
        <f t="shared" si="154"/>
        <v>810.1134048756719</v>
      </c>
      <c r="H165" s="68">
        <f t="shared" si="154"/>
        <v>803.86915867355924</v>
      </c>
      <c r="I165" s="68">
        <f t="shared" si="154"/>
        <v>792.75127712204926</v>
      </c>
      <c r="J165" s="68">
        <f t="shared" si="154"/>
        <v>787.78292778651894</v>
      </c>
      <c r="K165" s="68">
        <f t="shared" si="154"/>
        <v>810.32404609793366</v>
      </c>
      <c r="L165" s="68">
        <f t="shared" si="154"/>
        <v>811.40376606664802</v>
      </c>
      <c r="M165" s="68">
        <f t="shared" si="154"/>
        <v>848.04096525536602</v>
      </c>
      <c r="N165" s="68">
        <f t="shared" si="154"/>
        <v>879.4084970792602</v>
      </c>
      <c r="O165" s="68">
        <f t="shared" si="154"/>
        <v>897.16692376740775</v>
      </c>
      <c r="P165" s="68">
        <f t="shared" si="154"/>
        <v>861.32573447246853</v>
      </c>
      <c r="Q165" s="68">
        <f t="shared" si="154"/>
        <v>871.30773665930042</v>
      </c>
      <c r="R165" s="68">
        <f t="shared" si="154"/>
        <v>837.25924346402076</v>
      </c>
      <c r="S165" s="68">
        <f t="shared" si="154"/>
        <v>848.21090836633402</v>
      </c>
      <c r="T165" s="68">
        <f t="shared" si="154"/>
        <v>803.84935783934873</v>
      </c>
      <c r="U165" s="68">
        <f t="shared" si="154"/>
        <v>768.82060941138411</v>
      </c>
      <c r="V165" s="68">
        <f t="shared" si="154"/>
        <v>683.80184050081141</v>
      </c>
      <c r="W165" s="68">
        <f t="shared" si="154"/>
        <v>770.99307043459839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274.46496107180224</v>
      </c>
      <c r="C167" s="82">
        <f t="shared" ref="C167:W167" si="156">IF(C113=0,0,C113/C$23)</f>
        <v>351.81517928212179</v>
      </c>
      <c r="D167" s="82">
        <f t="shared" si="156"/>
        <v>345.51117413568068</v>
      </c>
      <c r="E167" s="82">
        <f t="shared" si="156"/>
        <v>371.7595277691247</v>
      </c>
      <c r="F167" s="82">
        <f t="shared" si="156"/>
        <v>380.20654187027077</v>
      </c>
      <c r="G167" s="82">
        <f t="shared" si="156"/>
        <v>477.09009269323462</v>
      </c>
      <c r="H167" s="82">
        <f t="shared" si="156"/>
        <v>484.79478247189655</v>
      </c>
      <c r="I167" s="82">
        <f t="shared" si="156"/>
        <v>449.33598935450578</v>
      </c>
      <c r="J167" s="82">
        <f t="shared" si="156"/>
        <v>440.80276038730244</v>
      </c>
      <c r="K167" s="82">
        <f t="shared" si="156"/>
        <v>360.2320812487211</v>
      </c>
      <c r="L167" s="82">
        <f t="shared" si="156"/>
        <v>317.43120547794416</v>
      </c>
      <c r="M167" s="82">
        <f t="shared" si="156"/>
        <v>324.23396262249565</v>
      </c>
      <c r="N167" s="82">
        <f t="shared" si="156"/>
        <v>250.09233088688455</v>
      </c>
      <c r="O167" s="82">
        <f t="shared" si="156"/>
        <v>267.72946252538378</v>
      </c>
      <c r="P167" s="82">
        <f t="shared" si="156"/>
        <v>183.67820378035111</v>
      </c>
      <c r="Q167" s="82">
        <f t="shared" si="156"/>
        <v>224.41663903680271</v>
      </c>
      <c r="R167" s="82">
        <f t="shared" si="156"/>
        <v>254.42980533061046</v>
      </c>
      <c r="S167" s="82">
        <f t="shared" si="156"/>
        <v>208.79745985866279</v>
      </c>
      <c r="T167" s="82">
        <f t="shared" si="156"/>
        <v>190.7589148034086</v>
      </c>
      <c r="U167" s="82">
        <f t="shared" si="156"/>
        <v>194.44191827631786</v>
      </c>
      <c r="V167" s="82">
        <f t="shared" si="156"/>
        <v>159.6573182314319</v>
      </c>
      <c r="W167" s="82">
        <f t="shared" si="156"/>
        <v>169.89279891983804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274.46496107180224</v>
      </c>
      <c r="C168" s="64">
        <f t="shared" ref="C168:W168" si="158">IF(C114=0,0,C114/C$23)</f>
        <v>351.81517928212179</v>
      </c>
      <c r="D168" s="64">
        <f t="shared" si="158"/>
        <v>345.51117413568068</v>
      </c>
      <c r="E168" s="64">
        <f t="shared" si="158"/>
        <v>371.7595277691247</v>
      </c>
      <c r="F168" s="64">
        <f t="shared" si="158"/>
        <v>380.20654187027077</v>
      </c>
      <c r="G168" s="64">
        <f t="shared" si="158"/>
        <v>477.09009269323462</v>
      </c>
      <c r="H168" s="64">
        <f t="shared" si="158"/>
        <v>484.79478247189655</v>
      </c>
      <c r="I168" s="64">
        <f t="shared" si="158"/>
        <v>449.33598935450578</v>
      </c>
      <c r="J168" s="64">
        <f t="shared" si="158"/>
        <v>440.80276038730244</v>
      </c>
      <c r="K168" s="64">
        <f t="shared" si="158"/>
        <v>360.2320812487211</v>
      </c>
      <c r="L168" s="64">
        <f t="shared" si="158"/>
        <v>317.43120547794416</v>
      </c>
      <c r="M168" s="64">
        <f t="shared" si="158"/>
        <v>324.23396262249565</v>
      </c>
      <c r="N168" s="64">
        <f t="shared" si="158"/>
        <v>250.09233088688455</v>
      </c>
      <c r="O168" s="64">
        <f t="shared" si="158"/>
        <v>267.72946252538378</v>
      </c>
      <c r="P168" s="64">
        <f t="shared" si="158"/>
        <v>183.67820378035111</v>
      </c>
      <c r="Q168" s="64">
        <f t="shared" si="158"/>
        <v>224.41663903680271</v>
      </c>
      <c r="R168" s="64">
        <f t="shared" si="158"/>
        <v>254.42980533061046</v>
      </c>
      <c r="S168" s="64">
        <f t="shared" si="158"/>
        <v>208.79745985866279</v>
      </c>
      <c r="T168" s="64">
        <f t="shared" si="158"/>
        <v>190.7589148034086</v>
      </c>
      <c r="U168" s="64">
        <f t="shared" si="158"/>
        <v>194.44191827631786</v>
      </c>
      <c r="V168" s="64">
        <f t="shared" si="158"/>
        <v>159.6573182314319</v>
      </c>
      <c r="W168" s="64">
        <f t="shared" si="158"/>
        <v>169.89279891983804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232.6870174374354</v>
      </c>
      <c r="C169" s="65">
        <f t="shared" ref="C169:W169" si="160">IF(C115=0,0,C115/C$23)</f>
        <v>306.09638558720638</v>
      </c>
      <c r="D169" s="65">
        <f t="shared" si="160"/>
        <v>306.52998985587897</v>
      </c>
      <c r="E169" s="65">
        <f t="shared" si="160"/>
        <v>327.97895576529078</v>
      </c>
      <c r="F169" s="65">
        <f t="shared" si="160"/>
        <v>309.60165519837335</v>
      </c>
      <c r="G169" s="65">
        <f t="shared" si="160"/>
        <v>402.41018020629411</v>
      </c>
      <c r="H169" s="65">
        <f t="shared" si="160"/>
        <v>409.16552122112955</v>
      </c>
      <c r="I169" s="65">
        <f t="shared" si="160"/>
        <v>371.19620352489102</v>
      </c>
      <c r="J169" s="65">
        <f t="shared" si="160"/>
        <v>360.88135063403541</v>
      </c>
      <c r="K169" s="65">
        <f t="shared" si="160"/>
        <v>277.36264585189917</v>
      </c>
      <c r="L169" s="65">
        <f t="shared" si="160"/>
        <v>227.45743793967043</v>
      </c>
      <c r="M169" s="65">
        <f t="shared" si="160"/>
        <v>234.65783286210254</v>
      </c>
      <c r="N169" s="65">
        <f t="shared" si="160"/>
        <v>103.82966403806958</v>
      </c>
      <c r="O169" s="65">
        <f t="shared" si="160"/>
        <v>145.016490905468</v>
      </c>
      <c r="P169" s="65">
        <f t="shared" si="160"/>
        <v>88.578641495943927</v>
      </c>
      <c r="Q169" s="65">
        <f t="shared" si="160"/>
        <v>120.41656335429721</v>
      </c>
      <c r="R169" s="65">
        <f t="shared" si="160"/>
        <v>149.59256731538008</v>
      </c>
      <c r="S169" s="65">
        <f t="shared" si="160"/>
        <v>97.989393915936304</v>
      </c>
      <c r="T169" s="65">
        <f t="shared" si="160"/>
        <v>85.91875447805603</v>
      </c>
      <c r="U169" s="65">
        <f t="shared" si="160"/>
        <v>89.053869551740561</v>
      </c>
      <c r="V169" s="65">
        <f t="shared" si="160"/>
        <v>79.082246467722058</v>
      </c>
      <c r="W169" s="65">
        <f t="shared" si="160"/>
        <v>71.912600769233848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3.1911263775533966E-2</v>
      </c>
      <c r="C170" s="65">
        <f t="shared" ref="C170:W170" si="162">IF(C116=0,0,C116/C$23)</f>
        <v>4.124936326394802E-2</v>
      </c>
      <c r="D170" s="65">
        <f t="shared" si="162"/>
        <v>4.5069506984621116E-2</v>
      </c>
      <c r="E170" s="65">
        <f t="shared" si="162"/>
        <v>5.3295185038623002E-2</v>
      </c>
      <c r="F170" s="65">
        <f t="shared" si="162"/>
        <v>6.8212392496001389E-2</v>
      </c>
      <c r="G170" s="65">
        <f t="shared" si="162"/>
        <v>0.10822237848436936</v>
      </c>
      <c r="H170" s="65">
        <f t="shared" si="162"/>
        <v>0.17547201039725144</v>
      </c>
      <c r="I170" s="65">
        <f t="shared" si="162"/>
        <v>0.25688424925372894</v>
      </c>
      <c r="J170" s="65">
        <f t="shared" si="162"/>
        <v>0.33898416385109542</v>
      </c>
      <c r="K170" s="65">
        <f t="shared" si="162"/>
        <v>0.39986992204564498</v>
      </c>
      <c r="L170" s="65">
        <f t="shared" si="162"/>
        <v>0.53499430671234172</v>
      </c>
      <c r="M170" s="65">
        <f t="shared" si="162"/>
        <v>0.6444360450912423</v>
      </c>
      <c r="N170" s="65">
        <f t="shared" si="162"/>
        <v>1.2773351273991691</v>
      </c>
      <c r="O170" s="65">
        <f t="shared" si="162"/>
        <v>1.3022770449725674</v>
      </c>
      <c r="P170" s="65">
        <f t="shared" si="162"/>
        <v>1.5176487675676051</v>
      </c>
      <c r="Q170" s="65">
        <f t="shared" si="162"/>
        <v>2.2892202857381263</v>
      </c>
      <c r="R170" s="65">
        <f t="shared" si="162"/>
        <v>2.6409014067661483</v>
      </c>
      <c r="S170" s="65">
        <f t="shared" si="162"/>
        <v>3.0276849396323806</v>
      </c>
      <c r="T170" s="65">
        <f t="shared" si="162"/>
        <v>2.8449007791252612</v>
      </c>
      <c r="U170" s="65">
        <f t="shared" si="162"/>
        <v>3.5297767909429907</v>
      </c>
      <c r="V170" s="65">
        <f t="shared" si="162"/>
        <v>3.1102023703915629</v>
      </c>
      <c r="W170" s="65">
        <f t="shared" si="162"/>
        <v>4.1579648184607008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19.211148781001636</v>
      </c>
      <c r="C171" s="65">
        <f t="shared" ref="C171:W171" si="164">IF(C117=0,0,C117/C$23)</f>
        <v>22.372218225545456</v>
      </c>
      <c r="D171" s="65">
        <f t="shared" si="164"/>
        <v>23.757856648760693</v>
      </c>
      <c r="E171" s="65">
        <f t="shared" si="164"/>
        <v>24.665904944452087</v>
      </c>
      <c r="F171" s="65">
        <f t="shared" si="164"/>
        <v>25.179656472892457</v>
      </c>
      <c r="G171" s="65">
        <f t="shared" si="164"/>
        <v>31.816708165835532</v>
      </c>
      <c r="H171" s="65">
        <f t="shared" si="164"/>
        <v>34.06545891422634</v>
      </c>
      <c r="I171" s="65">
        <f t="shared" si="164"/>
        <v>38.136044435310403</v>
      </c>
      <c r="J171" s="65">
        <f t="shared" si="164"/>
        <v>39.476860449315495</v>
      </c>
      <c r="K171" s="65">
        <f t="shared" si="164"/>
        <v>40.933395258373167</v>
      </c>
      <c r="L171" s="65">
        <f t="shared" si="164"/>
        <v>43.885294844797215</v>
      </c>
      <c r="M171" s="65">
        <f t="shared" si="164"/>
        <v>44.957503162369072</v>
      </c>
      <c r="N171" s="65">
        <f t="shared" si="164"/>
        <v>46.229807452405808</v>
      </c>
      <c r="O171" s="65">
        <f t="shared" si="164"/>
        <v>47.965315823826153</v>
      </c>
      <c r="P171" s="65">
        <f t="shared" si="164"/>
        <v>46.100714044259554</v>
      </c>
      <c r="Q171" s="65">
        <f t="shared" si="164"/>
        <v>48.256871780781509</v>
      </c>
      <c r="R171" s="65">
        <f t="shared" si="164"/>
        <v>46.432025901663863</v>
      </c>
      <c r="S171" s="65">
        <f t="shared" si="164"/>
        <v>48.135689588428683</v>
      </c>
      <c r="T171" s="65">
        <f t="shared" si="164"/>
        <v>42.745174387877498</v>
      </c>
      <c r="U171" s="65">
        <f t="shared" si="164"/>
        <v>39.356118890140635</v>
      </c>
      <c r="V171" s="65">
        <f t="shared" si="164"/>
        <v>30.53965517825511</v>
      </c>
      <c r="W171" s="65">
        <f t="shared" si="164"/>
        <v>31.56822573220396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22.534883589589686</v>
      </c>
      <c r="C172" s="67">
        <f t="shared" ref="C172:W172" si="166">IF(C118=0,0,C118/C$23)</f>
        <v>23.305326106105984</v>
      </c>
      <c r="D172" s="67">
        <f t="shared" si="166"/>
        <v>15.178258124056407</v>
      </c>
      <c r="E172" s="67">
        <f t="shared" si="166"/>
        <v>19.061371874343138</v>
      </c>
      <c r="F172" s="67">
        <f t="shared" si="166"/>
        <v>45.3570178065089</v>
      </c>
      <c r="G172" s="67">
        <f t="shared" si="166"/>
        <v>42.754981942620631</v>
      </c>
      <c r="H172" s="67">
        <f t="shared" si="166"/>
        <v>41.388330326143404</v>
      </c>
      <c r="I172" s="67">
        <f t="shared" si="166"/>
        <v>39.746857145050654</v>
      </c>
      <c r="J172" s="67">
        <f t="shared" si="166"/>
        <v>40.105565140100424</v>
      </c>
      <c r="K172" s="67">
        <f t="shared" si="166"/>
        <v>41.536170216403185</v>
      </c>
      <c r="L172" s="67">
        <f t="shared" si="166"/>
        <v>45.553478386764183</v>
      </c>
      <c r="M172" s="67">
        <f t="shared" si="166"/>
        <v>43.974190552932754</v>
      </c>
      <c r="N172" s="67">
        <f t="shared" si="166"/>
        <v>98.755524269010024</v>
      </c>
      <c r="O172" s="67">
        <f t="shared" si="166"/>
        <v>73.44537875111709</v>
      </c>
      <c r="P172" s="67">
        <f t="shared" si="166"/>
        <v>47.481199472580037</v>
      </c>
      <c r="Q172" s="67">
        <f t="shared" si="166"/>
        <v>53.453983615985877</v>
      </c>
      <c r="R172" s="67">
        <f t="shared" si="166"/>
        <v>55.764310706800359</v>
      </c>
      <c r="S172" s="67">
        <f t="shared" si="166"/>
        <v>59.644691414665402</v>
      </c>
      <c r="T172" s="67">
        <f t="shared" si="166"/>
        <v>59.250085158349826</v>
      </c>
      <c r="U172" s="67">
        <f t="shared" si="166"/>
        <v>62.502153043493713</v>
      </c>
      <c r="V172" s="67">
        <f t="shared" si="166"/>
        <v>46.925214215063143</v>
      </c>
      <c r="W172" s="67">
        <f t="shared" si="166"/>
        <v>62.254007599939534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82321.292858613655</v>
      </c>
      <c r="C3" s="125">
        <f t="shared" si="0"/>
        <v>86015.530460422655</v>
      </c>
      <c r="D3" s="125">
        <f t="shared" si="0"/>
        <v>88952.606363310508</v>
      </c>
      <c r="E3" s="125">
        <f t="shared" si="0"/>
        <v>92851.505280293233</v>
      </c>
      <c r="F3" s="125">
        <f t="shared" si="0"/>
        <v>96722.10527202829</v>
      </c>
      <c r="G3" s="125">
        <f t="shared" si="0"/>
        <v>99509.755638579256</v>
      </c>
      <c r="H3" s="125">
        <f t="shared" si="0"/>
        <v>103730.98493346918</v>
      </c>
      <c r="I3" s="125">
        <f t="shared" si="0"/>
        <v>106882.92747508298</v>
      </c>
      <c r="J3" s="125">
        <f t="shared" si="0"/>
        <v>108864.02368563316</v>
      </c>
      <c r="K3" s="125">
        <f t="shared" si="0"/>
        <v>108761.6670957731</v>
      </c>
      <c r="L3" s="125">
        <f t="shared" si="0"/>
        <v>105130.92497909948</v>
      </c>
      <c r="M3" s="125">
        <f t="shared" si="0"/>
        <v>102677.37263257112</v>
      </c>
      <c r="N3" s="125">
        <f t="shared" si="0"/>
        <v>102840.3384765424</v>
      </c>
      <c r="O3" s="125">
        <f t="shared" si="0"/>
        <v>102666.82105583441</v>
      </c>
      <c r="P3" s="125">
        <f t="shared" si="0"/>
        <v>102791.10060854639</v>
      </c>
      <c r="Q3" s="125">
        <f t="shared" si="0"/>
        <v>103111.4954792061</v>
      </c>
      <c r="R3" s="125">
        <f t="shared" si="0"/>
        <v>103152.33338138017</v>
      </c>
      <c r="S3" s="125">
        <f t="shared" si="0"/>
        <v>103841.75142150729</v>
      </c>
      <c r="T3" s="125">
        <f t="shared" si="0"/>
        <v>104565.82746295443</v>
      </c>
      <c r="U3" s="125">
        <f t="shared" si="0"/>
        <v>105402.97498439375</v>
      </c>
      <c r="V3" s="125">
        <f t="shared" si="0"/>
        <v>106208.75666666661</v>
      </c>
      <c r="W3" s="125">
        <f t="shared" si="0"/>
        <v>106957.0116497108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82321.292858613655</v>
      </c>
      <c r="C4" s="140">
        <f t="shared" si="1"/>
        <v>86015.530460422655</v>
      </c>
      <c r="D4" s="140">
        <f t="shared" si="1"/>
        <v>88952.606363310508</v>
      </c>
      <c r="E4" s="140">
        <f t="shared" si="1"/>
        <v>92851.505280293233</v>
      </c>
      <c r="F4" s="140">
        <f t="shared" si="1"/>
        <v>96722.10527202829</v>
      </c>
      <c r="G4" s="140">
        <f t="shared" si="1"/>
        <v>99509.755638579256</v>
      </c>
      <c r="H4" s="140">
        <f t="shared" si="1"/>
        <v>103730.98493346918</v>
      </c>
      <c r="I4" s="140">
        <f t="shared" si="1"/>
        <v>106882.92747508298</v>
      </c>
      <c r="J4" s="140">
        <f t="shared" si="1"/>
        <v>108864.02368563316</v>
      </c>
      <c r="K4" s="140">
        <f t="shared" si="1"/>
        <v>108761.6670957731</v>
      </c>
      <c r="L4" s="140">
        <f t="shared" si="1"/>
        <v>105130.92497909948</v>
      </c>
      <c r="M4" s="140">
        <f t="shared" si="1"/>
        <v>102677.37263257112</v>
      </c>
      <c r="N4" s="140">
        <f t="shared" si="1"/>
        <v>102840.3384765424</v>
      </c>
      <c r="O4" s="140">
        <f t="shared" si="1"/>
        <v>102666.82105583441</v>
      </c>
      <c r="P4" s="140">
        <f t="shared" si="1"/>
        <v>102791.10060854639</v>
      </c>
      <c r="Q4" s="140">
        <f t="shared" si="1"/>
        <v>103111.4954792061</v>
      </c>
      <c r="R4" s="140">
        <f t="shared" ref="R4:W4" si="2">SUM(R5:R14)</f>
        <v>103152.33338138017</v>
      </c>
      <c r="S4" s="140">
        <f t="shared" si="2"/>
        <v>103841.75142150729</v>
      </c>
      <c r="T4" s="140">
        <f t="shared" si="2"/>
        <v>104565.82746295443</v>
      </c>
      <c r="U4" s="140">
        <f t="shared" si="2"/>
        <v>105402.97498439375</v>
      </c>
      <c r="V4" s="140">
        <f t="shared" si="2"/>
        <v>106208.75666666661</v>
      </c>
      <c r="W4" s="140">
        <f t="shared" si="2"/>
        <v>106957.0116497108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38360.546436325174</v>
      </c>
      <c r="C7" s="141">
        <v>42042.809443194747</v>
      </c>
      <c r="D7" s="141">
        <v>41691.571768543872</v>
      </c>
      <c r="E7" s="141">
        <v>41786.830068848249</v>
      </c>
      <c r="F7" s="141">
        <v>39559.004830437094</v>
      </c>
      <c r="G7" s="141">
        <v>39382.865419039183</v>
      </c>
      <c r="H7" s="141">
        <v>37236.954646194994</v>
      </c>
      <c r="I7" s="141">
        <v>33507.208424079872</v>
      </c>
      <c r="J7" s="141">
        <v>28911.02754511387</v>
      </c>
      <c r="K7" s="141">
        <v>24328.635673250872</v>
      </c>
      <c r="L7" s="141">
        <v>20827.387505817904</v>
      </c>
      <c r="M7" s="141">
        <v>18468.403823272416</v>
      </c>
      <c r="N7" s="141">
        <v>11928.704735743529</v>
      </c>
      <c r="O7" s="141">
        <v>10016.655902561452</v>
      </c>
      <c r="P7" s="141">
        <v>7232.7377901634609</v>
      </c>
      <c r="Q7" s="141">
        <v>6490.3560705798827</v>
      </c>
      <c r="R7" s="141">
        <v>5953.7154655301101</v>
      </c>
      <c r="S7" s="141">
        <v>4682.8642996137087</v>
      </c>
      <c r="T7" s="141">
        <v>4152.9831970453952</v>
      </c>
      <c r="U7" s="141">
        <v>3448.8656504218015</v>
      </c>
      <c r="V7" s="141">
        <v>2940.9026585114552</v>
      </c>
      <c r="W7" s="141">
        <v>2609.9579537026561</v>
      </c>
      <c r="DA7" s="171" t="s">
        <v>248</v>
      </c>
    </row>
    <row r="8" spans="1:105" ht="12" customHeight="1" x14ac:dyDescent="0.25">
      <c r="A8" s="132" t="s">
        <v>73</v>
      </c>
      <c r="B8" s="141">
        <v>3.3081070944730842</v>
      </c>
      <c r="C8" s="141">
        <v>3.8349648770489768</v>
      </c>
      <c r="D8" s="141">
        <v>5.9604329456097869</v>
      </c>
      <c r="E8" s="141">
        <v>8.7616248146851312</v>
      </c>
      <c r="F8" s="141">
        <v>12.248374139631396</v>
      </c>
      <c r="G8" s="141">
        <v>15.963384793698978</v>
      </c>
      <c r="H8" s="141">
        <v>18.754574592380816</v>
      </c>
      <c r="I8" s="141">
        <v>21.944522751531554</v>
      </c>
      <c r="J8" s="141">
        <v>27.01071182915544</v>
      </c>
      <c r="K8" s="141">
        <v>37.491017025913507</v>
      </c>
      <c r="L8" s="141">
        <v>55.356903538138006</v>
      </c>
      <c r="M8" s="141">
        <v>103.77487216507765</v>
      </c>
      <c r="N8" s="141">
        <v>244.70559494824568</v>
      </c>
      <c r="O8" s="141">
        <v>573.51044695359133</v>
      </c>
      <c r="P8" s="141">
        <v>1039.7455419719242</v>
      </c>
      <c r="Q8" s="141">
        <v>1484.9472413053682</v>
      </c>
      <c r="R8" s="141">
        <v>1672.1341915976195</v>
      </c>
      <c r="S8" s="141">
        <v>1800.9543397872308</v>
      </c>
      <c r="T8" s="141">
        <v>1940.8828148327025</v>
      </c>
      <c r="U8" s="141">
        <v>2075.8408481157921</v>
      </c>
      <c r="V8" s="141">
        <v>2286.0467290280831</v>
      </c>
      <c r="W8" s="141">
        <v>2376.3022014288772</v>
      </c>
      <c r="DA8" s="171" t="s">
        <v>249</v>
      </c>
    </row>
    <row r="9" spans="1:105" ht="12" customHeight="1" x14ac:dyDescent="0.25">
      <c r="A9" s="132" t="s">
        <v>78</v>
      </c>
      <c r="B9" s="141">
        <v>742.65012173756304</v>
      </c>
      <c r="C9" s="141">
        <v>994.08592213532029</v>
      </c>
      <c r="D9" s="141">
        <v>1886.7053678218126</v>
      </c>
      <c r="E9" s="141">
        <v>3129.7783354752078</v>
      </c>
      <c r="F9" s="141">
        <v>4693.4484039880499</v>
      </c>
      <c r="G9" s="141">
        <v>6344.4645723006142</v>
      </c>
      <c r="H9" s="141">
        <v>7537.5958142701111</v>
      </c>
      <c r="I9" s="141">
        <v>8525.1475591460512</v>
      </c>
      <c r="J9" s="141">
        <v>9535.5718372373285</v>
      </c>
      <c r="K9" s="141">
        <v>11080.530879742804</v>
      </c>
      <c r="L9" s="141">
        <v>12164.010841298514</v>
      </c>
      <c r="M9" s="141">
        <v>12268.480334289508</v>
      </c>
      <c r="N9" s="141">
        <v>11490.234307499082</v>
      </c>
      <c r="O9" s="141">
        <v>10411.481394658307</v>
      </c>
      <c r="P9" s="141">
        <v>9447.8423404178084</v>
      </c>
      <c r="Q9" s="141">
        <v>9355.3772931704207</v>
      </c>
      <c r="R9" s="141">
        <v>8611.166094998629</v>
      </c>
      <c r="S9" s="141">
        <v>8577.1005652558069</v>
      </c>
      <c r="T9" s="141">
        <v>8644.3787866189505</v>
      </c>
      <c r="U9" s="141">
        <v>8931.1710619051646</v>
      </c>
      <c r="V9" s="141">
        <v>8739.2665067907856</v>
      </c>
      <c r="W9" s="141">
        <v>8177.1836528099939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734.18372921581329</v>
      </c>
      <c r="O10" s="141">
        <v>925.03834048125952</v>
      </c>
      <c r="P10" s="141">
        <v>988.81752808459237</v>
      </c>
      <c r="Q10" s="141">
        <v>987.55756171671646</v>
      </c>
      <c r="R10" s="141">
        <v>962.44677767742803</v>
      </c>
      <c r="S10" s="141">
        <v>946.44254897368148</v>
      </c>
      <c r="T10" s="141">
        <v>878.55340697160023</v>
      </c>
      <c r="U10" s="141">
        <v>835.66907874304422</v>
      </c>
      <c r="V10" s="141">
        <v>821.06076785611879</v>
      </c>
      <c r="W10" s="141">
        <v>797.09115896655987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861.27341269424448</v>
      </c>
      <c r="G11" s="141">
        <v>1009.6033317850504</v>
      </c>
      <c r="H11" s="141">
        <v>1031.1076137787484</v>
      </c>
      <c r="I11" s="141">
        <v>971.73356956734483</v>
      </c>
      <c r="J11" s="141">
        <v>999.18927948389069</v>
      </c>
      <c r="K11" s="141">
        <v>1153.7055310870819</v>
      </c>
      <c r="L11" s="141">
        <v>1303.1134611611067</v>
      </c>
      <c r="M11" s="141">
        <v>1377.7706986106382</v>
      </c>
      <c r="N11" s="141">
        <v>1346.8517423082326</v>
      </c>
      <c r="O11" s="141">
        <v>1319.1820853423624</v>
      </c>
      <c r="P11" s="141">
        <v>1271.9265015658336</v>
      </c>
      <c r="Q11" s="141">
        <v>1111.0978968042891</v>
      </c>
      <c r="R11" s="141">
        <v>996.98530853970806</v>
      </c>
      <c r="S11" s="141">
        <v>972.08361409703616</v>
      </c>
      <c r="T11" s="141">
        <v>956.63264751389568</v>
      </c>
      <c r="U11" s="141">
        <v>900.78824673442671</v>
      </c>
      <c r="V11" s="141">
        <v>810.62072170240606</v>
      </c>
      <c r="W11" s="141">
        <v>736.98023668015378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5107.9436653973326</v>
      </c>
      <c r="C13" s="141">
        <v>5518.9366776481365</v>
      </c>
      <c r="D13" s="141">
        <v>6630.8265051595981</v>
      </c>
      <c r="E13" s="141">
        <v>7781.5566450683109</v>
      </c>
      <c r="F13" s="141">
        <v>9235.9959703982659</v>
      </c>
      <c r="G13" s="141">
        <v>10615.359630518755</v>
      </c>
      <c r="H13" s="141">
        <v>12635.304816152951</v>
      </c>
      <c r="I13" s="141">
        <v>15580.853023970249</v>
      </c>
      <c r="J13" s="141">
        <v>19489.077031415622</v>
      </c>
      <c r="K13" s="141">
        <v>24905.413401723072</v>
      </c>
      <c r="L13" s="141">
        <v>31777.01757582762</v>
      </c>
      <c r="M13" s="141">
        <v>38230.67215426339</v>
      </c>
      <c r="N13" s="141">
        <v>47458.05826223133</v>
      </c>
      <c r="O13" s="141">
        <v>56554.557094208118</v>
      </c>
      <c r="P13" s="141">
        <v>64343.63726060222</v>
      </c>
      <c r="Q13" s="141">
        <v>65577.141788082634</v>
      </c>
      <c r="R13" s="141">
        <v>64218.013497821048</v>
      </c>
      <c r="S13" s="141">
        <v>65100.961856924856</v>
      </c>
      <c r="T13" s="141">
        <v>69536.274123988347</v>
      </c>
      <c r="U13" s="141">
        <v>73351.648579746427</v>
      </c>
      <c r="V13" s="141">
        <v>78778.948127585973</v>
      </c>
      <c r="W13" s="141">
        <v>81738.719139373658</v>
      </c>
      <c r="DA13" s="171" t="s">
        <v>254</v>
      </c>
    </row>
    <row r="14" spans="1:105" ht="12" customHeight="1" x14ac:dyDescent="0.25">
      <c r="A14" s="60" t="s">
        <v>76</v>
      </c>
      <c r="B14" s="142">
        <v>38106.844528059119</v>
      </c>
      <c r="C14" s="142">
        <v>37455.863452567413</v>
      </c>
      <c r="D14" s="142">
        <v>38737.542288839621</v>
      </c>
      <c r="E14" s="142">
        <v>40144.578606086783</v>
      </c>
      <c r="F14" s="142">
        <v>42360.134280371007</v>
      </c>
      <c r="G14" s="142">
        <v>42141.49930014195</v>
      </c>
      <c r="H14" s="142">
        <v>45271.267468479993</v>
      </c>
      <c r="I14" s="142">
        <v>48276.040375567922</v>
      </c>
      <c r="J14" s="142">
        <v>49902.147280553298</v>
      </c>
      <c r="K14" s="142">
        <v>47255.890592943346</v>
      </c>
      <c r="L14" s="142">
        <v>39004.038691456197</v>
      </c>
      <c r="M14" s="142">
        <v>32228.270749970085</v>
      </c>
      <c r="N14" s="142">
        <v>29637.600104596157</v>
      </c>
      <c r="O14" s="142">
        <v>22866.395791629326</v>
      </c>
      <c r="P14" s="142">
        <v>18466.393645740554</v>
      </c>
      <c r="Q14" s="142">
        <v>18105.017627546797</v>
      </c>
      <c r="R14" s="142">
        <v>20737.872045215623</v>
      </c>
      <c r="S14" s="142">
        <v>21761.34419685496</v>
      </c>
      <c r="T14" s="142">
        <v>18456.122485983549</v>
      </c>
      <c r="U14" s="142">
        <v>15858.991518727104</v>
      </c>
      <c r="V14" s="142">
        <v>11831.911155191785</v>
      </c>
      <c r="W14" s="142">
        <v>10520.777306748898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39106.504665157212</v>
      </c>
      <c r="C15" s="144">
        <f t="shared" si="3"/>
        <v>43040.730330207109</v>
      </c>
      <c r="D15" s="144">
        <f t="shared" si="3"/>
        <v>43584.237569311299</v>
      </c>
      <c r="E15" s="144">
        <f t="shared" si="3"/>
        <v>44925.370029138146</v>
      </c>
      <c r="F15" s="144">
        <f t="shared" si="3"/>
        <v>45125.975021259015</v>
      </c>
      <c r="G15" s="144">
        <f t="shared" si="3"/>
        <v>46752.896707918553</v>
      </c>
      <c r="H15" s="144">
        <f t="shared" si="3"/>
        <v>45824.412648836231</v>
      </c>
      <c r="I15" s="144">
        <f t="shared" si="3"/>
        <v>43026.034075544805</v>
      </c>
      <c r="J15" s="144">
        <f t="shared" si="3"/>
        <v>39472.799373664246</v>
      </c>
      <c r="K15" s="144">
        <f t="shared" si="3"/>
        <v>36600.363101106675</v>
      </c>
      <c r="L15" s="144">
        <f t="shared" si="3"/>
        <v>34349.868711815659</v>
      </c>
      <c r="M15" s="144">
        <f t="shared" si="3"/>
        <v>32218.42972833764</v>
      </c>
      <c r="N15" s="144">
        <f t="shared" si="3"/>
        <v>25744.680109714904</v>
      </c>
      <c r="O15" s="144">
        <f t="shared" si="3"/>
        <v>23245.868169996975</v>
      </c>
      <c r="P15" s="144">
        <f t="shared" si="3"/>
        <v>19981.069702203622</v>
      </c>
      <c r="Q15" s="144">
        <f t="shared" si="3"/>
        <v>19429.336063576673</v>
      </c>
      <c r="R15" s="144">
        <f t="shared" ref="R15:W15" si="4">SUM(R5:R12)</f>
        <v>18196.447838343494</v>
      </c>
      <c r="S15" s="144">
        <f t="shared" si="4"/>
        <v>16979.445367727465</v>
      </c>
      <c r="T15" s="144">
        <f t="shared" si="4"/>
        <v>16573.430852982543</v>
      </c>
      <c r="U15" s="144">
        <f t="shared" si="4"/>
        <v>16192.334885920227</v>
      </c>
      <c r="V15" s="144">
        <f t="shared" si="4"/>
        <v>15597.897383888849</v>
      </c>
      <c r="W15" s="144">
        <f t="shared" si="4"/>
        <v>14697.51520358824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23846.651009195037</v>
      </c>
      <c r="C16" s="140">
        <f t="shared" si="5"/>
        <v>25235.981723892368</v>
      </c>
      <c r="D16" s="140">
        <f t="shared" si="5"/>
        <v>26676.916768491446</v>
      </c>
      <c r="E16" s="140">
        <f t="shared" si="5"/>
        <v>28784.836140541065</v>
      </c>
      <c r="F16" s="140">
        <f t="shared" si="5"/>
        <v>30444.501649373338</v>
      </c>
      <c r="G16" s="140">
        <f t="shared" si="5"/>
        <v>31619.068722135438</v>
      </c>
      <c r="H16" s="140">
        <f t="shared" si="5"/>
        <v>34622.953827361795</v>
      </c>
      <c r="I16" s="140">
        <f t="shared" si="5"/>
        <v>37904.025646230897</v>
      </c>
      <c r="J16" s="140">
        <f t="shared" si="5"/>
        <v>39915.824079421429</v>
      </c>
      <c r="K16" s="140">
        <f t="shared" si="5"/>
        <v>41792.210119344942</v>
      </c>
      <c r="L16" s="140">
        <f t="shared" si="5"/>
        <v>41796.138689628053</v>
      </c>
      <c r="M16" s="140">
        <f t="shared" si="5"/>
        <v>42160.375591441574</v>
      </c>
      <c r="N16" s="140">
        <f t="shared" si="5"/>
        <v>45199.964701947953</v>
      </c>
      <c r="O16" s="140">
        <f t="shared" si="5"/>
        <v>47739.744853236283</v>
      </c>
      <c r="P16" s="140">
        <f t="shared" si="5"/>
        <v>51213.682757633862</v>
      </c>
      <c r="Q16" s="140">
        <f t="shared" si="5"/>
        <v>54103.679779784565</v>
      </c>
      <c r="R16" s="140">
        <f t="shared" ref="R16:W16" si="6">SUM(R17:R18)</f>
        <v>56434.000178965005</v>
      </c>
      <c r="S16" s="140">
        <f t="shared" si="6"/>
        <v>59574.258951061602</v>
      </c>
      <c r="T16" s="140">
        <f t="shared" si="6"/>
        <v>62639.435890334629</v>
      </c>
      <c r="U16" s="140">
        <f t="shared" si="6"/>
        <v>65587.485299687236</v>
      </c>
      <c r="V16" s="140">
        <f t="shared" si="6"/>
        <v>64096.998328430396</v>
      </c>
      <c r="W16" s="140">
        <f t="shared" si="6"/>
        <v>66505.216768140803</v>
      </c>
      <c r="DA16" s="170" t="s">
        <v>256</v>
      </c>
    </row>
    <row r="17" spans="1:105" ht="12.95" customHeight="1" x14ac:dyDescent="0.25">
      <c r="A17" s="132" t="s">
        <v>73</v>
      </c>
      <c r="B17" s="141">
        <v>19.095855089026298</v>
      </c>
      <c r="C17" s="141">
        <v>19.874280846189926</v>
      </c>
      <c r="D17" s="141">
        <v>27.450651640514891</v>
      </c>
      <c r="E17" s="141">
        <v>25.815859632028271</v>
      </c>
      <c r="F17" s="141">
        <v>54.575495343037232</v>
      </c>
      <c r="G17" s="141">
        <v>82.712598721934924</v>
      </c>
      <c r="H17" s="141">
        <v>115.83228144799789</v>
      </c>
      <c r="I17" s="141">
        <v>111.80311636461209</v>
      </c>
      <c r="J17" s="141">
        <v>154.50171719642282</v>
      </c>
      <c r="K17" s="141">
        <v>210.59491524699806</v>
      </c>
      <c r="L17" s="141">
        <v>269.88420693120906</v>
      </c>
      <c r="M17" s="141">
        <v>378.76348903007835</v>
      </c>
      <c r="N17" s="141">
        <v>452.6377050298683</v>
      </c>
      <c r="O17" s="141">
        <v>745.10303786159818</v>
      </c>
      <c r="P17" s="141">
        <v>1052.9593069802795</v>
      </c>
      <c r="Q17" s="141">
        <v>1248.8926191436906</v>
      </c>
      <c r="R17" s="141">
        <v>1384.0616932662915</v>
      </c>
      <c r="S17" s="141">
        <v>1568.6278578038825</v>
      </c>
      <c r="T17" s="141">
        <v>1873.8832017593168</v>
      </c>
      <c r="U17" s="141">
        <v>1982.8188849074445</v>
      </c>
      <c r="V17" s="141">
        <v>2083.0499803072807</v>
      </c>
      <c r="W17" s="141">
        <v>2139.4143612619901</v>
      </c>
      <c r="DA17" s="171" t="s">
        <v>257</v>
      </c>
    </row>
    <row r="18" spans="1:105" ht="12" customHeight="1" x14ac:dyDescent="0.25">
      <c r="A18" s="132" t="s">
        <v>72</v>
      </c>
      <c r="B18" s="141">
        <v>23827.555154106012</v>
      </c>
      <c r="C18" s="141">
        <v>25216.107443046178</v>
      </c>
      <c r="D18" s="141">
        <v>26649.46611685093</v>
      </c>
      <c r="E18" s="141">
        <v>28759.020280909037</v>
      </c>
      <c r="F18" s="141">
        <v>30389.926154030301</v>
      </c>
      <c r="G18" s="141">
        <v>31536.356123413505</v>
      </c>
      <c r="H18" s="141">
        <v>34507.121545913797</v>
      </c>
      <c r="I18" s="141">
        <v>37792.222529866282</v>
      </c>
      <c r="J18" s="141">
        <v>39761.322362225008</v>
      </c>
      <c r="K18" s="141">
        <v>41581.615204097943</v>
      </c>
      <c r="L18" s="141">
        <v>41526.254482696844</v>
      </c>
      <c r="M18" s="141">
        <v>41781.612102411498</v>
      </c>
      <c r="N18" s="141">
        <v>44747.326996918084</v>
      </c>
      <c r="O18" s="141">
        <v>46994.641815374685</v>
      </c>
      <c r="P18" s="141">
        <v>50160.723450653582</v>
      </c>
      <c r="Q18" s="141">
        <v>52854.787160640873</v>
      </c>
      <c r="R18" s="141">
        <v>55049.938485698716</v>
      </c>
      <c r="S18" s="141">
        <v>58005.631093257718</v>
      </c>
      <c r="T18" s="141">
        <v>60765.552688575313</v>
      </c>
      <c r="U18" s="141">
        <v>63604.666414779786</v>
      </c>
      <c r="V18" s="141">
        <v>62013.948348123115</v>
      </c>
      <c r="W18" s="141">
        <v>64365.802406878815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82321.29285861367</v>
      </c>
      <c r="C19" s="140">
        <f t="shared" si="7"/>
        <v>86015.530460422669</v>
      </c>
      <c r="D19" s="140">
        <f t="shared" si="7"/>
        <v>88952.606363310508</v>
      </c>
      <c r="E19" s="140">
        <f t="shared" si="7"/>
        <v>92851.505280293219</v>
      </c>
      <c r="F19" s="140">
        <f t="shared" si="7"/>
        <v>96722.105272028275</v>
      </c>
      <c r="G19" s="140">
        <f t="shared" si="7"/>
        <v>99509.75563857927</v>
      </c>
      <c r="H19" s="140">
        <f t="shared" si="7"/>
        <v>103730.98493346918</v>
      </c>
      <c r="I19" s="140">
        <f t="shared" si="7"/>
        <v>106882.92747508298</v>
      </c>
      <c r="J19" s="140">
        <f t="shared" si="7"/>
        <v>108864.02368563318</v>
      </c>
      <c r="K19" s="140">
        <f t="shared" si="7"/>
        <v>108761.66709577304</v>
      </c>
      <c r="L19" s="140">
        <f t="shared" si="7"/>
        <v>105130.92497909948</v>
      </c>
      <c r="M19" s="140">
        <f t="shared" si="7"/>
        <v>102677.37263257112</v>
      </c>
      <c r="N19" s="140">
        <f t="shared" si="7"/>
        <v>102840.33847654234</v>
      </c>
      <c r="O19" s="140">
        <f t="shared" si="7"/>
        <v>102666.8210558344</v>
      </c>
      <c r="P19" s="140">
        <f t="shared" si="7"/>
        <v>102791.10060854637</v>
      </c>
      <c r="Q19" s="140">
        <f t="shared" si="7"/>
        <v>103111.4954792061</v>
      </c>
      <c r="R19" s="140">
        <f t="shared" ref="R19:W19" si="8">SUM(R20:R26)</f>
        <v>103152.33338138026</v>
      </c>
      <c r="S19" s="140">
        <f t="shared" si="8"/>
        <v>103841.75142150726</v>
      </c>
      <c r="T19" s="140">
        <f t="shared" si="8"/>
        <v>104565.82746295439</v>
      </c>
      <c r="U19" s="140">
        <f t="shared" si="8"/>
        <v>105402.97498439373</v>
      </c>
      <c r="V19" s="140">
        <f t="shared" si="8"/>
        <v>106208.75666666673</v>
      </c>
      <c r="W19" s="140">
        <f t="shared" si="8"/>
        <v>106957.01164971082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1281.0172285113031</v>
      </c>
      <c r="C21" s="141">
        <v>1324.5762206332975</v>
      </c>
      <c r="D21" s="141">
        <v>1356.7913428405054</v>
      </c>
      <c r="E21" s="141">
        <v>1410.3529387964895</v>
      </c>
      <c r="F21" s="141">
        <v>1512.2867194594614</v>
      </c>
      <c r="G21" s="141">
        <v>1689.5001303352349</v>
      </c>
      <c r="H21" s="141">
        <v>1912.5431586183149</v>
      </c>
      <c r="I21" s="141">
        <v>2158.9798050631325</v>
      </c>
      <c r="J21" s="141">
        <v>2293.0564225304643</v>
      </c>
      <c r="K21" s="141">
        <v>2336.5879494875348</v>
      </c>
      <c r="L21" s="141">
        <v>2332.8279684065246</v>
      </c>
      <c r="M21" s="141">
        <v>2340.6033408740723</v>
      </c>
      <c r="N21" s="141">
        <v>2405.1447867632928</v>
      </c>
      <c r="O21" s="141">
        <v>2448.5773118345396</v>
      </c>
      <c r="P21" s="141">
        <v>2542.518057129505</v>
      </c>
      <c r="Q21" s="141">
        <v>2735.1706803539087</v>
      </c>
      <c r="R21" s="141">
        <v>3084.9792556316438</v>
      </c>
      <c r="S21" s="141">
        <v>3436.4920399305902</v>
      </c>
      <c r="T21" s="141">
        <v>3561.6223549548622</v>
      </c>
      <c r="U21" s="141">
        <v>3597.8855419560305</v>
      </c>
      <c r="V21" s="141">
        <v>3662.1932228788387</v>
      </c>
      <c r="W21" s="141">
        <v>3698.8507815534012</v>
      </c>
      <c r="DA21" s="171" t="s">
        <v>261</v>
      </c>
    </row>
    <row r="22" spans="1:105" ht="12" customHeight="1" x14ac:dyDescent="0.25">
      <c r="A22" s="132" t="s">
        <v>168</v>
      </c>
      <c r="B22" s="141">
        <v>3075.3393750788878</v>
      </c>
      <c r="C22" s="141">
        <v>3235.5122620510324</v>
      </c>
      <c r="D22" s="141">
        <v>3392.3665409175414</v>
      </c>
      <c r="E22" s="141">
        <v>3547.2214880066476</v>
      </c>
      <c r="F22" s="141">
        <v>3700.7361455724799</v>
      </c>
      <c r="G22" s="141">
        <v>3866.7834113467225</v>
      </c>
      <c r="H22" s="141">
        <v>4039.5873696824019</v>
      </c>
      <c r="I22" s="141">
        <v>4165.948871890525</v>
      </c>
      <c r="J22" s="141">
        <v>4180.4183346619957</v>
      </c>
      <c r="K22" s="141">
        <v>4094.2917967078251</v>
      </c>
      <c r="L22" s="141">
        <v>3979.6617626325456</v>
      </c>
      <c r="M22" s="141">
        <v>3919.3234861127416</v>
      </c>
      <c r="N22" s="141">
        <v>3936.9024368443888</v>
      </c>
      <c r="O22" s="141">
        <v>4009.6096911147711</v>
      </c>
      <c r="P22" s="141">
        <v>4097.7063545129477</v>
      </c>
      <c r="Q22" s="141">
        <v>4168.0213094293285</v>
      </c>
      <c r="R22" s="141">
        <v>4152.1995584805154</v>
      </c>
      <c r="S22" s="141">
        <v>3997.1069362272924</v>
      </c>
      <c r="T22" s="141">
        <v>3607.1557100954142</v>
      </c>
      <c r="U22" s="141">
        <v>3107.4688954867474</v>
      </c>
      <c r="V22" s="141">
        <v>2441.3032101397157</v>
      </c>
      <c r="W22" s="141">
        <v>1993.2417557650258</v>
      </c>
      <c r="DA22" s="171" t="s">
        <v>262</v>
      </c>
    </row>
    <row r="23" spans="1:105" ht="12" customHeight="1" x14ac:dyDescent="0.25">
      <c r="A23" s="132" t="s">
        <v>153</v>
      </c>
      <c r="B23" s="141">
        <v>1297.8118984467246</v>
      </c>
      <c r="C23" s="141">
        <v>1534.5528471564089</v>
      </c>
      <c r="D23" s="141">
        <v>1858.7474386917468</v>
      </c>
      <c r="E23" s="141">
        <v>2316.934154838923</v>
      </c>
      <c r="F23" s="141">
        <v>2912.4625807401735</v>
      </c>
      <c r="G23" s="141">
        <v>3932.2565212595514</v>
      </c>
      <c r="H23" s="141">
        <v>4914.0050490350759</v>
      </c>
      <c r="I23" s="141">
        <v>5883.2715058524445</v>
      </c>
      <c r="J23" s="141">
        <v>6617.6229015192112</v>
      </c>
      <c r="K23" s="141">
        <v>7267.750014858183</v>
      </c>
      <c r="L23" s="141">
        <v>7898.9640703088353</v>
      </c>
      <c r="M23" s="141">
        <v>8335.3581538949002</v>
      </c>
      <c r="N23" s="141">
        <v>8640.1487802509873</v>
      </c>
      <c r="O23" s="141">
        <v>8700.9372038171787</v>
      </c>
      <c r="P23" s="141">
        <v>8477.5568731110652</v>
      </c>
      <c r="Q23" s="141">
        <v>8399.9326565772408</v>
      </c>
      <c r="R23" s="141">
        <v>8280.5305748379851</v>
      </c>
      <c r="S23" s="141">
        <v>8432.1847424190837</v>
      </c>
      <c r="T23" s="141">
        <v>8672.9166726792064</v>
      </c>
      <c r="U23" s="141">
        <v>8978.8486352678101</v>
      </c>
      <c r="V23" s="141">
        <v>9340.742463569648</v>
      </c>
      <c r="W23" s="141">
        <v>9585.8093762187236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76667.124356576751</v>
      </c>
      <c r="C26" s="142">
        <v>79920.889130581927</v>
      </c>
      <c r="D26" s="142">
        <v>82344.701040860717</v>
      </c>
      <c r="E26" s="142">
        <v>85576.996698651157</v>
      </c>
      <c r="F26" s="142">
        <v>88596.619826256167</v>
      </c>
      <c r="G26" s="142">
        <v>90021.215575637762</v>
      </c>
      <c r="H26" s="142">
        <v>92864.849356133389</v>
      </c>
      <c r="I26" s="142">
        <v>94674.727292276875</v>
      </c>
      <c r="J26" s="142">
        <v>95772.926026921501</v>
      </c>
      <c r="K26" s="142">
        <v>95063.037334719498</v>
      </c>
      <c r="L26" s="142">
        <v>90919.471177751577</v>
      </c>
      <c r="M26" s="142">
        <v>88082.087651689406</v>
      </c>
      <c r="N26" s="142">
        <v>87858.14247268367</v>
      </c>
      <c r="O26" s="142">
        <v>87507.696849067914</v>
      </c>
      <c r="P26" s="142">
        <v>87673.31932379285</v>
      </c>
      <c r="Q26" s="142">
        <v>87808.370832845627</v>
      </c>
      <c r="R26" s="142">
        <v>87634.623992430119</v>
      </c>
      <c r="S26" s="142">
        <v>87975.967702930298</v>
      </c>
      <c r="T26" s="142">
        <v>88724.132725224903</v>
      </c>
      <c r="U26" s="142">
        <v>89718.771911683143</v>
      </c>
      <c r="V26" s="142">
        <v>90764.517770078528</v>
      </c>
      <c r="W26" s="142">
        <v>91679.109736173676</v>
      </c>
      <c r="DA26" s="172" t="s">
        <v>266</v>
      </c>
    </row>
    <row r="27" spans="1:105" ht="12" customHeight="1" x14ac:dyDescent="0.25">
      <c r="A27" s="145" t="s">
        <v>26</v>
      </c>
      <c r="B27" s="151">
        <v>4629.1653480041496</v>
      </c>
      <c r="C27" s="151">
        <v>4512.5249460486066</v>
      </c>
      <c r="D27" s="151">
        <v>4425.9579685464041</v>
      </c>
      <c r="E27" s="151">
        <v>4474.0406176908182</v>
      </c>
      <c r="F27" s="151">
        <v>4577.4394467939819</v>
      </c>
      <c r="G27" s="151">
        <v>4212.8493790470375</v>
      </c>
      <c r="H27" s="151">
        <v>4470.1485499509445</v>
      </c>
      <c r="I27" s="151">
        <v>4958.7052374851264</v>
      </c>
      <c r="J27" s="151">
        <v>5632.2728981700511</v>
      </c>
      <c r="K27" s="151">
        <v>6052.1697243165254</v>
      </c>
      <c r="L27" s="151">
        <v>5773.5705752758477</v>
      </c>
      <c r="M27" s="151">
        <v>5560.3395819252783</v>
      </c>
      <c r="N27" s="151">
        <v>5386.4708370019316</v>
      </c>
      <c r="O27" s="151">
        <v>5459.4537168969982</v>
      </c>
      <c r="P27" s="151">
        <v>5442.6377996642232</v>
      </c>
      <c r="Q27" s="151">
        <v>5444.9424305770908</v>
      </c>
      <c r="R27" s="151">
        <v>5760.517423094936</v>
      </c>
      <c r="S27" s="151">
        <v>5919.9962768820787</v>
      </c>
      <c r="T27" s="151">
        <v>6030.4077366983483</v>
      </c>
      <c r="U27" s="151">
        <v>6174.2179267504571</v>
      </c>
      <c r="V27" s="151">
        <v>7038.4619283556858</v>
      </c>
      <c r="W27" s="151">
        <v>7210.9743509163936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82321.292858613655</v>
      </c>
      <c r="C29" s="140">
        <f t="shared" si="9"/>
        <v>86015.530460422684</v>
      </c>
      <c r="D29" s="140">
        <f t="shared" si="9"/>
        <v>88952.606363310537</v>
      </c>
      <c r="E29" s="140">
        <f t="shared" si="9"/>
        <v>92851.505280293233</v>
      </c>
      <c r="F29" s="140">
        <f t="shared" si="9"/>
        <v>96722.10527202829</v>
      </c>
      <c r="G29" s="140">
        <f t="shared" si="9"/>
        <v>99509.7556385793</v>
      </c>
      <c r="H29" s="140">
        <f t="shared" si="9"/>
        <v>103730.98493346917</v>
      </c>
      <c r="I29" s="140">
        <f t="shared" si="9"/>
        <v>106882.92747508296</v>
      </c>
      <c r="J29" s="140">
        <f t="shared" si="9"/>
        <v>108864.02368563316</v>
      </c>
      <c r="K29" s="140">
        <f t="shared" si="9"/>
        <v>108761.66709577304</v>
      </c>
      <c r="L29" s="140">
        <f t="shared" si="9"/>
        <v>105130.92497909951</v>
      </c>
      <c r="M29" s="140">
        <f t="shared" si="9"/>
        <v>102677.37263257118</v>
      </c>
      <c r="N29" s="140">
        <f t="shared" si="9"/>
        <v>102840.33847654241</v>
      </c>
      <c r="O29" s="140">
        <f t="shared" si="9"/>
        <v>102666.82105583437</v>
      </c>
      <c r="P29" s="140">
        <f t="shared" si="9"/>
        <v>102791.10060854639</v>
      </c>
      <c r="Q29" s="140">
        <f t="shared" si="9"/>
        <v>103111.49547920606</v>
      </c>
      <c r="R29" s="140">
        <f t="shared" ref="R29:W29" si="10">SUM(R30:R33)</f>
        <v>103152.33338138017</v>
      </c>
      <c r="S29" s="140">
        <f t="shared" si="10"/>
        <v>103841.7514215073</v>
      </c>
      <c r="T29" s="140">
        <f t="shared" si="10"/>
        <v>104565.82746295439</v>
      </c>
      <c r="U29" s="140">
        <f t="shared" si="10"/>
        <v>105402.9749843938</v>
      </c>
      <c r="V29" s="140">
        <f t="shared" si="10"/>
        <v>106208.75666666661</v>
      </c>
      <c r="W29" s="140">
        <f t="shared" si="10"/>
        <v>106957.01164971072</v>
      </c>
      <c r="DA29" s="170" t="s">
        <v>268</v>
      </c>
    </row>
    <row r="30" spans="1:105" ht="12" customHeight="1" x14ac:dyDescent="0.25">
      <c r="A30" s="132" t="s">
        <v>52</v>
      </c>
      <c r="B30" s="141">
        <v>5495.7353233755412</v>
      </c>
      <c r="C30" s="141">
        <v>4937.5608122890362</v>
      </c>
      <c r="D30" s="141">
        <v>4870.355355263584</v>
      </c>
      <c r="E30" s="141">
        <v>6007.5477936600519</v>
      </c>
      <c r="F30" s="141">
        <v>8431.2591610478594</v>
      </c>
      <c r="G30" s="141">
        <v>9180.342152434263</v>
      </c>
      <c r="H30" s="141">
        <v>9332.4285635847555</v>
      </c>
      <c r="I30" s="141">
        <v>8750.9789544182004</v>
      </c>
      <c r="J30" s="141">
        <v>8851.5824450582313</v>
      </c>
      <c r="K30" s="141">
        <v>8799.4836913563322</v>
      </c>
      <c r="L30" s="141">
        <v>8788.9957186752927</v>
      </c>
      <c r="M30" s="141">
        <v>10283.337575893109</v>
      </c>
      <c r="N30" s="141">
        <v>12083.290259840334</v>
      </c>
      <c r="O30" s="141">
        <v>11746.052391591247</v>
      </c>
      <c r="P30" s="141">
        <v>9991.8020176935261</v>
      </c>
      <c r="Q30" s="141">
        <v>9880.5235438769705</v>
      </c>
      <c r="R30" s="141">
        <v>10409.292684849903</v>
      </c>
      <c r="S30" s="141">
        <v>10729.266433019948</v>
      </c>
      <c r="T30" s="141">
        <v>11610.805514559383</v>
      </c>
      <c r="U30" s="141">
        <v>12394.657441841427</v>
      </c>
      <c r="V30" s="141">
        <v>12001.748995047659</v>
      </c>
      <c r="W30" s="141">
        <v>12544.947881670465</v>
      </c>
      <c r="DA30" s="171" t="s">
        <v>269</v>
      </c>
    </row>
    <row r="31" spans="1:105" ht="12" customHeight="1" x14ac:dyDescent="0.25">
      <c r="A31" s="132" t="s">
        <v>153</v>
      </c>
      <c r="B31" s="141">
        <v>489.69584472511593</v>
      </c>
      <c r="C31" s="141">
        <v>619.85130819295421</v>
      </c>
      <c r="D31" s="141">
        <v>967.94576377301894</v>
      </c>
      <c r="E31" s="141">
        <v>1439.2639721931412</v>
      </c>
      <c r="F31" s="141">
        <v>2018.7150971397441</v>
      </c>
      <c r="G31" s="141">
        <v>2709.7745161326679</v>
      </c>
      <c r="H31" s="141">
        <v>3349.8593257364482</v>
      </c>
      <c r="I31" s="141">
        <v>4050.2500071965055</v>
      </c>
      <c r="J31" s="141">
        <v>4809.7510580186945</v>
      </c>
      <c r="K31" s="141">
        <v>5653.0122506751013</v>
      </c>
      <c r="L31" s="141">
        <v>6389.4523011157953</v>
      </c>
      <c r="M31" s="141">
        <v>6947.9126362156157</v>
      </c>
      <c r="N31" s="141">
        <v>7290.782963703914</v>
      </c>
      <c r="O31" s="141">
        <v>7491.1381628142262</v>
      </c>
      <c r="P31" s="141">
        <v>7682.7423347773174</v>
      </c>
      <c r="Q31" s="141">
        <v>7747.7180986521762</v>
      </c>
      <c r="R31" s="141">
        <v>7659.4860483924031</v>
      </c>
      <c r="S31" s="141">
        <v>7551.4092108724553</v>
      </c>
      <c r="T31" s="141">
        <v>7609.6873677989006</v>
      </c>
      <c r="U31" s="141">
        <v>7835.1204764557806</v>
      </c>
      <c r="V31" s="141">
        <v>8235.4325104587188</v>
      </c>
      <c r="W31" s="141">
        <v>8285.0278032399638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76335.861690513004</v>
      </c>
      <c r="C33" s="153">
        <v>80458.118339940687</v>
      </c>
      <c r="D33" s="153">
        <v>83114.305244273928</v>
      </c>
      <c r="E33" s="153">
        <v>85404.693514440034</v>
      </c>
      <c r="F33" s="153">
        <v>86272.131013840684</v>
      </c>
      <c r="G33" s="153">
        <v>87619.638970012369</v>
      </c>
      <c r="H33" s="153">
        <v>91048.697044147964</v>
      </c>
      <c r="I33" s="153">
        <v>94081.698513468262</v>
      </c>
      <c r="J33" s="153">
        <v>95202.690182556238</v>
      </c>
      <c r="K33" s="153">
        <v>94309.171153741612</v>
      </c>
      <c r="L33" s="153">
        <v>89952.47695930842</v>
      </c>
      <c r="M33" s="153">
        <v>85446.12242046246</v>
      </c>
      <c r="N33" s="153">
        <v>83466.265252998171</v>
      </c>
      <c r="O33" s="153">
        <v>83429.630501428896</v>
      </c>
      <c r="P33" s="153">
        <v>85116.55625607555</v>
      </c>
      <c r="Q33" s="153">
        <v>85483.253836676915</v>
      </c>
      <c r="R33" s="153">
        <v>85083.55464813787</v>
      </c>
      <c r="S33" s="153">
        <v>85561.075777614897</v>
      </c>
      <c r="T33" s="153">
        <v>85345.334580596114</v>
      </c>
      <c r="U33" s="153">
        <v>85173.197066096604</v>
      </c>
      <c r="V33" s="153">
        <v>85971.575161160232</v>
      </c>
      <c r="W33" s="153">
        <v>86127.035964800292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914.78253509559954</v>
      </c>
      <c r="C3" s="126">
        <f t="shared" si="0"/>
        <v>1054.7925847140257</v>
      </c>
      <c r="D3" s="126">
        <f t="shared" si="0"/>
        <v>1105.7756277377378</v>
      </c>
      <c r="E3" s="126">
        <f t="shared" si="0"/>
        <v>1207.3135351151057</v>
      </c>
      <c r="F3" s="126">
        <f t="shared" si="0"/>
        <v>1298.5770405548967</v>
      </c>
      <c r="G3" s="126">
        <f t="shared" si="0"/>
        <v>1436.9624135077252</v>
      </c>
      <c r="H3" s="126">
        <f t="shared" si="0"/>
        <v>1548.2364399475227</v>
      </c>
      <c r="I3" s="126">
        <f t="shared" si="0"/>
        <v>1583.408745843137</v>
      </c>
      <c r="J3" s="126">
        <f t="shared" si="0"/>
        <v>1647.4810547318409</v>
      </c>
      <c r="K3" s="126">
        <f t="shared" si="0"/>
        <v>1560.1626925883559</v>
      </c>
      <c r="L3" s="126">
        <f t="shared" si="0"/>
        <v>1368.3360895950893</v>
      </c>
      <c r="M3" s="126">
        <f t="shared" si="0"/>
        <v>1283.0080187852361</v>
      </c>
      <c r="N3" s="126">
        <f t="shared" si="0"/>
        <v>1347.4571955579061</v>
      </c>
      <c r="O3" s="126">
        <f t="shared" si="0"/>
        <v>1227.6266582764197</v>
      </c>
      <c r="P3" s="126">
        <f t="shared" si="0"/>
        <v>1110.5871982714862</v>
      </c>
      <c r="Q3" s="126">
        <f t="shared" si="0"/>
        <v>1260.7847333449154</v>
      </c>
      <c r="R3" s="126">
        <f t="shared" ref="R3:W3" si="1">SUM(R4,R16,R19,R29)</f>
        <v>1389.5710547618664</v>
      </c>
      <c r="S3" s="126">
        <f t="shared" si="1"/>
        <v>1320.9794401018839</v>
      </c>
      <c r="T3" s="126">
        <f t="shared" si="1"/>
        <v>1205.6082997932581</v>
      </c>
      <c r="U3" s="126">
        <f t="shared" si="1"/>
        <v>1244.2281233351541</v>
      </c>
      <c r="V3" s="126">
        <f t="shared" si="1"/>
        <v>1033.3373058082018</v>
      </c>
      <c r="W3" s="126">
        <f t="shared" si="1"/>
        <v>1135.4108360572677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368.74605099823458</v>
      </c>
      <c r="C4" s="131">
        <f t="shared" si="2"/>
        <v>461.76399694808396</v>
      </c>
      <c r="D4" s="131">
        <f t="shared" si="2"/>
        <v>483.33506760399712</v>
      </c>
      <c r="E4" s="131">
        <f t="shared" si="2"/>
        <v>547.90144254367556</v>
      </c>
      <c r="F4" s="131">
        <f t="shared" si="2"/>
        <v>615.98697485888738</v>
      </c>
      <c r="G4" s="131">
        <f t="shared" si="2"/>
        <v>714.40358200286369</v>
      </c>
      <c r="H4" s="131">
        <f t="shared" si="2"/>
        <v>803.03127970027515</v>
      </c>
      <c r="I4" s="131">
        <f t="shared" si="2"/>
        <v>813.29430989985087</v>
      </c>
      <c r="J4" s="131">
        <f t="shared" si="2"/>
        <v>867.52937990475891</v>
      </c>
      <c r="K4" s="131">
        <f t="shared" si="2"/>
        <v>785.74932695519192</v>
      </c>
      <c r="L4" s="131">
        <f t="shared" si="2"/>
        <v>571.01134372717684</v>
      </c>
      <c r="M4" s="131">
        <f t="shared" si="2"/>
        <v>490.68311861295876</v>
      </c>
      <c r="N4" s="131">
        <f t="shared" si="2"/>
        <v>506.67797491546349</v>
      </c>
      <c r="O4" s="131">
        <f t="shared" si="2"/>
        <v>419.08250037098065</v>
      </c>
      <c r="P4" s="131">
        <f t="shared" si="2"/>
        <v>312.45829894626797</v>
      </c>
      <c r="Q4" s="131">
        <f t="shared" si="2"/>
        <v>450.76559481235057</v>
      </c>
      <c r="R4" s="131">
        <f t="shared" ref="R4:W4" si="3">SUM(R5:R15)</f>
        <v>579.2240743379374</v>
      </c>
      <c r="S4" s="131">
        <f t="shared" si="3"/>
        <v>511.35974855092314</v>
      </c>
      <c r="T4" s="131">
        <f t="shared" si="3"/>
        <v>416.82791340123663</v>
      </c>
      <c r="U4" s="131">
        <f t="shared" si="3"/>
        <v>453.71398202451445</v>
      </c>
      <c r="V4" s="131">
        <f t="shared" si="3"/>
        <v>353.6590911778888</v>
      </c>
      <c r="W4" s="131">
        <f t="shared" si="3"/>
        <v>390.1970256149886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210.052540998225</v>
      </c>
      <c r="C7" s="133">
        <v>280.16253664218459</v>
      </c>
      <c r="D7" s="133">
        <v>288.33065296096049</v>
      </c>
      <c r="E7" s="133">
        <v>310.3417980043198</v>
      </c>
      <c r="F7" s="133">
        <v>299.88450450072173</v>
      </c>
      <c r="G7" s="133">
        <v>381.63851040739166</v>
      </c>
      <c r="H7" s="133">
        <v>391.99860797611694</v>
      </c>
      <c r="I7" s="133">
        <v>351.48860835566359</v>
      </c>
      <c r="J7" s="133">
        <v>333.28655775934669</v>
      </c>
      <c r="K7" s="133">
        <v>234.13669738181986</v>
      </c>
      <c r="L7" s="133">
        <v>193.34666227795833</v>
      </c>
      <c r="M7" s="133">
        <v>172.89708067896268</v>
      </c>
      <c r="N7" s="133">
        <v>57.689118652620657</v>
      </c>
      <c r="O7" s="133">
        <v>109.57605004854707</v>
      </c>
      <c r="P7" s="133">
        <v>49.060016389395813</v>
      </c>
      <c r="Q7" s="133">
        <v>54.982366612527464</v>
      </c>
      <c r="R7" s="133">
        <v>104.33743833977987</v>
      </c>
      <c r="S7" s="133">
        <v>43.057448818670132</v>
      </c>
      <c r="T7" s="133">
        <v>40.450900757015418</v>
      </c>
      <c r="U7" s="133">
        <v>39.176045718495836</v>
      </c>
      <c r="V7" s="133">
        <v>33.487653167050048</v>
      </c>
      <c r="W7" s="133">
        <v>25.189614865891624</v>
      </c>
      <c r="DA7" s="157" t="s">
        <v>276</v>
      </c>
    </row>
    <row r="8" spans="1:105" ht="12" customHeight="1" x14ac:dyDescent="0.25">
      <c r="A8" s="132" t="s">
        <v>73</v>
      </c>
      <c r="B8" s="133">
        <v>6.9059729068861502E-3</v>
      </c>
      <c r="C8" s="133">
        <v>8.1611893846508816E-3</v>
      </c>
      <c r="D8" s="133">
        <v>1.2817856324934181E-2</v>
      </c>
      <c r="E8" s="133">
        <v>2.0240896328291319E-2</v>
      </c>
      <c r="F8" s="133">
        <v>3.2081850714186635E-2</v>
      </c>
      <c r="G8" s="133">
        <v>4.9477143473416474E-2</v>
      </c>
      <c r="H8" s="133">
        <v>5.7568836161350417E-2</v>
      </c>
      <c r="I8" s="133">
        <v>6.5139592628776402E-2</v>
      </c>
      <c r="J8" s="133">
        <v>7.6783046291464221E-2</v>
      </c>
      <c r="K8" s="133">
        <v>9.301081717858789E-2</v>
      </c>
      <c r="L8" s="133">
        <v>0.10619538913359426</v>
      </c>
      <c r="M8" s="133">
        <v>0.14681459790675366</v>
      </c>
      <c r="N8" s="133">
        <v>0.22436032381376059</v>
      </c>
      <c r="O8" s="133">
        <v>0.62962500707406344</v>
      </c>
      <c r="P8" s="133">
        <v>1.7136918450150898</v>
      </c>
      <c r="Q8" s="133">
        <v>3.9042011154901881</v>
      </c>
      <c r="R8" s="133">
        <v>3.9216863416004415</v>
      </c>
      <c r="S8" s="133">
        <v>3.9751006371294726</v>
      </c>
      <c r="T8" s="133">
        <v>4.2404398126577796</v>
      </c>
      <c r="U8" s="133">
        <v>4.4534339614782574</v>
      </c>
      <c r="V8" s="133">
        <v>5.1245815514025645</v>
      </c>
      <c r="W8" s="133">
        <v>5.5267266326808953</v>
      </c>
      <c r="DA8" s="157" t="s">
        <v>277</v>
      </c>
    </row>
    <row r="9" spans="1:105" ht="12" customHeight="1" x14ac:dyDescent="0.25">
      <c r="A9" s="132" t="s">
        <v>78</v>
      </c>
      <c r="B9" s="133">
        <v>3.4647522471872616</v>
      </c>
      <c r="C9" s="133">
        <v>4.911307370220551</v>
      </c>
      <c r="D9" s="133">
        <v>8.739320894192744</v>
      </c>
      <c r="E9" s="133">
        <v>16.817826730968747</v>
      </c>
      <c r="F9" s="133">
        <v>29.877280533015774</v>
      </c>
      <c r="G9" s="133">
        <v>50.773512491490017</v>
      </c>
      <c r="H9" s="133">
        <v>62.381257941526989</v>
      </c>
      <c r="I9" s="133">
        <v>68.184101544429396</v>
      </c>
      <c r="J9" s="133">
        <v>85.353863525028345</v>
      </c>
      <c r="K9" s="133">
        <v>94.562038233269192</v>
      </c>
      <c r="L9" s="133">
        <v>79.613947533200658</v>
      </c>
      <c r="M9" s="133">
        <v>112.71384190134184</v>
      </c>
      <c r="N9" s="133">
        <v>81.439751429912604</v>
      </c>
      <c r="O9" s="133">
        <v>67.45013116690393</v>
      </c>
      <c r="P9" s="133">
        <v>65.852859522801239</v>
      </c>
      <c r="Q9" s="133">
        <v>102.2339192334324</v>
      </c>
      <c r="R9" s="133">
        <v>85.463859267162874</v>
      </c>
      <c r="S9" s="133">
        <v>86.208824849183543</v>
      </c>
      <c r="T9" s="133">
        <v>82.032455832021483</v>
      </c>
      <c r="U9" s="133">
        <v>96.58540827253141</v>
      </c>
      <c r="V9" s="133">
        <v>80.430526040894009</v>
      </c>
      <c r="W9" s="133">
        <v>79.86646843081563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10.413671539122966</v>
      </c>
      <c r="O10" s="133">
        <v>7.2847807394668997</v>
      </c>
      <c r="P10" s="133">
        <v>5.947291487532242</v>
      </c>
      <c r="Q10" s="133">
        <v>18.247807394668964</v>
      </c>
      <c r="R10" s="133">
        <v>11.655717970765256</v>
      </c>
      <c r="S10" s="133">
        <v>8.6939810834049904</v>
      </c>
      <c r="T10" s="133">
        <v>13.232072226999097</v>
      </c>
      <c r="U10" s="133">
        <v>6.1024935511607072</v>
      </c>
      <c r="V10" s="133">
        <v>6.1886500429922133</v>
      </c>
      <c r="W10" s="133">
        <v>13.369991401547679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5.0635425623387791</v>
      </c>
      <c r="G11" s="133">
        <v>4.6813413585554606</v>
      </c>
      <c r="H11" s="133">
        <v>4.6813413585554606</v>
      </c>
      <c r="I11" s="133">
        <v>4.5380911435941522</v>
      </c>
      <c r="J11" s="133">
        <v>4.5380911435941522</v>
      </c>
      <c r="K11" s="133">
        <v>5.8755803955288064</v>
      </c>
      <c r="L11" s="133">
        <v>5.875580395528802</v>
      </c>
      <c r="M11" s="133">
        <v>5.875580395528802</v>
      </c>
      <c r="N11" s="133">
        <v>5.8755803955288028</v>
      </c>
      <c r="O11" s="133">
        <v>5.6368013757523583</v>
      </c>
      <c r="P11" s="133">
        <v>6.3294067067927751</v>
      </c>
      <c r="Q11" s="133">
        <v>5.9950128976784152</v>
      </c>
      <c r="R11" s="133">
        <v>5.9950128976784161</v>
      </c>
      <c r="S11" s="133">
        <v>5.8517626827171068</v>
      </c>
      <c r="T11" s="133">
        <v>5.8517626827171094</v>
      </c>
      <c r="U11" s="133">
        <v>7.6907996560619063</v>
      </c>
      <c r="V11" s="133">
        <v>2.5079105760963056</v>
      </c>
      <c r="W11" s="133">
        <v>2.3884780739466889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9.0954497508274681</v>
      </c>
      <c r="C13" s="133">
        <v>11.255583495638845</v>
      </c>
      <c r="D13" s="133">
        <v>13.592448226299991</v>
      </c>
      <c r="E13" s="133">
        <v>16.761412848119946</v>
      </c>
      <c r="F13" s="133">
        <v>23.613950296744978</v>
      </c>
      <c r="G13" s="133">
        <v>25.448027368175758</v>
      </c>
      <c r="H13" s="133">
        <v>31.740317644224305</v>
      </c>
      <c r="I13" s="133">
        <v>40.775466119296169</v>
      </c>
      <c r="J13" s="133">
        <v>48.192720306017556</v>
      </c>
      <c r="K13" s="133">
        <v>56.116473783227896</v>
      </c>
      <c r="L13" s="133">
        <v>59.072198841725317</v>
      </c>
      <c r="M13" s="133">
        <v>62.576964099692724</v>
      </c>
      <c r="N13" s="133">
        <v>83.38219112275236</v>
      </c>
      <c r="O13" s="133">
        <v>88.464304195691327</v>
      </c>
      <c r="P13" s="133">
        <v>110.2607620817125</v>
      </c>
      <c r="Q13" s="133">
        <v>136.98226263591607</v>
      </c>
      <c r="R13" s="133">
        <v>136.41142047695965</v>
      </c>
      <c r="S13" s="133">
        <v>132.6572845773056</v>
      </c>
      <c r="T13" s="133">
        <v>139.32920542257398</v>
      </c>
      <c r="U13" s="133">
        <v>141.24541576520312</v>
      </c>
      <c r="V13" s="133">
        <v>149.38113554392586</v>
      </c>
      <c r="W13" s="133">
        <v>160.98021362352364</v>
      </c>
      <c r="DA13" s="157" t="s">
        <v>282</v>
      </c>
    </row>
    <row r="14" spans="1:105" ht="12" customHeight="1" x14ac:dyDescent="0.25">
      <c r="A14" s="60" t="s">
        <v>76</v>
      </c>
      <c r="B14" s="65">
        <v>144.51758296640054</v>
      </c>
      <c r="C14" s="65">
        <v>163.27914527960766</v>
      </c>
      <c r="D14" s="65">
        <v>170.43872255785317</v>
      </c>
      <c r="E14" s="65">
        <v>201.51894938619398</v>
      </c>
      <c r="F14" s="65">
        <v>255.03889144060946</v>
      </c>
      <c r="G14" s="65">
        <v>248.56435680689231</v>
      </c>
      <c r="H14" s="65">
        <v>308.76990527425556</v>
      </c>
      <c r="I14" s="65">
        <v>345.10863373379459</v>
      </c>
      <c r="J14" s="65">
        <v>392.94582144343241</v>
      </c>
      <c r="K14" s="65">
        <v>392.45709462323595</v>
      </c>
      <c r="L14" s="65">
        <v>230.91615537264835</v>
      </c>
      <c r="M14" s="65">
        <v>134.24642170245437</v>
      </c>
      <c r="N14" s="65">
        <v>266.46907983643928</v>
      </c>
      <c r="O14" s="65">
        <v>138.60937733813242</v>
      </c>
      <c r="P14" s="65">
        <v>72.313719379377375</v>
      </c>
      <c r="Q14" s="65">
        <v>127.02312240027941</v>
      </c>
      <c r="R14" s="65">
        <v>229.84525887333373</v>
      </c>
      <c r="S14" s="65">
        <v>229.74885080101726</v>
      </c>
      <c r="T14" s="65">
        <v>130.53119137154584</v>
      </c>
      <c r="U14" s="65">
        <v>157.1629310044876</v>
      </c>
      <c r="V14" s="65">
        <v>75.415806100282694</v>
      </c>
      <c r="W14" s="65">
        <v>101.76897232248568</v>
      </c>
      <c r="DA14" s="109" t="s">
        <v>283</v>
      </c>
    </row>
    <row r="15" spans="1:105" ht="12" customHeight="1" x14ac:dyDescent="0.25">
      <c r="A15" s="134" t="s">
        <v>80</v>
      </c>
      <c r="B15" s="135">
        <v>1.6088190626874659</v>
      </c>
      <c r="C15" s="135">
        <v>2.1472629710477311</v>
      </c>
      <c r="D15" s="135">
        <v>2.2211051083657511</v>
      </c>
      <c r="E15" s="135">
        <v>2.4412146777446941</v>
      </c>
      <c r="F15" s="135">
        <v>2.476723674742491</v>
      </c>
      <c r="G15" s="135">
        <v>3.2483564268850031</v>
      </c>
      <c r="H15" s="135">
        <v>3.4022806694345054</v>
      </c>
      <c r="I15" s="135">
        <v>3.1342694104441744</v>
      </c>
      <c r="J15" s="135">
        <v>3.1355426810483138</v>
      </c>
      <c r="K15" s="135">
        <v>2.5084317209315841</v>
      </c>
      <c r="L15" s="135">
        <v>2.0806039169817967</v>
      </c>
      <c r="M15" s="135">
        <v>2.2264152370716643</v>
      </c>
      <c r="N15" s="135">
        <v>1.184221615273078</v>
      </c>
      <c r="O15" s="135">
        <v>1.4314304994125622</v>
      </c>
      <c r="P15" s="135">
        <v>0.98055153364095526</v>
      </c>
      <c r="Q15" s="135">
        <v>1.3969025223576876</v>
      </c>
      <c r="R15" s="135">
        <v>1.5936801706571753</v>
      </c>
      <c r="S15" s="135">
        <v>1.1664951014950744</v>
      </c>
      <c r="T15" s="135">
        <v>1.1598852957059478</v>
      </c>
      <c r="U15" s="135">
        <v>1.29745409509559</v>
      </c>
      <c r="V15" s="135">
        <v>1.122828155245172</v>
      </c>
      <c r="W15" s="135">
        <v>1.1065602640967174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38.28095744844606</v>
      </c>
      <c r="C16" s="131">
        <f t="shared" si="4"/>
        <v>48.268291633730996</v>
      </c>
      <c r="D16" s="131">
        <f t="shared" si="4"/>
        <v>39.988184922564642</v>
      </c>
      <c r="E16" s="131">
        <f t="shared" si="4"/>
        <v>55.442210102439105</v>
      </c>
      <c r="F16" s="131">
        <f t="shared" si="4"/>
        <v>35.178444517730469</v>
      </c>
      <c r="G16" s="131">
        <f t="shared" si="4"/>
        <v>36.189784571520129</v>
      </c>
      <c r="H16" s="131">
        <f t="shared" si="4"/>
        <v>44.611195844263385</v>
      </c>
      <c r="I16" s="131">
        <f t="shared" si="4"/>
        <v>68.340164490006188</v>
      </c>
      <c r="J16" s="131">
        <f t="shared" si="4"/>
        <v>66.875780839884371</v>
      </c>
      <c r="K16" s="131">
        <f t="shared" si="4"/>
        <v>47.357086552453701</v>
      </c>
      <c r="L16" s="131">
        <f t="shared" si="4"/>
        <v>60.86257207772379</v>
      </c>
      <c r="M16" s="131">
        <f t="shared" si="4"/>
        <v>53.360724326850558</v>
      </c>
      <c r="N16" s="131">
        <f t="shared" si="4"/>
        <v>89.901571441279089</v>
      </c>
      <c r="O16" s="131">
        <f t="shared" si="4"/>
        <v>58.757583432347118</v>
      </c>
      <c r="P16" s="131">
        <f t="shared" si="4"/>
        <v>50.444428577472408</v>
      </c>
      <c r="Q16" s="131">
        <f t="shared" si="4"/>
        <v>66.329184259534671</v>
      </c>
      <c r="R16" s="131">
        <f t="shared" ref="R16:W16" si="5">SUM(R17:R18)</f>
        <v>73.066451791325292</v>
      </c>
      <c r="S16" s="131">
        <f t="shared" si="5"/>
        <v>75.339711673870951</v>
      </c>
      <c r="T16" s="131">
        <f t="shared" si="5"/>
        <v>66.60548739438704</v>
      </c>
      <c r="U16" s="131">
        <f t="shared" si="5"/>
        <v>86.645827869239938</v>
      </c>
      <c r="V16" s="131">
        <f t="shared" si="5"/>
        <v>74.535794076240563</v>
      </c>
      <c r="W16" s="131">
        <f t="shared" si="5"/>
        <v>99.244200964757198</v>
      </c>
      <c r="DA16" s="156" t="s">
        <v>214</v>
      </c>
    </row>
    <row r="17" spans="1:105" ht="12.95" customHeight="1" x14ac:dyDescent="0.25">
      <c r="A17" s="132" t="s">
        <v>73</v>
      </c>
      <c r="B17" s="133">
        <v>4.2754660530432156E-2</v>
      </c>
      <c r="C17" s="133">
        <v>5.49582134638383E-2</v>
      </c>
      <c r="D17" s="133">
        <v>6.1403838791723203E-2</v>
      </c>
      <c r="E17" s="133">
        <v>7.7679992061601422E-2</v>
      </c>
      <c r="F17" s="133">
        <v>0.10177596555939625</v>
      </c>
      <c r="G17" s="133">
        <v>0.1589541871344228</v>
      </c>
      <c r="H17" s="133">
        <v>0.26381161690445087</v>
      </c>
      <c r="I17" s="133">
        <v>0.37650466387584919</v>
      </c>
      <c r="J17" s="133">
        <v>0.49648752878828173</v>
      </c>
      <c r="K17" s="133">
        <v>0.58684296353802967</v>
      </c>
      <c r="L17" s="133">
        <v>0.79406917158256696</v>
      </c>
      <c r="M17" s="133">
        <v>0.99002584205495536</v>
      </c>
      <c r="N17" s="133">
        <v>1.9180927419133511</v>
      </c>
      <c r="O17" s="133">
        <v>1.9855038983694071</v>
      </c>
      <c r="P17" s="133">
        <v>2.3900581664295832</v>
      </c>
      <c r="Q17" s="133">
        <v>3.4526767219048429</v>
      </c>
      <c r="R17" s="133">
        <v>4.1388013662154917</v>
      </c>
      <c r="S17" s="133">
        <v>4.66338017608724</v>
      </c>
      <c r="T17" s="133">
        <v>4.6971077892228461</v>
      </c>
      <c r="U17" s="133">
        <v>6.2248271640009358</v>
      </c>
      <c r="V17" s="133">
        <v>5.2157824870341063</v>
      </c>
      <c r="W17" s="133">
        <v>6.9335649270164073</v>
      </c>
      <c r="DA17" s="157" t="s">
        <v>285</v>
      </c>
    </row>
    <row r="18" spans="1:105" ht="12" customHeight="1" x14ac:dyDescent="0.25">
      <c r="A18" s="132" t="s">
        <v>72</v>
      </c>
      <c r="B18" s="133">
        <v>38.238202787915625</v>
      </c>
      <c r="C18" s="133">
        <v>48.213333420267155</v>
      </c>
      <c r="D18" s="133">
        <v>39.926781083772916</v>
      </c>
      <c r="E18" s="133">
        <v>55.364530110377501</v>
      </c>
      <c r="F18" s="133">
        <v>35.076668552171071</v>
      </c>
      <c r="G18" s="133">
        <v>36.030830384385709</v>
      </c>
      <c r="H18" s="133">
        <v>44.347384227358937</v>
      </c>
      <c r="I18" s="133">
        <v>67.963659826130339</v>
      </c>
      <c r="J18" s="133">
        <v>66.379293311096092</v>
      </c>
      <c r="K18" s="133">
        <v>46.770243588915669</v>
      </c>
      <c r="L18" s="133">
        <v>60.068502906141227</v>
      </c>
      <c r="M18" s="133">
        <v>52.370698484795604</v>
      </c>
      <c r="N18" s="133">
        <v>87.983478699365733</v>
      </c>
      <c r="O18" s="133">
        <v>56.77207953397771</v>
      </c>
      <c r="P18" s="133">
        <v>48.054370411042825</v>
      </c>
      <c r="Q18" s="133">
        <v>62.876507537629827</v>
      </c>
      <c r="R18" s="133">
        <v>68.927650425109803</v>
      </c>
      <c r="S18" s="133">
        <v>70.676331497783707</v>
      </c>
      <c r="T18" s="133">
        <v>61.9083796051642</v>
      </c>
      <c r="U18" s="133">
        <v>80.421000705238995</v>
      </c>
      <c r="V18" s="133">
        <v>69.320011589206459</v>
      </c>
      <c r="W18" s="133">
        <v>92.310636037740792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241.2250679244116</v>
      </c>
      <c r="C19" s="131">
        <f t="shared" si="6"/>
        <v>261.82474652674097</v>
      </c>
      <c r="D19" s="131">
        <f t="shared" si="6"/>
        <v>282.60145136069463</v>
      </c>
      <c r="E19" s="131">
        <f t="shared" si="6"/>
        <v>296.27928774755048</v>
      </c>
      <c r="F19" s="131">
        <f t="shared" si="6"/>
        <v>312.48845757149064</v>
      </c>
      <c r="G19" s="131">
        <f t="shared" si="6"/>
        <v>339.62390274434722</v>
      </c>
      <c r="H19" s="131">
        <f t="shared" si="6"/>
        <v>348.33197184201521</v>
      </c>
      <c r="I19" s="131">
        <f t="shared" si="6"/>
        <v>350.53302027693803</v>
      </c>
      <c r="J19" s="131">
        <f t="shared" si="6"/>
        <v>359.29302704781361</v>
      </c>
      <c r="K19" s="131">
        <f t="shared" si="6"/>
        <v>364.93579989584907</v>
      </c>
      <c r="L19" s="131">
        <f t="shared" si="6"/>
        <v>370.1237690611996</v>
      </c>
      <c r="M19" s="131">
        <f t="shared" si="6"/>
        <v>370.85870413662292</v>
      </c>
      <c r="N19" s="131">
        <f t="shared" si="6"/>
        <v>367.22561232886017</v>
      </c>
      <c r="O19" s="131">
        <f t="shared" si="6"/>
        <v>368.85279537576611</v>
      </c>
      <c r="P19" s="131">
        <f t="shared" si="6"/>
        <v>375.28967625213909</v>
      </c>
      <c r="Q19" s="131">
        <f t="shared" si="6"/>
        <v>376.70065971012855</v>
      </c>
      <c r="R19" s="131">
        <f t="shared" ref="R19:W19" si="7">SUM(R20:R27)</f>
        <v>370.52149940397379</v>
      </c>
      <c r="S19" s="131">
        <f t="shared" si="7"/>
        <v>367.12696036033134</v>
      </c>
      <c r="T19" s="131">
        <f t="shared" si="7"/>
        <v>359.0538493530388</v>
      </c>
      <c r="U19" s="131">
        <f t="shared" si="7"/>
        <v>347.70470621042625</v>
      </c>
      <c r="V19" s="131">
        <f t="shared" si="7"/>
        <v>304.43871342240379</v>
      </c>
      <c r="W19" s="131">
        <f t="shared" si="7"/>
        <v>304.81459372038245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4.3478759924903745</v>
      </c>
      <c r="C21" s="133">
        <v>4.86179251189838</v>
      </c>
      <c r="D21" s="133">
        <v>5.1148715280153079</v>
      </c>
      <c r="E21" s="133">
        <v>5.156026732652669</v>
      </c>
      <c r="F21" s="133">
        <v>5.6325967663299998</v>
      </c>
      <c r="G21" s="133">
        <v>6.6228006819198724</v>
      </c>
      <c r="H21" s="133">
        <v>7.324730095845613</v>
      </c>
      <c r="I21" s="133">
        <v>8.7721979529279839</v>
      </c>
      <c r="J21" s="133">
        <v>9.1568422801104461</v>
      </c>
      <c r="K21" s="133">
        <v>9.3319954056864347</v>
      </c>
      <c r="L21" s="133">
        <v>9.5639110459780241</v>
      </c>
      <c r="M21" s="133">
        <v>9.568612367006029</v>
      </c>
      <c r="N21" s="133">
        <v>10.299637055805263</v>
      </c>
      <c r="O21" s="133">
        <v>10.375727470255052</v>
      </c>
      <c r="P21" s="133">
        <v>10.447893396091745</v>
      </c>
      <c r="Q21" s="133">
        <v>10.66406775182771</v>
      </c>
      <c r="R21" s="133">
        <v>12.702118104006532</v>
      </c>
      <c r="S21" s="133">
        <v>13.942075234545102</v>
      </c>
      <c r="T21" s="133">
        <v>13.983936040487141</v>
      </c>
      <c r="U21" s="133">
        <v>14.73268216709768</v>
      </c>
      <c r="V21" s="133">
        <v>8.5567008788663355</v>
      </c>
      <c r="W21" s="133">
        <v>11.710406955100567</v>
      </c>
      <c r="DA21" s="157" t="s">
        <v>288</v>
      </c>
    </row>
    <row r="22" spans="1:105" ht="12" customHeight="1" x14ac:dyDescent="0.25">
      <c r="A22" s="132" t="s">
        <v>168</v>
      </c>
      <c r="B22" s="133">
        <v>10.980219104956458</v>
      </c>
      <c r="C22" s="133">
        <v>12.576586315683027</v>
      </c>
      <c r="D22" s="133">
        <v>13.589725370939911</v>
      </c>
      <c r="E22" s="133">
        <v>14.173335271690618</v>
      </c>
      <c r="F22" s="133">
        <v>15.014721638573373</v>
      </c>
      <c r="G22" s="133">
        <v>16.388574717285547</v>
      </c>
      <c r="H22" s="133">
        <v>17.015407501097126</v>
      </c>
      <c r="I22" s="133">
        <v>17.470978918627146</v>
      </c>
      <c r="J22" s="133">
        <v>17.621094863181217</v>
      </c>
      <c r="K22" s="133">
        <v>17.267773813364965</v>
      </c>
      <c r="L22" s="133">
        <v>17.272426286100039</v>
      </c>
      <c r="M22" s="133">
        <v>17.372308830925569</v>
      </c>
      <c r="N22" s="133">
        <v>17.322833196046545</v>
      </c>
      <c r="O22" s="133">
        <v>17.768317965210379</v>
      </c>
      <c r="P22" s="133">
        <v>18.356578623501846</v>
      </c>
      <c r="Q22" s="133">
        <v>18.629929174230913</v>
      </c>
      <c r="R22" s="133">
        <v>18.520085305963896</v>
      </c>
      <c r="S22" s="133">
        <v>17.848054190788098</v>
      </c>
      <c r="T22" s="133">
        <v>15.349271212030077</v>
      </c>
      <c r="U22" s="133">
        <v>13.476662793971927</v>
      </c>
      <c r="V22" s="133">
        <v>8.4504379765440412</v>
      </c>
      <c r="W22" s="133">
        <v>6.693188229551196</v>
      </c>
      <c r="DA22" s="157" t="s">
        <v>289</v>
      </c>
    </row>
    <row r="23" spans="1:105" ht="12" customHeight="1" x14ac:dyDescent="0.25">
      <c r="A23" s="132" t="s">
        <v>153</v>
      </c>
      <c r="B23" s="133">
        <v>4.2038677655869456</v>
      </c>
      <c r="C23" s="133">
        <v>5.7809406860301582</v>
      </c>
      <c r="D23" s="133">
        <v>6.9355771532814536</v>
      </c>
      <c r="E23" s="133">
        <v>8.377985268779728</v>
      </c>
      <c r="F23" s="133">
        <v>9.049731464130339</v>
      </c>
      <c r="G23" s="133">
        <v>15.570219923794632</v>
      </c>
      <c r="H23" s="133">
        <v>18.455707666852028</v>
      </c>
      <c r="I23" s="133">
        <v>22.166768298588039</v>
      </c>
      <c r="J23" s="133">
        <v>24.051115362053682</v>
      </c>
      <c r="K23" s="133">
        <v>26.457555509332227</v>
      </c>
      <c r="L23" s="133">
        <v>31.236489411756867</v>
      </c>
      <c r="M23" s="133">
        <v>32.514345352840017</v>
      </c>
      <c r="N23" s="133">
        <v>34.406757525378076</v>
      </c>
      <c r="O23" s="133">
        <v>35.280536672753428</v>
      </c>
      <c r="P23" s="133">
        <v>32.697004336968241</v>
      </c>
      <c r="Q23" s="133">
        <v>34.196889783257831</v>
      </c>
      <c r="R23" s="133">
        <v>31.589936390780462</v>
      </c>
      <c r="S23" s="133">
        <v>32.235615579509791</v>
      </c>
      <c r="T23" s="133">
        <v>32.390549131992657</v>
      </c>
      <c r="U23" s="133">
        <v>31.469552569903275</v>
      </c>
      <c r="V23" s="133">
        <v>28.728261029493709</v>
      </c>
      <c r="W23" s="133">
        <v>29.135321528303336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215.91305347066415</v>
      </c>
      <c r="C26" s="65">
        <v>232.7298466176006</v>
      </c>
      <c r="D26" s="65">
        <v>250.96626441077956</v>
      </c>
      <c r="E26" s="65">
        <v>262.40968767993053</v>
      </c>
      <c r="F26" s="65">
        <v>276.41419360099519</v>
      </c>
      <c r="G26" s="65">
        <v>295.04729452366877</v>
      </c>
      <c r="H26" s="65">
        <v>299.06338367194354</v>
      </c>
      <c r="I26" s="65">
        <v>295.10097708443891</v>
      </c>
      <c r="J26" s="65">
        <v>300.34325227247689</v>
      </c>
      <c r="K26" s="65">
        <v>302.96953277709571</v>
      </c>
      <c r="L26" s="65">
        <v>303.11809622966047</v>
      </c>
      <c r="M26" s="65">
        <v>302.47059149814709</v>
      </c>
      <c r="N26" s="65">
        <v>296.19191335644541</v>
      </c>
      <c r="O26" s="65">
        <v>296.30430957021275</v>
      </c>
      <c r="P26" s="65">
        <v>304.42543119394355</v>
      </c>
      <c r="Q26" s="65">
        <v>303.63204299221366</v>
      </c>
      <c r="R26" s="65">
        <v>297.94057198499422</v>
      </c>
      <c r="S26" s="65">
        <v>293.06965903562593</v>
      </c>
      <c r="T26" s="65">
        <v>287.0835753417017</v>
      </c>
      <c r="U26" s="65">
        <v>277.58823344299589</v>
      </c>
      <c r="V26" s="65">
        <v>248.0053771660466</v>
      </c>
      <c r="W26" s="65">
        <v>246.18367356804646</v>
      </c>
      <c r="DA26" s="109" t="s">
        <v>293</v>
      </c>
    </row>
    <row r="27" spans="1:105" ht="12" customHeight="1" x14ac:dyDescent="0.25">
      <c r="A27" s="145" t="s">
        <v>26</v>
      </c>
      <c r="B27" s="146">
        <v>5.7800515907136703</v>
      </c>
      <c r="C27" s="146">
        <v>5.8755803955288046</v>
      </c>
      <c r="D27" s="146">
        <v>5.9950128976784178</v>
      </c>
      <c r="E27" s="146">
        <v>6.1622527944969905</v>
      </c>
      <c r="F27" s="146">
        <v>6.3772141014617372</v>
      </c>
      <c r="G27" s="146">
        <v>5.9950128976784134</v>
      </c>
      <c r="H27" s="146">
        <v>6.4727429062768733</v>
      </c>
      <c r="I27" s="146">
        <v>7.0220980223559764</v>
      </c>
      <c r="J27" s="146">
        <v>8.1207222699914006</v>
      </c>
      <c r="K27" s="146">
        <v>8.9089423903697362</v>
      </c>
      <c r="L27" s="146">
        <v>8.932846087704208</v>
      </c>
      <c r="M27" s="146">
        <v>8.932846087704208</v>
      </c>
      <c r="N27" s="146">
        <v>9.0044711951848662</v>
      </c>
      <c r="O27" s="146">
        <v>9.1239036973344803</v>
      </c>
      <c r="P27" s="146">
        <v>9.3627687016336996</v>
      </c>
      <c r="Q27" s="146">
        <v>9.5777300085984631</v>
      </c>
      <c r="R27" s="146">
        <v>9.7687876182287283</v>
      </c>
      <c r="S27" s="146">
        <v>10.031556319862414</v>
      </c>
      <c r="T27" s="146">
        <v>10.246517626827176</v>
      </c>
      <c r="U27" s="146">
        <v>10.437575236457436</v>
      </c>
      <c r="V27" s="146">
        <v>10.697936371453137</v>
      </c>
      <c r="W27" s="146">
        <v>11.092003439380907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266.5304587245073</v>
      </c>
      <c r="C29" s="131">
        <f t="shared" si="8"/>
        <v>282.93554960546976</v>
      </c>
      <c r="D29" s="131">
        <f t="shared" si="8"/>
        <v>299.85092385048148</v>
      </c>
      <c r="E29" s="131">
        <f t="shared" si="8"/>
        <v>307.69059472144062</v>
      </c>
      <c r="F29" s="131">
        <f t="shared" si="8"/>
        <v>334.92316360678819</v>
      </c>
      <c r="G29" s="131">
        <f t="shared" si="8"/>
        <v>346.74514418899412</v>
      </c>
      <c r="H29" s="131">
        <f t="shared" si="8"/>
        <v>352.26199256096902</v>
      </c>
      <c r="I29" s="131">
        <f t="shared" si="8"/>
        <v>351.24125117634202</v>
      </c>
      <c r="J29" s="131">
        <f t="shared" si="8"/>
        <v>353.78286693938418</v>
      </c>
      <c r="K29" s="131">
        <f t="shared" si="8"/>
        <v>362.1204791848611</v>
      </c>
      <c r="L29" s="131">
        <f t="shared" si="8"/>
        <v>366.33840472898908</v>
      </c>
      <c r="M29" s="131">
        <f t="shared" si="8"/>
        <v>368.10547170880386</v>
      </c>
      <c r="N29" s="131">
        <f t="shared" si="8"/>
        <v>383.65203687230331</v>
      </c>
      <c r="O29" s="131">
        <f t="shared" si="8"/>
        <v>380.93377909732578</v>
      </c>
      <c r="P29" s="131">
        <f t="shared" si="8"/>
        <v>372.39479449560667</v>
      </c>
      <c r="Q29" s="131">
        <f t="shared" si="8"/>
        <v>366.98929456290159</v>
      </c>
      <c r="R29" s="131">
        <f t="shared" ref="R29:W29" si="9">SUM(R30:R33)</f>
        <v>366.75902922862997</v>
      </c>
      <c r="S29" s="131">
        <f t="shared" si="9"/>
        <v>367.15301951675849</v>
      </c>
      <c r="T29" s="131">
        <f t="shared" si="9"/>
        <v>363.1210496445957</v>
      </c>
      <c r="U29" s="131">
        <f t="shared" si="9"/>
        <v>356.16360723097353</v>
      </c>
      <c r="V29" s="131">
        <f t="shared" si="9"/>
        <v>300.70370713166858</v>
      </c>
      <c r="W29" s="131">
        <f t="shared" si="9"/>
        <v>341.15501575713938</v>
      </c>
      <c r="DA29" s="156" t="s">
        <v>216</v>
      </c>
    </row>
    <row r="30" spans="1:105" ht="12" customHeight="1" x14ac:dyDescent="0.25">
      <c r="A30" s="132" t="s">
        <v>52</v>
      </c>
      <c r="B30" s="133">
        <v>22.765881531155372</v>
      </c>
      <c r="C30" s="133">
        <v>23.381715656631282</v>
      </c>
      <c r="D30" s="133">
        <v>14.090717465965772</v>
      </c>
      <c r="E30" s="133">
        <v>17.438814195980171</v>
      </c>
      <c r="F30" s="133">
        <v>48.595004265484263</v>
      </c>
      <c r="G30" s="133">
        <v>41.956047125474811</v>
      </c>
      <c r="H30" s="133">
        <v>40.124367066665108</v>
      </c>
      <c r="I30" s="133">
        <v>36.417483904337708</v>
      </c>
      <c r="J30" s="133">
        <v>34.903088932271352</v>
      </c>
      <c r="K30" s="133">
        <v>32.418305540143315</v>
      </c>
      <c r="L30" s="133">
        <v>34.383724379645351</v>
      </c>
      <c r="M30" s="133">
        <v>28.885557882349083</v>
      </c>
      <c r="N30" s="133">
        <v>92.977319092088223</v>
      </c>
      <c r="O30" s="133">
        <v>62.137858084345105</v>
      </c>
      <c r="P30" s="133">
        <v>31.302407549737968</v>
      </c>
      <c r="Q30" s="133">
        <v>36.579612385747517</v>
      </c>
      <c r="R30" s="133">
        <v>43.331157906311567</v>
      </c>
      <c r="S30" s="133">
        <v>48.524046863477224</v>
      </c>
      <c r="T30" s="133">
        <v>52.976855017122467</v>
      </c>
      <c r="U30" s="133">
        <v>60.490275700486109</v>
      </c>
      <c r="V30" s="133">
        <v>38.038827925948809</v>
      </c>
      <c r="W30" s="133">
        <v>57.172052202251088</v>
      </c>
      <c r="DA30" s="157" t="s">
        <v>295</v>
      </c>
    </row>
    <row r="31" spans="1:105" ht="12" customHeight="1" x14ac:dyDescent="0.25">
      <c r="A31" s="132" t="s">
        <v>153</v>
      </c>
      <c r="B31" s="133">
        <v>1.8117279522407537</v>
      </c>
      <c r="C31" s="133">
        <v>2.4838414832911733</v>
      </c>
      <c r="D31" s="133">
        <v>3.7049645222414735</v>
      </c>
      <c r="E31" s="133">
        <v>5.763360834991464</v>
      </c>
      <c r="F31" s="133">
        <v>8.2452350876980987</v>
      </c>
      <c r="G31" s="133">
        <v>12.353855170702541</v>
      </c>
      <c r="H31" s="133">
        <v>14.194448435545715</v>
      </c>
      <c r="I31" s="133">
        <v>16.417632074166637</v>
      </c>
      <c r="J31" s="133">
        <v>19.3288872532295</v>
      </c>
      <c r="K31" s="133">
        <v>24.217835365761939</v>
      </c>
      <c r="L31" s="133">
        <v>28.56013254419733</v>
      </c>
      <c r="M31" s="133">
        <v>32.325599992872746</v>
      </c>
      <c r="N31" s="133">
        <v>33.488252080444006</v>
      </c>
      <c r="O31" s="133">
        <v>33.904418216206167</v>
      </c>
      <c r="P31" s="133">
        <v>35.855844426292315</v>
      </c>
      <c r="Q31" s="133">
        <v>35.990645046172709</v>
      </c>
      <c r="R31" s="133">
        <v>34.75484819056053</v>
      </c>
      <c r="S31" s="133">
        <v>33.654911948115718</v>
      </c>
      <c r="T31" s="133">
        <v>33.071519661104432</v>
      </c>
      <c r="U31" s="133">
        <v>33.574172701045775</v>
      </c>
      <c r="V31" s="133">
        <v>31.527160155148106</v>
      </c>
      <c r="W31" s="133">
        <v>33.83740257404704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241.95284924111115</v>
      </c>
      <c r="C33" s="68">
        <v>257.06999246554733</v>
      </c>
      <c r="D33" s="68">
        <v>282.05524186227422</v>
      </c>
      <c r="E33" s="68">
        <v>284.48841969046896</v>
      </c>
      <c r="F33" s="68">
        <v>278.08292425360582</v>
      </c>
      <c r="G33" s="68">
        <v>292.43524189281675</v>
      </c>
      <c r="H33" s="68">
        <v>297.94317705875818</v>
      </c>
      <c r="I33" s="68">
        <v>298.40613519783767</v>
      </c>
      <c r="J33" s="68">
        <v>299.55089075388332</v>
      </c>
      <c r="K33" s="68">
        <v>305.48433827895587</v>
      </c>
      <c r="L33" s="68">
        <v>303.39454780514637</v>
      </c>
      <c r="M33" s="68">
        <v>306.89431383358203</v>
      </c>
      <c r="N33" s="68">
        <v>257.18646569977108</v>
      </c>
      <c r="O33" s="68">
        <v>284.89150279677455</v>
      </c>
      <c r="P33" s="68">
        <v>305.2365425195764</v>
      </c>
      <c r="Q33" s="68">
        <v>294.41903713098134</v>
      </c>
      <c r="R33" s="68">
        <v>288.67302313175787</v>
      </c>
      <c r="S33" s="68">
        <v>284.97406070516553</v>
      </c>
      <c r="T33" s="68">
        <v>277.07267496636877</v>
      </c>
      <c r="U33" s="68">
        <v>262.09915882944165</v>
      </c>
      <c r="V33" s="68">
        <v>231.13771905057163</v>
      </c>
      <c r="W33" s="68">
        <v>250.14556098084122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540.73645511002337</v>
      </c>
      <c r="C3" s="126">
        <f t="shared" si="0"/>
        <v>626.81324362766759</v>
      </c>
      <c r="D3" s="126">
        <f t="shared" si="0"/>
        <v>654.30394013911996</v>
      </c>
      <c r="E3" s="126">
        <f t="shared" si="0"/>
        <v>738.19300327537428</v>
      </c>
      <c r="F3" s="126">
        <f t="shared" si="0"/>
        <v>775.89104175286275</v>
      </c>
      <c r="G3" s="126">
        <f t="shared" si="0"/>
        <v>851.37465107769162</v>
      </c>
      <c r="H3" s="126">
        <f t="shared" si="0"/>
        <v>945.01283982813811</v>
      </c>
      <c r="I3" s="126">
        <f t="shared" si="0"/>
        <v>1037.5836445840882</v>
      </c>
      <c r="J3" s="126">
        <f t="shared" si="0"/>
        <v>1102.2889055976548</v>
      </c>
      <c r="K3" s="126">
        <f t="shared" si="0"/>
        <v>1054.8031681019875</v>
      </c>
      <c r="L3" s="126">
        <f t="shared" si="0"/>
        <v>989.62764966284101</v>
      </c>
      <c r="M3" s="126">
        <f t="shared" si="0"/>
        <v>943.74476399911714</v>
      </c>
      <c r="N3" s="126">
        <f t="shared" si="0"/>
        <v>1125.9891933893139</v>
      </c>
      <c r="O3" s="126">
        <f t="shared" si="0"/>
        <v>1015.5645037440587</v>
      </c>
      <c r="P3" s="126">
        <f t="shared" si="0"/>
        <v>1000.6638212897093</v>
      </c>
      <c r="Q3" s="126">
        <f t="shared" si="0"/>
        <v>1193.895869404922</v>
      </c>
      <c r="R3" s="126">
        <f t="shared" ref="R3:W3" si="1">SUM(R4,R16,R19,R29)</f>
        <v>1302.9367492668744</v>
      </c>
      <c r="S3" s="126">
        <f t="shared" si="1"/>
        <v>1296.5045564724076</v>
      </c>
      <c r="T3" s="126">
        <f t="shared" si="1"/>
        <v>1243.849510910507</v>
      </c>
      <c r="U3" s="126">
        <f t="shared" si="1"/>
        <v>1354.7819102229685</v>
      </c>
      <c r="V3" s="126">
        <f t="shared" si="1"/>
        <v>1237.3928623229417</v>
      </c>
      <c r="W3" s="126">
        <f t="shared" si="1"/>
        <v>1429.057119233792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175.28940802080274</v>
      </c>
      <c r="C4" s="131">
        <f t="shared" si="2"/>
        <v>218.83595035810447</v>
      </c>
      <c r="D4" s="131">
        <f t="shared" si="2"/>
        <v>233.20764449462357</v>
      </c>
      <c r="E4" s="131">
        <f t="shared" si="2"/>
        <v>270.98491801337872</v>
      </c>
      <c r="F4" s="131">
        <f t="shared" si="2"/>
        <v>321.50334124433255</v>
      </c>
      <c r="G4" s="131">
        <f t="shared" si="2"/>
        <v>368.03228833616862</v>
      </c>
      <c r="H4" s="131">
        <f t="shared" si="2"/>
        <v>428.6858527393274</v>
      </c>
      <c r="I4" s="131">
        <f t="shared" si="2"/>
        <v>457.69758929208109</v>
      </c>
      <c r="J4" s="131">
        <f t="shared" si="2"/>
        <v>508.76191351131814</v>
      </c>
      <c r="K4" s="131">
        <f t="shared" si="2"/>
        <v>497.20059887151876</v>
      </c>
      <c r="L4" s="131">
        <f t="shared" si="2"/>
        <v>389.71786808933143</v>
      </c>
      <c r="M4" s="131">
        <f t="shared" si="2"/>
        <v>356.04578065423004</v>
      </c>
      <c r="N4" s="131">
        <f t="shared" si="2"/>
        <v>434.8272202774483</v>
      </c>
      <c r="O4" s="131">
        <f t="shared" si="2"/>
        <v>395.81156039944972</v>
      </c>
      <c r="P4" s="131">
        <f t="shared" si="2"/>
        <v>393.57977432940697</v>
      </c>
      <c r="Q4" s="131">
        <f t="shared" si="2"/>
        <v>534.72789095477538</v>
      </c>
      <c r="R4" s="131">
        <f t="shared" ref="R4:W4" si="3">SUM(R5:R15)</f>
        <v>616.0636082131108</v>
      </c>
      <c r="S4" s="131">
        <f t="shared" si="3"/>
        <v>590.76378595344204</v>
      </c>
      <c r="T4" s="131">
        <f t="shared" si="3"/>
        <v>561.08797204058033</v>
      </c>
      <c r="U4" s="131">
        <f t="shared" si="3"/>
        <v>606.7451632140328</v>
      </c>
      <c r="V4" s="131">
        <f t="shared" si="3"/>
        <v>579.33147744151756</v>
      </c>
      <c r="W4" s="131">
        <f t="shared" si="3"/>
        <v>647.29778862498074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79.006721544829119</v>
      </c>
      <c r="C7" s="133">
        <v>107.50618932271662</v>
      </c>
      <c r="D7" s="133">
        <v>111.6408153927519</v>
      </c>
      <c r="E7" s="133">
        <v>121.51322089124265</v>
      </c>
      <c r="F7" s="133">
        <v>118.07098464384325</v>
      </c>
      <c r="G7" s="133">
        <v>152.22434535424176</v>
      </c>
      <c r="H7" s="133">
        <v>157.61932599525053</v>
      </c>
      <c r="I7" s="133">
        <v>142.13293013658702</v>
      </c>
      <c r="J7" s="133">
        <v>135.65215495182028</v>
      </c>
      <c r="K7" s="133">
        <v>95.946001540802797</v>
      </c>
      <c r="L7" s="133">
        <v>79.867422332364995</v>
      </c>
      <c r="M7" s="133">
        <v>72.405877156032787</v>
      </c>
      <c r="N7" s="133">
        <v>24.704789821617972</v>
      </c>
      <c r="O7" s="133">
        <v>48.203673558663397</v>
      </c>
      <c r="P7" s="133">
        <v>21.6080652677032</v>
      </c>
      <c r="Q7" s="133">
        <v>24.229457784512672</v>
      </c>
      <c r="R7" s="133">
        <v>47.223408513627618</v>
      </c>
      <c r="S7" s="133">
        <v>20.559397032145835</v>
      </c>
      <c r="T7" s="133">
        <v>20.307836550836928</v>
      </c>
      <c r="U7" s="133">
        <v>20.737783759628577</v>
      </c>
      <c r="V7" s="133">
        <v>18.679838771824432</v>
      </c>
      <c r="W7" s="133">
        <v>15.198812360511658</v>
      </c>
      <c r="DA7" s="157" t="s">
        <v>304</v>
      </c>
    </row>
    <row r="8" spans="1:105" ht="12" customHeight="1" x14ac:dyDescent="0.25">
      <c r="A8" s="132" t="s">
        <v>73</v>
      </c>
      <c r="B8" s="133">
        <v>6.9889854861068029E-3</v>
      </c>
      <c r="C8" s="133">
        <v>8.4231371047018208E-3</v>
      </c>
      <c r="D8" s="133">
        <v>1.4056104448234484E-2</v>
      </c>
      <c r="E8" s="133">
        <v>2.3526822908822197E-2</v>
      </c>
      <c r="F8" s="133">
        <v>3.9387916960064877E-2</v>
      </c>
      <c r="G8" s="133">
        <v>6.3727259740942371E-2</v>
      </c>
      <c r="H8" s="133">
        <v>7.6783399427400797E-2</v>
      </c>
      <c r="I8" s="133">
        <v>9.023485174321226E-2</v>
      </c>
      <c r="J8" s="133">
        <v>0.11187867556896473</v>
      </c>
      <c r="K8" s="133">
        <v>0.14595673697200548</v>
      </c>
      <c r="L8" s="133">
        <v>0.18017431230479025</v>
      </c>
      <c r="M8" s="133">
        <v>0.27548306397279665</v>
      </c>
      <c r="N8" s="133">
        <v>0.46570143574547995</v>
      </c>
      <c r="O8" s="133">
        <v>1.4120233435432934</v>
      </c>
      <c r="P8" s="133">
        <v>4.0452556181854691</v>
      </c>
      <c r="Q8" s="133">
        <v>9.5117804428222676</v>
      </c>
      <c r="R8" s="133">
        <v>9.6670677308010617</v>
      </c>
      <c r="S8" s="133">
        <v>9.8809849756936892</v>
      </c>
      <c r="T8" s="133">
        <v>10.63332622079804</v>
      </c>
      <c r="U8" s="133">
        <v>11.260153258086033</v>
      </c>
      <c r="V8" s="133">
        <v>13.097188783444428</v>
      </c>
      <c r="W8" s="133">
        <v>14.221180661780339</v>
      </c>
      <c r="DA8" s="157" t="s">
        <v>305</v>
      </c>
    </row>
    <row r="9" spans="1:105" ht="12" customHeight="1" x14ac:dyDescent="0.25">
      <c r="A9" s="132" t="s">
        <v>78</v>
      </c>
      <c r="B9" s="133">
        <v>1.4324843431726504</v>
      </c>
      <c r="C9" s="133">
        <v>2.1348591635654577</v>
      </c>
      <c r="D9" s="133">
        <v>4.0617541118103473</v>
      </c>
      <c r="E9" s="133">
        <v>8.0938266319607823</v>
      </c>
      <c r="F9" s="133">
        <v>14.694608484621176</v>
      </c>
      <c r="G9" s="133">
        <v>25.342837682610146</v>
      </c>
      <c r="H9" s="133">
        <v>31.42599390406059</v>
      </c>
      <c r="I9" s="133">
        <v>34.613942849260965</v>
      </c>
      <c r="J9" s="133">
        <v>43.669424083207886</v>
      </c>
      <c r="K9" s="133">
        <v>48.887687650381167</v>
      </c>
      <c r="L9" s="133">
        <v>41.488325482822702</v>
      </c>
      <c r="M9" s="133">
        <v>58.974336744228012</v>
      </c>
      <c r="N9" s="133">
        <v>42.701147383913018</v>
      </c>
      <c r="O9" s="133">
        <v>35.430627721832273</v>
      </c>
      <c r="P9" s="133">
        <v>34.61075667316149</v>
      </c>
      <c r="Q9" s="133">
        <v>53.845950225972054</v>
      </c>
      <c r="R9" s="133">
        <v>45.145916486907879</v>
      </c>
      <c r="S9" s="133">
        <v>46.329699907418124</v>
      </c>
      <c r="T9" s="133">
        <v>45.172842826699863</v>
      </c>
      <c r="U9" s="133">
        <v>54.73062070549431</v>
      </c>
      <c r="V9" s="133">
        <v>46.652802775198523</v>
      </c>
      <c r="W9" s="133">
        <v>47.193210073354265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4.989373290109592</v>
      </c>
      <c r="O10" s="133">
        <v>3.4983141773521811</v>
      </c>
      <c r="P10" s="133">
        <v>2.8594608471478447</v>
      </c>
      <c r="Q10" s="133">
        <v>8.7742255533333928</v>
      </c>
      <c r="R10" s="133">
        <v>5.6045903559765957</v>
      </c>
      <c r="S10" s="133">
        <v>4.1804548340401748</v>
      </c>
      <c r="T10" s="133">
        <v>6.3626340566988127</v>
      </c>
      <c r="U10" s="133">
        <v>2.9343803928287482</v>
      </c>
      <c r="V10" s="133">
        <v>2.9758086906590999</v>
      </c>
      <c r="W10" s="133">
        <v>6.4289935722582632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4.4476036257888261</v>
      </c>
      <c r="G11" s="133">
        <v>4.1151176921290835</v>
      </c>
      <c r="H11" s="133">
        <v>4.1160122767951952</v>
      </c>
      <c r="I11" s="133">
        <v>3.9900723510450007</v>
      </c>
      <c r="J11" s="133">
        <v>3.9922492641275178</v>
      </c>
      <c r="K11" s="133">
        <v>5.1861147603953146</v>
      </c>
      <c r="L11" s="133">
        <v>5.2018685081798228</v>
      </c>
      <c r="M11" s="133">
        <v>5.2127602114184288</v>
      </c>
      <c r="N11" s="133">
        <v>5.2153761509375975</v>
      </c>
      <c r="O11" s="133">
        <v>5.0089811569111555</v>
      </c>
      <c r="P11" s="133">
        <v>5.6313598344516249</v>
      </c>
      <c r="Q11" s="133">
        <v>5.3377107060118307</v>
      </c>
      <c r="R11" s="133">
        <v>5.3412242366446403</v>
      </c>
      <c r="S11" s="133">
        <v>5.2333975396157406</v>
      </c>
      <c r="T11" s="133">
        <v>5.2783901580883192</v>
      </c>
      <c r="U11" s="133">
        <v>7.0079897740642449</v>
      </c>
      <c r="V11" s="133">
        <v>2.3174015116238849</v>
      </c>
      <c r="W11" s="133">
        <v>2.2136035054509375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10.680061984351337</v>
      </c>
      <c r="C13" s="133">
        <v>13.464714530138092</v>
      </c>
      <c r="D13" s="133">
        <v>16.975777082373664</v>
      </c>
      <c r="E13" s="133">
        <v>21.914075413595402</v>
      </c>
      <c r="F13" s="133">
        <v>32.540273397968683</v>
      </c>
      <c r="G13" s="133">
        <v>36.831960101713094</v>
      </c>
      <c r="H13" s="133">
        <v>48.732976646149702</v>
      </c>
      <c r="I13" s="133">
        <v>67.007095551229213</v>
      </c>
      <c r="J13" s="133">
        <v>84.980505218238321</v>
      </c>
      <c r="K13" s="133">
        <v>106.55626394691295</v>
      </c>
      <c r="L13" s="133">
        <v>120.2962477327802</v>
      </c>
      <c r="M13" s="133">
        <v>134.89527855205483</v>
      </c>
      <c r="N13" s="133">
        <v>191.79284169040042</v>
      </c>
      <c r="O13" s="133">
        <v>215.04789698022927</v>
      </c>
      <c r="P13" s="133">
        <v>279.08995200929257</v>
      </c>
      <c r="Q13" s="133">
        <v>353.00599311862169</v>
      </c>
      <c r="R13" s="133">
        <v>356.01422500324571</v>
      </c>
      <c r="S13" s="133">
        <v>355.1202738414928</v>
      </c>
      <c r="T13" s="133">
        <v>387.35497765587803</v>
      </c>
      <c r="U13" s="133">
        <v>405.95873086240465</v>
      </c>
      <c r="V13" s="133">
        <v>444.71893243914121</v>
      </c>
      <c r="W13" s="133">
        <v>493.03571660216306</v>
      </c>
      <c r="DA13" s="157" t="s">
        <v>310</v>
      </c>
    </row>
    <row r="14" spans="1:105" ht="12" customHeight="1" x14ac:dyDescent="0.25">
      <c r="A14" s="60" t="s">
        <v>76</v>
      </c>
      <c r="B14" s="65">
        <v>82.554332100276056</v>
      </c>
      <c r="C14" s="65">
        <v>93.57450123353189</v>
      </c>
      <c r="D14" s="65">
        <v>98.294136694873686</v>
      </c>
      <c r="E14" s="65">
        <v>116.99905357592631</v>
      </c>
      <c r="F14" s="65">
        <v>149.23375950040807</v>
      </c>
      <c r="G14" s="65">
        <v>146.2059438188486</v>
      </c>
      <c r="H14" s="65">
        <v>183.31247984820945</v>
      </c>
      <c r="I14" s="65">
        <v>206.72904414177151</v>
      </c>
      <c r="J14" s="65">
        <v>237.22015863730687</v>
      </c>
      <c r="K14" s="65">
        <v>237.97014251512292</v>
      </c>
      <c r="L14" s="65">
        <v>140.60322580389715</v>
      </c>
      <c r="M14" s="65">
        <v>82.05562968945155</v>
      </c>
      <c r="N14" s="65">
        <v>163.77376888945111</v>
      </c>
      <c r="O14" s="65">
        <v>85.778612961505601</v>
      </c>
      <c r="P14" s="65">
        <v>44.754372545823834</v>
      </c>
      <c r="Q14" s="65">
        <v>78.625870601143831</v>
      </c>
      <c r="R14" s="65">
        <v>145.4734957152501</v>
      </c>
      <c r="S14" s="65">
        <v>148.29308272154051</v>
      </c>
      <c r="T14" s="65">
        <v>84.818079275874396</v>
      </c>
      <c r="U14" s="65">
        <v>102.81805036643063</v>
      </c>
      <c r="V14" s="65">
        <v>49.766676314380838</v>
      </c>
      <c r="W14" s="65">
        <v>67.899711585365438</v>
      </c>
      <c r="DA14" s="109" t="s">
        <v>311</v>
      </c>
    </row>
    <row r="15" spans="1:105" ht="12" customHeight="1" x14ac:dyDescent="0.25">
      <c r="A15" s="134" t="s">
        <v>80</v>
      </c>
      <c r="B15" s="135">
        <v>1.6088190626874659</v>
      </c>
      <c r="C15" s="135">
        <v>2.1472629710477311</v>
      </c>
      <c r="D15" s="135">
        <v>2.2211051083657511</v>
      </c>
      <c r="E15" s="135">
        <v>2.4412146777446941</v>
      </c>
      <c r="F15" s="135">
        <v>2.476723674742491</v>
      </c>
      <c r="G15" s="135">
        <v>3.2483564268850031</v>
      </c>
      <c r="H15" s="135">
        <v>3.4022806694345054</v>
      </c>
      <c r="I15" s="135">
        <v>3.1342694104441744</v>
      </c>
      <c r="J15" s="135">
        <v>3.1355426810483138</v>
      </c>
      <c r="K15" s="135">
        <v>2.5084317209315841</v>
      </c>
      <c r="L15" s="135">
        <v>2.0806039169817967</v>
      </c>
      <c r="M15" s="135">
        <v>2.2264152370716643</v>
      </c>
      <c r="N15" s="135">
        <v>1.184221615273078</v>
      </c>
      <c r="O15" s="135">
        <v>1.4314304994125622</v>
      </c>
      <c r="P15" s="135">
        <v>0.98055153364095526</v>
      </c>
      <c r="Q15" s="135">
        <v>1.3969025223576876</v>
      </c>
      <c r="R15" s="135">
        <v>1.5936801706571753</v>
      </c>
      <c r="S15" s="135">
        <v>1.1664951014950744</v>
      </c>
      <c r="T15" s="135">
        <v>1.1598852957059478</v>
      </c>
      <c r="U15" s="135">
        <v>1.29745409509559</v>
      </c>
      <c r="V15" s="135">
        <v>1.122828155245172</v>
      </c>
      <c r="W15" s="135">
        <v>1.1065602640967174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64.337405223064508</v>
      </c>
      <c r="C16" s="131">
        <f t="shared" si="4"/>
        <v>84.495055257286339</v>
      </c>
      <c r="D16" s="131">
        <f t="shared" si="4"/>
        <v>73.024771745461237</v>
      </c>
      <c r="E16" s="131">
        <f t="shared" si="4"/>
        <v>106.20825076503093</v>
      </c>
      <c r="F16" s="131">
        <f t="shared" si="4"/>
        <v>70.453903242887748</v>
      </c>
      <c r="G16" s="131">
        <f t="shared" si="4"/>
        <v>75.724647131818614</v>
      </c>
      <c r="H16" s="131">
        <f t="shared" si="4"/>
        <v>98.518586771326397</v>
      </c>
      <c r="I16" s="131">
        <f t="shared" si="4"/>
        <v>159.6083110329061</v>
      </c>
      <c r="J16" s="131">
        <f t="shared" si="4"/>
        <v>164.71669058773537</v>
      </c>
      <c r="K16" s="131">
        <f t="shared" si="4"/>
        <v>118.1612175462851</v>
      </c>
      <c r="L16" s="131">
        <f t="shared" si="4"/>
        <v>154.36829418431915</v>
      </c>
      <c r="M16" s="131">
        <f t="shared" si="4"/>
        <v>138.65329341259414</v>
      </c>
      <c r="N16" s="131">
        <f t="shared" si="4"/>
        <v>241.76326037157966</v>
      </c>
      <c r="O16" s="131">
        <f t="shared" si="4"/>
        <v>162.53772780110214</v>
      </c>
      <c r="P16" s="131">
        <f t="shared" si="4"/>
        <v>143.82306389101038</v>
      </c>
      <c r="Q16" s="131">
        <f t="shared" si="4"/>
        <v>195.63963921091403</v>
      </c>
      <c r="R16" s="131">
        <f t="shared" ref="R16:W16" si="5">SUM(R17:R18)</f>
        <v>222.7328927711026</v>
      </c>
      <c r="S16" s="131">
        <f t="shared" si="5"/>
        <v>236.60670033116605</v>
      </c>
      <c r="T16" s="131">
        <f t="shared" si="5"/>
        <v>213.71800382607057</v>
      </c>
      <c r="U16" s="131">
        <f t="shared" si="5"/>
        <v>283.91271324969421</v>
      </c>
      <c r="V16" s="131">
        <f t="shared" si="5"/>
        <v>248.40123053479888</v>
      </c>
      <c r="W16" s="131">
        <f t="shared" si="5"/>
        <v>338.33005180018068</v>
      </c>
      <c r="DA16" s="156" t="s">
        <v>313</v>
      </c>
    </row>
    <row r="17" spans="1:105" ht="12.95" customHeight="1" x14ac:dyDescent="0.25">
      <c r="A17" s="132" t="s">
        <v>73</v>
      </c>
      <c r="B17" s="133">
        <v>5.1519929002603999E-2</v>
      </c>
      <c r="C17" s="133">
        <v>6.6543315716221074E-2</v>
      </c>
      <c r="D17" s="133">
        <v>7.5142829588439597E-2</v>
      </c>
      <c r="E17" s="133">
        <v>9.5253404056547322E-2</v>
      </c>
      <c r="F17" s="133">
        <v>0.12629699772956665</v>
      </c>
      <c r="G17" s="133">
        <v>0.19808841913387365</v>
      </c>
      <c r="H17" s="133">
        <v>0.32959703048482025</v>
      </c>
      <c r="I17" s="133">
        <v>0.47078659272486167</v>
      </c>
      <c r="J17" s="133">
        <v>0.62198496401554693</v>
      </c>
      <c r="K17" s="133">
        <v>0.73591344398247249</v>
      </c>
      <c r="L17" s="133">
        <v>0.99678184914160961</v>
      </c>
      <c r="M17" s="133">
        <v>1.2456463422200965</v>
      </c>
      <c r="N17" s="133">
        <v>2.421043040147584</v>
      </c>
      <c r="O17" s="133">
        <v>2.5368181475346843</v>
      </c>
      <c r="P17" s="133">
        <v>3.0944046895671407</v>
      </c>
      <c r="Q17" s="133">
        <v>4.5160053989395941</v>
      </c>
      <c r="R17" s="133">
        <v>5.4625938524422368</v>
      </c>
      <c r="S17" s="133">
        <v>6.2300109808710511</v>
      </c>
      <c r="T17" s="133">
        <v>6.3934695618979438</v>
      </c>
      <c r="U17" s="133">
        <v>8.5831717037348376</v>
      </c>
      <c r="V17" s="133">
        <v>7.297577849011903</v>
      </c>
      <c r="W17" s="133">
        <v>9.8663360874739539</v>
      </c>
      <c r="DA17" s="157" t="s">
        <v>314</v>
      </c>
    </row>
    <row r="18" spans="1:105" ht="12" customHeight="1" x14ac:dyDescent="0.25">
      <c r="A18" s="132" t="s">
        <v>72</v>
      </c>
      <c r="B18" s="133">
        <v>64.285885294061899</v>
      </c>
      <c r="C18" s="133">
        <v>84.428511941570122</v>
      </c>
      <c r="D18" s="133">
        <v>72.949628915872793</v>
      </c>
      <c r="E18" s="133">
        <v>106.11299736097438</v>
      </c>
      <c r="F18" s="133">
        <v>70.327606245158179</v>
      </c>
      <c r="G18" s="133">
        <v>75.526558712684746</v>
      </c>
      <c r="H18" s="133">
        <v>98.188989740841578</v>
      </c>
      <c r="I18" s="133">
        <v>159.13752444018124</v>
      </c>
      <c r="J18" s="133">
        <v>164.09470562371982</v>
      </c>
      <c r="K18" s="133">
        <v>117.42530410230263</v>
      </c>
      <c r="L18" s="133">
        <v>153.37151233517756</v>
      </c>
      <c r="M18" s="133">
        <v>137.40764707037405</v>
      </c>
      <c r="N18" s="133">
        <v>239.34221733143207</v>
      </c>
      <c r="O18" s="133">
        <v>160.00090965356745</v>
      </c>
      <c r="P18" s="133">
        <v>140.72865920144324</v>
      </c>
      <c r="Q18" s="133">
        <v>191.12363381197443</v>
      </c>
      <c r="R18" s="133">
        <v>217.27029891866036</v>
      </c>
      <c r="S18" s="133">
        <v>230.37668935029501</v>
      </c>
      <c r="T18" s="133">
        <v>207.32453426417263</v>
      </c>
      <c r="U18" s="133">
        <v>275.32954154595939</v>
      </c>
      <c r="V18" s="133">
        <v>241.10365268578698</v>
      </c>
      <c r="W18" s="133">
        <v>328.46371571270674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128.10893849370981</v>
      </c>
      <c r="C19" s="131">
        <f t="shared" si="6"/>
        <v>139.28512685994434</v>
      </c>
      <c r="D19" s="131">
        <f t="shared" si="6"/>
        <v>150.78169657702949</v>
      </c>
      <c r="E19" s="131">
        <f t="shared" si="6"/>
        <v>158.73571663699644</v>
      </c>
      <c r="F19" s="131">
        <f t="shared" si="6"/>
        <v>168.16108559203329</v>
      </c>
      <c r="G19" s="131">
        <f t="shared" si="6"/>
        <v>182.80462832132599</v>
      </c>
      <c r="H19" s="131">
        <f t="shared" si="6"/>
        <v>188.4603130092523</v>
      </c>
      <c r="I19" s="131">
        <f t="shared" si="6"/>
        <v>190.53392530267467</v>
      </c>
      <c r="J19" s="131">
        <f t="shared" si="6"/>
        <v>196.69002795773389</v>
      </c>
      <c r="K19" s="131">
        <f t="shared" si="6"/>
        <v>201.07509251774857</v>
      </c>
      <c r="L19" s="131">
        <f t="shared" si="6"/>
        <v>204.67457011224832</v>
      </c>
      <c r="M19" s="131">
        <f t="shared" si="6"/>
        <v>206.39732545668463</v>
      </c>
      <c r="N19" s="131">
        <f t="shared" si="6"/>
        <v>206.45965791774159</v>
      </c>
      <c r="O19" s="131">
        <f t="shared" si="6"/>
        <v>209.91420013457798</v>
      </c>
      <c r="P19" s="131">
        <f t="shared" si="6"/>
        <v>215.43542511757229</v>
      </c>
      <c r="Q19" s="131">
        <f t="shared" si="6"/>
        <v>218.85868375302658</v>
      </c>
      <c r="R19" s="131">
        <f t="shared" ref="R19:W19" si="7">SUM(R20:R27)</f>
        <v>218.77649557897956</v>
      </c>
      <c r="S19" s="131">
        <f t="shared" si="7"/>
        <v>221.75332229625295</v>
      </c>
      <c r="T19" s="131">
        <f t="shared" si="7"/>
        <v>222.38896041747918</v>
      </c>
      <c r="U19" s="131">
        <f t="shared" si="7"/>
        <v>221.06433984079001</v>
      </c>
      <c r="V19" s="131">
        <f t="shared" si="7"/>
        <v>199.57717891929681</v>
      </c>
      <c r="W19" s="131">
        <f t="shared" si="7"/>
        <v>204.80858084590329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1.9330935186992868</v>
      </c>
      <c r="C21" s="133">
        <v>2.1696263433592908</v>
      </c>
      <c r="D21" s="133">
        <v>2.2908936087002294</v>
      </c>
      <c r="E21" s="133">
        <v>2.3194718557859959</v>
      </c>
      <c r="F21" s="133">
        <v>2.5479524093815806</v>
      </c>
      <c r="G21" s="133">
        <v>3.0165441463911602</v>
      </c>
      <c r="H21" s="133">
        <v>3.3600200337564163</v>
      </c>
      <c r="I21" s="133">
        <v>4.0519798012682511</v>
      </c>
      <c r="J21" s="133">
        <v>4.2523390457959955</v>
      </c>
      <c r="K21" s="133">
        <v>4.3532348167769594</v>
      </c>
      <c r="L21" s="133">
        <v>4.481810994727975</v>
      </c>
      <c r="M21" s="133">
        <v>4.5126825115092188</v>
      </c>
      <c r="N21" s="133">
        <v>4.9114579308387238</v>
      </c>
      <c r="O21" s="133">
        <v>5.0142415707916754</v>
      </c>
      <c r="P21" s="133">
        <v>5.1197651360121954</v>
      </c>
      <c r="Q21" s="133">
        <v>5.3574889389859006</v>
      </c>
      <c r="R21" s="133">
        <v>6.6182949400184015</v>
      </c>
      <c r="S21" s="133">
        <v>7.5393970042807004</v>
      </c>
      <c r="T21" s="133">
        <v>7.7596063147804939</v>
      </c>
      <c r="U21" s="133">
        <v>8.3702169952256789</v>
      </c>
      <c r="V21" s="133">
        <v>4.9930860766672938</v>
      </c>
      <c r="W21" s="133">
        <v>7.0121908779716993</v>
      </c>
      <c r="DA21" s="157" t="s">
        <v>318</v>
      </c>
    </row>
    <row r="22" spans="1:105" ht="12" customHeight="1" x14ac:dyDescent="0.25">
      <c r="A22" s="132" t="s">
        <v>168</v>
      </c>
      <c r="B22" s="133">
        <v>4.6006250616590814</v>
      </c>
      <c r="C22" s="133">
        <v>5.2922152168061887</v>
      </c>
      <c r="D22" s="133">
        <v>5.7437818588207401</v>
      </c>
      <c r="E22" s="133">
        <v>6.0179160363231228</v>
      </c>
      <c r="F22" s="133">
        <v>6.4055093988280296</v>
      </c>
      <c r="G22" s="133">
        <v>7.027489294573531</v>
      </c>
      <c r="H22" s="133">
        <v>7.3359605314867427</v>
      </c>
      <c r="I22" s="133">
        <v>7.572929710761116</v>
      </c>
      <c r="J22" s="133">
        <v>7.6755800856239258</v>
      </c>
      <c r="K22" s="133">
        <v>7.5566791696290423</v>
      </c>
      <c r="L22" s="133">
        <v>7.6000085718990649</v>
      </c>
      <c r="M22" s="133">
        <v>7.7085528287889789</v>
      </c>
      <c r="N22" s="133">
        <v>7.7957365234239377</v>
      </c>
      <c r="O22" s="133">
        <v>8.1547250949106918</v>
      </c>
      <c r="P22" s="133">
        <v>8.5511303363914006</v>
      </c>
      <c r="Q22" s="133">
        <v>8.8526853165823098</v>
      </c>
      <c r="R22" s="133">
        <v>8.9914600735784571</v>
      </c>
      <c r="S22" s="133">
        <v>8.8571844675827265</v>
      </c>
      <c r="T22" s="133">
        <v>7.7039722452177983</v>
      </c>
      <c r="U22" s="133">
        <v>6.8484392327819581</v>
      </c>
      <c r="V22" s="133">
        <v>4.344970890738419</v>
      </c>
      <c r="W22" s="133">
        <v>3.4738297405353276</v>
      </c>
      <c r="DA22" s="157" t="s">
        <v>319</v>
      </c>
    </row>
    <row r="23" spans="1:105" ht="12" customHeight="1" x14ac:dyDescent="0.25">
      <c r="A23" s="132" t="s">
        <v>153</v>
      </c>
      <c r="B23" s="133">
        <v>1.7994757593336841</v>
      </c>
      <c r="C23" s="133">
        <v>2.5289856402179121</v>
      </c>
      <c r="D23" s="133">
        <v>3.1013626479658574</v>
      </c>
      <c r="E23" s="133">
        <v>3.8288054888282801</v>
      </c>
      <c r="F23" s="133">
        <v>4.2193640451445935</v>
      </c>
      <c r="G23" s="133">
        <v>7.4174815528570957</v>
      </c>
      <c r="H23" s="133">
        <v>8.9287241837786198</v>
      </c>
      <c r="I23" s="133">
        <v>10.863362380935367</v>
      </c>
      <c r="J23" s="133">
        <v>11.905861620308205</v>
      </c>
      <c r="K23" s="133">
        <v>13.219956212594081</v>
      </c>
      <c r="L23" s="133">
        <v>15.762657070658372</v>
      </c>
      <c r="M23" s="133">
        <v>16.5644632735399</v>
      </c>
      <c r="N23" s="133">
        <v>17.712434039739531</v>
      </c>
      <c r="O23" s="133">
        <v>18.336002796034339</v>
      </c>
      <c r="P23" s="133">
        <v>17.069228472550545</v>
      </c>
      <c r="Q23" s="133">
        <v>18.053748527324466</v>
      </c>
      <c r="R23" s="133">
        <v>16.927156444530418</v>
      </c>
      <c r="S23" s="133">
        <v>17.746153231015345</v>
      </c>
      <c r="T23" s="133">
        <v>18.410568014927478</v>
      </c>
      <c r="U23" s="133">
        <v>18.530724254249854</v>
      </c>
      <c r="V23" s="133">
        <v>17.547811338704687</v>
      </c>
      <c r="W23" s="133">
        <v>18.413759723798311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113.99569256330409</v>
      </c>
      <c r="C26" s="65">
        <v>123.41871926403215</v>
      </c>
      <c r="D26" s="65">
        <v>133.65064556386426</v>
      </c>
      <c r="E26" s="65">
        <v>140.40727046156206</v>
      </c>
      <c r="F26" s="65">
        <v>148.61104563721736</v>
      </c>
      <c r="G26" s="65">
        <v>159.34810042982579</v>
      </c>
      <c r="H26" s="65">
        <v>162.36286535395365</v>
      </c>
      <c r="I26" s="65">
        <v>161.02355538735395</v>
      </c>
      <c r="J26" s="65">
        <v>164.73552493601437</v>
      </c>
      <c r="K26" s="65">
        <v>167.03627992837878</v>
      </c>
      <c r="L26" s="65">
        <v>167.89724738725869</v>
      </c>
      <c r="M26" s="65">
        <v>168.67878075514233</v>
      </c>
      <c r="N26" s="65">
        <v>167.03555822855455</v>
      </c>
      <c r="O26" s="65">
        <v>169.28532697550682</v>
      </c>
      <c r="P26" s="65">
        <v>175.33253247098443</v>
      </c>
      <c r="Q26" s="65">
        <v>177.01703096153545</v>
      </c>
      <c r="R26" s="65">
        <v>176.47079650262356</v>
      </c>
      <c r="S26" s="65">
        <v>177.57903127351176</v>
      </c>
      <c r="T26" s="65">
        <v>178.26829621572622</v>
      </c>
      <c r="U26" s="65">
        <v>176.87738412207509</v>
      </c>
      <c r="V26" s="65">
        <v>161.99337424173328</v>
      </c>
      <c r="W26" s="65">
        <v>164.81679706421704</v>
      </c>
      <c r="DA26" s="109" t="s">
        <v>323</v>
      </c>
    </row>
    <row r="27" spans="1:105" ht="12" customHeight="1" x14ac:dyDescent="0.25">
      <c r="A27" s="145" t="s">
        <v>26</v>
      </c>
      <c r="B27" s="146">
        <v>5.7800515907136703</v>
      </c>
      <c r="C27" s="146">
        <v>5.8755803955288046</v>
      </c>
      <c r="D27" s="146">
        <v>5.9950128976784178</v>
      </c>
      <c r="E27" s="146">
        <v>6.1622527944969905</v>
      </c>
      <c r="F27" s="146">
        <v>6.3772141014617372</v>
      </c>
      <c r="G27" s="146">
        <v>5.9950128976784134</v>
      </c>
      <c r="H27" s="146">
        <v>6.4727429062768733</v>
      </c>
      <c r="I27" s="146">
        <v>7.0220980223559764</v>
      </c>
      <c r="J27" s="146">
        <v>8.1207222699914006</v>
      </c>
      <c r="K27" s="146">
        <v>8.9089423903697362</v>
      </c>
      <c r="L27" s="146">
        <v>8.932846087704208</v>
      </c>
      <c r="M27" s="146">
        <v>8.932846087704208</v>
      </c>
      <c r="N27" s="146">
        <v>9.0044711951848662</v>
      </c>
      <c r="O27" s="146">
        <v>9.1239036973344803</v>
      </c>
      <c r="P27" s="146">
        <v>9.3627687016336996</v>
      </c>
      <c r="Q27" s="146">
        <v>9.5777300085984631</v>
      </c>
      <c r="R27" s="146">
        <v>9.7687876182287283</v>
      </c>
      <c r="S27" s="146">
        <v>10.031556319862414</v>
      </c>
      <c r="T27" s="146">
        <v>10.246517626827176</v>
      </c>
      <c r="U27" s="146">
        <v>10.437575236457436</v>
      </c>
      <c r="V27" s="146">
        <v>10.697936371453137</v>
      </c>
      <c r="W27" s="146">
        <v>11.092003439380907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173.00070337244628</v>
      </c>
      <c r="C29" s="131">
        <f t="shared" si="8"/>
        <v>184.19711115233244</v>
      </c>
      <c r="D29" s="131">
        <f t="shared" si="8"/>
        <v>197.28982732200564</v>
      </c>
      <c r="E29" s="131">
        <f t="shared" si="8"/>
        <v>202.26411785996822</v>
      </c>
      <c r="F29" s="131">
        <f t="shared" si="8"/>
        <v>215.77271167360919</v>
      </c>
      <c r="G29" s="131">
        <f t="shared" si="8"/>
        <v>224.81308728837848</v>
      </c>
      <c r="H29" s="131">
        <f t="shared" si="8"/>
        <v>229.34808730823187</v>
      </c>
      <c r="I29" s="131">
        <f t="shared" si="8"/>
        <v>229.74381895642642</v>
      </c>
      <c r="J29" s="131">
        <f t="shared" si="8"/>
        <v>232.12027354086732</v>
      </c>
      <c r="K29" s="131">
        <f t="shared" si="8"/>
        <v>238.36625916643504</v>
      </c>
      <c r="L29" s="131">
        <f t="shared" si="8"/>
        <v>240.86691727694202</v>
      </c>
      <c r="M29" s="131">
        <f t="shared" si="8"/>
        <v>242.64836447560839</v>
      </c>
      <c r="N29" s="131">
        <f t="shared" si="8"/>
        <v>242.93905482254422</v>
      </c>
      <c r="O29" s="131">
        <f t="shared" si="8"/>
        <v>247.30101540892886</v>
      </c>
      <c r="P29" s="131">
        <f t="shared" si="8"/>
        <v>247.82555795171959</v>
      </c>
      <c r="Q29" s="131">
        <f t="shared" si="8"/>
        <v>244.6696554862059</v>
      </c>
      <c r="R29" s="131">
        <f t="shared" ref="R29:W29" si="9">SUM(R30:R33)</f>
        <v>245.36375270368143</v>
      </c>
      <c r="S29" s="131">
        <f t="shared" si="9"/>
        <v>247.38074789154649</v>
      </c>
      <c r="T29" s="131">
        <f t="shared" si="9"/>
        <v>246.65457462637687</v>
      </c>
      <c r="U29" s="131">
        <f t="shared" si="9"/>
        <v>243.05969391845133</v>
      </c>
      <c r="V29" s="131">
        <f t="shared" si="9"/>
        <v>210.08297542732828</v>
      </c>
      <c r="W29" s="131">
        <f t="shared" si="9"/>
        <v>238.62069796272718</v>
      </c>
      <c r="DA29" s="156" t="s">
        <v>325</v>
      </c>
    </row>
    <row r="30" spans="1:105" ht="12" customHeight="1" x14ac:dyDescent="0.25">
      <c r="A30" s="132" t="s">
        <v>52</v>
      </c>
      <c r="B30" s="133">
        <v>11.518946906533792</v>
      </c>
      <c r="C30" s="133">
        <v>11.830963527142794</v>
      </c>
      <c r="D30" s="133">
        <v>7.1405644864070368</v>
      </c>
      <c r="E30" s="133">
        <v>8.8770386728367647</v>
      </c>
      <c r="F30" s="133">
        <v>24.862075198539362</v>
      </c>
      <c r="G30" s="133">
        <v>21.512235470188504</v>
      </c>
      <c r="H30" s="133">
        <v>20.606926061738378</v>
      </c>
      <c r="I30" s="133">
        <v>18.722989485081161</v>
      </c>
      <c r="J30" s="133">
        <v>17.982559769766112</v>
      </c>
      <c r="K30" s="133">
        <v>16.739720258540217</v>
      </c>
      <c r="L30" s="133">
        <v>17.787257411469202</v>
      </c>
      <c r="M30" s="133">
        <v>14.977288458119828</v>
      </c>
      <c r="N30" s="133">
        <v>48.310030341610563</v>
      </c>
      <c r="O30" s="133">
        <v>32.317369272475325</v>
      </c>
      <c r="P30" s="133">
        <v>16.295678311412381</v>
      </c>
      <c r="Q30" s="133">
        <v>19.072598096547111</v>
      </c>
      <c r="R30" s="133">
        <v>22.651775513646371</v>
      </c>
      <c r="S30" s="133">
        <v>25.427727085596768</v>
      </c>
      <c r="T30" s="133">
        <v>27.879746858856823</v>
      </c>
      <c r="U30" s="133">
        <v>31.997665914286522</v>
      </c>
      <c r="V30" s="133">
        <v>20.193981018604976</v>
      </c>
      <c r="W30" s="133">
        <v>30.593355775435779</v>
      </c>
      <c r="DA30" s="157" t="s">
        <v>326</v>
      </c>
    </row>
    <row r="31" spans="1:105" ht="12" customHeight="1" x14ac:dyDescent="0.25">
      <c r="A31" s="132" t="s">
        <v>153</v>
      </c>
      <c r="B31" s="133">
        <v>0.92152219222448384</v>
      </c>
      <c r="C31" s="133">
        <v>1.2679178051143214</v>
      </c>
      <c r="D31" s="133">
        <v>1.9001630437489845</v>
      </c>
      <c r="E31" s="133">
        <v>2.96581666687376</v>
      </c>
      <c r="F31" s="133">
        <v>4.2539619329726657</v>
      </c>
      <c r="G31" s="133">
        <v>6.3876247932724333</v>
      </c>
      <c r="H31" s="133">
        <v>7.3519342035082822</v>
      </c>
      <c r="I31" s="133">
        <v>8.5176601366659614</v>
      </c>
      <c r="J31" s="133">
        <v>10.044741916392249</v>
      </c>
      <c r="K31" s="133">
        <v>12.60688923640833</v>
      </c>
      <c r="L31" s="133">
        <v>14.889140653859203</v>
      </c>
      <c r="M31" s="133">
        <v>16.871410473563135</v>
      </c>
      <c r="N31" s="133">
        <v>17.495292337042724</v>
      </c>
      <c r="O31" s="133">
        <v>17.730243351414185</v>
      </c>
      <c r="P31" s="133">
        <v>18.769761854695648</v>
      </c>
      <c r="Q31" s="133">
        <v>18.857031320314018</v>
      </c>
      <c r="R31" s="133">
        <v>18.233317458967083</v>
      </c>
      <c r="S31" s="133">
        <v>17.694580845374826</v>
      </c>
      <c r="T31" s="133">
        <v>17.453274202953363</v>
      </c>
      <c r="U31" s="133">
        <v>17.820597565856456</v>
      </c>
      <c r="V31" s="133">
        <v>16.861016846900881</v>
      </c>
      <c r="W31" s="133">
        <v>18.217128292450678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160.560234273688</v>
      </c>
      <c r="C33" s="68">
        <v>171.09822982007532</v>
      </c>
      <c r="D33" s="68">
        <v>188.2490997918496</v>
      </c>
      <c r="E33" s="68">
        <v>190.4212625202577</v>
      </c>
      <c r="F33" s="68">
        <v>186.65667454209716</v>
      </c>
      <c r="G33" s="68">
        <v>196.91322702491755</v>
      </c>
      <c r="H33" s="68">
        <v>201.3892270429852</v>
      </c>
      <c r="I33" s="68">
        <v>202.50316933467928</v>
      </c>
      <c r="J33" s="68">
        <v>204.09297185470896</v>
      </c>
      <c r="K33" s="68">
        <v>209.01964967148649</v>
      </c>
      <c r="L33" s="68">
        <v>208.1905192116136</v>
      </c>
      <c r="M33" s="68">
        <v>210.79966554392544</v>
      </c>
      <c r="N33" s="68">
        <v>177.13373214389094</v>
      </c>
      <c r="O33" s="68">
        <v>197.25340278503936</v>
      </c>
      <c r="P33" s="68">
        <v>212.76011778561156</v>
      </c>
      <c r="Q33" s="68">
        <v>206.74002606934476</v>
      </c>
      <c r="R33" s="68">
        <v>204.47865973106798</v>
      </c>
      <c r="S33" s="68">
        <v>204.25843996057489</v>
      </c>
      <c r="T33" s="68">
        <v>201.32155356456667</v>
      </c>
      <c r="U33" s="68">
        <v>193.24143043830836</v>
      </c>
      <c r="V33" s="68">
        <v>173.02797756182241</v>
      </c>
      <c r="W33" s="68">
        <v>189.81021389484073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0.59110929031183745</v>
      </c>
      <c r="C3" s="127">
        <f>IF(SER_hh_tes!C3=0,"",SER_hh_tes!C3/SER_hh_fec!C3)</f>
        <v>0.5942526073006178</v>
      </c>
      <c r="D3" s="127">
        <f>IF(SER_hh_tes!D3=0,"",SER_hh_tes!D3/SER_hh_fec!D3)</f>
        <v>0.59171492274407811</v>
      </c>
      <c r="E3" s="127">
        <f>IF(SER_hh_tes!E3=0,"",SER_hh_tes!E3/SER_hh_fec!E3)</f>
        <v>0.61143438038652875</v>
      </c>
      <c r="F3" s="127">
        <f>IF(SER_hh_tes!F3=0,"",SER_hh_tes!F3/SER_hh_fec!F3)</f>
        <v>0.59749326957245119</v>
      </c>
      <c r="G3" s="127">
        <f>IF(SER_hh_tes!G3=0,"",SER_hh_tes!G3/SER_hh_fec!G3)</f>
        <v>0.59248219930779322</v>
      </c>
      <c r="H3" s="127">
        <f>IF(SER_hh_tes!H3=0,"",SER_hh_tes!H3/SER_hh_fec!H3)</f>
        <v>0.61038018189274057</v>
      </c>
      <c r="I3" s="127">
        <f>IF(SER_hh_tes!I3=0,"",SER_hh_tes!I3/SER_hh_fec!I3)</f>
        <v>0.65528477552496611</v>
      </c>
      <c r="J3" s="127">
        <f>IF(SER_hh_tes!J3=0,"",SER_hh_tes!J3/SER_hh_fec!J3)</f>
        <v>0.66907531496747519</v>
      </c>
      <c r="K3" s="127">
        <f>IF(SER_hh_tes!K3=0,"",SER_hh_tes!K3/SER_hh_fec!K3)</f>
        <v>0.67608536796379737</v>
      </c>
      <c r="L3" s="127">
        <f>IF(SER_hh_tes!L3=0,"",SER_hh_tes!L3/SER_hh_fec!L3)</f>
        <v>0.72323434073545945</v>
      </c>
      <c r="M3" s="127">
        <f>IF(SER_hh_tes!M3=0,"",SER_hh_tes!M3/SER_hh_fec!M3)</f>
        <v>0.73557199189812039</v>
      </c>
      <c r="N3" s="127">
        <f>IF(SER_hh_tes!N3=0,"",SER_hh_tes!N3/SER_hh_fec!N3)</f>
        <v>0.83564004637869427</v>
      </c>
      <c r="O3" s="127">
        <f>IF(SER_hh_tes!O3=0,"",SER_hh_tes!O3/SER_hh_fec!O3)</f>
        <v>0.82725843145985856</v>
      </c>
      <c r="P3" s="127">
        <f>IF(SER_hh_tes!P3=0,"",SER_hh_tes!P3/SER_hh_fec!P3)</f>
        <v>0.9010222905928853</v>
      </c>
      <c r="Q3" s="127">
        <f>IF(SER_hh_tes!Q3=0,"",SER_hh_tes!Q3/SER_hh_fec!Q3)</f>
        <v>0.94694664190409861</v>
      </c>
      <c r="R3" s="127">
        <f>IF(SER_hh_tes!R3=0,"",SER_hh_tes!R3/SER_hh_fec!R3)</f>
        <v>0.93765392190769348</v>
      </c>
      <c r="S3" s="127">
        <f>IF(SER_hh_tes!S3=0,"",SER_hh_tes!S3/SER_hh_fec!S3)</f>
        <v>0.98147216914474555</v>
      </c>
      <c r="T3" s="127">
        <f>IF(SER_hh_tes!T3=0,"",SER_hh_tes!T3/SER_hh_fec!T3)</f>
        <v>1.0317194325253125</v>
      </c>
      <c r="U3" s="127">
        <f>IF(SER_hh_tes!U3=0,"",SER_hh_tes!U3/SER_hh_fec!U3)</f>
        <v>1.0888533097865325</v>
      </c>
      <c r="V3" s="127">
        <f>IF(SER_hh_tes!V3=0,"",SER_hh_tes!V3/SER_hh_fec!V3)</f>
        <v>1.1974723600587927</v>
      </c>
      <c r="W3" s="127">
        <f>IF(SER_hh_tes!W3=0,"",SER_hh_tes!W3/SER_hh_fec!W3)</f>
        <v>1.258625577501282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0.47536619726848806</v>
      </c>
      <c r="C4" s="136">
        <f>IF(SER_hh_tes!C4=0,"",SER_hh_tes!C4/SER_hh_fec!C4)</f>
        <v>0.47391297676832123</v>
      </c>
      <c r="D4" s="136">
        <f>IF(SER_hh_tes!D4=0,"",SER_hh_tes!D4/SER_hh_fec!D4)</f>
        <v>0.48249684354724642</v>
      </c>
      <c r="E4" s="136">
        <f>IF(SER_hh_tes!E4=0,"",SER_hh_tes!E4/SER_hh_fec!E4)</f>
        <v>0.4945869767294459</v>
      </c>
      <c r="F4" s="136">
        <f>IF(SER_hh_tes!F4=0,"",SER_hh_tes!F4/SER_hh_fec!F4)</f>
        <v>0.52193204461504039</v>
      </c>
      <c r="G4" s="136">
        <f>IF(SER_hh_tes!G4=0,"",SER_hh_tes!G4/SER_hh_fec!G4)</f>
        <v>0.51516019461208884</v>
      </c>
      <c r="H4" s="136">
        <f>IF(SER_hh_tes!H4=0,"",SER_hh_tes!H4/SER_hh_fec!H4)</f>
        <v>0.53383456357930525</v>
      </c>
      <c r="I4" s="136">
        <f>IF(SER_hh_tes!I4=0,"",SER_hh_tes!I4/SER_hh_fec!I4)</f>
        <v>0.56276993914840256</v>
      </c>
      <c r="J4" s="136">
        <f>IF(SER_hh_tes!J4=0,"",SER_hh_tes!J4/SER_hh_fec!J4)</f>
        <v>0.58644920310038628</v>
      </c>
      <c r="K4" s="136">
        <f>IF(SER_hh_tes!K4=0,"",SER_hh_tes!K4/SER_hh_fec!K4)</f>
        <v>0.63277254184637954</v>
      </c>
      <c r="L4" s="136">
        <f>IF(SER_hh_tes!L4=0,"",SER_hh_tes!L4/SER_hh_fec!L4)</f>
        <v>0.68250459885002657</v>
      </c>
      <c r="M4" s="136">
        <f>IF(SER_hh_tes!M4=0,"",SER_hh_tes!M4/SER_hh_fec!M4)</f>
        <v>0.72561245159744736</v>
      </c>
      <c r="N4" s="136">
        <f>IF(SER_hh_tes!N4=0,"",SER_hh_tes!N4/SER_hh_fec!N4)</f>
        <v>0.85819246504645652</v>
      </c>
      <c r="O4" s="136">
        <f>IF(SER_hh_tes!O4=0,"",SER_hh_tes!O4/SER_hh_fec!O4)</f>
        <v>0.94447169721729962</v>
      </c>
      <c r="P4" s="136">
        <f>IF(SER_hh_tes!P4=0,"",SER_hh_tes!P4/SER_hh_fec!P4)</f>
        <v>1.2596233662434715</v>
      </c>
      <c r="Q4" s="136">
        <f>IF(SER_hh_tes!Q4=0,"",SER_hh_tes!Q4/SER_hh_fec!Q4)</f>
        <v>1.186265981939854</v>
      </c>
      <c r="R4" s="136">
        <f>IF(SER_hh_tes!R4=0,"",SER_hh_tes!R4/SER_hh_fec!R4)</f>
        <v>1.0636015240169041</v>
      </c>
      <c r="S4" s="136">
        <f>IF(SER_hh_tes!S4=0,"",SER_hh_tes!S4/SER_hh_fec!S4)</f>
        <v>1.1552801870454839</v>
      </c>
      <c r="T4" s="136">
        <f>IF(SER_hh_tes!T4=0,"",SER_hh_tes!T4/SER_hh_fec!T4)</f>
        <v>1.3460902065368152</v>
      </c>
      <c r="U4" s="136">
        <f>IF(SER_hh_tes!U4=0,"",SER_hh_tes!U4/SER_hh_fec!U4)</f>
        <v>1.3372855747285521</v>
      </c>
      <c r="V4" s="136">
        <f>IF(SER_hh_tes!V4=0,"",SER_hh_tes!V4/SER_hh_fec!V4)</f>
        <v>1.6381071260235656</v>
      </c>
      <c r="W4" s="136">
        <f>IF(SER_hh_tes!W4=0,"",SER_hh_tes!W4/SER_hh_fec!W4)</f>
        <v>1.6588998534901085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0.37612837802089122</v>
      </c>
      <c r="C7" s="137">
        <f>IF(SER_hh_tes!C7=0,"",SER_hh_tes!C7/SER_hh_fec!C7)</f>
        <v>0.38372792669285538</v>
      </c>
      <c r="D7" s="137">
        <f>IF(SER_hh_tes!D7=0,"",SER_hh_tes!D7/SER_hh_fec!D7)</f>
        <v>0.38719717881632199</v>
      </c>
      <c r="E7" s="137">
        <f>IF(SER_hh_tes!E7=0,"",SER_hh_tes!E7/SER_hh_fec!E7)</f>
        <v>0.39154642292029013</v>
      </c>
      <c r="F7" s="137">
        <f>IF(SER_hh_tes!F7=0,"",SER_hh_tes!F7/SER_hh_fec!F7)</f>
        <v>0.39372152569343272</v>
      </c>
      <c r="G7" s="137">
        <f>IF(SER_hh_tes!G7=0,"",SER_hh_tes!G7/SER_hh_fec!G7)</f>
        <v>0.39887050494916049</v>
      </c>
      <c r="H7" s="137">
        <f>IF(SER_hh_tes!H7=0,"",SER_hh_tes!H7/SER_hh_fec!H7)</f>
        <v>0.40209154519460361</v>
      </c>
      <c r="I7" s="137">
        <f>IF(SER_hh_tes!I7=0,"",SER_hh_tes!I7/SER_hh_fec!I7)</f>
        <v>0.40437421514601646</v>
      </c>
      <c r="J7" s="137">
        <f>IF(SER_hh_tes!J7=0,"",SER_hh_tes!J7/SER_hh_fec!J7)</f>
        <v>0.4070135797368985</v>
      </c>
      <c r="K7" s="137">
        <f>IF(SER_hh_tes!K7=0,"",SER_hh_tes!K7/SER_hh_fec!K7)</f>
        <v>0.40978625996563994</v>
      </c>
      <c r="L7" s="137">
        <f>IF(SER_hh_tes!L7=0,"",SER_hh_tes!L7/SER_hh_fec!L7)</f>
        <v>0.41307887807003507</v>
      </c>
      <c r="M7" s="137">
        <f>IF(SER_hh_tes!M7=0,"",SER_hh_tes!M7/SER_hh_fec!M7)</f>
        <v>0.4187802181025651</v>
      </c>
      <c r="N7" s="137">
        <f>IF(SER_hh_tes!N7=0,"",SER_hh_tes!N7/SER_hh_fec!N7)</f>
        <v>0.42824002859845567</v>
      </c>
      <c r="O7" s="137">
        <f>IF(SER_hh_tes!O7=0,"",SER_hh_tes!O7/SER_hh_fec!O7)</f>
        <v>0.43991066968837644</v>
      </c>
      <c r="P7" s="137">
        <f>IF(SER_hh_tes!P7=0,"",SER_hh_tes!P7/SER_hh_fec!P7)</f>
        <v>0.44044146043892729</v>
      </c>
      <c r="Q7" s="137">
        <f>IF(SER_hh_tes!Q7=0,"",SER_hh_tes!Q7/SER_hh_fec!Q7)</f>
        <v>0.44067688019438778</v>
      </c>
      <c r="R7" s="137">
        <f>IF(SER_hh_tes!R7=0,"",SER_hh_tes!R7/SER_hh_fec!R7)</f>
        <v>0.45260272118088934</v>
      </c>
      <c r="S7" s="137">
        <f>IF(SER_hh_tes!S7=0,"",SER_hh_tes!S7/SER_hh_fec!S7)</f>
        <v>0.47748757987795781</v>
      </c>
      <c r="T7" s="137">
        <f>IF(SER_hh_tes!T7=0,"",SER_hh_tes!T7/SER_hh_fec!T7)</f>
        <v>0.50203669561832764</v>
      </c>
      <c r="U7" s="137">
        <f>IF(SER_hh_tes!U7=0,"",SER_hh_tes!U7/SER_hh_fec!U7)</f>
        <v>0.52934856949684006</v>
      </c>
      <c r="V7" s="137">
        <f>IF(SER_hh_tes!V7=0,"",SER_hh_tes!V7/SER_hh_fec!V7)</f>
        <v>0.55781271618652373</v>
      </c>
      <c r="W7" s="137">
        <f>IF(SER_hh_tes!W7=0,"",SER_hh_tes!W7/SER_hh_fec!W7)</f>
        <v>0.603376131053589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1.0120204032567053</v>
      </c>
      <c r="C8" s="137">
        <f>IF(SER_hh_tes!C8=0,"",SER_hh_tes!C8/SER_hh_fec!C8)</f>
        <v>1.0320967579239855</v>
      </c>
      <c r="D8" s="137">
        <f>IF(SER_hh_tes!D8=0,"",SER_hh_tes!D8/SER_hh_fec!D8)</f>
        <v>1.0966033704786953</v>
      </c>
      <c r="E8" s="137">
        <f>IF(SER_hh_tes!E8=0,"",SER_hh_tes!E8/SER_hh_fec!E8)</f>
        <v>1.162340961943372</v>
      </c>
      <c r="F8" s="137">
        <f>IF(SER_hh_tes!F8=0,"",SER_hh_tes!F8/SER_hh_fec!F8)</f>
        <v>1.2277320691679265</v>
      </c>
      <c r="G8" s="137">
        <f>IF(SER_hh_tes!G8=0,"",SER_hh_tes!G8/SER_hh_fec!G8)</f>
        <v>1.2880141266680509</v>
      </c>
      <c r="H8" s="137">
        <f>IF(SER_hh_tes!H8=0,"",SER_hh_tes!H8/SER_hh_fec!H8)</f>
        <v>1.3337667485963582</v>
      </c>
      <c r="I8" s="137">
        <f>IF(SER_hh_tes!I8=0,"",SER_hh_tes!I8/SER_hh_fec!I8)</f>
        <v>1.3852535470623997</v>
      </c>
      <c r="J8" s="137">
        <f>IF(SER_hh_tes!J8=0,"",SER_hh_tes!J8/SER_hh_fec!J8)</f>
        <v>1.4570752395558706</v>
      </c>
      <c r="K8" s="137">
        <f>IF(SER_hh_tes!K8=0,"",SER_hh_tes!K8/SER_hh_fec!K8)</f>
        <v>1.5692447545295443</v>
      </c>
      <c r="L8" s="137">
        <f>IF(SER_hh_tes!L8=0,"",SER_hh_tes!L8/SER_hh_fec!L8)</f>
        <v>1.6966302753326719</v>
      </c>
      <c r="M8" s="137">
        <f>IF(SER_hh_tes!M8=0,"",SER_hh_tes!M8/SER_hh_fec!M8)</f>
        <v>1.8764010384564358</v>
      </c>
      <c r="N8" s="137">
        <f>IF(SER_hh_tes!N8=0,"",SER_hh_tes!N8/SER_hh_fec!N8)</f>
        <v>2.0756853432430162</v>
      </c>
      <c r="O8" s="137">
        <f>IF(SER_hh_tes!O8=0,"",SER_hh_tes!O8/SER_hh_fec!O8)</f>
        <v>2.2426417751498167</v>
      </c>
      <c r="P8" s="137">
        <f>IF(SER_hh_tes!P8=0,"",SER_hh_tes!P8/SER_hh_fec!P8)</f>
        <v>2.360550194571212</v>
      </c>
      <c r="Q8" s="137">
        <f>IF(SER_hh_tes!Q8=0,"",SER_hh_tes!Q8/SER_hh_fec!Q8)</f>
        <v>2.4362936645562701</v>
      </c>
      <c r="R8" s="137">
        <f>IF(SER_hh_tes!R8=0,"",SER_hh_tes!R8/SER_hh_fec!R8)</f>
        <v>2.4650282783339392</v>
      </c>
      <c r="S8" s="137">
        <f>IF(SER_hh_tes!S8=0,"",SER_hh_tes!S8/SER_hh_fec!S8)</f>
        <v>2.4857194515782157</v>
      </c>
      <c r="T8" s="137">
        <f>IF(SER_hh_tes!T8=0,"",SER_hh_tes!T8/SER_hh_fec!T8)</f>
        <v>2.5075998459068782</v>
      </c>
      <c r="U8" s="137">
        <f>IF(SER_hh_tes!U8=0,"",SER_hh_tes!U8/SER_hh_fec!U8)</f>
        <v>2.5284203954712683</v>
      </c>
      <c r="V8" s="137">
        <f>IF(SER_hh_tes!V8=0,"",SER_hh_tes!V8/SER_hh_fec!V8)</f>
        <v>2.5557577047163615</v>
      </c>
      <c r="W8" s="137">
        <f>IF(SER_hh_tes!W8=0,"",SER_hh_tes!W8/SER_hh_fec!W8)</f>
        <v>2.5731652037368731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0.41344495680335092</v>
      </c>
      <c r="C9" s="137">
        <f>IF(SER_hh_tes!C9=0,"",SER_hh_tes!C9/SER_hh_fec!C9)</f>
        <v>0.43468245879092438</v>
      </c>
      <c r="D9" s="137">
        <f>IF(SER_hh_tes!D9=0,"",SER_hh_tes!D9/SER_hh_fec!D9)</f>
        <v>0.46476770460612932</v>
      </c>
      <c r="E9" s="137">
        <f>IF(SER_hh_tes!E9=0,"",SER_hh_tes!E9/SER_hh_fec!E9)</f>
        <v>0.48126471757831929</v>
      </c>
      <c r="F9" s="137">
        <f>IF(SER_hh_tes!F9=0,"",SER_hh_tes!F9/SER_hh_fec!F9)</f>
        <v>0.49183219565056985</v>
      </c>
      <c r="G9" s="137">
        <f>IF(SER_hh_tes!G9=0,"",SER_hh_tes!G9/SER_hh_fec!G9)</f>
        <v>0.49913501034339069</v>
      </c>
      <c r="H9" s="137">
        <f>IF(SER_hh_tes!H9=0,"",SER_hh_tes!H9/SER_hh_fec!H9)</f>
        <v>0.50377300716695572</v>
      </c>
      <c r="I9" s="137">
        <f>IF(SER_hh_tes!I9=0,"",SER_hh_tes!I9/SER_hh_fec!I9)</f>
        <v>0.50765416079738468</v>
      </c>
      <c r="J9" s="137">
        <f>IF(SER_hh_tes!J9=0,"",SER_hh_tes!J9/SER_hh_fec!J9)</f>
        <v>0.51162797183050401</v>
      </c>
      <c r="K9" s="137">
        <f>IF(SER_hh_tes!K9=0,"",SER_hh_tes!K9/SER_hh_fec!K9)</f>
        <v>0.51699062926058326</v>
      </c>
      <c r="L9" s="137">
        <f>IF(SER_hh_tes!L9=0,"",SER_hh_tes!L9/SER_hh_fec!L9)</f>
        <v>0.52111880855450876</v>
      </c>
      <c r="M9" s="137">
        <f>IF(SER_hh_tes!M9=0,"",SER_hh_tes!M9/SER_hh_fec!M9)</f>
        <v>0.52322177781721002</v>
      </c>
      <c r="N9" s="137">
        <f>IF(SER_hh_tes!N9=0,"",SER_hh_tes!N9/SER_hh_fec!N9)</f>
        <v>0.52432806625965467</v>
      </c>
      <c r="O9" s="137">
        <f>IF(SER_hh_tes!O9=0,"",SER_hh_tes!O9/SER_hh_fec!O9)</f>
        <v>0.52528626866803163</v>
      </c>
      <c r="P9" s="137">
        <f>IF(SER_hh_tes!P9=0,"",SER_hh_tes!P9/SER_hh_fec!P9)</f>
        <v>0.52557712639916088</v>
      </c>
      <c r="Q9" s="137">
        <f>IF(SER_hh_tes!Q9=0,"",SER_hh_tes!Q9/SER_hh_fec!Q9)</f>
        <v>0.52669359278914762</v>
      </c>
      <c r="R9" s="137">
        <f>IF(SER_hh_tes!R9=0,"",SER_hh_tes!R9/SER_hh_fec!R9)</f>
        <v>0.5282457037866759</v>
      </c>
      <c r="S9" s="137">
        <f>IF(SER_hh_tes!S9=0,"",SER_hh_tes!S9/SER_hh_fec!S9)</f>
        <v>0.53741249794865864</v>
      </c>
      <c r="T9" s="137">
        <f>IF(SER_hh_tes!T9=0,"",SER_hh_tes!T9/SER_hh_fec!T9)</f>
        <v>0.5506703702641873</v>
      </c>
      <c r="U9" s="137">
        <f>IF(SER_hh_tes!U9=0,"",SER_hh_tes!U9/SER_hh_fec!U9)</f>
        <v>0.56665516752864964</v>
      </c>
      <c r="V9" s="137">
        <f>IF(SER_hh_tes!V9=0,"",SER_hh_tes!V9/SER_hh_fec!V9)</f>
        <v>0.58003851362949466</v>
      </c>
      <c r="W9" s="137">
        <f>IF(SER_hh_tes!W9=0,"",SER_hh_tes!W9/SER_hh_fec!W9)</f>
        <v>0.59090142584976579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>
        <f>IF(SER_hh_tes!N10=0,"",SER_hh_tes!N10/SER_hh_fec!N10)</f>
        <v>0.47911759760859468</v>
      </c>
      <c r="O10" s="137">
        <f>IF(SER_hh_tes!O10=0,"",SER_hh_tes!O10/SER_hh_fec!O10)</f>
        <v>0.48022230214827133</v>
      </c>
      <c r="P10" s="137">
        <f>IF(SER_hh_tes!P10=0,"",SER_hh_tes!P10/SER_hh_fec!P10)</f>
        <v>0.48080052123598604</v>
      </c>
      <c r="Q10" s="137">
        <f>IF(SER_hh_tes!Q10=0,"",SER_hh_tes!Q10/SER_hh_fec!Q10)</f>
        <v>0.48083725148791046</v>
      </c>
      <c r="R10" s="137">
        <f>IF(SER_hh_tes!R10=0,"",SER_hh_tes!R10/SER_hh_fec!R10)</f>
        <v>0.48084471244362365</v>
      </c>
      <c r="S10" s="137">
        <f>IF(SER_hh_tes!S10=0,"",SER_hh_tes!S10/SER_hh_fec!S10)</f>
        <v>0.48084471244362348</v>
      </c>
      <c r="T10" s="137">
        <f>IF(SER_hh_tes!T10=0,"",SER_hh_tes!T10/SER_hh_fec!T10)</f>
        <v>0.48084940495686779</v>
      </c>
      <c r="U10" s="137">
        <f>IF(SER_hh_tes!U10=0,"",SER_hh_tes!U10/SER_hh_fec!U10)</f>
        <v>0.48084940495686762</v>
      </c>
      <c r="V10" s="137">
        <f>IF(SER_hh_tes!V10=0,"",SER_hh_tes!V10/SER_hh_fec!V10)</f>
        <v>0.48084940495686779</v>
      </c>
      <c r="W10" s="137">
        <f>IF(SER_hh_tes!W10=0,"",SER_hh_tes!W10/SER_hh_fec!W10)</f>
        <v>0.48085248368327732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>
        <f>IF(SER_hh_tes!F11=0,"",SER_hh_tes!F11/SER_hh_fec!F11)</f>
        <v>0.87835810028908701</v>
      </c>
      <c r="G11" s="137">
        <f>IF(SER_hh_tes!G11=0,"",SER_hh_tes!G11/SER_hh_fec!G11)</f>
        <v>0.87904670412646457</v>
      </c>
      <c r="H11" s="137">
        <f>IF(SER_hh_tes!H11=0,"",SER_hh_tes!H11/SER_hh_fec!H11)</f>
        <v>0.87923779992520967</v>
      </c>
      <c r="I11" s="137">
        <f>IF(SER_hh_tes!I11=0,"",SER_hh_tes!I11/SER_hh_fec!I11)</f>
        <v>0.8792402410597856</v>
      </c>
      <c r="J11" s="137">
        <f>IF(SER_hh_tes!J11=0,"",SER_hh_tes!J11/SER_hh_fec!J11)</f>
        <v>0.87971993902389334</v>
      </c>
      <c r="K11" s="137">
        <f>IF(SER_hh_tes!K11=0,"",SER_hh_tes!K11/SER_hh_fec!K11)</f>
        <v>0.88265573973625466</v>
      </c>
      <c r="L11" s="137">
        <f>IF(SER_hh_tes!L11=0,"",SER_hh_tes!L11/SER_hh_fec!L11)</f>
        <v>0.88533696384077043</v>
      </c>
      <c r="M11" s="137">
        <f>IF(SER_hh_tes!M11=0,"",SER_hh_tes!M11/SER_hh_fec!M11)</f>
        <v>0.88719068764427667</v>
      </c>
      <c r="N11" s="137">
        <f>IF(SER_hh_tes!N11=0,"",SER_hh_tes!N11/SER_hh_fec!N11)</f>
        <v>0.8876359099615746</v>
      </c>
      <c r="O11" s="137">
        <f>IF(SER_hh_tes!O11=0,"",SER_hh_tes!O11/SER_hh_fec!O11)</f>
        <v>0.88862119187987065</v>
      </c>
      <c r="P11" s="137">
        <f>IF(SER_hh_tes!P11=0,"",SER_hh_tes!P11/SER_hh_fec!P11)</f>
        <v>0.88971369597848715</v>
      </c>
      <c r="Q11" s="137">
        <f>IF(SER_hh_tes!Q11=0,"",SER_hh_tes!Q11/SER_hh_fec!Q11)</f>
        <v>0.89035850249444393</v>
      </c>
      <c r="R11" s="137">
        <f>IF(SER_hh_tes!R11=0,"",SER_hh_tes!R11/SER_hh_fec!R11)</f>
        <v>0.89094457806972238</v>
      </c>
      <c r="S11" s="137">
        <f>IF(SER_hh_tes!S11=0,"",SER_hh_tes!S11/SER_hh_fec!S11)</f>
        <v>0.89432839699264</v>
      </c>
      <c r="T11" s="137">
        <f>IF(SER_hh_tes!T11=0,"",SER_hh_tes!T11/SER_hh_fec!T11)</f>
        <v>0.90201712616914265</v>
      </c>
      <c r="U11" s="137">
        <f>IF(SER_hh_tes!U11=0,"",SER_hh_tes!U11/SER_hh_fec!U11)</f>
        <v>0.91121730996340944</v>
      </c>
      <c r="V11" s="137">
        <f>IF(SER_hh_tes!V11=0,"",SER_hh_tes!V11/SER_hh_fec!V11)</f>
        <v>0.92403673947220311</v>
      </c>
      <c r="W11" s="137">
        <f>IF(SER_hh_tes!W11=0,"",SER_hh_tes!W11/SER_hh_fec!W11)</f>
        <v>0.92678410138938772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1.1742203274092857</v>
      </c>
      <c r="C13" s="137">
        <f>IF(SER_hh_tes!C13=0,"",SER_hh_tes!C13/SER_hh_fec!C13)</f>
        <v>1.1962697922640093</v>
      </c>
      <c r="D13" s="137">
        <f>IF(SER_hh_tes!D13=0,"",SER_hh_tes!D13/SER_hh_fec!D13)</f>
        <v>1.2489123960411546</v>
      </c>
      <c r="E13" s="137">
        <f>IF(SER_hh_tes!E13=0,"",SER_hh_tes!E13/SER_hh_fec!E13)</f>
        <v>1.3074121860827148</v>
      </c>
      <c r="F13" s="137">
        <f>IF(SER_hh_tes!F13=0,"",SER_hh_tes!F13/SER_hh_fec!F13)</f>
        <v>1.3780105822639144</v>
      </c>
      <c r="G13" s="137">
        <f>IF(SER_hh_tes!G13=0,"",SER_hh_tes!G13/SER_hh_fec!G13)</f>
        <v>1.4473404782554427</v>
      </c>
      <c r="H13" s="137">
        <f>IF(SER_hh_tes!H13=0,"",SER_hh_tes!H13/SER_hh_fec!H13)</f>
        <v>1.5353651211810573</v>
      </c>
      <c r="I13" s="137">
        <f>IF(SER_hh_tes!I13=0,"",SER_hh_tes!I13/SER_hh_fec!I13)</f>
        <v>1.6433189348513531</v>
      </c>
      <c r="J13" s="137">
        <f>IF(SER_hh_tes!J13=0,"",SER_hh_tes!J13/SER_hh_fec!J13)</f>
        <v>1.7633473412296106</v>
      </c>
      <c r="K13" s="137">
        <f>IF(SER_hh_tes!K13=0,"",SER_hh_tes!K13/SER_hh_fec!K13)</f>
        <v>1.8988410490389813</v>
      </c>
      <c r="L13" s="137">
        <f>IF(SER_hh_tes!L13=0,"",SER_hh_tes!L13/SER_hh_fec!L13)</f>
        <v>2.0364274581194297</v>
      </c>
      <c r="M13" s="137">
        <f>IF(SER_hh_tes!M13=0,"",SER_hh_tes!M13/SER_hh_fec!M13)</f>
        <v>2.1556699097314826</v>
      </c>
      <c r="N13" s="137">
        <f>IF(SER_hh_tes!N13=0,"",SER_hh_tes!N13/SER_hh_fec!N13)</f>
        <v>2.3001655282487081</v>
      </c>
      <c r="O13" s="137">
        <f>IF(SER_hh_tes!O13=0,"",SER_hh_tes!O13/SER_hh_fec!O13)</f>
        <v>2.430900225072965</v>
      </c>
      <c r="P13" s="137">
        <f>IF(SER_hh_tes!P13=0,"",SER_hh_tes!P13/SER_hh_fec!P13)</f>
        <v>2.5311810542581181</v>
      </c>
      <c r="Q13" s="137">
        <f>IF(SER_hh_tes!Q13=0,"",SER_hh_tes!Q13/SER_hh_fec!Q13)</f>
        <v>2.5770197274144402</v>
      </c>
      <c r="R13" s="137">
        <f>IF(SER_hh_tes!R13=0,"",SER_hh_tes!R13/SER_hh_fec!R13)</f>
        <v>2.6098564457319591</v>
      </c>
      <c r="S13" s="137">
        <f>IF(SER_hh_tes!S13=0,"",SER_hh_tes!S13/SER_hh_fec!S13)</f>
        <v>2.6769752974594292</v>
      </c>
      <c r="T13" s="137">
        <f>IF(SER_hh_tes!T13=0,"",SER_hh_tes!T13/SER_hh_fec!T13)</f>
        <v>2.7801420131627275</v>
      </c>
      <c r="U13" s="137">
        <f>IF(SER_hh_tes!U13=0,"",SER_hh_tes!U13/SER_hh_fec!U13)</f>
        <v>2.874137391738385</v>
      </c>
      <c r="V13" s="137">
        <f>IF(SER_hh_tes!V13=0,"",SER_hh_tes!V13/SER_hh_fec!V13)</f>
        <v>2.977075591371245</v>
      </c>
      <c r="W13" s="137">
        <f>IF(SER_hh_tes!W13=0,"",SER_hh_tes!W13/SER_hh_fec!W13)</f>
        <v>3.0627100405966723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0.57124074735922925</v>
      </c>
      <c r="C14" s="138">
        <f>IF(SER_hh_tes!C14=0,"",SER_hh_tes!C14/SER_hh_fec!C14)</f>
        <v>0.57309524173029003</v>
      </c>
      <c r="D14" s="138">
        <f>IF(SER_hh_tes!D14=0,"",SER_hh_tes!D14/SER_hh_fec!D14)</f>
        <v>0.57671247014603177</v>
      </c>
      <c r="E14" s="138">
        <f>IF(SER_hh_tes!E14=0,"",SER_hh_tes!E14/SER_hh_fec!E14)</f>
        <v>0.5805858651620277</v>
      </c>
      <c r="F14" s="138">
        <f>IF(SER_hh_tes!F14=0,"",SER_hh_tes!F14/SER_hh_fec!F14)</f>
        <v>0.58514118634004464</v>
      </c>
      <c r="G14" s="138">
        <f>IF(SER_hh_tes!G14=0,"",SER_hh_tes!G14/SER_hh_fec!G14)</f>
        <v>0.58820156557054093</v>
      </c>
      <c r="H14" s="138">
        <f>IF(SER_hh_tes!H14=0,"",SER_hh_tes!H14/SER_hh_fec!H14)</f>
        <v>0.59368635581692353</v>
      </c>
      <c r="I14" s="138">
        <f>IF(SER_hh_tes!I14=0,"",SER_hh_tes!I14/SER_hh_fec!I14)</f>
        <v>0.59902599916186239</v>
      </c>
      <c r="J14" s="138">
        <f>IF(SER_hh_tes!J14=0,"",SER_hh_tes!J14/SER_hh_fec!J14)</f>
        <v>0.60369686020813573</v>
      </c>
      <c r="K14" s="138">
        <f>IF(SER_hh_tes!K14=0,"",SER_hh_tes!K14/SER_hh_fec!K14)</f>
        <v>0.60635963975521312</v>
      </c>
      <c r="L14" s="138">
        <f>IF(SER_hh_tes!L14=0,"",SER_hh_tes!L14/SER_hh_fec!L14)</f>
        <v>0.60889297925904828</v>
      </c>
      <c r="M14" s="138">
        <f>IF(SER_hh_tes!M14=0,"",SER_hh_tes!M14/SER_hh_fec!M14)</f>
        <v>0.61123141048273733</v>
      </c>
      <c r="N14" s="138">
        <f>IF(SER_hh_tes!N14=0,"",SER_hh_tes!N14/SER_hh_fec!N14)</f>
        <v>0.61460702678891177</v>
      </c>
      <c r="O14" s="138">
        <f>IF(SER_hh_tes!O14=0,"",SER_hh_tes!O14/SER_hh_fec!O14)</f>
        <v>0.61885144143063187</v>
      </c>
      <c r="P14" s="138">
        <f>IF(SER_hh_tes!P14=0,"",SER_hh_tes!P14/SER_hh_fec!P14)</f>
        <v>0.61889186353463943</v>
      </c>
      <c r="Q14" s="138">
        <f>IF(SER_hh_tes!Q14=0,"",SER_hh_tes!Q14/SER_hh_fec!Q14)</f>
        <v>0.61898864644009788</v>
      </c>
      <c r="R14" s="138">
        <f>IF(SER_hh_tes!R14=0,"",SER_hh_tes!R14/SER_hh_fec!R14)</f>
        <v>0.63291927981607665</v>
      </c>
      <c r="S14" s="138">
        <f>IF(SER_hh_tes!S14=0,"",SER_hh_tes!S14/SER_hh_fec!S14)</f>
        <v>0.64545734267883403</v>
      </c>
      <c r="T14" s="138">
        <f>IF(SER_hh_tes!T14=0,"",SER_hh_tes!T14/SER_hh_fec!T14)</f>
        <v>0.64979165810604611</v>
      </c>
      <c r="U14" s="138">
        <f>IF(SER_hh_tes!U14=0,"",SER_hh_tes!U14/SER_hh_fec!U14)</f>
        <v>0.6542131131640373</v>
      </c>
      <c r="V14" s="138">
        <f>IF(SER_hh_tes!V14=0,"",SER_hh_tes!V14/SER_hh_fec!V14)</f>
        <v>0.65989716065892834</v>
      </c>
      <c r="W14" s="138">
        <f>IF(SER_hh_tes!W14=0,"",SER_hh_tes!W14/SER_hh_fec!W14)</f>
        <v>0.6671946275550934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1.6806634293227731</v>
      </c>
      <c r="C16" s="136">
        <f>IF(SER_hh_tes!C16=0,"",SER_hh_tes!C16/SER_hh_fec!C16)</f>
        <v>1.750529227312434</v>
      </c>
      <c r="D16" s="136">
        <f>IF(SER_hh_tes!D16=0,"",SER_hh_tes!D16/SER_hh_fec!D16)</f>
        <v>1.8261586987974194</v>
      </c>
      <c r="E16" s="136">
        <f>IF(SER_hh_tes!E16=0,"",SER_hh_tes!E16/SER_hh_fec!E16)</f>
        <v>1.9156568717010514</v>
      </c>
      <c r="F16" s="136">
        <f>IF(SER_hh_tes!F16=0,"",SER_hh_tes!F16/SER_hh_fec!F16)</f>
        <v>2.0027577742210267</v>
      </c>
      <c r="G16" s="136">
        <f>IF(SER_hh_tes!G16=0,"",SER_hh_tes!G16/SER_hh_fec!G16)</f>
        <v>2.0924315529474247</v>
      </c>
      <c r="H16" s="136">
        <f>IF(SER_hh_tes!H16=0,"",SER_hh_tes!H16/SER_hh_fec!H16)</f>
        <v>2.2083825574919</v>
      </c>
      <c r="I16" s="136">
        <f>IF(SER_hh_tes!I16=0,"",SER_hh_tes!I16/SER_hh_fec!I16)</f>
        <v>2.3354979055727414</v>
      </c>
      <c r="J16" s="136">
        <f>IF(SER_hh_tes!J16=0,"",SER_hh_tes!J16/SER_hh_fec!J16)</f>
        <v>2.4630245586530659</v>
      </c>
      <c r="K16" s="136">
        <f>IF(SER_hh_tes!K16=0,"",SER_hh_tes!K16/SER_hh_fec!K16)</f>
        <v>2.4951116326678431</v>
      </c>
      <c r="L16" s="136">
        <f>IF(SER_hh_tes!L16=0,"",SER_hh_tes!L16/SER_hh_fec!L16)</f>
        <v>2.536341940777413</v>
      </c>
      <c r="M16" s="136">
        <f>IF(SER_hh_tes!M16=0,"",SER_hh_tes!M16/SER_hh_fec!M16)</f>
        <v>2.5984147547042431</v>
      </c>
      <c r="N16" s="136">
        <f>IF(SER_hh_tes!N16=0,"",SER_hh_tes!N16/SER_hh_fec!N16)</f>
        <v>2.6891994933535939</v>
      </c>
      <c r="O16" s="136">
        <f>IF(SER_hh_tes!O16=0,"",SER_hh_tes!O16/SER_hh_fec!O16)</f>
        <v>2.7662425563884261</v>
      </c>
      <c r="P16" s="136">
        <f>IF(SER_hh_tes!P16=0,"",SER_hh_tes!P16/SER_hh_fec!P16)</f>
        <v>2.8511189034508999</v>
      </c>
      <c r="Q16" s="136">
        <f>IF(SER_hh_tes!Q16=0,"",SER_hh_tes!Q16/SER_hh_fec!Q16)</f>
        <v>2.9495257840863807</v>
      </c>
      <c r="R16" s="136">
        <f>IF(SER_hh_tes!R16=0,"",SER_hh_tes!R16/SER_hh_fec!R16)</f>
        <v>3.0483605992969025</v>
      </c>
      <c r="S16" s="136">
        <f>IF(SER_hh_tes!S16=0,"",SER_hh_tes!S16/SER_hh_fec!S16)</f>
        <v>3.1405310038268324</v>
      </c>
      <c r="T16" s="136">
        <f>IF(SER_hh_tes!T16=0,"",SER_hh_tes!T16/SER_hh_fec!T16)</f>
        <v>3.2087146598086593</v>
      </c>
      <c r="U16" s="136">
        <f>IF(SER_hh_tes!U16=0,"",SER_hh_tes!U16/SER_hh_fec!U16)</f>
        <v>3.276703797881142</v>
      </c>
      <c r="V16" s="136">
        <f>IF(SER_hh_tes!V16=0,"",SER_hh_tes!V16/SER_hh_fec!V16)</f>
        <v>3.3326435119308755</v>
      </c>
      <c r="W16" s="136">
        <f>IF(SER_hh_tes!W16=0,"",SER_hh_tes!W16/SER_hh_fec!W16)</f>
        <v>3.409066207508948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1.205013169638731</v>
      </c>
      <c r="C17" s="137">
        <f>IF(SER_hh_tes!C17=0,"",SER_hh_tes!C17/SER_hh_fec!C17)</f>
        <v>1.2107983779350033</v>
      </c>
      <c r="D17" s="137">
        <f>IF(SER_hh_tes!D17=0,"",SER_hh_tes!D17/SER_hh_fec!D17)</f>
        <v>1.223748076131167</v>
      </c>
      <c r="E17" s="137">
        <f>IF(SER_hh_tes!E17=0,"",SER_hh_tes!E17/SER_hh_fec!E17)</f>
        <v>1.2262282928789425</v>
      </c>
      <c r="F17" s="137">
        <f>IF(SER_hh_tes!F17=0,"",SER_hh_tes!F17/SER_hh_fec!F17)</f>
        <v>1.2409314619163203</v>
      </c>
      <c r="G17" s="137">
        <f>IF(SER_hh_tes!G17=0,"",SER_hh_tes!G17/SER_hh_fec!G17)</f>
        <v>1.2461981826647712</v>
      </c>
      <c r="H17" s="137">
        <f>IF(SER_hh_tes!H17=0,"",SER_hh_tes!H17/SER_hh_fec!H17)</f>
        <v>1.249365112697808</v>
      </c>
      <c r="I17" s="137">
        <f>IF(SER_hh_tes!I17=0,"",SER_hh_tes!I17/SER_hh_fec!I17)</f>
        <v>1.250413707704034</v>
      </c>
      <c r="J17" s="137">
        <f>IF(SER_hh_tes!J17=0,"",SER_hh_tes!J17/SER_hh_fec!J17)</f>
        <v>1.2527705691491424</v>
      </c>
      <c r="K17" s="137">
        <f>IF(SER_hh_tes!K17=0,"",SER_hh_tes!K17/SER_hh_fec!K17)</f>
        <v>1.2540210749835163</v>
      </c>
      <c r="L17" s="137">
        <f>IF(SER_hh_tes!L17=0,"",SER_hh_tes!L17/SER_hh_fec!L17)</f>
        <v>1.2552833994991137</v>
      </c>
      <c r="M17" s="137">
        <f>IF(SER_hh_tes!M17=0,"",SER_hh_tes!M17/SER_hh_fec!M17)</f>
        <v>1.2581957857125834</v>
      </c>
      <c r="N17" s="137">
        <f>IF(SER_hh_tes!N17=0,"",SER_hh_tes!N17/SER_hh_fec!N17)</f>
        <v>1.2622137539254363</v>
      </c>
      <c r="O17" s="137">
        <f>IF(SER_hh_tes!O17=0,"",SER_hh_tes!O17/SER_hh_fec!O17)</f>
        <v>1.2776696885954459</v>
      </c>
      <c r="P17" s="137">
        <f>IF(SER_hh_tes!P17=0,"",SER_hh_tes!P17/SER_hh_fec!P17)</f>
        <v>1.2946984860162436</v>
      </c>
      <c r="Q17" s="137">
        <f>IF(SER_hh_tes!Q17=0,"",SER_hh_tes!Q17/SER_hh_fec!Q17)</f>
        <v>1.3079722669338449</v>
      </c>
      <c r="R17" s="137">
        <f>IF(SER_hh_tes!R17=0,"",SER_hh_tes!R17/SER_hh_fec!R17)</f>
        <v>1.3198492435594262</v>
      </c>
      <c r="S17" s="137">
        <f>IF(SER_hh_tes!S17=0,"",SER_hh_tes!S17/SER_hh_fec!S17)</f>
        <v>1.3359431883373223</v>
      </c>
      <c r="T17" s="137">
        <f>IF(SER_hh_tes!T17=0,"",SER_hh_tes!T17/SER_hh_fec!T17)</f>
        <v>1.3611502756158311</v>
      </c>
      <c r="U17" s="137">
        <f>IF(SER_hh_tes!U17=0,"",SER_hh_tes!U17/SER_hh_fec!U17)</f>
        <v>1.3788610474797669</v>
      </c>
      <c r="V17" s="137">
        <f>IF(SER_hh_tes!V17=0,"",SER_hh_tes!V17/SER_hh_fec!V17)</f>
        <v>1.3991338532910305</v>
      </c>
      <c r="W17" s="137">
        <f>IF(SER_hh_tes!W17=0,"",SER_hh_tes!W17/SER_hh_fec!W17)</f>
        <v>1.4229817116199635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1.6811952604210283</v>
      </c>
      <c r="C18" s="137">
        <f>IF(SER_hh_tes!C18=0,"",SER_hh_tes!C18/SER_hh_fec!C18)</f>
        <v>1.7511444646571441</v>
      </c>
      <c r="D18" s="137">
        <f>IF(SER_hh_tes!D18=0,"",SER_hh_tes!D18/SER_hh_fec!D18)</f>
        <v>1.8270851527653216</v>
      </c>
      <c r="E18" s="137">
        <f>IF(SER_hh_tes!E18=0,"",SER_hh_tes!E18/SER_hh_fec!E18)</f>
        <v>1.9166241842822866</v>
      </c>
      <c r="F18" s="137">
        <f>IF(SER_hh_tes!F18=0,"",SER_hh_tes!F18/SER_hh_fec!F18)</f>
        <v>2.0049682352403804</v>
      </c>
      <c r="G18" s="137">
        <f>IF(SER_hh_tes!G18=0,"",SER_hh_tes!G18/SER_hh_fec!G18)</f>
        <v>2.0961648096074654</v>
      </c>
      <c r="H18" s="137">
        <f>IF(SER_hh_tes!H18=0,"",SER_hh_tes!H18/SER_hh_fec!H18)</f>
        <v>2.2140875150031172</v>
      </c>
      <c r="I18" s="137">
        <f>IF(SER_hh_tes!I18=0,"",SER_hh_tes!I18/SER_hh_fec!I18)</f>
        <v>2.341509048325217</v>
      </c>
      <c r="J18" s="137">
        <f>IF(SER_hh_tes!J18=0,"",SER_hh_tes!J18/SER_hh_fec!J18)</f>
        <v>2.4720767190856705</v>
      </c>
      <c r="K18" s="137">
        <f>IF(SER_hh_tes!K18=0,"",SER_hh_tes!K18/SER_hh_fec!K18)</f>
        <v>2.5106840395018146</v>
      </c>
      <c r="L18" s="137">
        <f>IF(SER_hh_tes!L18=0,"",SER_hh_tes!L18/SER_hh_fec!L18)</f>
        <v>2.5532767576182978</v>
      </c>
      <c r="M18" s="137">
        <f>IF(SER_hh_tes!M18=0,"",SER_hh_tes!M18/SER_hh_fec!M18)</f>
        <v>2.6237505140449215</v>
      </c>
      <c r="N18" s="137">
        <f>IF(SER_hh_tes!N18=0,"",SER_hh_tes!N18/SER_hh_fec!N18)</f>
        <v>2.7203086405488701</v>
      </c>
      <c r="O18" s="137">
        <f>IF(SER_hh_tes!O18=0,"",SER_hh_tes!O18/SER_hh_fec!O18)</f>
        <v>2.8183027813488488</v>
      </c>
      <c r="P18" s="137">
        <f>IF(SER_hh_tes!P18=0,"",SER_hh_tes!P18/SER_hh_fec!P18)</f>
        <v>2.9285298714288013</v>
      </c>
      <c r="Q18" s="137">
        <f>IF(SER_hh_tes!Q18=0,"",SER_hh_tes!Q18/SER_hh_fec!Q18)</f>
        <v>3.0396668214689293</v>
      </c>
      <c r="R18" s="137">
        <f>IF(SER_hh_tes!R18=0,"",SER_hh_tes!R18/SER_hh_fec!R18)</f>
        <v>3.1521500816965391</v>
      </c>
      <c r="S18" s="137">
        <f>IF(SER_hh_tes!S18=0,"",SER_hh_tes!S18/SER_hh_fec!S18)</f>
        <v>3.2596016865634749</v>
      </c>
      <c r="T18" s="137">
        <f>IF(SER_hh_tes!T18=0,"",SER_hh_tes!T18/SER_hh_fec!T18)</f>
        <v>3.3488929218699544</v>
      </c>
      <c r="U18" s="137">
        <f>IF(SER_hh_tes!U18=0,"",SER_hh_tes!U18/SER_hh_fec!U18)</f>
        <v>3.4236025308252991</v>
      </c>
      <c r="V18" s="137">
        <f>IF(SER_hh_tes!V18=0,"",SER_hh_tes!V18/SER_hh_fec!V18)</f>
        <v>3.4781248179036406</v>
      </c>
      <c r="W18" s="137">
        <f>IF(SER_hh_tes!W18=0,"",SER_hh_tes!W18/SER_hh_fec!W18)</f>
        <v>3.558243446382666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0.53107639100697868</v>
      </c>
      <c r="C19" s="136">
        <f>IF(SER_hh_tes!C19=0,"",SER_hh_tes!C19/SER_hh_fec!C19)</f>
        <v>0.53197846539581672</v>
      </c>
      <c r="D19" s="136">
        <f>IF(SER_hh_tes!D19=0,"",SER_hh_tes!D19/SER_hh_fec!D19)</f>
        <v>0.53354891084611333</v>
      </c>
      <c r="E19" s="136">
        <f>IF(SER_hh_tes!E19=0,"",SER_hh_tes!E19/SER_hh_fec!E19)</f>
        <v>0.53576379855567147</v>
      </c>
      <c r="F19" s="136">
        <f>IF(SER_hh_tes!F19=0,"",SER_hh_tes!F19/SER_hh_fec!F19)</f>
        <v>0.53813535033869742</v>
      </c>
      <c r="G19" s="136">
        <f>IF(SER_hh_tes!G19=0,"",SER_hh_tes!G19/SER_hh_fec!G19)</f>
        <v>0.53825607339225667</v>
      </c>
      <c r="H19" s="136">
        <f>IF(SER_hh_tes!H19=0,"",SER_hh_tes!H19/SER_hh_fec!H19)</f>
        <v>0.54103650610265497</v>
      </c>
      <c r="I19" s="136">
        <f>IF(SER_hh_tes!I19=0,"",SER_hh_tes!I19/SER_hh_fec!I19)</f>
        <v>0.54355485583681573</v>
      </c>
      <c r="J19" s="136">
        <f>IF(SER_hh_tes!J19=0,"",SER_hh_tes!J19/SER_hh_fec!J19)</f>
        <v>0.54743625161297382</v>
      </c>
      <c r="K19" s="136">
        <f>IF(SER_hh_tes!K19=0,"",SER_hh_tes!K19/SER_hh_fec!K19)</f>
        <v>0.55098757802094078</v>
      </c>
      <c r="L19" s="136">
        <f>IF(SER_hh_tes!L19=0,"",SER_hh_tes!L19/SER_hh_fec!L19)</f>
        <v>0.55298953274845086</v>
      </c>
      <c r="M19" s="136">
        <f>IF(SER_hh_tes!M19=0,"",SER_hh_tes!M19/SER_hh_fec!M19)</f>
        <v>0.5565389814354974</v>
      </c>
      <c r="N19" s="136">
        <f>IF(SER_hh_tes!N19=0,"",SER_hh_tes!N19/SER_hh_fec!N19)</f>
        <v>0.56221475568771484</v>
      </c>
      <c r="O19" s="136">
        <f>IF(SER_hh_tes!O19=0,"",SER_hh_tes!O19/SER_hh_fec!O19)</f>
        <v>0.56910020139803852</v>
      </c>
      <c r="P19" s="136">
        <f>IF(SER_hh_tes!P19=0,"",SER_hh_tes!P19/SER_hh_fec!P19)</f>
        <v>0.57405102977794564</v>
      </c>
      <c r="Q19" s="136">
        <f>IF(SER_hh_tes!Q19=0,"",SER_hh_tes!Q19/SER_hh_fec!Q19)</f>
        <v>0.580988320863145</v>
      </c>
      <c r="R19" s="136">
        <f>IF(SER_hh_tes!R19=0,"",SER_hh_tes!R19/SER_hh_fec!R19)</f>
        <v>0.59045560360439697</v>
      </c>
      <c r="S19" s="136">
        <f>IF(SER_hh_tes!S19=0,"",SER_hh_tes!S19/SER_hh_fec!S19)</f>
        <v>0.60402352929516356</v>
      </c>
      <c r="T19" s="136">
        <f>IF(SER_hh_tes!T19=0,"",SER_hh_tes!T19/SER_hh_fec!T19)</f>
        <v>0.61937495118960773</v>
      </c>
      <c r="U19" s="136">
        <f>IF(SER_hh_tes!U19=0,"",SER_hh_tes!U19/SER_hh_fec!U19)</f>
        <v>0.63578184560724593</v>
      </c>
      <c r="V19" s="136">
        <f>IF(SER_hh_tes!V19=0,"",SER_hh_tes!V19/SER_hh_fec!V19)</f>
        <v>0.65555781876658603</v>
      </c>
      <c r="W19" s="136">
        <f>IF(SER_hh_tes!W19=0,"",SER_hh_tes!W19/SER_hh_fec!W19)</f>
        <v>0.67191199196250317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0.44460640598722556</v>
      </c>
      <c r="C21" s="137">
        <f>IF(SER_hh_tes!C21=0,"",SER_hh_tes!C21/SER_hh_fec!C21)</f>
        <v>0.44626057941582509</v>
      </c>
      <c r="D21" s="137">
        <f>IF(SER_hh_tes!D21=0,"",SER_hh_tes!D21/SER_hh_fec!D21)</f>
        <v>0.44788878785175484</v>
      </c>
      <c r="E21" s="137">
        <f>IF(SER_hh_tes!E21=0,"",SER_hh_tes!E21/SER_hh_fec!E21)</f>
        <v>0.44985644490494636</v>
      </c>
      <c r="F21" s="137">
        <f>IF(SER_hh_tes!F21=0,"",SER_hh_tes!F21/SER_hh_fec!F21)</f>
        <v>0.45235839082472362</v>
      </c>
      <c r="G21" s="137">
        <f>IF(SER_hh_tes!G21=0,"",SER_hh_tes!G21/SER_hh_fec!G21)</f>
        <v>0.45547862471933842</v>
      </c>
      <c r="H21" s="137">
        <f>IF(SER_hh_tes!H21=0,"",SER_hh_tes!H21/SER_hh_fec!H21)</f>
        <v>0.45872270920427882</v>
      </c>
      <c r="I21" s="137">
        <f>IF(SER_hh_tes!I21=0,"",SER_hh_tes!I21/SER_hh_fec!I21)</f>
        <v>0.46191157826252444</v>
      </c>
      <c r="J21" s="137">
        <f>IF(SER_hh_tes!J21=0,"",SER_hh_tes!J21/SER_hh_fec!J21)</f>
        <v>0.46438924202423915</v>
      </c>
      <c r="K21" s="137">
        <f>IF(SER_hh_tes!K21=0,"",SER_hh_tes!K21/SER_hh_fec!K21)</f>
        <v>0.46648488640750119</v>
      </c>
      <c r="L21" s="137">
        <f>IF(SER_hh_tes!L21=0,"",SER_hh_tes!L21/SER_hh_fec!L21)</f>
        <v>0.46861696780552359</v>
      </c>
      <c r="M21" s="137">
        <f>IF(SER_hh_tes!M21=0,"",SER_hh_tes!M21/SER_hh_fec!M21)</f>
        <v>0.47161305510395701</v>
      </c>
      <c r="N21" s="137">
        <f>IF(SER_hh_tes!N21=0,"",SER_hh_tes!N21/SER_hh_fec!N21)</f>
        <v>0.47685737897632435</v>
      </c>
      <c r="O21" s="137">
        <f>IF(SER_hh_tes!O21=0,"",SER_hh_tes!O21/SER_hh_fec!O21)</f>
        <v>0.48326650687061823</v>
      </c>
      <c r="P21" s="137">
        <f>IF(SER_hh_tes!P21=0,"",SER_hh_tes!P21/SER_hh_fec!P21)</f>
        <v>0.49002846238145498</v>
      </c>
      <c r="Q21" s="137">
        <f>IF(SER_hh_tes!Q21=0,"",SER_hh_tes!Q21/SER_hh_fec!Q21)</f>
        <v>0.50238699374989271</v>
      </c>
      <c r="R21" s="137">
        <f>IF(SER_hh_tes!R21=0,"",SER_hh_tes!R21/SER_hh_fec!R21)</f>
        <v>0.52103868707777512</v>
      </c>
      <c r="S21" s="137">
        <f>IF(SER_hh_tes!S21=0,"",SER_hh_tes!S21/SER_hh_fec!S21)</f>
        <v>0.54076576674897658</v>
      </c>
      <c r="T21" s="137">
        <f>IF(SER_hh_tes!T21=0,"",SER_hh_tes!T21/SER_hh_fec!T21)</f>
        <v>0.55489429387508715</v>
      </c>
      <c r="U21" s="137">
        <f>IF(SER_hh_tes!U21=0,"",SER_hh_tes!U21/SER_hh_fec!U21)</f>
        <v>0.56813938563873878</v>
      </c>
      <c r="V21" s="137">
        <f>IF(SER_hh_tes!V21=0,"",SER_hh_tes!V21/SER_hh_fec!V21)</f>
        <v>0.58352934704068093</v>
      </c>
      <c r="W21" s="137">
        <f>IF(SER_hh_tes!W21=0,"",SER_hh_tes!W21/SER_hh_fec!W21)</f>
        <v>0.59879993110892538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0.41899210003763632</v>
      </c>
      <c r="C22" s="137">
        <f>IF(SER_hh_tes!C22=0,"",SER_hh_tes!C22/SER_hh_fec!C22)</f>
        <v>0.42079902160785765</v>
      </c>
      <c r="D22" s="137">
        <f>IF(SER_hh_tes!D22=0,"",SER_hh_tes!D22/SER_hh_fec!D22)</f>
        <v>0.42265621284026589</v>
      </c>
      <c r="E22" s="137">
        <f>IF(SER_hh_tes!E22=0,"",SER_hh_tes!E22/SER_hh_fec!E22)</f>
        <v>0.42459420601889819</v>
      </c>
      <c r="F22" s="137">
        <f>IF(SER_hh_tes!F22=0,"",SER_hh_tes!F22/SER_hh_fec!F22)</f>
        <v>0.42661526154251439</v>
      </c>
      <c r="G22" s="137">
        <f>IF(SER_hh_tes!G22=0,"",SER_hh_tes!G22/SER_hh_fec!G22)</f>
        <v>0.42880417704423168</v>
      </c>
      <c r="H22" s="137">
        <f>IF(SER_hh_tes!H22=0,"",SER_hh_tes!H22/SER_hh_fec!H22)</f>
        <v>0.43113634104935378</v>
      </c>
      <c r="I22" s="137">
        <f>IF(SER_hh_tes!I22=0,"",SER_hh_tes!I22/SER_hh_fec!I22)</f>
        <v>0.43345766405149949</v>
      </c>
      <c r="J22" s="137">
        <f>IF(SER_hh_tes!J22=0,"",SER_hh_tes!J22/SER_hh_fec!J22)</f>
        <v>0.43559041848539359</v>
      </c>
      <c r="K22" s="137">
        <f>IF(SER_hh_tes!K22=0,"",SER_hh_tes!K22/SER_hh_fec!K22)</f>
        <v>0.43761745152002746</v>
      </c>
      <c r="L22" s="137">
        <f>IF(SER_hh_tes!L22=0,"",SER_hh_tes!L22/SER_hh_fec!L22)</f>
        <v>0.44000816364839035</v>
      </c>
      <c r="M22" s="137">
        <f>IF(SER_hh_tes!M22=0,"",SER_hh_tes!M22/SER_hh_fec!M22)</f>
        <v>0.44372644441287423</v>
      </c>
      <c r="N22" s="137">
        <f>IF(SER_hh_tes!N22=0,"",SER_hh_tes!N22/SER_hh_fec!N22)</f>
        <v>0.45002664605712983</v>
      </c>
      <c r="O22" s="137">
        <f>IF(SER_hh_tes!O22=0,"",SER_hh_tes!O22/SER_hh_fec!O22)</f>
        <v>0.45894749918800987</v>
      </c>
      <c r="P22" s="137">
        <f>IF(SER_hh_tes!P22=0,"",SER_hh_tes!P22/SER_hh_fec!P22)</f>
        <v>0.46583464771825323</v>
      </c>
      <c r="Q22" s="137">
        <f>IF(SER_hh_tes!Q22=0,"",SER_hh_tes!Q22/SER_hh_fec!Q22)</f>
        <v>0.47518620354324398</v>
      </c>
      <c r="R22" s="137">
        <f>IF(SER_hh_tes!R22=0,"",SER_hh_tes!R22/SER_hh_fec!R22)</f>
        <v>0.48549776769564873</v>
      </c>
      <c r="S22" s="137">
        <f>IF(SER_hh_tes!S22=0,"",SER_hh_tes!S22/SER_hh_fec!S22)</f>
        <v>0.49625490671998174</v>
      </c>
      <c r="T22" s="137">
        <f>IF(SER_hh_tes!T22=0,"",SER_hh_tes!T22/SER_hh_fec!T22)</f>
        <v>0.50191127245049705</v>
      </c>
      <c r="U22" s="137">
        <f>IF(SER_hh_tes!U22=0,"",SER_hh_tes!U22/SER_hh_fec!U22)</f>
        <v>0.50817025976529184</v>
      </c>
      <c r="V22" s="137">
        <f>IF(SER_hh_tes!V22=0,"",SER_hh_tes!V22/SER_hh_fec!V22)</f>
        <v>0.51417108826770808</v>
      </c>
      <c r="W22" s="137">
        <f>IF(SER_hh_tes!W22=0,"",SER_hh_tes!W22/SER_hh_fec!W22)</f>
        <v>0.51900971874628743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0.42805241736295208</v>
      </c>
      <c r="C23" s="137">
        <f>IF(SER_hh_tes!C23=0,"",SER_hh_tes!C23/SER_hh_fec!C23)</f>
        <v>0.43746957071005638</v>
      </c>
      <c r="D23" s="137">
        <f>IF(SER_hh_tes!D23=0,"",SER_hh_tes!D23/SER_hh_fec!D23)</f>
        <v>0.44716720460654075</v>
      </c>
      <c r="E23" s="137">
        <f>IF(SER_hh_tes!E23=0,"",SER_hh_tes!E23/SER_hh_fec!E23)</f>
        <v>0.45700790416714998</v>
      </c>
      <c r="F23" s="137">
        <f>IF(SER_hh_tes!F23=0,"",SER_hh_tes!F23/SER_hh_fec!F23)</f>
        <v>0.46624190583649167</v>
      </c>
      <c r="G23" s="137">
        <f>IF(SER_hh_tes!G23=0,"",SER_hh_tes!G23/SER_hh_fec!G23)</f>
        <v>0.47638900344121632</v>
      </c>
      <c r="H23" s="137">
        <f>IF(SER_hh_tes!H23=0,"",SER_hh_tes!H23/SER_hh_fec!H23)</f>
        <v>0.48379202493629353</v>
      </c>
      <c r="I23" s="137">
        <f>IF(SER_hh_tes!I23=0,"",SER_hh_tes!I23/SER_hh_fec!I23)</f>
        <v>0.49007425144725913</v>
      </c>
      <c r="J23" s="137">
        <f>IF(SER_hh_tes!J23=0,"",SER_hh_tes!J23/SER_hh_fec!J23)</f>
        <v>0.49502326362346233</v>
      </c>
      <c r="K23" s="137">
        <f>IF(SER_hh_tes!K23=0,"",SER_hh_tes!K23/SER_hh_fec!K23)</f>
        <v>0.49966657758427752</v>
      </c>
      <c r="L23" s="137">
        <f>IF(SER_hh_tes!L23=0,"",SER_hh_tes!L23/SER_hh_fec!L23)</f>
        <v>0.50462319445941273</v>
      </c>
      <c r="M23" s="137">
        <f>IF(SER_hh_tes!M23=0,"",SER_hh_tes!M23/SER_hh_fec!M23)</f>
        <v>0.50945092370106881</v>
      </c>
      <c r="N23" s="137">
        <f>IF(SER_hh_tes!N23=0,"",SER_hh_tes!N23/SER_hh_fec!N23)</f>
        <v>0.51479521215200297</v>
      </c>
      <c r="O23" s="137">
        <f>IF(SER_hh_tes!O23=0,"",SER_hh_tes!O23/SER_hh_fec!O23)</f>
        <v>0.51972006452483843</v>
      </c>
      <c r="P23" s="137">
        <f>IF(SER_hh_tes!P23=0,"",SER_hh_tes!P23/SER_hh_fec!P23)</f>
        <v>0.52204257908886009</v>
      </c>
      <c r="Q23" s="137">
        <f>IF(SER_hh_tes!Q23=0,"",SER_hh_tes!Q23/SER_hh_fec!Q23)</f>
        <v>0.52793539534590217</v>
      </c>
      <c r="R23" s="137">
        <f>IF(SER_hh_tes!R23=0,"",SER_hh_tes!R23/SER_hh_fec!R23)</f>
        <v>0.53584015602736756</v>
      </c>
      <c r="S23" s="137">
        <f>IF(SER_hh_tes!S23=0,"",SER_hh_tes!S23/SER_hh_fec!S23)</f>
        <v>0.55051386213624809</v>
      </c>
      <c r="T23" s="137">
        <f>IF(SER_hh_tes!T23=0,"",SER_hh_tes!T23/SER_hh_fec!T23)</f>
        <v>0.56839320444688202</v>
      </c>
      <c r="U23" s="137">
        <f>IF(SER_hh_tes!U23=0,"",SER_hh_tes!U23/SER_hh_fec!U23)</f>
        <v>0.58884613033781086</v>
      </c>
      <c r="V23" s="137">
        <f>IF(SER_hh_tes!V23=0,"",SER_hh_tes!V23/SER_hh_fec!V23)</f>
        <v>0.61082051992946329</v>
      </c>
      <c r="W23" s="137">
        <f>IF(SER_hh_tes!W23=0,"",SER_hh_tes!W23/SER_hh_fec!W23)</f>
        <v>0.63200811790974654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0.52797035997081365</v>
      </c>
      <c r="C26" s="138">
        <f>IF(SER_hh_tes!C26=0,"",SER_hh_tes!C26/SER_hh_fec!C26)</f>
        <v>0.53030894428776032</v>
      </c>
      <c r="D26" s="138">
        <f>IF(SER_hh_tes!D26=0,"",SER_hh_tes!D26/SER_hh_fec!D26)</f>
        <v>0.53254426796227061</v>
      </c>
      <c r="E26" s="138">
        <f>IF(SER_hh_tes!E26=0,"",SER_hh_tes!E26/SER_hh_fec!E26)</f>
        <v>0.53506892867774491</v>
      </c>
      <c r="F26" s="138">
        <f>IF(SER_hh_tes!F26=0,"",SER_hh_tes!F26/SER_hh_fec!F26)</f>
        <v>0.53763898192484971</v>
      </c>
      <c r="G26" s="138">
        <f>IF(SER_hh_tes!G26=0,"",SER_hh_tes!G26/SER_hh_fec!G26)</f>
        <v>0.540076467018893</v>
      </c>
      <c r="H26" s="138">
        <f>IF(SER_hh_tes!H26=0,"",SER_hh_tes!H26/SER_hh_fec!H26)</f>
        <v>0.54290452866692962</v>
      </c>
      <c r="I26" s="138">
        <f>IF(SER_hh_tes!I26=0,"",SER_hh_tes!I26/SER_hh_fec!I26)</f>
        <v>0.54565578527813341</v>
      </c>
      <c r="J26" s="138">
        <f>IF(SER_hh_tes!J26=0,"",SER_hh_tes!J26/SER_hh_fec!J26)</f>
        <v>0.54849084735409104</v>
      </c>
      <c r="K26" s="138">
        <f>IF(SER_hh_tes!K26=0,"",SER_hh_tes!K26/SER_hh_fec!K26)</f>
        <v>0.55133028855172928</v>
      </c>
      <c r="L26" s="138">
        <f>IF(SER_hh_tes!L26=0,"",SER_hh_tes!L26/SER_hh_fec!L26)</f>
        <v>0.55390044169467745</v>
      </c>
      <c r="M26" s="138">
        <f>IF(SER_hh_tes!M26=0,"",SER_hh_tes!M26/SER_hh_fec!M26)</f>
        <v>0.557670019818028</v>
      </c>
      <c r="N26" s="138">
        <f>IF(SER_hh_tes!N26=0,"",SER_hh_tes!N26/SER_hh_fec!N26)</f>
        <v>0.56394368210701085</v>
      </c>
      <c r="O26" s="138">
        <f>IF(SER_hh_tes!O26=0,"",SER_hh_tes!O26/SER_hh_fec!O26)</f>
        <v>0.57132252723915478</v>
      </c>
      <c r="P26" s="138">
        <f>IF(SER_hh_tes!P26=0,"",SER_hh_tes!P26/SER_hh_fec!P26)</f>
        <v>0.57594574731597725</v>
      </c>
      <c r="Q26" s="138">
        <f>IF(SER_hh_tes!Q26=0,"",SER_hh_tes!Q26/SER_hh_fec!Q26)</f>
        <v>0.5829985176040029</v>
      </c>
      <c r="R26" s="138">
        <f>IF(SER_hh_tes!R26=0,"",SER_hh_tes!R26/SER_hh_fec!R26)</f>
        <v>0.59230199944541795</v>
      </c>
      <c r="S26" s="138">
        <f>IF(SER_hh_tes!S26=0,"",SER_hh_tes!S26/SER_hh_fec!S26)</f>
        <v>0.60592772331961198</v>
      </c>
      <c r="T26" s="138">
        <f>IF(SER_hh_tes!T26=0,"",SER_hh_tes!T26/SER_hh_fec!T26)</f>
        <v>0.62096306277202407</v>
      </c>
      <c r="U26" s="138">
        <f>IF(SER_hh_tes!U26=0,"",SER_hh_tes!U26/SER_hh_fec!U26)</f>
        <v>0.6371933778612332</v>
      </c>
      <c r="V26" s="138">
        <f>IF(SER_hh_tes!V26=0,"",SER_hh_tes!V26/SER_hh_fec!V26)</f>
        <v>0.65318492724967869</v>
      </c>
      <c r="W26" s="138">
        <f>IF(SER_hh_tes!W26=0,"",SER_hh_tes!W26/SER_hh_fec!W26)</f>
        <v>0.66948711372876968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0.64908417672167151</v>
      </c>
      <c r="C29" s="136">
        <f>IF(SER_hh_tes!C29=0,"",SER_hh_tes!C29/SER_hh_fec!C29)</f>
        <v>0.65102144784980209</v>
      </c>
      <c r="D29" s="136">
        <f>IF(SER_hh_tes!D29=0,"",SER_hh_tes!D29/SER_hh_fec!D29)</f>
        <v>0.65795971140773535</v>
      </c>
      <c r="E29" s="136">
        <f>IF(SER_hh_tes!E29=0,"",SER_hh_tes!E29/SER_hh_fec!E29)</f>
        <v>0.65736204268148846</v>
      </c>
      <c r="F29" s="136">
        <f>IF(SER_hh_tes!F29=0,"",SER_hh_tes!F29/SER_hh_fec!F29)</f>
        <v>0.64424541244013234</v>
      </c>
      <c r="G29" s="136">
        <f>IF(SER_hh_tes!G29=0,"",SER_hh_tes!G29/SER_hh_fec!G29)</f>
        <v>0.6483525178534113</v>
      </c>
      <c r="H29" s="136">
        <f>IF(SER_hh_tes!H29=0,"",SER_hh_tes!H29/SER_hh_fec!H29)</f>
        <v>0.65107247489533404</v>
      </c>
      <c r="I29" s="136">
        <f>IF(SER_hh_tes!I29=0,"",SER_hh_tes!I29/SER_hh_fec!I29)</f>
        <v>0.65409122131011499</v>
      </c>
      <c r="J29" s="136">
        <f>IF(SER_hh_tes!J29=0,"",SER_hh_tes!J29/SER_hh_fec!J29)</f>
        <v>0.65610942539124695</v>
      </c>
      <c r="K29" s="136">
        <f>IF(SER_hh_tes!K29=0,"",SER_hh_tes!K29/SER_hh_fec!K29)</f>
        <v>0.65825125301667897</v>
      </c>
      <c r="L29" s="136">
        <f>IF(SER_hh_tes!L29=0,"",SER_hh_tes!L29/SER_hh_fec!L29)</f>
        <v>0.65749840630313183</v>
      </c>
      <c r="M29" s="136">
        <f>IF(SER_hh_tes!M29=0,"",SER_hh_tes!M29/SER_hh_fec!M29)</f>
        <v>0.65918162897496813</v>
      </c>
      <c r="N29" s="136">
        <f>IF(SER_hh_tes!N29=0,"",SER_hh_tes!N29/SER_hh_fec!N29)</f>
        <v>0.63322759030054432</v>
      </c>
      <c r="O29" s="136">
        <f>IF(SER_hh_tes!O29=0,"",SER_hh_tes!O29/SER_hh_fec!O29)</f>
        <v>0.64919686564668044</v>
      </c>
      <c r="P29" s="136">
        <f>IF(SER_hh_tes!P29=0,"",SER_hh_tes!P29/SER_hh_fec!P29)</f>
        <v>0.66549146662318159</v>
      </c>
      <c r="Q29" s="136">
        <f>IF(SER_hh_tes!Q29=0,"",SER_hh_tes!Q29/SER_hh_fec!Q29)</f>
        <v>0.66669425814618621</v>
      </c>
      <c r="R29" s="136">
        <f>IF(SER_hh_tes!R29=0,"",SER_hh_tes!R29/SER_hh_fec!R29)</f>
        <v>0.66900534996979377</v>
      </c>
      <c r="S29" s="136">
        <f>IF(SER_hh_tes!S29=0,"",SER_hh_tes!S29/SER_hh_fec!S29)</f>
        <v>0.67378105242643915</v>
      </c>
      <c r="T29" s="136">
        <f>IF(SER_hh_tes!T29=0,"",SER_hh_tes!T29/SER_hh_fec!T29)</f>
        <v>0.67926267251041972</v>
      </c>
      <c r="U29" s="136">
        <f>IF(SER_hh_tes!U29=0,"",SER_hh_tes!U29/SER_hh_fec!U29)</f>
        <v>0.68243832043408681</v>
      </c>
      <c r="V29" s="136">
        <f>IF(SER_hh_tes!V29=0,"",SER_hh_tes!V29/SER_hh_fec!V29)</f>
        <v>0.69863779675765569</v>
      </c>
      <c r="W29" s="136">
        <f>IF(SER_hh_tes!W29=0,"",SER_hh_tes!W29/SER_hh_fec!W29)</f>
        <v>0.69944947880407515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0.50597412144001452</v>
      </c>
      <c r="C30" s="137">
        <f>IF(SER_hh_tes!C30=0,"",SER_hh_tes!C30/SER_hh_fec!C30)</f>
        <v>0.50599210515107851</v>
      </c>
      <c r="D30" s="137">
        <f>IF(SER_hh_tes!D30=0,"",SER_hh_tes!D30/SER_hh_fec!D30)</f>
        <v>0.50675662922445985</v>
      </c>
      <c r="E30" s="137">
        <f>IF(SER_hh_tes!E30=0,"",SER_hh_tes!E30/SER_hh_fec!E30)</f>
        <v>0.50903912233224058</v>
      </c>
      <c r="F30" s="137">
        <f>IF(SER_hh_tes!F30=0,"",SER_hh_tes!F30/SER_hh_fec!F30)</f>
        <v>0.51161792398891159</v>
      </c>
      <c r="G30" s="137">
        <f>IF(SER_hh_tes!G30=0,"",SER_hh_tes!G30/SER_hh_fec!G30)</f>
        <v>0.51273265581606076</v>
      </c>
      <c r="H30" s="137">
        <f>IF(SER_hh_tes!H30=0,"",SER_hh_tes!H30/SER_hh_fec!H30)</f>
        <v>0.51357635193349604</v>
      </c>
      <c r="I30" s="137">
        <f>IF(SER_hh_tes!I30=0,"",SER_hh_tes!I30/SER_hh_fec!I30)</f>
        <v>0.51412089682700612</v>
      </c>
      <c r="J30" s="137">
        <f>IF(SER_hh_tes!J30=0,"",SER_hh_tes!J30/SER_hh_fec!J30)</f>
        <v>0.51521399165159454</v>
      </c>
      <c r="K30" s="137">
        <f>IF(SER_hh_tes!K30=0,"",SER_hh_tes!K30/SER_hh_fec!K30)</f>
        <v>0.51636629304426662</v>
      </c>
      <c r="L30" s="137">
        <f>IF(SER_hh_tes!L30=0,"",SER_hh_tes!L30/SER_hh_fec!L30)</f>
        <v>0.51731619341385227</v>
      </c>
      <c r="M30" s="137">
        <f>IF(SER_hh_tes!M30=0,"",SER_hh_tes!M30/SER_hh_fec!M30)</f>
        <v>0.51850438614072625</v>
      </c>
      <c r="N30" s="137">
        <f>IF(SER_hh_tes!N30=0,"",SER_hh_tes!N30/SER_hh_fec!N30)</f>
        <v>0.51958940968993195</v>
      </c>
      <c r="O30" s="137">
        <f>IF(SER_hh_tes!O30=0,"",SER_hh_tes!O30/SER_hh_fec!O30)</f>
        <v>0.52009145903626353</v>
      </c>
      <c r="P30" s="137">
        <f>IF(SER_hh_tes!P30=0,"",SER_hh_tes!P30/SER_hh_fec!P30)</f>
        <v>0.52058865713505775</v>
      </c>
      <c r="Q30" s="137">
        <f>IF(SER_hh_tes!Q30=0,"",SER_hh_tes!Q30/SER_hh_fec!Q30)</f>
        <v>0.52139967737816573</v>
      </c>
      <c r="R30" s="137">
        <f>IF(SER_hh_tes!R30=0,"",SER_hh_tes!R30/SER_hh_fec!R30)</f>
        <v>0.52275952474251652</v>
      </c>
      <c r="S30" s="137">
        <f>IF(SER_hh_tes!S30=0,"",SER_hh_tes!S30/SER_hh_fec!S30)</f>
        <v>0.52402321589412915</v>
      </c>
      <c r="T30" s="137">
        <f>IF(SER_hh_tes!T30=0,"",SER_hh_tes!T30/SER_hh_fec!T30)</f>
        <v>0.52626277739299365</v>
      </c>
      <c r="U30" s="137">
        <f>IF(SER_hh_tes!U30=0,"",SER_hh_tes!U30/SER_hh_fec!U30)</f>
        <v>0.52897206276131059</v>
      </c>
      <c r="V30" s="137">
        <f>IF(SER_hh_tes!V30=0,"",SER_hh_tes!V30/SER_hh_fec!V30)</f>
        <v>0.53087810849264683</v>
      </c>
      <c r="W30" s="137">
        <f>IF(SER_hh_tes!W30=0,"",SER_hh_tes!W30/SER_hh_fec!W30)</f>
        <v>0.53511033095697058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0.50864269720227084</v>
      </c>
      <c r="C31" s="137">
        <f>IF(SER_hh_tes!C31=0,"",SER_hh_tes!C31/SER_hh_fec!C31)</f>
        <v>0.51046647446852678</v>
      </c>
      <c r="D31" s="137">
        <f>IF(SER_hh_tes!D31=0,"",SER_hh_tes!D31/SER_hh_fec!D31)</f>
        <v>0.51286943028523291</v>
      </c>
      <c r="E31" s="137">
        <f>IF(SER_hh_tes!E31=0,"",SER_hh_tes!E31/SER_hh_fec!E31)</f>
        <v>0.51459846984891289</v>
      </c>
      <c r="F31" s="137">
        <f>IF(SER_hh_tes!F31=0,"",SER_hh_tes!F31/SER_hh_fec!F31)</f>
        <v>0.5159297324729506</v>
      </c>
      <c r="G31" s="137">
        <f>IF(SER_hh_tes!G31=0,"",SER_hh_tes!G31/SER_hh_fec!G31)</f>
        <v>0.51705517872840501</v>
      </c>
      <c r="H31" s="137">
        <f>IF(SER_hh_tes!H31=0,"",SER_hh_tes!H31/SER_hh_fec!H31)</f>
        <v>0.51794433837228793</v>
      </c>
      <c r="I31" s="137">
        <f>IF(SER_hh_tes!I31=0,"",SER_hh_tes!I31/SER_hh_fec!I31)</f>
        <v>0.51881173230021482</v>
      </c>
      <c r="J31" s="137">
        <f>IF(SER_hh_tes!J31=0,"",SER_hh_tes!J31/SER_hh_fec!J31)</f>
        <v>0.51967512587740705</v>
      </c>
      <c r="K31" s="137">
        <f>IF(SER_hh_tes!K31=0,"",SER_hh_tes!K31/SER_hh_fec!K31)</f>
        <v>0.52056218262311627</v>
      </c>
      <c r="L31" s="137">
        <f>IF(SER_hh_tes!L31=0,"",SER_hh_tes!L31/SER_hh_fec!L31)</f>
        <v>0.52132603484308004</v>
      </c>
      <c r="M31" s="137">
        <f>IF(SER_hh_tes!M31=0,"",SER_hh_tes!M31/SER_hh_fec!M31)</f>
        <v>0.52192103092542752</v>
      </c>
      <c r="N31" s="137">
        <f>IF(SER_hh_tes!N31=0,"",SER_hh_tes!N31/SER_hh_fec!N31)</f>
        <v>0.5224307406375317</v>
      </c>
      <c r="O31" s="137">
        <f>IF(SER_hh_tes!O31=0,"",SER_hh_tes!O31/SER_hh_fec!O31)</f>
        <v>0.52294787181864111</v>
      </c>
      <c r="P31" s="137">
        <f>IF(SER_hh_tes!P31=0,"",SER_hh_tes!P31/SER_hh_fec!P31)</f>
        <v>0.5234784497484094</v>
      </c>
      <c r="Q31" s="137">
        <f>IF(SER_hh_tes!Q31=0,"",SER_hh_tes!Q31/SER_hh_fec!Q31)</f>
        <v>0.52394257719255022</v>
      </c>
      <c r="R31" s="137">
        <f>IF(SER_hh_tes!R31=0,"",SER_hh_tes!R31/SER_hh_fec!R31)</f>
        <v>0.52462658904432447</v>
      </c>
      <c r="S31" s="137">
        <f>IF(SER_hh_tes!S31=0,"",SER_hh_tes!S31/SER_hh_fec!S31)</f>
        <v>0.52576518021065621</v>
      </c>
      <c r="T31" s="137">
        <f>IF(SER_hh_tes!T31=0,"",SER_hh_tes!T31/SER_hh_fec!T31)</f>
        <v>0.52774333873384838</v>
      </c>
      <c r="U31" s="137">
        <f>IF(SER_hh_tes!U31=0,"",SER_hh_tes!U31/SER_hh_fec!U31)</f>
        <v>0.53078292425955675</v>
      </c>
      <c r="V31" s="137">
        <f>IF(SER_hh_tes!V31=0,"",SER_hh_tes!V31/SER_hh_fec!V31)</f>
        <v>0.53480924903880456</v>
      </c>
      <c r="W31" s="137">
        <f>IF(SER_hh_tes!W31=0,"",SER_hh_tes!W31/SER_hh_fec!W31)</f>
        <v>0.53837253768476423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0.66360133710881131</v>
      </c>
      <c r="C33" s="150">
        <f>IF(SER_hh_tes!C33=0,"",SER_hh_tes!C33/SER_hh_fec!C33)</f>
        <v>0.66557060269492951</v>
      </c>
      <c r="D33" s="150">
        <f>IF(SER_hh_tes!D33=0,"",SER_hh_tes!D33/SER_hh_fec!D33)</f>
        <v>0.66741925641562949</v>
      </c>
      <c r="E33" s="150">
        <f>IF(SER_hh_tes!E33=0,"",SER_hh_tes!E33/SER_hh_fec!E33)</f>
        <v>0.66934626979699607</v>
      </c>
      <c r="F33" s="150">
        <f>IF(SER_hh_tes!F33=0,"",SER_hh_tes!F33/SER_hh_fec!F33)</f>
        <v>0.67122666752407345</v>
      </c>
      <c r="G33" s="150">
        <f>IF(SER_hh_tes!G33=0,"",SER_hh_tes!G33/SER_hh_fec!G33)</f>
        <v>0.67335669172558243</v>
      </c>
      <c r="H33" s="150">
        <f>IF(SER_hh_tes!H33=0,"",SER_hh_tes!H33/SER_hh_fec!H33)</f>
        <v>0.6759316626447488</v>
      </c>
      <c r="I33" s="150">
        <f>IF(SER_hh_tes!I33=0,"",SER_hh_tes!I33/SER_hh_fec!I33)</f>
        <v>0.67861597148605368</v>
      </c>
      <c r="J33" s="150">
        <f>IF(SER_hh_tes!J33=0,"",SER_hh_tes!J33/SER_hh_fec!J33)</f>
        <v>0.6813298780085939</v>
      </c>
      <c r="K33" s="150">
        <f>IF(SER_hh_tes!K33=0,"",SER_hh_tes!K33/SER_hh_fec!K33)</f>
        <v>0.68422378328481848</v>
      </c>
      <c r="L33" s="150">
        <f>IF(SER_hh_tes!L33=0,"",SER_hh_tes!L33/SER_hh_fec!L33)</f>
        <v>0.68620389099847279</v>
      </c>
      <c r="M33" s="150">
        <f>IF(SER_hh_tes!M33=0,"",SER_hh_tes!M33/SER_hh_fec!M33)</f>
        <v>0.68688032342702399</v>
      </c>
      <c r="N33" s="150">
        <f>IF(SER_hh_tes!N33=0,"",SER_hh_tes!N33/SER_hh_fec!N33)</f>
        <v>0.68873660074581677</v>
      </c>
      <c r="O33" s="150">
        <f>IF(SER_hh_tes!O33=0,"",SER_hh_tes!O33/SER_hh_fec!O33)</f>
        <v>0.69238078654016144</v>
      </c>
      <c r="P33" s="150">
        <f>IF(SER_hh_tes!P33=0,"",SER_hh_tes!P33/SER_hh_fec!P33)</f>
        <v>0.69703357281334077</v>
      </c>
      <c r="Q33" s="150">
        <f>IF(SER_hh_tes!Q33=0,"",SER_hh_tes!Q33/SER_hh_fec!Q33)</f>
        <v>0.70219652942268851</v>
      </c>
      <c r="R33" s="150">
        <f>IF(SER_hh_tes!R33=0,"",SER_hh_tes!R33/SER_hh_fec!R33)</f>
        <v>0.70834003646311838</v>
      </c>
      <c r="S33" s="150">
        <f>IF(SER_hh_tes!S33=0,"",SER_hh_tes!S33/SER_hh_fec!S33)</f>
        <v>0.71676151666274246</v>
      </c>
      <c r="T33" s="150">
        <f>IF(SER_hh_tes!T33=0,"",SER_hh_tes!T33/SER_hh_fec!T33)</f>
        <v>0.72660197758224698</v>
      </c>
      <c r="U33" s="150">
        <f>IF(SER_hh_tes!U33=0,"",SER_hh_tes!U33/SER_hh_fec!U33)</f>
        <v>0.7372836727189126</v>
      </c>
      <c r="V33" s="150">
        <f>IF(SER_hh_tes!V33=0,"",SER_hh_tes!V33/SER_hh_fec!V33)</f>
        <v>0.7485925632240269</v>
      </c>
      <c r="W33" s="150">
        <f>IF(SER_hh_tes!W33=0,"",SER_hh_tes!W33/SER_hh_fec!W33)</f>
        <v>0.75879904944376919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779.29659792000029</v>
      </c>
      <c r="C3" s="126">
        <f t="shared" si="0"/>
        <v>1013.57601336</v>
      </c>
      <c r="D3" s="126">
        <f t="shared" si="0"/>
        <v>1032.3528372000003</v>
      </c>
      <c r="E3" s="126">
        <f t="shared" si="0"/>
        <v>1133.7215734800002</v>
      </c>
      <c r="F3" s="126">
        <f t="shared" si="0"/>
        <v>1225.4703195600007</v>
      </c>
      <c r="G3" s="126">
        <f t="shared" si="0"/>
        <v>1539.7701069599993</v>
      </c>
      <c r="H3" s="126">
        <f t="shared" si="0"/>
        <v>1608.5975677200001</v>
      </c>
      <c r="I3" s="126">
        <f t="shared" si="0"/>
        <v>1514.4599919600003</v>
      </c>
      <c r="J3" s="126">
        <f t="shared" si="0"/>
        <v>1510.53408324</v>
      </c>
      <c r="K3" s="126">
        <f t="shared" si="0"/>
        <v>1232.38997316</v>
      </c>
      <c r="L3" s="126">
        <f t="shared" si="0"/>
        <v>1095.8963194799999</v>
      </c>
      <c r="M3" s="126">
        <f t="shared" si="0"/>
        <v>1078.9436304000001</v>
      </c>
      <c r="N3" s="126">
        <f t="shared" si="0"/>
        <v>803.50164252000036</v>
      </c>
      <c r="O3" s="126">
        <f t="shared" si="0"/>
        <v>858.27907907999986</v>
      </c>
      <c r="P3" s="126">
        <f t="shared" si="0"/>
        <v>614.63318939999988</v>
      </c>
      <c r="Q3" s="126">
        <f t="shared" si="0"/>
        <v>732.89761559999999</v>
      </c>
      <c r="R3" s="126">
        <f t="shared" ref="R3:W3" si="1">SUM(R4,R16,R19,R29)</f>
        <v>867.15783971999986</v>
      </c>
      <c r="S3" s="126">
        <f t="shared" si="1"/>
        <v>708.21801611999979</v>
      </c>
      <c r="T3" s="126">
        <f t="shared" si="1"/>
        <v>680.7365405999999</v>
      </c>
      <c r="U3" s="126">
        <f t="shared" si="1"/>
        <v>714.92015628000013</v>
      </c>
      <c r="V3" s="126">
        <f t="shared" si="1"/>
        <v>570.46517747999997</v>
      </c>
      <c r="W3" s="126">
        <f t="shared" si="1"/>
        <v>611.52233400000011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660.67522922063347</v>
      </c>
      <c r="C4" s="131">
        <f t="shared" si="2"/>
        <v>881.86062591288578</v>
      </c>
      <c r="D4" s="131">
        <f t="shared" si="2"/>
        <v>915.8809566903808</v>
      </c>
      <c r="E4" s="131">
        <f t="shared" si="2"/>
        <v>1000.2079032913884</v>
      </c>
      <c r="F4" s="131">
        <f t="shared" si="2"/>
        <v>997.8987669857413</v>
      </c>
      <c r="G4" s="131">
        <f t="shared" si="2"/>
        <v>1298.7466638013977</v>
      </c>
      <c r="H4" s="131">
        <f t="shared" si="2"/>
        <v>1357.6521159638301</v>
      </c>
      <c r="I4" s="131">
        <f t="shared" si="2"/>
        <v>1251.0945322084335</v>
      </c>
      <c r="J4" s="131">
        <f t="shared" si="2"/>
        <v>1236.6609947256998</v>
      </c>
      <c r="K4" s="131">
        <f t="shared" si="2"/>
        <v>948.88534772393223</v>
      </c>
      <c r="L4" s="131">
        <f t="shared" si="2"/>
        <v>785.27178416853894</v>
      </c>
      <c r="M4" s="131">
        <f t="shared" si="2"/>
        <v>780.86383068023281</v>
      </c>
      <c r="N4" s="131">
        <f t="shared" si="2"/>
        <v>333.58602121479066</v>
      </c>
      <c r="O4" s="131">
        <f t="shared" si="2"/>
        <v>464.88951605002228</v>
      </c>
      <c r="P4" s="131">
        <f t="shared" si="2"/>
        <v>296.40627910580235</v>
      </c>
      <c r="Q4" s="131">
        <f t="shared" si="2"/>
        <v>393.25520843683029</v>
      </c>
      <c r="R4" s="131">
        <f t="shared" ref="R4:W4" si="3">SUM(R5:R15)</f>
        <v>509.84737162697104</v>
      </c>
      <c r="S4" s="131">
        <f t="shared" si="3"/>
        <v>332.36924532952526</v>
      </c>
      <c r="T4" s="131">
        <f t="shared" si="3"/>
        <v>306.60708966775644</v>
      </c>
      <c r="U4" s="131">
        <f t="shared" si="3"/>
        <v>327.43148649044861</v>
      </c>
      <c r="V4" s="131">
        <f t="shared" si="3"/>
        <v>282.56561156395901</v>
      </c>
      <c r="W4" s="131">
        <f t="shared" si="3"/>
        <v>258.8465299648264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653.31801544429936</v>
      </c>
      <c r="C7" s="133">
        <v>871.2230032099319</v>
      </c>
      <c r="D7" s="133">
        <v>896.68686624861289</v>
      </c>
      <c r="E7" s="133">
        <v>964.97768335649812</v>
      </c>
      <c r="F7" s="133">
        <v>933.28747611018628</v>
      </c>
      <c r="G7" s="133">
        <v>1187.0704204024421</v>
      </c>
      <c r="H7" s="133">
        <v>1219.8492846383288</v>
      </c>
      <c r="I7" s="133">
        <v>1094.1480653803112</v>
      </c>
      <c r="J7" s="133">
        <v>1036.7802389975702</v>
      </c>
      <c r="K7" s="133">
        <v>728.23409866077066</v>
      </c>
      <c r="L7" s="133">
        <v>599.84231996838878</v>
      </c>
      <c r="M7" s="133">
        <v>536.3991535635306</v>
      </c>
      <c r="N7" s="133">
        <v>158.86188946125418</v>
      </c>
      <c r="O7" s="133">
        <v>321.74227127736538</v>
      </c>
      <c r="P7" s="133">
        <v>152.83983618402547</v>
      </c>
      <c r="Q7" s="133">
        <v>163.43335854840151</v>
      </c>
      <c r="R7" s="133">
        <v>315.4568573643129</v>
      </c>
      <c r="S7" s="133">
        <v>133.76855532338365</v>
      </c>
      <c r="T7" s="133">
        <v>120.13871182737927</v>
      </c>
      <c r="U7" s="133">
        <v>116.7744590940444</v>
      </c>
      <c r="V7" s="133">
        <v>100.27872508329494</v>
      </c>
      <c r="W7" s="133">
        <v>74.5212769467649</v>
      </c>
      <c r="DA7" s="157" t="s">
        <v>359</v>
      </c>
    </row>
    <row r="8" spans="1:105" ht="12" customHeight="1" x14ac:dyDescent="0.25">
      <c r="A8" s="132" t="s">
        <v>73</v>
      </c>
      <c r="B8" s="133">
        <v>1.4635288322868074E-2</v>
      </c>
      <c r="C8" s="133">
        <v>1.7647364228349911E-2</v>
      </c>
      <c r="D8" s="133">
        <v>2.8110511108592903E-2</v>
      </c>
      <c r="E8" s="133">
        <v>4.2349944489413358E-2</v>
      </c>
      <c r="F8" s="133">
        <v>6.9304379067874428E-2</v>
      </c>
      <c r="G8" s="133">
        <v>0.10871893914365707</v>
      </c>
      <c r="H8" s="133">
        <v>0.12705473546762391</v>
      </c>
      <c r="I8" s="133">
        <v>0.14979549579428958</v>
      </c>
      <c r="J8" s="133">
        <v>0.1796480997838798</v>
      </c>
      <c r="K8" s="133">
        <v>0.21681836513446603</v>
      </c>
      <c r="L8" s="133">
        <v>0.24701102363493155</v>
      </c>
      <c r="M8" s="133">
        <v>0.31801146995394236</v>
      </c>
      <c r="N8" s="133">
        <v>0.48002925564806442</v>
      </c>
      <c r="O8" s="133">
        <v>1.3238749676525234</v>
      </c>
      <c r="P8" s="133">
        <v>3.6412786722464445</v>
      </c>
      <c r="Q8" s="133">
        <v>8.4538026464827105</v>
      </c>
      <c r="R8" s="133">
        <v>8.5286566136461879</v>
      </c>
      <c r="S8" s="133">
        <v>8.7538630096289207</v>
      </c>
      <c r="T8" s="133">
        <v>9.1651952480259027</v>
      </c>
      <c r="U8" s="133">
        <v>9.2850149436433451</v>
      </c>
      <c r="V8" s="133">
        <v>10.918623584380079</v>
      </c>
      <c r="W8" s="133">
        <v>11.929701004548084</v>
      </c>
      <c r="DA8" s="157" t="s">
        <v>360</v>
      </c>
    </row>
    <row r="9" spans="1:105" ht="12" customHeight="1" x14ac:dyDescent="0.25">
      <c r="A9" s="132" t="s">
        <v>78</v>
      </c>
      <c r="B9" s="133">
        <v>7.3425784880112328</v>
      </c>
      <c r="C9" s="133">
        <v>10.619975338725588</v>
      </c>
      <c r="D9" s="133">
        <v>19.165979930659326</v>
      </c>
      <c r="E9" s="133">
        <v>35.187869990400934</v>
      </c>
      <c r="F9" s="133">
        <v>64.541986496487155</v>
      </c>
      <c r="G9" s="133">
        <v>111.56752445981191</v>
      </c>
      <c r="H9" s="133">
        <v>137.67577659003356</v>
      </c>
      <c r="I9" s="133">
        <v>156.79667133232797</v>
      </c>
      <c r="J9" s="133">
        <v>199.70110762834574</v>
      </c>
      <c r="K9" s="133">
        <v>220.43443069802706</v>
      </c>
      <c r="L9" s="133">
        <v>185.18245317651517</v>
      </c>
      <c r="M9" s="133">
        <v>244.14666564674829</v>
      </c>
      <c r="N9" s="133">
        <v>174.24410249788843</v>
      </c>
      <c r="O9" s="133">
        <v>141.82336980500438</v>
      </c>
      <c r="P9" s="133">
        <v>139.92516424953047</v>
      </c>
      <c r="Q9" s="133">
        <v>221.36804724194607</v>
      </c>
      <c r="R9" s="133">
        <v>185.86185764901197</v>
      </c>
      <c r="S9" s="133">
        <v>189.84682699651268</v>
      </c>
      <c r="T9" s="133">
        <v>177.30318259235128</v>
      </c>
      <c r="U9" s="133">
        <v>201.37201245276083</v>
      </c>
      <c r="V9" s="133">
        <v>171.36826289628397</v>
      </c>
      <c r="W9" s="133">
        <v>172.39555201351342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9.0606608575786854E-2</v>
      </c>
      <c r="C16" s="131">
        <f t="shared" si="4"/>
        <v>0.11883900306980161</v>
      </c>
      <c r="D16" s="131">
        <f t="shared" si="4"/>
        <v>0.13466317991934945</v>
      </c>
      <c r="E16" s="131">
        <f t="shared" si="4"/>
        <v>0.16252952924563505</v>
      </c>
      <c r="F16" s="131">
        <f t="shared" si="4"/>
        <v>0.21986013712133678</v>
      </c>
      <c r="G16" s="131">
        <f t="shared" si="4"/>
        <v>0.34927906876802339</v>
      </c>
      <c r="H16" s="131">
        <f t="shared" si="4"/>
        <v>0.58223367769912004</v>
      </c>
      <c r="I16" s="131">
        <f t="shared" si="4"/>
        <v>0.86581294905473816</v>
      </c>
      <c r="J16" s="131">
        <f t="shared" si="4"/>
        <v>1.1616241530016567</v>
      </c>
      <c r="K16" s="131">
        <f t="shared" si="4"/>
        <v>1.3679949903103561</v>
      </c>
      <c r="L16" s="131">
        <f t="shared" si="4"/>
        <v>1.8470089945506218</v>
      </c>
      <c r="M16" s="131">
        <f t="shared" si="4"/>
        <v>2.1444704941687744</v>
      </c>
      <c r="N16" s="131">
        <f t="shared" si="4"/>
        <v>4.1038478440105974</v>
      </c>
      <c r="O16" s="131">
        <f t="shared" si="4"/>
        <v>4.1748006824617079</v>
      </c>
      <c r="P16" s="131">
        <f t="shared" si="4"/>
        <v>5.0784321884730987</v>
      </c>
      <c r="Q16" s="131">
        <f t="shared" si="4"/>
        <v>7.4761127169607162</v>
      </c>
      <c r="R16" s="131">
        <f t="shared" ref="R16:W16" si="5">SUM(R17:R18)</f>
        <v>9.0008258105966572</v>
      </c>
      <c r="S16" s="131">
        <f t="shared" si="5"/>
        <v>10.269574269889677</v>
      </c>
      <c r="T16" s="131">
        <f t="shared" si="5"/>
        <v>10.152227573363033</v>
      </c>
      <c r="U16" s="131">
        <f t="shared" si="5"/>
        <v>12.978212709403367</v>
      </c>
      <c r="V16" s="131">
        <f t="shared" si="5"/>
        <v>11.112939681551278</v>
      </c>
      <c r="W16" s="131">
        <f t="shared" si="5"/>
        <v>14.966428045456553</v>
      </c>
      <c r="DA16" s="156" t="s">
        <v>234</v>
      </c>
    </row>
    <row r="17" spans="1:105" ht="12.95" customHeight="1" x14ac:dyDescent="0.25">
      <c r="A17" s="132" t="s">
        <v>73</v>
      </c>
      <c r="B17" s="133">
        <v>9.0606608575786854E-2</v>
      </c>
      <c r="C17" s="133">
        <v>0.11883900306980161</v>
      </c>
      <c r="D17" s="133">
        <v>0.13466317991934945</v>
      </c>
      <c r="E17" s="133">
        <v>0.16252952924563505</v>
      </c>
      <c r="F17" s="133">
        <v>0.21986013712133678</v>
      </c>
      <c r="G17" s="133">
        <v>0.34927906876802339</v>
      </c>
      <c r="H17" s="133">
        <v>0.58223367769912004</v>
      </c>
      <c r="I17" s="133">
        <v>0.86581294905473816</v>
      </c>
      <c r="J17" s="133">
        <v>1.1616241530016567</v>
      </c>
      <c r="K17" s="133">
        <v>1.3679949903103561</v>
      </c>
      <c r="L17" s="133">
        <v>1.8470089945506218</v>
      </c>
      <c r="M17" s="133">
        <v>2.1444704941687744</v>
      </c>
      <c r="N17" s="133">
        <v>4.1038478440105974</v>
      </c>
      <c r="O17" s="133">
        <v>4.1748006824617079</v>
      </c>
      <c r="P17" s="133">
        <v>5.0784321884730987</v>
      </c>
      <c r="Q17" s="133">
        <v>7.4761127169607162</v>
      </c>
      <c r="R17" s="133">
        <v>9.0008258105966572</v>
      </c>
      <c r="S17" s="133">
        <v>10.269574269889677</v>
      </c>
      <c r="T17" s="133">
        <v>10.152227573363033</v>
      </c>
      <c r="U17" s="133">
        <v>12.978212709403367</v>
      </c>
      <c r="V17" s="133">
        <v>11.112939681551278</v>
      </c>
      <c r="W17" s="133">
        <v>14.966428045456553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54.546791068361365</v>
      </c>
      <c r="C19" s="131">
        <f t="shared" si="6"/>
        <v>64.454136985614213</v>
      </c>
      <c r="D19" s="131">
        <f t="shared" si="6"/>
        <v>70.986099880832086</v>
      </c>
      <c r="E19" s="131">
        <f t="shared" si="6"/>
        <v>75.221390377650522</v>
      </c>
      <c r="F19" s="131">
        <f t="shared" si="6"/>
        <v>81.158313353732794</v>
      </c>
      <c r="G19" s="131">
        <f t="shared" si="6"/>
        <v>102.68588026858092</v>
      </c>
      <c r="H19" s="131">
        <f t="shared" si="6"/>
        <v>113.03259922329443</v>
      </c>
      <c r="I19" s="131">
        <f t="shared" si="6"/>
        <v>128.53524960654755</v>
      </c>
      <c r="J19" s="131">
        <f t="shared" si="6"/>
        <v>135.27851585050536</v>
      </c>
      <c r="K19" s="131">
        <f t="shared" si="6"/>
        <v>140.03723851842042</v>
      </c>
      <c r="L19" s="131">
        <f t="shared" si="6"/>
        <v>151.50915306922951</v>
      </c>
      <c r="M19" s="131">
        <f t="shared" si="6"/>
        <v>149.60373454832069</v>
      </c>
      <c r="N19" s="131">
        <f t="shared" si="6"/>
        <v>148.5280499792384</v>
      </c>
      <c r="O19" s="131">
        <f t="shared" si="6"/>
        <v>153.76577050854718</v>
      </c>
      <c r="P19" s="131">
        <f t="shared" si="6"/>
        <v>154.26451437060354</v>
      </c>
      <c r="Q19" s="131">
        <f t="shared" si="6"/>
        <v>157.59680929295845</v>
      </c>
      <c r="R19" s="131">
        <f t="shared" ref="R19:W19" si="7">SUM(R20:R27)</f>
        <v>158.25148795908689</v>
      </c>
      <c r="S19" s="131">
        <f t="shared" si="7"/>
        <v>163.27096415809541</v>
      </c>
      <c r="T19" s="131">
        <f t="shared" si="7"/>
        <v>152.53914696534798</v>
      </c>
      <c r="U19" s="131">
        <f t="shared" si="7"/>
        <v>144.70379081289133</v>
      </c>
      <c r="V19" s="131">
        <f t="shared" si="7"/>
        <v>109.1200203312162</v>
      </c>
      <c r="W19" s="131">
        <f t="shared" si="7"/>
        <v>113.62856579403885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11.486526626581341</v>
      </c>
      <c r="C21" s="133">
        <v>12.844227672842983</v>
      </c>
      <c r="D21" s="133">
        <v>13.512829735615025</v>
      </c>
      <c r="E21" s="133">
        <v>13.621556469014495</v>
      </c>
      <c r="F21" s="133">
        <v>14.880592925141652</v>
      </c>
      <c r="G21" s="133">
        <v>17.496583735784203</v>
      </c>
      <c r="H21" s="133">
        <v>19.350990558095727</v>
      </c>
      <c r="I21" s="133">
        <v>23.175013623660217</v>
      </c>
      <c r="J21" s="133">
        <v>24.191194240029208</v>
      </c>
      <c r="K21" s="133">
        <v>24.653926168017147</v>
      </c>
      <c r="L21" s="133">
        <v>25.266617326166802</v>
      </c>
      <c r="M21" s="133">
        <v>25.279037608912116</v>
      </c>
      <c r="N21" s="133">
        <v>27.210310388329901</v>
      </c>
      <c r="O21" s="133">
        <v>27.411331432424696</v>
      </c>
      <c r="P21" s="133">
        <v>27.60198448464762</v>
      </c>
      <c r="Q21" s="133">
        <v>28.17308920277528</v>
      </c>
      <c r="R21" s="133">
        <v>33.557354917126226</v>
      </c>
      <c r="S21" s="133">
        <v>36.833161453547859</v>
      </c>
      <c r="T21" s="133">
        <v>36.943752294430602</v>
      </c>
      <c r="U21" s="133">
        <v>38.921842822936092</v>
      </c>
      <c r="V21" s="133">
        <v>22.605698196211314</v>
      </c>
      <c r="W21" s="133">
        <v>30.937382190797106</v>
      </c>
      <c r="DA21" s="157" t="s">
        <v>371</v>
      </c>
    </row>
    <row r="22" spans="1:105" ht="12" customHeight="1" x14ac:dyDescent="0.25">
      <c r="A22" s="132" t="s">
        <v>168</v>
      </c>
      <c r="B22" s="133">
        <v>34.151336235700924</v>
      </c>
      <c r="C22" s="133">
        <v>39.109480630068227</v>
      </c>
      <c r="D22" s="133">
        <v>42.263034231387479</v>
      </c>
      <c r="E22" s="133">
        <v>44.070609643502095</v>
      </c>
      <c r="F22" s="133">
        <v>46.728161849814484</v>
      </c>
      <c r="G22" s="133">
        <v>50.975967437557088</v>
      </c>
      <c r="H22" s="133">
        <v>52.949761161671226</v>
      </c>
      <c r="I22" s="133">
        <v>54.385369339689099</v>
      </c>
      <c r="J22" s="133">
        <v>54.81530088242971</v>
      </c>
      <c r="K22" s="133">
        <v>53.707863139229147</v>
      </c>
      <c r="L22" s="133">
        <v>53.586300031610946</v>
      </c>
      <c r="M22" s="133">
        <v>53.896177516469507</v>
      </c>
      <c r="N22" s="133">
        <v>47.70289573874566</v>
      </c>
      <c r="O22" s="133">
        <v>52.172157842634384</v>
      </c>
      <c r="P22" s="133">
        <v>57.187434415974479</v>
      </c>
      <c r="Q22" s="133">
        <v>55.376879571598415</v>
      </c>
      <c r="R22" s="133">
        <v>55.994166635687087</v>
      </c>
      <c r="S22" s="133">
        <v>55.449370316616168</v>
      </c>
      <c r="T22" s="133">
        <v>45.587159652620514</v>
      </c>
      <c r="U22" s="133">
        <v>40.170721145955618</v>
      </c>
      <c r="V22" s="133">
        <v>25.304823316704908</v>
      </c>
      <c r="W22" s="133">
        <v>19.801213173235091</v>
      </c>
      <c r="DA22" s="157" t="s">
        <v>372</v>
      </c>
    </row>
    <row r="23" spans="1:105" ht="12" customHeight="1" x14ac:dyDescent="0.25">
      <c r="A23" s="132" t="s">
        <v>153</v>
      </c>
      <c r="B23" s="133">
        <v>8.9089282060791035</v>
      </c>
      <c r="C23" s="133">
        <v>12.500428682703008</v>
      </c>
      <c r="D23" s="133">
        <v>15.210235913829575</v>
      </c>
      <c r="E23" s="133">
        <v>17.529224265133927</v>
      </c>
      <c r="F23" s="133">
        <v>19.549558578776654</v>
      </c>
      <c r="G23" s="133">
        <v>34.213329095239629</v>
      </c>
      <c r="H23" s="133">
        <v>40.731847503527469</v>
      </c>
      <c r="I23" s="133">
        <v>50.974866643198247</v>
      </c>
      <c r="J23" s="133">
        <v>56.272020728046442</v>
      </c>
      <c r="K23" s="133">
        <v>61.675449211174119</v>
      </c>
      <c r="L23" s="133">
        <v>72.656235711451743</v>
      </c>
      <c r="M23" s="133">
        <v>70.428519422939061</v>
      </c>
      <c r="N23" s="133">
        <v>73.614843852162821</v>
      </c>
      <c r="O23" s="133">
        <v>74.182281233488112</v>
      </c>
      <c r="P23" s="133">
        <v>69.475095469981426</v>
      </c>
      <c r="Q23" s="133">
        <v>74.046840518584759</v>
      </c>
      <c r="R23" s="133">
        <v>68.69996640627356</v>
      </c>
      <c r="S23" s="133">
        <v>70.988432387931368</v>
      </c>
      <c r="T23" s="133">
        <v>70.008235018296872</v>
      </c>
      <c r="U23" s="133">
        <v>65.611226843999603</v>
      </c>
      <c r="V23" s="133">
        <v>61.209498818299977</v>
      </c>
      <c r="W23" s="133">
        <v>62.889970430006656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63.983971022429692</v>
      </c>
      <c r="C29" s="131">
        <f t="shared" si="8"/>
        <v>67.142411458430274</v>
      </c>
      <c r="D29" s="131">
        <f t="shared" si="8"/>
        <v>45.351117448868138</v>
      </c>
      <c r="E29" s="131">
        <f t="shared" si="8"/>
        <v>58.129750281715573</v>
      </c>
      <c r="F29" s="131">
        <f t="shared" si="8"/>
        <v>146.19337908340532</v>
      </c>
      <c r="G29" s="131">
        <f t="shared" si="8"/>
        <v>137.98828382125268</v>
      </c>
      <c r="H29" s="131">
        <f t="shared" si="8"/>
        <v>137.33061885517645</v>
      </c>
      <c r="I29" s="131">
        <f t="shared" si="8"/>
        <v>133.96439719596449</v>
      </c>
      <c r="J29" s="131">
        <f t="shared" si="8"/>
        <v>137.43294851079332</v>
      </c>
      <c r="K29" s="131">
        <f t="shared" si="8"/>
        <v>142.09939192733694</v>
      </c>
      <c r="L29" s="131">
        <f t="shared" si="8"/>
        <v>157.26837324768081</v>
      </c>
      <c r="M29" s="131">
        <f t="shared" si="8"/>
        <v>146.33159467727774</v>
      </c>
      <c r="N29" s="131">
        <f t="shared" si="8"/>
        <v>317.28372348196069</v>
      </c>
      <c r="O29" s="131">
        <f t="shared" si="8"/>
        <v>235.44899183896871</v>
      </c>
      <c r="P29" s="131">
        <f t="shared" si="8"/>
        <v>158.88396373512094</v>
      </c>
      <c r="Q29" s="131">
        <f t="shared" si="8"/>
        <v>174.56948515325053</v>
      </c>
      <c r="R29" s="131">
        <f t="shared" ref="R29:W29" si="9">SUM(R30:R33)</f>
        <v>190.05815432334526</v>
      </c>
      <c r="S29" s="131">
        <f t="shared" si="9"/>
        <v>202.30823236248943</v>
      </c>
      <c r="T29" s="131">
        <f t="shared" si="9"/>
        <v>211.43807639353247</v>
      </c>
      <c r="U29" s="131">
        <f t="shared" si="9"/>
        <v>229.80666626725679</v>
      </c>
      <c r="V29" s="131">
        <f t="shared" si="9"/>
        <v>167.66660590327353</v>
      </c>
      <c r="W29" s="131">
        <f t="shared" si="9"/>
        <v>224.08081019567828</v>
      </c>
      <c r="DA29" s="156" t="s">
        <v>236</v>
      </c>
    </row>
    <row r="30" spans="1:105" ht="12" customHeight="1" x14ac:dyDescent="0.25">
      <c r="A30" s="132" t="s">
        <v>52</v>
      </c>
      <c r="B30" s="133">
        <v>60.144517653418681</v>
      </c>
      <c r="C30" s="133">
        <v>61.771471847157024</v>
      </c>
      <c r="D30" s="133">
        <v>37.225855024384977</v>
      </c>
      <c r="E30" s="133">
        <v>46.071094010985497</v>
      </c>
      <c r="F30" s="133">
        <v>128.38172279485835</v>
      </c>
      <c r="G30" s="133">
        <v>110.84245578421586</v>
      </c>
      <c r="H30" s="133">
        <v>106.00339372190422</v>
      </c>
      <c r="I30" s="133">
        <v>96.210287336339803</v>
      </c>
      <c r="J30" s="133">
        <v>92.20945147997088</v>
      </c>
      <c r="K30" s="133">
        <v>85.644974791982861</v>
      </c>
      <c r="L30" s="133">
        <v>90.837357433833176</v>
      </c>
      <c r="M30" s="133">
        <v>76.31191191108789</v>
      </c>
      <c r="N30" s="133">
        <v>245.63406437167043</v>
      </c>
      <c r="O30" s="133">
        <v>164.1601928475753</v>
      </c>
      <c r="P30" s="133">
        <v>82.696916475352296</v>
      </c>
      <c r="Q30" s="133">
        <v>96.63860983722472</v>
      </c>
      <c r="R30" s="133">
        <v>114.47532080287368</v>
      </c>
      <c r="S30" s="133">
        <v>128.19426250645208</v>
      </c>
      <c r="T30" s="133">
        <v>139.95800634556937</v>
      </c>
      <c r="U30" s="133">
        <v>159.80749305706382</v>
      </c>
      <c r="V30" s="133">
        <v>100.49366876378873</v>
      </c>
      <c r="W30" s="133">
        <v>151.04117528920287</v>
      </c>
      <c r="DA30" s="157" t="s">
        <v>378</v>
      </c>
    </row>
    <row r="31" spans="1:105" ht="12" customHeight="1" x14ac:dyDescent="0.25">
      <c r="A31" s="132" t="s">
        <v>153</v>
      </c>
      <c r="B31" s="133">
        <v>3.8394533690110104</v>
      </c>
      <c r="C31" s="133">
        <v>5.3709396112732568</v>
      </c>
      <c r="D31" s="133">
        <v>8.1252624244831626</v>
      </c>
      <c r="E31" s="133">
        <v>12.058656270730079</v>
      </c>
      <c r="F31" s="133">
        <v>17.811656288546981</v>
      </c>
      <c r="G31" s="133">
        <v>27.145828037036832</v>
      </c>
      <c r="H31" s="133">
        <v>31.327225133272243</v>
      </c>
      <c r="I31" s="133">
        <v>37.754109859624684</v>
      </c>
      <c r="J31" s="133">
        <v>45.223497030822458</v>
      </c>
      <c r="K31" s="133">
        <v>56.45441713535407</v>
      </c>
      <c r="L31" s="133">
        <v>66.431015813847637</v>
      </c>
      <c r="M31" s="133">
        <v>70.019682766189845</v>
      </c>
      <c r="N31" s="133">
        <v>71.649659110290244</v>
      </c>
      <c r="O31" s="133">
        <v>71.288798991393421</v>
      </c>
      <c r="P31" s="133">
        <v>76.187047259768647</v>
      </c>
      <c r="Q31" s="133">
        <v>77.930875316025805</v>
      </c>
      <c r="R31" s="133">
        <v>75.582833520471567</v>
      </c>
      <c r="S31" s="133">
        <v>74.113969856037343</v>
      </c>
      <c r="T31" s="133">
        <v>71.480070047963096</v>
      </c>
      <c r="U31" s="133">
        <v>69.999173210192978</v>
      </c>
      <c r="V31" s="133">
        <v>67.172937139484816</v>
      </c>
      <c r="W31" s="133">
        <v>73.039634906475428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129236.5621788048</v>
      </c>
      <c r="C3" s="126">
        <f>IF(SER_hh_fec!C3=0,0,11630*1000*SER_hh_fec!C3/SER_hh_num!C3)</f>
        <v>142616.54487928204</v>
      </c>
      <c r="D3" s="126">
        <f>IF(SER_hh_fec!D3=0,0,11630*1000*SER_hh_fec!D3/SER_hh_num!D3)</f>
        <v>144573.28544219263</v>
      </c>
      <c r="E3" s="126">
        <f>IF(SER_hh_fec!E3=0,0,11630*1000*SER_hh_fec!E3/SER_hh_num!E3)</f>
        <v>151220.55771742828</v>
      </c>
      <c r="F3" s="126">
        <f>IF(SER_hh_fec!F3=0,0,11630*1000*SER_hh_fec!F3/SER_hh_num!F3)</f>
        <v>156142.70325463053</v>
      </c>
      <c r="G3" s="126">
        <f>IF(SER_hh_fec!G3=0,0,11630*1000*SER_hh_fec!G3/SER_hh_num!G3)</f>
        <v>167942.05514675952</v>
      </c>
      <c r="H3" s="126">
        <f>IF(SER_hh_fec!H3=0,0,11630*1000*SER_hh_fec!H3/SER_hh_num!H3)</f>
        <v>173583.52288024977</v>
      </c>
      <c r="I3" s="126">
        <f>IF(SER_hh_fec!I3=0,0,11630*1000*SER_hh_fec!I3/SER_hh_num!I3)</f>
        <v>172291.72281465324</v>
      </c>
      <c r="J3" s="126">
        <f>IF(SER_hh_fec!J3=0,0,11630*1000*SER_hh_fec!J3/SER_hh_num!J3)</f>
        <v>176001.25383809319</v>
      </c>
      <c r="K3" s="126">
        <f>IF(SER_hh_fec!K3=0,0,11630*1000*SER_hh_fec!K3/SER_hh_num!K3)</f>
        <v>166829.84547142667</v>
      </c>
      <c r="L3" s="126">
        <f>IF(SER_hh_fec!L3=0,0,11630*1000*SER_hh_fec!L3/SER_hh_num!L3)</f>
        <v>151370.76673828007</v>
      </c>
      <c r="M3" s="126">
        <f>IF(SER_hh_fec!M3=0,0,11630*1000*SER_hh_fec!M3/SER_hh_num!M3)</f>
        <v>145322.99450111721</v>
      </c>
      <c r="N3" s="126">
        <f>IF(SER_hh_fec!N3=0,0,11630*1000*SER_hh_fec!N3/SER_hh_num!N3)</f>
        <v>152381.13192240166</v>
      </c>
      <c r="O3" s="126">
        <f>IF(SER_hh_fec!O3=0,0,11630*1000*SER_hh_fec!O3/SER_hh_num!O3)</f>
        <v>139064.38213364163</v>
      </c>
      <c r="P3" s="126">
        <f>IF(SER_hh_fec!P3=0,0,11630*1000*SER_hh_fec!P3/SER_hh_num!P3)</f>
        <v>125654.15721235595</v>
      </c>
      <c r="Q3" s="126">
        <f>IF(SER_hh_fec!Q3=0,0,11630*1000*SER_hh_fec!Q3/SER_hh_num!Q3)</f>
        <v>142204.5755485949</v>
      </c>
      <c r="R3" s="126">
        <f>IF(SER_hh_fec!R3=0,0,11630*1000*SER_hh_fec!R3/SER_hh_num!R3)</f>
        <v>156668.40329370237</v>
      </c>
      <c r="S3" s="126">
        <f>IF(SER_hh_fec!S3=0,0,11630*1000*SER_hh_fec!S3/SER_hh_num!S3)</f>
        <v>147946.18424745664</v>
      </c>
      <c r="T3" s="126">
        <f>IF(SER_hh_fec!T3=0,0,11630*1000*SER_hh_fec!T3/SER_hh_num!T3)</f>
        <v>134089.93039875315</v>
      </c>
      <c r="U3" s="126">
        <f>IF(SER_hh_fec!U3=0,0,11630*1000*SER_hh_fec!U3/SER_hh_num!U3)</f>
        <v>137286.19212626936</v>
      </c>
      <c r="V3" s="126">
        <f>IF(SER_hh_fec!V3=0,0,11630*1000*SER_hh_fec!V3/SER_hh_num!V3)</f>
        <v>113151.80822864411</v>
      </c>
      <c r="W3" s="126">
        <f>IF(SER_hh_fec!W3=0,0,11630*1000*SER_hh_fec!W3/SER_hh_num!W3)</f>
        <v>123459.20870145898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52094.864210587293</v>
      </c>
      <c r="C4" s="131">
        <f>IF(SER_hh_fec!C4=0,0,11630*1000*SER_hh_fec!C4/SER_hh_num!C4)</f>
        <v>62434.251765466914</v>
      </c>
      <c r="D4" s="131">
        <f>IF(SER_hh_fec!D4=0,0,11630*1000*SER_hh_fec!D4/SER_hh_num!D4)</f>
        <v>63193.053762537165</v>
      </c>
      <c r="E4" s="131">
        <f>IF(SER_hh_fec!E4=0,0,11630*1000*SER_hh_fec!E4/SER_hh_num!E4)</f>
        <v>68626.714855589496</v>
      </c>
      <c r="F4" s="131">
        <f>IF(SER_hh_fec!F4=0,0,11630*1000*SER_hh_fec!F4/SER_hh_num!F4)</f>
        <v>74067.127648436785</v>
      </c>
      <c r="G4" s="131">
        <f>IF(SER_hh_fec!G4=0,0,11630*1000*SER_hh_fec!G4/SER_hh_num!G4)</f>
        <v>83494.463486273002</v>
      </c>
      <c r="H4" s="131">
        <f>IF(SER_hh_fec!H4=0,0,11630*1000*SER_hh_fec!H4/SER_hh_num!H4)</f>
        <v>90033.405051578331</v>
      </c>
      <c r="I4" s="131">
        <f>IF(SER_hh_fec!I4=0,0,11630*1000*SER_hh_fec!I4/SER_hh_num!I4)</f>
        <v>88495.076319277461</v>
      </c>
      <c r="J4" s="131">
        <f>IF(SER_hh_fec!J4=0,0,11630*1000*SER_hh_fec!J4/SER_hh_num!J4)</f>
        <v>92678.612701542515</v>
      </c>
      <c r="K4" s="131">
        <f>IF(SER_hh_fec!K4=0,0,11630*1000*SER_hh_fec!K4/SER_hh_num!K4)</f>
        <v>84021.005897619514</v>
      </c>
      <c r="L4" s="131">
        <f>IF(SER_hh_fec!L4=0,0,11630*1000*SER_hh_fec!L4/SER_hh_num!L4)</f>
        <v>63167.540177804971</v>
      </c>
      <c r="M4" s="131">
        <f>IF(SER_hh_fec!M4=0,0,11630*1000*SER_hh_fec!M4/SER_hh_num!M4)</f>
        <v>55578.40567161591</v>
      </c>
      <c r="N4" s="131">
        <f>IF(SER_hh_fec!N4=0,0,11630*1000*SER_hh_fec!N4/SER_hh_num!N4)</f>
        <v>57299.158438796279</v>
      </c>
      <c r="O4" s="131">
        <f>IF(SER_hh_fec!O4=0,0,11630*1000*SER_hh_fec!O4/SER_hh_num!O4)</f>
        <v>47473.267694378716</v>
      </c>
      <c r="P4" s="131">
        <f>IF(SER_hh_fec!P4=0,0,11630*1000*SER_hh_fec!P4/SER_hh_num!P4)</f>
        <v>35352.18511361054</v>
      </c>
      <c r="Q4" s="131">
        <f>IF(SER_hh_fec!Q4=0,0,11630*1000*SER_hh_fec!Q4/SER_hh_num!Q4)</f>
        <v>50842.089364564032</v>
      </c>
      <c r="R4" s="131">
        <f>IF(SER_hh_fec!R4=0,0,11630*1000*SER_hh_fec!R4/SER_hh_num!R4)</f>
        <v>65305.1246028932</v>
      </c>
      <c r="S4" s="131">
        <f>IF(SER_hh_fec!S4=0,0,11630*1000*SER_hh_fec!S4/SER_hh_num!S4)</f>
        <v>57270.931915498237</v>
      </c>
      <c r="T4" s="131">
        <f>IF(SER_hh_fec!T4=0,0,11630*1000*SER_hh_fec!T4/SER_hh_num!T4)</f>
        <v>46360.352616860684</v>
      </c>
      <c r="U4" s="131">
        <f>IF(SER_hh_fec!U4=0,0,11630*1000*SER_hh_fec!U4/SER_hh_num!U4)</f>
        <v>50062.093709654633</v>
      </c>
      <c r="V4" s="131">
        <f>IF(SER_hh_fec!V4=0,0,11630*1000*SER_hh_fec!V4/SER_hh_num!V4)</f>
        <v>38726.140475474749</v>
      </c>
      <c r="W4" s="131">
        <f>IF(SER_hh_fec!W4=0,0,11630*1000*SER_hh_fec!W4/SER_hh_num!W4)</f>
        <v>42428.180611145443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63682.905452464154</v>
      </c>
      <c r="C7" s="133">
        <f>IF(SER_hh_fec!C7=0,0,11630*1000*SER_hh_fec!C7/SER_hh_num!C7)</f>
        <v>77499.347553140498</v>
      </c>
      <c r="D7" s="133">
        <f>IF(SER_hh_fec!D7=0,0,11630*1000*SER_hh_fec!D7/SER_hh_num!D7)</f>
        <v>80430.776574031945</v>
      </c>
      <c r="E7" s="133">
        <f>IF(SER_hh_fec!E7=0,0,11630*1000*SER_hh_fec!E7/SER_hh_num!E7)</f>
        <v>86373.50822839576</v>
      </c>
      <c r="F7" s="133">
        <f>IF(SER_hh_fec!F7=0,0,11630*1000*SER_hh_fec!F7/SER_hh_num!F7)</f>
        <v>88163.410639186652</v>
      </c>
      <c r="G7" s="133">
        <f>IF(SER_hh_fec!G7=0,0,11630*1000*SER_hh_fec!G7/SER_hh_num!G7)</f>
        <v>112700.17630287119</v>
      </c>
      <c r="H7" s="133">
        <f>IF(SER_hh_fec!H7=0,0,11630*1000*SER_hh_fec!H7/SER_hh_num!H7)</f>
        <v>122430.62984282174</v>
      </c>
      <c r="I7" s="133">
        <f>IF(SER_hh_fec!I7=0,0,11630*1000*SER_hh_fec!I7/SER_hh_num!I7)</f>
        <v>121998.00303980772</v>
      </c>
      <c r="J7" s="133">
        <f>IF(SER_hh_fec!J7=0,0,11630*1000*SER_hh_fec!J7/SER_hh_num!J7)</f>
        <v>134070.73341453369</v>
      </c>
      <c r="K7" s="133">
        <f>IF(SER_hh_fec!K7=0,0,11630*1000*SER_hh_fec!K7/SER_hh_num!K7)</f>
        <v>111926.11978420519</v>
      </c>
      <c r="L7" s="133">
        <f>IF(SER_hh_fec!L7=0,0,11630*1000*SER_hh_fec!L7/SER_hh_num!L7)</f>
        <v>107964.653832101</v>
      </c>
      <c r="M7" s="133">
        <f>IF(SER_hh_fec!M7=0,0,11630*1000*SER_hh_fec!M7/SER_hh_num!M7)</f>
        <v>108877.46810920899</v>
      </c>
      <c r="N7" s="133">
        <f>IF(SER_hh_fec!N7=0,0,11630*1000*SER_hh_fec!N7/SER_hh_num!N7)</f>
        <v>56244.534909108785</v>
      </c>
      <c r="O7" s="133">
        <f>IF(SER_hh_fec!O7=0,0,11630*1000*SER_hh_fec!O7/SER_hh_num!O7)</f>
        <v>127225.04141713819</v>
      </c>
      <c r="P7" s="133">
        <f>IF(SER_hh_fec!P7=0,0,11630*1000*SER_hh_fec!P7/SER_hh_num!P7)</f>
        <v>78886.862369688984</v>
      </c>
      <c r="Q7" s="133">
        <f>IF(SER_hh_fec!Q7=0,0,11630*1000*SER_hh_fec!Q7/SER_hh_num!Q7)</f>
        <v>98522.317843582205</v>
      </c>
      <c r="R7" s="133">
        <f>IF(SER_hh_fec!R7=0,0,11630*1000*SER_hh_fec!R7/SER_hh_num!R7)</f>
        <v>203812.96602383006</v>
      </c>
      <c r="S7" s="133">
        <f>IF(SER_hh_fec!S7=0,0,11630*1000*SER_hh_fec!S7/SER_hh_num!S7)</f>
        <v>106934.1534843197</v>
      </c>
      <c r="T7" s="133">
        <f>IF(SER_hh_fec!T7=0,0,11630*1000*SER_hh_fec!T7/SER_hh_num!T7)</f>
        <v>113278.56470471219</v>
      </c>
      <c r="U7" s="133">
        <f>IF(SER_hh_fec!U7=0,0,11630*1000*SER_hh_fec!U7/SER_hh_num!U7)</f>
        <v>132106.45408886363</v>
      </c>
      <c r="V7" s="133">
        <f>IF(SER_hh_fec!V7=0,0,11630*1000*SER_hh_fec!V7/SER_hh_num!V7)</f>
        <v>132429.20679663666</v>
      </c>
      <c r="W7" s="133">
        <f>IF(SER_hh_fec!W7=0,0,11630*1000*SER_hh_fec!W7/SER_hh_num!W7)</f>
        <v>112245.18788692141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24278.677386615487</v>
      </c>
      <c r="C8" s="133">
        <f>IF(SER_hh_fec!C8=0,0,11630*1000*SER_hh_fec!C8/SER_hh_num!C8)</f>
        <v>24749.804909954484</v>
      </c>
      <c r="D8" s="133">
        <f>IF(SER_hh_fec!D8=0,0,11630*1000*SER_hh_fec!D8/SER_hh_num!D8)</f>
        <v>25010.208221331417</v>
      </c>
      <c r="E8" s="133">
        <f>IF(SER_hh_fec!E8=0,0,11630*1000*SER_hh_fec!E8/SER_hh_num!E8)</f>
        <v>26867.348154816846</v>
      </c>
      <c r="F8" s="133">
        <f>IF(SER_hh_fec!F8=0,0,11630*1000*SER_hh_fec!F8/SER_hh_num!F8)</f>
        <v>30462.159267223284</v>
      </c>
      <c r="G8" s="133">
        <f>IF(SER_hh_fec!G8=0,0,11630*1000*SER_hh_fec!G8/SER_hh_num!G8)</f>
        <v>36046.188576683402</v>
      </c>
      <c r="H8" s="133">
        <f>IF(SER_hh_fec!H8=0,0,11630*1000*SER_hh_fec!H8/SER_hh_num!H8)</f>
        <v>35699.320251631034</v>
      </c>
      <c r="I8" s="133">
        <f>IF(SER_hh_fec!I8=0,0,11630*1000*SER_hh_fec!I8/SER_hh_num!I8)</f>
        <v>34522.211799743825</v>
      </c>
      <c r="J8" s="133">
        <f>IF(SER_hh_fec!J8=0,0,11630*1000*SER_hh_fec!J8/SER_hh_num!J8)</f>
        <v>33060.470009747623</v>
      </c>
      <c r="K8" s="133">
        <f>IF(SER_hh_fec!K8=0,0,11630*1000*SER_hh_fec!K8/SER_hh_num!K8)</f>
        <v>28852.666307753225</v>
      </c>
      <c r="L8" s="133">
        <f>IF(SER_hh_fec!L8=0,0,11630*1000*SER_hh_fec!L8/SER_hh_num!L8)</f>
        <v>22310.720012957641</v>
      </c>
      <c r="M8" s="133">
        <f>IF(SER_hh_fec!M8=0,0,11630*1000*SER_hh_fec!M8/SER_hh_num!M8)</f>
        <v>16453.441358515476</v>
      </c>
      <c r="N8" s="133">
        <f>IF(SER_hh_fec!N8=0,0,11630*1000*SER_hh_fec!N8/SER_hh_num!N8)</f>
        <v>10663.060509531444</v>
      </c>
      <c r="O8" s="133">
        <f>IF(SER_hh_fec!O8=0,0,11630*1000*SER_hh_fec!O8/SER_hh_num!O8)</f>
        <v>12767.925800075096</v>
      </c>
      <c r="P8" s="133">
        <f>IF(SER_hh_fec!P8=0,0,11630*1000*SER_hh_fec!P8/SER_hh_num!P8)</f>
        <v>19168.378562823076</v>
      </c>
      <c r="Q8" s="133">
        <f>IF(SER_hh_fec!Q8=0,0,11630*1000*SER_hh_fec!Q8/SER_hh_num!Q8)</f>
        <v>30577.422355582206</v>
      </c>
      <c r="R8" s="133">
        <f>IF(SER_hh_fec!R8=0,0,11630*1000*SER_hh_fec!R8/SER_hh_num!R8)</f>
        <v>27276.047808840263</v>
      </c>
      <c r="S8" s="133">
        <f>IF(SER_hh_fec!S8=0,0,11630*1000*SER_hh_fec!S8/SER_hh_num!S8)</f>
        <v>25669.956971411913</v>
      </c>
      <c r="T8" s="133">
        <f>IF(SER_hh_fec!T8=0,0,11630*1000*SER_hh_fec!T8/SER_hh_num!T8)</f>
        <v>25409.218240443268</v>
      </c>
      <c r="U8" s="133">
        <f>IF(SER_hh_fec!U8=0,0,11630*1000*SER_hh_fec!U8/SER_hh_num!U8)</f>
        <v>24950.581842054133</v>
      </c>
      <c r="V8" s="133">
        <f>IF(SER_hh_fec!V8=0,0,11630*1000*SER_hh_fec!V8/SER_hh_num!V8)</f>
        <v>26070.719677786463</v>
      </c>
      <c r="W8" s="133">
        <f>IF(SER_hh_fec!W8=0,0,11630*1000*SER_hh_fec!W8/SER_hh_num!W8)</f>
        <v>27048.677015671481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54258.482501168</v>
      </c>
      <c r="C9" s="133">
        <f>IF(SER_hh_fec!C9=0,0,11630*1000*SER_hh_fec!C9/SER_hh_num!C9)</f>
        <v>57458.317680400396</v>
      </c>
      <c r="D9" s="133">
        <f>IF(SER_hh_fec!D9=0,0,11630*1000*SER_hh_fec!D9/SER_hh_num!D9)</f>
        <v>53870.78646879681</v>
      </c>
      <c r="E9" s="133">
        <f>IF(SER_hh_fec!E9=0,0,11630*1000*SER_hh_fec!E9/SER_hh_num!E9)</f>
        <v>62493.666936150301</v>
      </c>
      <c r="F9" s="133">
        <f>IF(SER_hh_fec!F9=0,0,11630*1000*SER_hh_fec!F9/SER_hh_num!F9)</f>
        <v>74033.576741511395</v>
      </c>
      <c r="G9" s="133">
        <f>IF(SER_hh_fec!G9=0,0,11630*1000*SER_hh_fec!G9/SER_hh_num!G9)</f>
        <v>93072.621581667161</v>
      </c>
      <c r="H9" s="133">
        <f>IF(SER_hh_fec!H9=0,0,11630*1000*SER_hh_fec!H9/SER_hh_num!H9)</f>
        <v>96250.057410409281</v>
      </c>
      <c r="I9" s="133">
        <f>IF(SER_hh_fec!I9=0,0,11630*1000*SER_hh_fec!I9/SER_hh_num!I9)</f>
        <v>93016.700938035778</v>
      </c>
      <c r="J9" s="133">
        <f>IF(SER_hh_fec!J9=0,0,11630*1000*SER_hh_fec!J9/SER_hh_num!J9)</f>
        <v>104101.30087003543</v>
      </c>
      <c r="K9" s="133">
        <f>IF(SER_hh_fec!K9=0,0,11630*1000*SER_hh_fec!K9/SER_hh_num!K9)</f>
        <v>99251.246766837925</v>
      </c>
      <c r="L9" s="133">
        <f>IF(SER_hh_fec!L9=0,0,11630*1000*SER_hh_fec!L9/SER_hh_num!L9)</f>
        <v>76118.824776736408</v>
      </c>
      <c r="M9" s="133">
        <f>IF(SER_hh_fec!M9=0,0,11630*1000*SER_hh_fec!M9/SER_hh_num!M9)</f>
        <v>106847.95065032154</v>
      </c>
      <c r="N9" s="133">
        <f>IF(SER_hh_fec!N9=0,0,11630*1000*SER_hh_fec!N9/SER_hh_num!N9)</f>
        <v>82430.373809847501</v>
      </c>
      <c r="O9" s="133">
        <f>IF(SER_hh_fec!O9=0,0,11630*1000*SER_hh_fec!O9/SER_hh_num!O9)</f>
        <v>75344.227755481406</v>
      </c>
      <c r="P9" s="133">
        <f>IF(SER_hh_fec!P9=0,0,11630*1000*SER_hh_fec!P9/SER_hh_num!P9)</f>
        <v>81062.821399315362</v>
      </c>
      <c r="Q9" s="133">
        <f>IF(SER_hh_fec!Q9=0,0,11630*1000*SER_hh_fec!Q9/SER_hh_num!Q9)</f>
        <v>127090.59650141465</v>
      </c>
      <c r="R9" s="133">
        <f>IF(SER_hh_fec!R9=0,0,11630*1000*SER_hh_fec!R9/SER_hh_num!R9)</f>
        <v>115425.09717172776</v>
      </c>
      <c r="S9" s="133">
        <f>IF(SER_hh_fec!S9=0,0,11630*1000*SER_hh_fec!S9/SER_hh_num!S9)</f>
        <v>116893.65483918659</v>
      </c>
      <c r="T9" s="133">
        <f>IF(SER_hh_fec!T9=0,0,11630*1000*SER_hh_fec!T9/SER_hh_num!T9)</f>
        <v>110365.06900914734</v>
      </c>
      <c r="U9" s="133">
        <f>IF(SER_hh_fec!U9=0,0,11630*1000*SER_hh_fec!U9/SER_hh_num!U9)</f>
        <v>125771.66985422454</v>
      </c>
      <c r="V9" s="133">
        <f>IF(SER_hh_fec!V9=0,0,11630*1000*SER_hh_fec!V9/SER_hh_num!V9)</f>
        <v>107034.95735354288</v>
      </c>
      <c r="W9" s="133">
        <f>IF(SER_hh_fec!W9=0,0,11630*1000*SER_hh_fec!W9/SER_hh_num!W9)</f>
        <v>113590.09009553042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164960.0708658575</v>
      </c>
      <c r="O10" s="133">
        <f>IF(SER_hh_fec!O10=0,0,11630*1000*SER_hh_fec!O10/SER_hh_num!O10)</f>
        <v>91587.555123307277</v>
      </c>
      <c r="P10" s="133">
        <f>IF(SER_hh_fec!P10=0,0,11630*1000*SER_hh_fec!P10/SER_hh_num!P10)</f>
        <v>69949.205020648456</v>
      </c>
      <c r="Q10" s="133">
        <f>IF(SER_hh_fec!Q10=0,0,11630*1000*SER_hh_fec!Q10/SER_hh_num!Q10)</f>
        <v>214895.82807819816</v>
      </c>
      <c r="R10" s="133">
        <f>IF(SER_hh_fec!R10=0,0,11630*1000*SER_hh_fec!R10/SER_hh_num!R10)</f>
        <v>140845.19076174061</v>
      </c>
      <c r="S10" s="133">
        <f>IF(SER_hh_fec!S10=0,0,11630*1000*SER_hh_fec!S10/SER_hh_num!S10)</f>
        <v>106832.68636817354</v>
      </c>
      <c r="T10" s="133">
        <f>IF(SER_hh_fec!T10=0,0,11630*1000*SER_hh_fec!T10/SER_hh_num!T10)</f>
        <v>175161.80436936606</v>
      </c>
      <c r="U10" s="133">
        <f>IF(SER_hh_fec!U10=0,0,11630*1000*SER_hh_fec!U10/SER_hh_num!U10)</f>
        <v>84928.35478219467</v>
      </c>
      <c r="V10" s="133">
        <f>IF(SER_hh_fec!V10=0,0,11630*1000*SER_hh_fec!V10/SER_hh_num!V10)</f>
        <v>87659.772355134657</v>
      </c>
      <c r="W10" s="133">
        <f>IF(SER_hh_fec!W10=0,0,11630*1000*SER_hh_fec!W10/SER_hh_num!W10)</f>
        <v>195075.55472274768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68374.338661845861</v>
      </c>
      <c r="G11" s="133">
        <f>IF(SER_hh_fec!G11=0,0,11630*1000*SER_hh_fec!G11/SER_hh_num!G11)</f>
        <v>53926.129486656064</v>
      </c>
      <c r="H11" s="133">
        <f>IF(SER_hh_fec!H11=0,0,11630*1000*SER_hh_fec!H11/SER_hh_num!H11)</f>
        <v>52801.472195978196</v>
      </c>
      <c r="I11" s="133">
        <f>IF(SER_hh_fec!I11=0,0,11630*1000*SER_hh_fec!I11/SER_hh_num!I11)</f>
        <v>54313.241461338934</v>
      </c>
      <c r="J11" s="133">
        <f>IF(SER_hh_fec!J11=0,0,11630*1000*SER_hh_fec!J11/SER_hh_num!J11)</f>
        <v>52820.822924822925</v>
      </c>
      <c r="K11" s="133">
        <f>IF(SER_hh_fec!K11=0,0,11630*1000*SER_hh_fec!K11/SER_hh_num!K11)</f>
        <v>59229.151771174293</v>
      </c>
      <c r="L11" s="133">
        <f>IF(SER_hh_fec!L11=0,0,11630*1000*SER_hh_fec!L11/SER_hh_num!L11)</f>
        <v>52438.258092364085</v>
      </c>
      <c r="M11" s="133">
        <f>IF(SER_hh_fec!M11=0,0,11630*1000*SER_hh_fec!M11/SER_hh_num!M11)</f>
        <v>49596.787091573256</v>
      </c>
      <c r="N11" s="133">
        <f>IF(SER_hh_fec!N11=0,0,11630*1000*SER_hh_fec!N11/SER_hh_num!N11)</f>
        <v>50735.354050840797</v>
      </c>
      <c r="O11" s="133">
        <f>IF(SER_hh_fec!O11=0,0,11630*1000*SER_hh_fec!O11/SER_hh_num!O11)</f>
        <v>49694.428637564786</v>
      </c>
      <c r="P11" s="133">
        <f>IF(SER_hh_fec!P11=0,0,11630*1000*SER_hh_fec!P11/SER_hh_num!P11)</f>
        <v>57873.627060509782</v>
      </c>
      <c r="Q11" s="133">
        <f>IF(SER_hh_fec!Q11=0,0,11630*1000*SER_hh_fec!Q11/SER_hh_num!Q11)</f>
        <v>62750.546284474636</v>
      </c>
      <c r="R11" s="133">
        <f>IF(SER_hh_fec!R11=0,0,11630*1000*SER_hh_fec!R11/SER_hh_num!R11)</f>
        <v>69932.825893013738</v>
      </c>
      <c r="S11" s="133">
        <f>IF(SER_hh_fec!S11=0,0,11630*1000*SER_hh_fec!S11/SER_hh_num!S11)</f>
        <v>70010.438416058329</v>
      </c>
      <c r="T11" s="133">
        <f>IF(SER_hh_fec!T11=0,0,11630*1000*SER_hh_fec!T11/SER_hh_num!T11)</f>
        <v>71141.205745867497</v>
      </c>
      <c r="U11" s="133">
        <f>IF(SER_hh_fec!U11=0,0,11630*1000*SER_hh_fec!U11/SER_hh_num!U11)</f>
        <v>99295.256487033344</v>
      </c>
      <c r="V11" s="133">
        <f>IF(SER_hh_fec!V11=0,0,11630*1000*SER_hh_fec!V11/SER_hh_num!V11)</f>
        <v>35981.068851466865</v>
      </c>
      <c r="W11" s="133">
        <f>IF(SER_hh_fec!W11=0,0,11630*1000*SER_hh_fec!W11/SER_hh_num!W11)</f>
        <v>37691.648456043367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20708.936419700141</v>
      </c>
      <c r="C13" s="133">
        <f>IF(SER_hh_fec!C13=0,0,11630*1000*SER_hh_fec!C13/SER_hh_num!C13)</f>
        <v>23718.778398824299</v>
      </c>
      <c r="D13" s="133">
        <f>IF(SER_hh_fec!D13=0,0,11630*1000*SER_hh_fec!D13/SER_hh_num!D13)</f>
        <v>23840.191377177958</v>
      </c>
      <c r="E13" s="133">
        <f>IF(SER_hh_fec!E13=0,0,11630*1000*SER_hh_fec!E13/SER_hh_num!E13)</f>
        <v>25050.930079289261</v>
      </c>
      <c r="F13" s="133">
        <f>IF(SER_hh_fec!F13=0,0,11630*1000*SER_hh_fec!F13/SER_hh_num!F13)</f>
        <v>29734.772820532289</v>
      </c>
      <c r="G13" s="133">
        <f>IF(SER_hh_fec!G13=0,0,11630*1000*SER_hh_fec!G13/SER_hh_num!G13)</f>
        <v>27880.408068418965</v>
      </c>
      <c r="H13" s="133">
        <f>IF(SER_hh_fec!H13=0,0,11630*1000*SER_hh_fec!H13/SER_hh_num!H13)</f>
        <v>29214.957579054277</v>
      </c>
      <c r="I13" s="133">
        <f>IF(SER_hh_fec!I13=0,0,11630*1000*SER_hh_fec!I13/SER_hh_num!I13)</f>
        <v>30435.988981980398</v>
      </c>
      <c r="J13" s="133">
        <f>IF(SER_hh_fec!J13=0,0,11630*1000*SER_hh_fec!J13/SER_hh_num!J13)</f>
        <v>28758.741948400657</v>
      </c>
      <c r="K13" s="133">
        <f>IF(SER_hh_fec!K13=0,0,11630*1000*SER_hh_fec!K13/SER_hh_num!K13)</f>
        <v>26204.527488541429</v>
      </c>
      <c r="L13" s="133">
        <f>IF(SER_hh_fec!L13=0,0,11630*1000*SER_hh_fec!L13/SER_hh_num!L13)</f>
        <v>21619.702695191416</v>
      </c>
      <c r="M13" s="133">
        <f>IF(SER_hh_fec!M13=0,0,11630*1000*SER_hh_fec!M13/SER_hh_num!M13)</f>
        <v>19036.28818093556</v>
      </c>
      <c r="N13" s="133">
        <f>IF(SER_hh_fec!N13=0,0,11630*1000*SER_hh_fec!N13/SER_hh_num!N13)</f>
        <v>20433.51368063359</v>
      </c>
      <c r="O13" s="133">
        <f>IF(SER_hh_fec!O13=0,0,11630*1000*SER_hh_fec!O13/SER_hh_num!O13)</f>
        <v>18191.988597524636</v>
      </c>
      <c r="P13" s="133">
        <f>IF(SER_hh_fec!P13=0,0,11630*1000*SER_hh_fec!P13/SER_hh_num!P13)</f>
        <v>19929.440075273644</v>
      </c>
      <c r="Q13" s="133">
        <f>IF(SER_hh_fec!Q13=0,0,11630*1000*SER_hh_fec!Q13/SER_hh_num!Q13)</f>
        <v>24293.582657260911</v>
      </c>
      <c r="R13" s="133">
        <f>IF(SER_hh_fec!R13=0,0,11630*1000*SER_hh_fec!R13/SER_hh_num!R13)</f>
        <v>24704.358383818118</v>
      </c>
      <c r="S13" s="133">
        <f>IF(SER_hh_fec!S13=0,0,11630*1000*SER_hh_fec!S13/SER_hh_num!S13)</f>
        <v>23698.639399902422</v>
      </c>
      <c r="T13" s="133">
        <f>IF(SER_hh_fec!T13=0,0,11630*1000*SER_hh_fec!T13/SER_hh_num!T13)</f>
        <v>23302.926127092229</v>
      </c>
      <c r="U13" s="133">
        <f>IF(SER_hh_fec!U13=0,0,11630*1000*SER_hh_fec!U13/SER_hh_num!U13)</f>
        <v>22394.64575310014</v>
      </c>
      <c r="V13" s="133">
        <f>IF(SER_hh_fec!V13=0,0,11630*1000*SER_hh_fec!V13/SER_hh_num!V13)</f>
        <v>22052.87894377848</v>
      </c>
      <c r="W13" s="133">
        <f>IF(SER_hh_fec!W13=0,0,11630*1000*SER_hh_fec!W13/SER_hh_num!W13)</f>
        <v>22904.688306275875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44105.973893001392</v>
      </c>
      <c r="C14" s="65">
        <f>IF(SER_hh_fec!C14=0,0,11630*1000*SER_hh_fec!C14/SER_hh_num!C14)</f>
        <v>50697.975819101681</v>
      </c>
      <c r="D14" s="65">
        <f>IF(SER_hh_fec!D14=0,0,11630*1000*SER_hh_fec!D14/SER_hh_num!D14)</f>
        <v>51170.05948823216</v>
      </c>
      <c r="E14" s="65">
        <f>IF(SER_hh_fec!E14=0,0,11630*1000*SER_hh_fec!E14/SER_hh_num!E14)</f>
        <v>58380.619818141167</v>
      </c>
      <c r="F14" s="65">
        <f>IF(SER_hh_fec!F14=0,0,11630*1000*SER_hh_fec!F14/SER_hh_num!F14)</f>
        <v>70021.078965954352</v>
      </c>
      <c r="G14" s="65">
        <f>IF(SER_hh_fec!G14=0,0,11630*1000*SER_hh_fec!G14/SER_hh_num!G14)</f>
        <v>68597.546781028272</v>
      </c>
      <c r="H14" s="65">
        <f>IF(SER_hh_fec!H14=0,0,11630*1000*SER_hh_fec!H14/SER_hh_num!H14)</f>
        <v>79321.702243919121</v>
      </c>
      <c r="I14" s="65">
        <f>IF(SER_hh_fec!I14=0,0,11630*1000*SER_hh_fec!I14/SER_hh_num!I14)</f>
        <v>83138.827855386524</v>
      </c>
      <c r="J14" s="65">
        <f>IF(SER_hh_fec!J14=0,0,11630*1000*SER_hh_fec!J14/SER_hh_num!J14)</f>
        <v>91578.422020489234</v>
      </c>
      <c r="K14" s="65">
        <f>IF(SER_hh_fec!K14=0,0,11630*1000*SER_hh_fec!K14/SER_hh_num!K14)</f>
        <v>96586.392790358514</v>
      </c>
      <c r="L14" s="65">
        <f>IF(SER_hh_fec!L14=0,0,11630*1000*SER_hh_fec!L14/SER_hh_num!L14)</f>
        <v>68853.251537056058</v>
      </c>
      <c r="M14" s="65">
        <f>IF(SER_hh_fec!M14=0,0,11630*1000*SER_hh_fec!M14/SER_hh_num!M14)</f>
        <v>48444.606181701311</v>
      </c>
      <c r="N14" s="65">
        <f>IF(SER_hh_fec!N14=0,0,11630*1000*SER_hh_fec!N14/SER_hh_num!N14)</f>
        <v>104564.31652902946</v>
      </c>
      <c r="O14" s="65">
        <f>IF(SER_hh_fec!O14=0,0,11630*1000*SER_hh_fec!O14/SER_hh_num!O14)</f>
        <v>70497.64524029594</v>
      </c>
      <c r="P14" s="65">
        <f>IF(SER_hh_fec!P14=0,0,11630*1000*SER_hh_fec!P14/SER_hh_num!P14)</f>
        <v>45542.652914048835</v>
      </c>
      <c r="Q14" s="65">
        <f>IF(SER_hh_fec!Q14=0,0,11630*1000*SER_hh_fec!Q14/SER_hh_num!Q14)</f>
        <v>81595.000010801901</v>
      </c>
      <c r="R14" s="65">
        <f>IF(SER_hh_fec!R14=0,0,11630*1000*SER_hh_fec!R14/SER_hh_num!R14)</f>
        <v>128899.45288834853</v>
      </c>
      <c r="S14" s="65">
        <f>IF(SER_hh_fec!S14=0,0,11630*1000*SER_hh_fec!S14/SER_hh_num!S14)</f>
        <v>122785.57384345753</v>
      </c>
      <c r="T14" s="65">
        <f>IF(SER_hh_fec!T14=0,0,11630*1000*SER_hh_fec!T14/SER_hh_num!T14)</f>
        <v>82253.342044298755</v>
      </c>
      <c r="U14" s="65">
        <f>IF(SER_hh_fec!U14=0,0,11630*1000*SER_hh_fec!U14/SER_hh_num!U14)</f>
        <v>115253.53837435538</v>
      </c>
      <c r="V14" s="65">
        <f>IF(SER_hh_fec!V14=0,0,11630*1000*SER_hh_fec!V14/SER_hh_num!V14)</f>
        <v>74128.837974026435</v>
      </c>
      <c r="W14" s="65">
        <f>IF(SER_hh_fec!W14=0,0,11630*1000*SER_hh_fec!W14/SER_hh_num!W14)</f>
        <v>112498.64088951552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478.45149698908818</v>
      </c>
      <c r="C15" s="135">
        <f>IF(SER_hh_fec!C15=0,0,11630*1000*SER_hh_fec!C15/SER_hh_num!C15)</f>
        <v>580.21014424466307</v>
      </c>
      <c r="D15" s="135">
        <f>IF(SER_hh_fec!D15=0,0,11630*1000*SER_hh_fec!D15/SER_hh_num!D15)</f>
        <v>592.67877221012191</v>
      </c>
      <c r="E15" s="135">
        <f>IF(SER_hh_fec!E15=0,0,11630*1000*SER_hh_fec!E15/SER_hh_num!E15)</f>
        <v>631.9664520015408</v>
      </c>
      <c r="F15" s="135">
        <f>IF(SER_hh_fec!F15=0,0,11630*1000*SER_hh_fec!F15/SER_hh_num!F15)</f>
        <v>638.30856449495786</v>
      </c>
      <c r="G15" s="135">
        <f>IF(SER_hh_fec!G15=0,0,11630*1000*SER_hh_fec!G15/SER_hh_num!G15)</f>
        <v>808.04373428853341</v>
      </c>
      <c r="H15" s="135">
        <f>IF(SER_hh_fec!H15=0,0,11630*1000*SER_hh_fec!H15/SER_hh_num!H15)</f>
        <v>863.48131701646992</v>
      </c>
      <c r="I15" s="135">
        <f>IF(SER_hh_fec!I15=0,0,11630*1000*SER_hh_fec!I15/SER_hh_num!I15)</f>
        <v>847.19761016003406</v>
      </c>
      <c r="J15" s="135">
        <f>IF(SER_hh_fec!J15=0,0,11630*1000*SER_hh_fec!J15/SER_hh_num!J15)</f>
        <v>923.83519687539035</v>
      </c>
      <c r="K15" s="135">
        <f>IF(SER_hh_fec!K15=0,0,11630*1000*SER_hh_fec!K15/SER_hh_num!K15)</f>
        <v>797.07025949019135</v>
      </c>
      <c r="L15" s="135">
        <f>IF(SER_hh_fec!L15=0,0,11630*1000*SER_hh_fec!L15/SER_hh_num!L15)</f>
        <v>704.44005936403687</v>
      </c>
      <c r="M15" s="135">
        <f>IF(SER_hh_fec!M15=0,0,11630*1000*SER_hh_fec!M15/SER_hh_num!M15)</f>
        <v>803.67694594281068</v>
      </c>
      <c r="N15" s="135">
        <f>IF(SER_hh_fec!N15=0,0,11630*1000*SER_hh_fec!N15/SER_hh_num!N15)</f>
        <v>534.96478988794138</v>
      </c>
      <c r="O15" s="135">
        <f>IF(SER_hh_fec!O15=0,0,11630*1000*SER_hh_fec!O15/SER_hh_num!O15)</f>
        <v>716.15035353486064</v>
      </c>
      <c r="P15" s="135">
        <f>IF(SER_hh_fec!P15=0,0,11630*1000*SER_hh_fec!P15/SER_hh_num!P15)</f>
        <v>570.73092212808979</v>
      </c>
      <c r="Q15" s="135">
        <f>IF(SER_hh_fec!Q15=0,0,11630*1000*SER_hh_fec!Q15/SER_hh_num!Q15)</f>
        <v>836.15705044474112</v>
      </c>
      <c r="R15" s="135">
        <f>IF(SER_hh_fec!R15=0,0,11630*1000*SER_hh_fec!R15/SER_hh_num!R15)</f>
        <v>1018.5779416621695</v>
      </c>
      <c r="S15" s="135">
        <f>IF(SER_hh_fec!S15=0,0,11630*1000*SER_hh_fec!S15/SER_hh_num!S15)</f>
        <v>798.98593485114748</v>
      </c>
      <c r="T15" s="135">
        <f>IF(SER_hh_fec!T15=0,0,11630*1000*SER_hh_fec!T15/SER_hh_num!T15)</f>
        <v>813.92115541560418</v>
      </c>
      <c r="U15" s="135">
        <f>IF(SER_hh_fec!U15=0,0,11630*1000*SER_hh_fec!U15/SER_hh_num!U15)</f>
        <v>931.88482280479752</v>
      </c>
      <c r="V15" s="135">
        <f>IF(SER_hh_fec!V15=0,0,11630*1000*SER_hh_fec!V15/SER_hh_num!V15)</f>
        <v>837.19562477629427</v>
      </c>
      <c r="W15" s="135">
        <f>IF(SER_hh_fec!W15=0,0,11630*1000*SER_hh_fec!W15/SER_hh_num!W15)</f>
        <v>875.61031189155858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18669.604170152026</v>
      </c>
      <c r="C16" s="131">
        <f>IF(SER_hh_fec!C16=0,0,11630*1000*SER_hh_fec!C16/SER_hh_num!C16)</f>
        <v>22244.438034634462</v>
      </c>
      <c r="D16" s="131">
        <f>IF(SER_hh_fec!D16=0,0,11630*1000*SER_hh_fec!D16/SER_hh_num!D16)</f>
        <v>17433.146217209029</v>
      </c>
      <c r="E16" s="131">
        <f>IF(SER_hh_fec!E16=0,0,11630*1000*SER_hh_fec!E16/SER_hh_num!E16)</f>
        <v>22400.436825250126</v>
      </c>
      <c r="F16" s="131">
        <f>IF(SER_hh_fec!F16=0,0,11630*1000*SER_hh_fec!F16/SER_hh_num!F16)</f>
        <v>13438.397332072167</v>
      </c>
      <c r="G16" s="131">
        <f>IF(SER_hh_fec!G16=0,0,11630*1000*SER_hh_fec!G16/SER_hh_num!G16)</f>
        <v>13311.182510322646</v>
      </c>
      <c r="H16" s="131">
        <f>IF(SER_hh_fec!H16=0,0,11630*1000*SER_hh_fec!H16/SER_hh_num!H16)</f>
        <v>14985.093711408417</v>
      </c>
      <c r="I16" s="131">
        <f>IF(SER_hh_fec!I16=0,0,11630*1000*SER_hh_fec!I16/SER_hh_num!I16)</f>
        <v>20968.646455572587</v>
      </c>
      <c r="J16" s="131">
        <f>IF(SER_hh_fec!J16=0,0,11630*1000*SER_hh_fec!J16/SER_hh_num!J16)</f>
        <v>19485.137764419389</v>
      </c>
      <c r="K16" s="131">
        <f>IF(SER_hh_fec!K16=0,0,11630*1000*SER_hh_fec!K16/SER_hh_num!K16)</f>
        <v>13178.602304884977</v>
      </c>
      <c r="L16" s="131">
        <f>IF(SER_hh_fec!L16=0,0,11630*1000*SER_hh_fec!L16/SER_hh_num!L16)</f>
        <v>16935.337460720508</v>
      </c>
      <c r="M16" s="131">
        <f>IF(SER_hh_fec!M16=0,0,11630*1000*SER_hh_fec!M16/SER_hh_num!M16)</f>
        <v>14719.632242727195</v>
      </c>
      <c r="N16" s="131">
        <f>IF(SER_hh_fec!N16=0,0,11630*1000*SER_hh_fec!N16/SER_hh_num!N16)</f>
        <v>23131.771955056774</v>
      </c>
      <c r="O16" s="131">
        <f>IF(SER_hh_fec!O16=0,0,11630*1000*SER_hh_fec!O16/SER_hh_num!O16)</f>
        <v>14314.083525561042</v>
      </c>
      <c r="P16" s="131">
        <f>IF(SER_hh_fec!P16=0,0,11630*1000*SER_hh_fec!P16/SER_hh_num!P16)</f>
        <v>11455.311798848441</v>
      </c>
      <c r="Q16" s="131">
        <f>IF(SER_hh_fec!Q16=0,0,11630*1000*SER_hh_fec!Q16/SER_hh_num!Q16)</f>
        <v>14257.965744256442</v>
      </c>
      <c r="R16" s="131">
        <f>IF(SER_hh_fec!R16=0,0,11630*1000*SER_hh_fec!R16/SER_hh_num!R16)</f>
        <v>15057.639572568356</v>
      </c>
      <c r="S16" s="131">
        <f>IF(SER_hh_fec!S16=0,0,11630*1000*SER_hh_fec!S16/SER_hh_num!S16)</f>
        <v>14707.708701620459</v>
      </c>
      <c r="T16" s="131">
        <f>IF(SER_hh_fec!T16=0,0,11630*1000*SER_hh_fec!T16/SER_hh_num!T16)</f>
        <v>12366.360063537013</v>
      </c>
      <c r="U16" s="131">
        <f>IF(SER_hh_fec!U16=0,0,11630*1000*SER_hh_fec!U16/SER_hh_num!U16)</f>
        <v>15364.074007637944</v>
      </c>
      <c r="V16" s="131">
        <f>IF(SER_hh_fec!V16=0,0,11630*1000*SER_hh_fec!V16/SER_hh_num!V16)</f>
        <v>13524.054288236202</v>
      </c>
      <c r="W16" s="131">
        <f>IF(SER_hh_fec!W16=0,0,11630*1000*SER_hh_fec!W16/SER_hh_num!W16)</f>
        <v>17355.180740844502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26038.985929185757</v>
      </c>
      <c r="C17" s="133">
        <f>IF(SER_hh_fec!C17=0,0,11630*1000*SER_hh_fec!C17/SER_hh_num!C17)</f>
        <v>32160.359790174381</v>
      </c>
      <c r="D17" s="133">
        <f>IF(SER_hh_fec!D17=0,0,11630*1000*SER_hh_fec!D17/SER_hh_num!D17)</f>
        <v>26014.925055321783</v>
      </c>
      <c r="E17" s="133">
        <f>IF(SER_hh_fec!E17=0,0,11630*1000*SER_hh_fec!E17/SER_hh_num!E17)</f>
        <v>34994.701728065047</v>
      </c>
      <c r="F17" s="133">
        <f>IF(SER_hh_fec!F17=0,0,11630*1000*SER_hh_fec!F17/SER_hh_num!F17)</f>
        <v>21688.387288394802</v>
      </c>
      <c r="G17" s="133">
        <f>IF(SER_hh_fec!G17=0,0,11630*1000*SER_hh_fec!G17/SER_hh_num!G17)</f>
        <v>22350.128335202324</v>
      </c>
      <c r="H17" s="133">
        <f>IF(SER_hh_fec!H17=0,0,11630*1000*SER_hh_fec!H17/SER_hh_num!H17)</f>
        <v>26487.686042652796</v>
      </c>
      <c r="I17" s="133">
        <f>IF(SER_hh_fec!I17=0,0,11630*1000*SER_hh_fec!I17/SER_hh_num!I17)</f>
        <v>39164.822799716581</v>
      </c>
      <c r="J17" s="133">
        <f>IF(SER_hh_fec!J17=0,0,11630*1000*SER_hh_fec!J17/SER_hh_num!J17)</f>
        <v>37372.723517803111</v>
      </c>
      <c r="K17" s="133">
        <f>IF(SER_hh_fec!K17=0,0,11630*1000*SER_hh_fec!K17/SER_hh_num!K17)</f>
        <v>32408.112313360201</v>
      </c>
      <c r="L17" s="133">
        <f>IF(SER_hh_fec!L17=0,0,11630*1000*SER_hh_fec!L17/SER_hh_num!L17)</f>
        <v>34218.469359561946</v>
      </c>
      <c r="M17" s="133">
        <f>IF(SER_hh_fec!M17=0,0,11630*1000*SER_hh_fec!M17/SER_hh_num!M17)</f>
        <v>30398.918788565657</v>
      </c>
      <c r="N17" s="133">
        <f>IF(SER_hh_fec!N17=0,0,11630*1000*SER_hh_fec!N17/SER_hh_num!N17)</f>
        <v>49283.164748681877</v>
      </c>
      <c r="O17" s="133">
        <f>IF(SER_hh_fec!O17=0,0,11630*1000*SER_hh_fec!O17/SER_hh_num!O17)</f>
        <v>30990.895439518263</v>
      </c>
      <c r="P17" s="133">
        <f>IF(SER_hh_fec!P17=0,0,11630*1000*SER_hh_fec!P17/SER_hh_num!P17)</f>
        <v>26398.338749948143</v>
      </c>
      <c r="Q17" s="133">
        <f>IF(SER_hh_fec!Q17=0,0,11630*1000*SER_hh_fec!Q17/SER_hh_num!Q17)</f>
        <v>32152.187994581585</v>
      </c>
      <c r="R17" s="133">
        <f>IF(SER_hh_fec!R17=0,0,11630*1000*SER_hh_fec!R17/SER_hh_num!R17)</f>
        <v>34777.539269577341</v>
      </c>
      <c r="S17" s="133">
        <f>IF(SER_hh_fec!S17=0,0,11630*1000*SER_hh_fec!S17/SER_hh_num!S17)</f>
        <v>34574.874581039949</v>
      </c>
      <c r="T17" s="133">
        <f>IF(SER_hh_fec!T17=0,0,11630*1000*SER_hh_fec!T17/SER_hh_num!T17)</f>
        <v>29151.957569913735</v>
      </c>
      <c r="U17" s="133">
        <f>IF(SER_hh_fec!U17=0,0,11630*1000*SER_hh_fec!U17/SER_hh_num!U17)</f>
        <v>36511.019976849871</v>
      </c>
      <c r="V17" s="133">
        <f>IF(SER_hh_fec!V17=0,0,11630*1000*SER_hh_fec!V17/SER_hh_num!V17)</f>
        <v>29120.544824977496</v>
      </c>
      <c r="W17" s="133">
        <f>IF(SER_hh_fec!W17=0,0,11630*1000*SER_hh_fec!W17/SER_hh_num!W17)</f>
        <v>37691.324112471011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18663.698207695696</v>
      </c>
      <c r="C18" s="133">
        <f>IF(SER_hh_fec!C18=0,0,11630*1000*SER_hh_fec!C18/SER_hh_num!C18)</f>
        <v>22236.622719988311</v>
      </c>
      <c r="D18" s="133">
        <f>IF(SER_hh_fec!D18=0,0,11630*1000*SER_hh_fec!D18/SER_hh_num!D18)</f>
        <v>17424.306437068291</v>
      </c>
      <c r="E18" s="133">
        <f>IF(SER_hh_fec!E18=0,0,11630*1000*SER_hh_fec!E18/SER_hh_num!E18)</f>
        <v>22389.131441001151</v>
      </c>
      <c r="F18" s="133">
        <f>IF(SER_hh_fec!F18=0,0,11630*1000*SER_hh_fec!F18/SER_hh_num!F18)</f>
        <v>13423.581656438098</v>
      </c>
      <c r="G18" s="133">
        <f>IF(SER_hh_fec!G18=0,0,11630*1000*SER_hh_fec!G18/SER_hh_num!G18)</f>
        <v>13287.475437255714</v>
      </c>
      <c r="H18" s="133">
        <f>IF(SER_hh_fec!H18=0,0,11630*1000*SER_hh_fec!H18/SER_hh_num!H18)</f>
        <v>14946.482217531087</v>
      </c>
      <c r="I18" s="133">
        <f>IF(SER_hh_fec!I18=0,0,11630*1000*SER_hh_fec!I18/SER_hh_num!I18)</f>
        <v>20914.815559028</v>
      </c>
      <c r="J18" s="133">
        <f>IF(SER_hh_fec!J18=0,0,11630*1000*SER_hh_fec!J18/SER_hh_num!J18)</f>
        <v>19415.631456499868</v>
      </c>
      <c r="K18" s="133">
        <f>IF(SER_hh_fec!K18=0,0,11630*1000*SER_hh_fec!K18/SER_hh_num!K18)</f>
        <v>13081.212220093921</v>
      </c>
      <c r="L18" s="133">
        <f>IF(SER_hh_fec!L18=0,0,11630*1000*SER_hh_fec!L18/SER_hh_num!L18)</f>
        <v>16823.012272621738</v>
      </c>
      <c r="M18" s="133">
        <f>IF(SER_hh_fec!M18=0,0,11630*1000*SER_hh_fec!M18/SER_hh_num!M18)</f>
        <v>14577.494565917414</v>
      </c>
      <c r="N18" s="133">
        <f>IF(SER_hh_fec!N18=0,0,11630*1000*SER_hh_fec!N18/SER_hh_num!N18)</f>
        <v>22867.239809521994</v>
      </c>
      <c r="O18" s="133">
        <f>IF(SER_hh_fec!O18=0,0,11630*1000*SER_hh_fec!O18/SER_hh_num!O18)</f>
        <v>14049.671610948451</v>
      </c>
      <c r="P18" s="133">
        <f>IF(SER_hh_fec!P18=0,0,11630*1000*SER_hh_fec!P18/SER_hh_num!P18)</f>
        <v>11141.63212638326</v>
      </c>
      <c r="Q18" s="133">
        <f>IF(SER_hh_fec!Q18=0,0,11630*1000*SER_hh_fec!Q18/SER_hh_num!Q18)</f>
        <v>13835.147617568578</v>
      </c>
      <c r="R18" s="133">
        <f>IF(SER_hh_fec!R18=0,0,11630*1000*SER_hh_fec!R18/SER_hh_num!R18)</f>
        <v>14561.843237159659</v>
      </c>
      <c r="S18" s="133">
        <f>IF(SER_hh_fec!S18=0,0,11630*1000*SER_hh_fec!S18/SER_hh_num!S18)</f>
        <v>14170.447244987661</v>
      </c>
      <c r="T18" s="133">
        <f>IF(SER_hh_fec!T18=0,0,11630*1000*SER_hh_fec!T18/SER_hh_num!T18)</f>
        <v>11848.727164517795</v>
      </c>
      <c r="U18" s="133">
        <f>IF(SER_hh_fec!U18=0,0,11630*1000*SER_hh_fec!U18/SER_hh_num!U18)</f>
        <v>14704.836781984839</v>
      </c>
      <c r="V18" s="133">
        <f>IF(SER_hh_fec!V18=0,0,11630*1000*SER_hh_fec!V18/SER_hh_num!V18)</f>
        <v>13000.167805101075</v>
      </c>
      <c r="W18" s="133">
        <f>IF(SER_hh_fec!W18=0,0,11630*1000*SER_hh_fec!W18/SER_hh_num!W18)</f>
        <v>16679.240481342807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34079.245387693882</v>
      </c>
      <c r="C19" s="131">
        <f>IF(SER_hh_fec!C19=0,0,11630*1000*SER_hh_fec!C19/SER_hh_num!C19)</f>
        <v>35400.837334916723</v>
      </c>
      <c r="D19" s="131">
        <f>IF(SER_hh_fec!D19=0,0,11630*1000*SER_hh_fec!D19/SER_hh_num!D19)</f>
        <v>36948.381994577467</v>
      </c>
      <c r="E19" s="131">
        <f>IF(SER_hh_fec!E19=0,0,11630*1000*SER_hh_fec!E19/SER_hh_num!E19)</f>
        <v>37110.094296288509</v>
      </c>
      <c r="F19" s="131">
        <f>IF(SER_hh_fec!F19=0,0,11630*1000*SER_hh_fec!F19/SER_hh_num!F19)</f>
        <v>37574.045264370885</v>
      </c>
      <c r="G19" s="131">
        <f>IF(SER_hh_fec!G19=0,0,11630*1000*SER_hh_fec!G19/SER_hh_num!G19)</f>
        <v>39692.851857285001</v>
      </c>
      <c r="H19" s="131">
        <f>IF(SER_hh_fec!H19=0,0,11630*1000*SER_hh_fec!H19/SER_hh_num!H19)</f>
        <v>39053.912725507478</v>
      </c>
      <c r="I19" s="131">
        <f>IF(SER_hh_fec!I19=0,0,11630*1000*SER_hh_fec!I19/SER_hh_num!I19)</f>
        <v>38141.723118232963</v>
      </c>
      <c r="J19" s="131">
        <f>IF(SER_hh_fec!J19=0,0,11630*1000*SER_hh_fec!J19/SER_hh_num!J19)</f>
        <v>38383.460055018346</v>
      </c>
      <c r="K19" s="131">
        <f>IF(SER_hh_fec!K19=0,0,11630*1000*SER_hh_fec!K19/SER_hh_num!K19)</f>
        <v>39022.970740705699</v>
      </c>
      <c r="L19" s="131">
        <f>IF(SER_hh_fec!L19=0,0,11630*1000*SER_hh_fec!L19/SER_hh_num!L19)</f>
        <v>40944.559700559221</v>
      </c>
      <c r="M19" s="131">
        <f>IF(SER_hh_fec!M19=0,0,11630*1000*SER_hh_fec!M19/SER_hh_num!M19)</f>
        <v>42006.204663448269</v>
      </c>
      <c r="N19" s="131">
        <f>IF(SER_hh_fec!N19=0,0,11630*1000*SER_hh_fec!N19/SER_hh_num!N19)</f>
        <v>41528.780774664716</v>
      </c>
      <c r="O19" s="131">
        <f>IF(SER_hh_fec!O19=0,0,11630*1000*SER_hh_fec!O19/SER_hh_num!O19)</f>
        <v>41783.294409079004</v>
      </c>
      <c r="P19" s="131">
        <f>IF(SER_hh_fec!P19=0,0,11630*1000*SER_hh_fec!P19/SER_hh_num!P19)</f>
        <v>42461.058486316957</v>
      </c>
      <c r="Q19" s="131">
        <f>IF(SER_hh_fec!Q19=0,0,11630*1000*SER_hh_fec!Q19/SER_hh_num!Q19)</f>
        <v>42488.266241005993</v>
      </c>
      <c r="R19" s="131">
        <f>IF(SER_hh_fec!R19=0,0,11630*1000*SER_hh_fec!R19/SER_hh_num!R19)</f>
        <v>41774.770349945866</v>
      </c>
      <c r="S19" s="131">
        <f>IF(SER_hh_fec!S19=0,0,11630*1000*SER_hh_fec!S19/SER_hh_num!S19)</f>
        <v>41117.243214238915</v>
      </c>
      <c r="T19" s="131">
        <f>IF(SER_hh_fec!T19=0,0,11630*1000*SER_hh_fec!T19/SER_hh_num!T19)</f>
        <v>39934.616970876486</v>
      </c>
      <c r="U19" s="131">
        <f>IF(SER_hh_fec!U19=0,0,11630*1000*SER_hh_fec!U19/SER_hh_num!U19)</f>
        <v>38365.195420964112</v>
      </c>
      <c r="V19" s="131">
        <f>IF(SER_hh_fec!V19=0,0,11630*1000*SER_hh_fec!V19/SER_hh_num!V19)</f>
        <v>33336.443700350457</v>
      </c>
      <c r="W19" s="131">
        <f>IF(SER_hh_fec!W19=0,0,11630*1000*SER_hh_fec!W19/SER_hh_num!W19)</f>
        <v>33144.098458715984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39473.159819580746</v>
      </c>
      <c r="C21" s="133">
        <f>IF(SER_hh_fec!C21=0,0,11630*1000*SER_hh_fec!C21/SER_hh_num!C21)</f>
        <v>42687.348627128733</v>
      </c>
      <c r="D21" s="133">
        <f>IF(SER_hh_fec!D21=0,0,11630*1000*SER_hh_fec!D21/SER_hh_num!D21)</f>
        <v>43843.112785700294</v>
      </c>
      <c r="E21" s="133">
        <f>IF(SER_hh_fec!E21=0,0,11630*1000*SER_hh_fec!E21/SER_hh_num!E21)</f>
        <v>42517.436062437475</v>
      </c>
      <c r="F21" s="133">
        <f>IF(SER_hh_fec!F21=0,0,11630*1000*SER_hh_fec!F21/SER_hh_num!F21)</f>
        <v>43316.587753830296</v>
      </c>
      <c r="G21" s="133">
        <f>IF(SER_hh_fec!G21=0,0,11630*1000*SER_hh_fec!G21/SER_hh_num!G21)</f>
        <v>45589.325829436304</v>
      </c>
      <c r="H21" s="133">
        <f>IF(SER_hh_fec!H21=0,0,11630*1000*SER_hh_fec!H21/SER_hh_num!H21)</f>
        <v>44541.013692065455</v>
      </c>
      <c r="I21" s="133">
        <f>IF(SER_hh_fec!I21=0,0,11630*1000*SER_hh_fec!I21/SER_hh_num!I21)</f>
        <v>47254.106756023677</v>
      </c>
      <c r="J21" s="133">
        <f>IF(SER_hh_fec!J21=0,0,11630*1000*SER_hh_fec!J21/SER_hh_num!J21)</f>
        <v>46441.977908317116</v>
      </c>
      <c r="K21" s="133">
        <f>IF(SER_hh_fec!K21=0,0,11630*1000*SER_hh_fec!K21/SER_hh_num!K21)</f>
        <v>46448.54330945963</v>
      </c>
      <c r="L21" s="133">
        <f>IF(SER_hh_fec!L21=0,0,11630*1000*SER_hh_fec!L21/SER_hh_num!L21)</f>
        <v>47679.591882079789</v>
      </c>
      <c r="M21" s="133">
        <f>IF(SER_hh_fec!M21=0,0,11630*1000*SER_hh_fec!M21/SER_hh_num!M21)</f>
        <v>47544.562500164058</v>
      </c>
      <c r="N21" s="133">
        <f>IF(SER_hh_fec!N21=0,0,11630*1000*SER_hh_fec!N21/SER_hh_num!N21)</f>
        <v>49803.562603902428</v>
      </c>
      <c r="O21" s="133">
        <f>IF(SER_hh_fec!O21=0,0,11630*1000*SER_hh_fec!O21/SER_hh_num!O21)</f>
        <v>49281.560314980328</v>
      </c>
      <c r="P21" s="133">
        <f>IF(SER_hh_fec!P21=0,0,11630*1000*SER_hh_fec!P21/SER_hh_num!P21)</f>
        <v>47790.811103906286</v>
      </c>
      <c r="Q21" s="133">
        <f>IF(SER_hh_fec!Q21=0,0,11630*1000*SER_hh_fec!Q21/SER_hh_num!Q21)</f>
        <v>45343.827661134732</v>
      </c>
      <c r="R21" s="133">
        <f>IF(SER_hh_fec!R21=0,0,11630*1000*SER_hh_fec!R21/SER_hh_num!R21)</f>
        <v>47885.454425640666</v>
      </c>
      <c r="S21" s="133">
        <f>IF(SER_hh_fec!S21=0,0,11630*1000*SER_hh_fec!S21/SER_hh_num!S21)</f>
        <v>47183.678324782195</v>
      </c>
      <c r="T21" s="133">
        <f>IF(SER_hh_fec!T21=0,0,11630*1000*SER_hh_fec!T21/SER_hh_num!T21)</f>
        <v>45662.667161950289</v>
      </c>
      <c r="U21" s="133">
        <f>IF(SER_hh_fec!U21=0,0,11630*1000*SER_hh_fec!U21/SER_hh_num!U21)</f>
        <v>47622.719401516741</v>
      </c>
      <c r="V21" s="133">
        <f>IF(SER_hh_fec!V21=0,0,11630*1000*SER_hh_fec!V21/SER_hh_num!V21)</f>
        <v>27173.451853801285</v>
      </c>
      <c r="W21" s="133">
        <f>IF(SER_hh_fec!W21=0,0,11630*1000*SER_hh_fec!W21/SER_hh_num!W21)</f>
        <v>36820.093842937669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41523.855619143782</v>
      </c>
      <c r="C22" s="133">
        <f>IF(SER_hh_fec!C22=0,0,11630*1000*SER_hh_fec!C22/SER_hh_num!C22)</f>
        <v>45206.349723018488</v>
      </c>
      <c r="D22" s="133">
        <f>IF(SER_hh_fec!D22=0,0,11630*1000*SER_hh_fec!D22/SER_hh_num!D22)</f>
        <v>46589.454340415527</v>
      </c>
      <c r="E22" s="133">
        <f>IF(SER_hh_fec!E22=0,0,11630*1000*SER_hh_fec!E22/SER_hh_num!E22)</f>
        <v>46469.015190362697</v>
      </c>
      <c r="F22" s="133">
        <f>IF(SER_hh_fec!F22=0,0,11630*1000*SER_hh_fec!F22/SER_hh_num!F22)</f>
        <v>47185.534387671287</v>
      </c>
      <c r="G22" s="133">
        <f>IF(SER_hh_fec!G22=0,0,11630*1000*SER_hh_fec!G22/SER_hh_num!G22)</f>
        <v>49291.388652060319</v>
      </c>
      <c r="H22" s="133">
        <f>IF(SER_hh_fec!H22=0,0,11630*1000*SER_hh_fec!H22/SER_hh_num!H22)</f>
        <v>48987.475979091876</v>
      </c>
      <c r="I22" s="133">
        <f>IF(SER_hh_fec!I22=0,0,11630*1000*SER_hh_fec!I22/SER_hh_num!I22)</f>
        <v>48773.398587445066</v>
      </c>
      <c r="J22" s="133">
        <f>IF(SER_hh_fec!J22=0,0,11630*1000*SER_hh_fec!J22/SER_hh_num!J22)</f>
        <v>49022.207074251404</v>
      </c>
      <c r="K22" s="133">
        <f>IF(SER_hh_fec!K22=0,0,11630*1000*SER_hh_fec!K22/SER_hh_num!K22)</f>
        <v>49049.803829545097</v>
      </c>
      <c r="L22" s="133">
        <f>IF(SER_hh_fec!L22=0,0,11630*1000*SER_hh_fec!L22/SER_hh_num!L22)</f>
        <v>50476.228807561398</v>
      </c>
      <c r="M22" s="133">
        <f>IF(SER_hh_fec!M22=0,0,11630*1000*SER_hh_fec!M22/SER_hh_num!M22)</f>
        <v>51549.700457119288</v>
      </c>
      <c r="N22" s="133">
        <f>IF(SER_hh_fec!N22=0,0,11630*1000*SER_hh_fec!N22/SER_hh_num!N22)</f>
        <v>51173.366193830443</v>
      </c>
      <c r="O22" s="133">
        <f>IF(SER_hh_fec!O22=0,0,11630*1000*SER_hh_fec!O22/SER_hh_num!O22)</f>
        <v>51537.56945303674</v>
      </c>
      <c r="P22" s="133">
        <f>IF(SER_hh_fec!P22=0,0,11630*1000*SER_hh_fec!P22/SER_hh_num!P22)</f>
        <v>52099.147894335023</v>
      </c>
      <c r="Q22" s="133">
        <f>IF(SER_hh_fec!Q22=0,0,11630*1000*SER_hh_fec!Q22/SER_hh_num!Q22)</f>
        <v>51982.957910061814</v>
      </c>
      <c r="R22" s="133">
        <f>IF(SER_hh_fec!R22=0,0,11630*1000*SER_hh_fec!R22/SER_hh_num!R22)</f>
        <v>51873.371950162458</v>
      </c>
      <c r="S22" s="133">
        <f>IF(SER_hh_fec!S22=0,0,11630*1000*SER_hh_fec!S22/SER_hh_num!S22)</f>
        <v>51930.777322356356</v>
      </c>
      <c r="T22" s="133">
        <f>IF(SER_hh_fec!T22=0,0,11630*1000*SER_hh_fec!T22/SER_hh_num!T22)</f>
        <v>49488.305618830054</v>
      </c>
      <c r="U22" s="133">
        <f>IF(SER_hh_fec!U22=0,0,11630*1000*SER_hh_fec!U22/SER_hh_num!U22)</f>
        <v>50437.701410795002</v>
      </c>
      <c r="V22" s="133">
        <f>IF(SER_hh_fec!V22=0,0,11630*1000*SER_hh_fec!V22/SER_hh_num!V22)</f>
        <v>40256.611001458812</v>
      </c>
      <c r="W22" s="133">
        <f>IF(SER_hh_fec!W22=0,0,11630*1000*SER_hh_fec!W22/SER_hh_num!W22)</f>
        <v>39052.853917263026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37671.855353068458</v>
      </c>
      <c r="C23" s="133">
        <f>IF(SER_hh_fec!C23=0,0,11630*1000*SER_hh_fec!C23/SER_hh_num!C23)</f>
        <v>43812.332891053637</v>
      </c>
      <c r="D23" s="133">
        <f>IF(SER_hh_fec!D23=0,0,11630*1000*SER_hh_fec!D23/SER_hh_num!D23)</f>
        <v>43395.224447187538</v>
      </c>
      <c r="E23" s="133">
        <f>IF(SER_hh_fec!E23=0,0,11630*1000*SER_hh_fec!E23/SER_hh_num!E23)</f>
        <v>42053.835872898228</v>
      </c>
      <c r="F23" s="133">
        <f>IF(SER_hh_fec!F23=0,0,11630*1000*SER_hh_fec!F23/SER_hh_num!F23)</f>
        <v>36137.246062432845</v>
      </c>
      <c r="G23" s="133">
        <f>IF(SER_hh_fec!G23=0,0,11630*1000*SER_hh_fec!G23/SER_hh_num!G23)</f>
        <v>46050.316589144801</v>
      </c>
      <c r="H23" s="133">
        <f>IF(SER_hh_fec!H23=0,0,11630*1000*SER_hh_fec!H23/SER_hh_num!H23)</f>
        <v>43679.214413431706</v>
      </c>
      <c r="I23" s="133">
        <f>IF(SER_hh_fec!I23=0,0,11630*1000*SER_hh_fec!I23/SER_hh_num!I23)</f>
        <v>43819.074991886773</v>
      </c>
      <c r="J23" s="133">
        <f>IF(SER_hh_fec!J23=0,0,11630*1000*SER_hh_fec!J23/SER_hh_num!J23)</f>
        <v>42268.118903612674</v>
      </c>
      <c r="K23" s="133">
        <f>IF(SER_hh_fec!K23=0,0,11630*1000*SER_hh_fec!K23/SER_hh_num!K23)</f>
        <v>42337.913376831799</v>
      </c>
      <c r="L23" s="133">
        <f>IF(SER_hh_fec!L23=0,0,11630*1000*SER_hh_fec!L23/SER_hh_num!L23)</f>
        <v>45990.887998118051</v>
      </c>
      <c r="M23" s="133">
        <f>IF(SER_hh_fec!M23=0,0,11630*1000*SER_hh_fec!M23/SER_hh_num!M23)</f>
        <v>45365.997413900375</v>
      </c>
      <c r="N23" s="133">
        <f>IF(SER_hh_fec!N23=0,0,11630*1000*SER_hh_fec!N23/SER_hh_num!N23)</f>
        <v>46312.928191095692</v>
      </c>
      <c r="O23" s="133">
        <f>IF(SER_hh_fec!O23=0,0,11630*1000*SER_hh_fec!O23/SER_hh_num!O23)</f>
        <v>47157.292587299053</v>
      </c>
      <c r="P23" s="133">
        <f>IF(SER_hh_fec!P23=0,0,11630*1000*SER_hh_fec!P23/SER_hh_num!P23)</f>
        <v>44855.630711845857</v>
      </c>
      <c r="Q23" s="133">
        <f>IF(SER_hh_fec!Q23=0,0,11630*1000*SER_hh_fec!Q23/SER_hh_num!Q23)</f>
        <v>47346.787699289154</v>
      </c>
      <c r="R23" s="133">
        <f>IF(SER_hh_fec!R23=0,0,11630*1000*SER_hh_fec!R23/SER_hh_num!R23)</f>
        <v>44368.04585217838</v>
      </c>
      <c r="S23" s="133">
        <f>IF(SER_hh_fec!S23=0,0,11630*1000*SER_hh_fec!S23/SER_hh_num!S23)</f>
        <v>44460.62564352034</v>
      </c>
      <c r="T23" s="133">
        <f>IF(SER_hh_fec!T23=0,0,11630*1000*SER_hh_fec!T23/SER_hh_num!T23)</f>
        <v>43434.302509988847</v>
      </c>
      <c r="U23" s="133">
        <f>IF(SER_hh_fec!U23=0,0,11630*1000*SER_hh_fec!U23/SER_hh_num!U23)</f>
        <v>40761.450744409252</v>
      </c>
      <c r="V23" s="133">
        <f>IF(SER_hh_fec!V23=0,0,11630*1000*SER_hh_fec!V23/SER_hh_num!V23)</f>
        <v>35769.070507627381</v>
      </c>
      <c r="W23" s="133">
        <f>IF(SER_hh_fec!W23=0,0,11630*1000*SER_hh_fec!W23/SER_hh_num!W23)</f>
        <v>35348.479828401323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32752.875928734589</v>
      </c>
      <c r="C26" s="65">
        <f>IF(SER_hh_fec!C26=0,0,11630*1000*SER_hh_fec!C26/SER_hh_num!C26)</f>
        <v>33866.591645900364</v>
      </c>
      <c r="D26" s="65">
        <f>IF(SER_hh_fec!D26=0,0,11630*1000*SER_hh_fec!D26/SER_hh_num!D26)</f>
        <v>35445.361003242251</v>
      </c>
      <c r="E26" s="65">
        <f>IF(SER_hh_fec!E26=0,0,11630*1000*SER_hh_fec!E26/SER_hh_num!E26)</f>
        <v>35661.740718293921</v>
      </c>
      <c r="F26" s="65">
        <f>IF(SER_hh_fec!F26=0,0,11630*1000*SER_hh_fec!F26/SER_hh_num!F26)</f>
        <v>36284.646952488794</v>
      </c>
      <c r="G26" s="65">
        <f>IF(SER_hh_fec!G26=0,0,11630*1000*SER_hh_fec!G26/SER_hh_num!G26)</f>
        <v>38117.681630583313</v>
      </c>
      <c r="H26" s="65">
        <f>IF(SER_hh_fec!H26=0,0,11630*1000*SER_hh_fec!H26/SER_hh_num!H26)</f>
        <v>37453.43018612227</v>
      </c>
      <c r="I26" s="65">
        <f>IF(SER_hh_fec!I26=0,0,11630*1000*SER_hh_fec!I26/SER_hh_num!I26)</f>
        <v>36250.691833489895</v>
      </c>
      <c r="J26" s="65">
        <f>IF(SER_hh_fec!J26=0,0,11630*1000*SER_hh_fec!J26/SER_hh_num!J26)</f>
        <v>36471.601827713152</v>
      </c>
      <c r="K26" s="65">
        <f>IF(SER_hh_fec!K26=0,0,11630*1000*SER_hh_fec!K26/SER_hh_num!K26)</f>
        <v>37065.254435235009</v>
      </c>
      <c r="L26" s="65">
        <f>IF(SER_hh_fec!L26=0,0,11630*1000*SER_hh_fec!L26/SER_hh_num!L26)</f>
        <v>38773.470781180695</v>
      </c>
      <c r="M26" s="65">
        <f>IF(SER_hh_fec!M26=0,0,11630*1000*SER_hh_fec!M26/SER_hh_num!M26)</f>
        <v>39936.984611830791</v>
      </c>
      <c r="N26" s="65">
        <f>IF(SER_hh_fec!N26=0,0,11630*1000*SER_hh_fec!N26/SER_hh_num!N26)</f>
        <v>39207.657428068997</v>
      </c>
      <c r="O26" s="65">
        <f>IF(SER_hh_fec!O26=0,0,11630*1000*SER_hh_fec!O26/SER_hh_num!O26)</f>
        <v>39379.611672847721</v>
      </c>
      <c r="P26" s="65">
        <f>IF(SER_hh_fec!P26=0,0,11630*1000*SER_hh_fec!P26/SER_hh_num!P26)</f>
        <v>40382.499397678774</v>
      </c>
      <c r="Q26" s="65">
        <f>IF(SER_hh_fec!Q26=0,0,11630*1000*SER_hh_fec!Q26/SER_hh_num!Q26)</f>
        <v>40215.307794761502</v>
      </c>
      <c r="R26" s="65">
        <f>IF(SER_hh_fec!R26=0,0,11630*1000*SER_hh_fec!R26/SER_hh_num!R26)</f>
        <v>39539.724076237195</v>
      </c>
      <c r="S26" s="65">
        <f>IF(SER_hh_fec!S26=0,0,11630*1000*SER_hh_fec!S26/SER_hh_num!S26)</f>
        <v>38742.400039218926</v>
      </c>
      <c r="T26" s="65">
        <f>IF(SER_hh_fec!T26=0,0,11630*1000*SER_hh_fec!T26/SER_hh_num!T26)</f>
        <v>37631.0466912544</v>
      </c>
      <c r="U26" s="65">
        <f>IF(SER_hh_fec!U26=0,0,11630*1000*SER_hh_fec!U26/SER_hh_num!U26)</f>
        <v>35983.006523093609</v>
      </c>
      <c r="V26" s="65">
        <f>IF(SER_hh_fec!V26=0,0,11630*1000*SER_hh_fec!V26/SER_hh_num!V26)</f>
        <v>31777.864382506119</v>
      </c>
      <c r="W26" s="65">
        <f>IF(SER_hh_fec!W26=0,0,11630*1000*SER_hh_fec!W26/SER_hh_num!W26)</f>
        <v>31229.754868209471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816.58095573709431</v>
      </c>
      <c r="C27" s="146">
        <f>IF(SER_hh_fec!C27=0,0,11630*1000*SER_hh_fec!C27/SER_hh_num!C19)</f>
        <v>794.42630457811651</v>
      </c>
      <c r="D27" s="146">
        <f>IF(SER_hh_fec!D27=0,0,11630*1000*SER_hh_fec!D27/SER_hh_num!D19)</f>
        <v>783.81064760748393</v>
      </c>
      <c r="E27" s="146">
        <f>IF(SER_hh_fec!E27=0,0,11630*1000*SER_hh_fec!E27/SER_hh_num!E19)</f>
        <v>771.84532209420831</v>
      </c>
      <c r="F27" s="146">
        <f>IF(SER_hh_fec!F27=0,0,11630*1000*SER_hh_fec!F27/SER_hh_num!F19)</f>
        <v>766.80506272487912</v>
      </c>
      <c r="G27" s="146">
        <f>IF(SER_hh_fec!G27=0,0,11630*1000*SER_hh_fec!G27/SER_hh_num!G19)</f>
        <v>700.65492124441698</v>
      </c>
      <c r="H27" s="146">
        <f>IF(SER_hh_fec!H27=0,0,11630*1000*SER_hh_fec!H27/SER_hh_num!H19)</f>
        <v>725.70408974986321</v>
      </c>
      <c r="I27" s="146">
        <f>IF(SER_hh_fec!I27=0,0,11630*1000*SER_hh_fec!I27/SER_hh_num!I19)</f>
        <v>764.07899679804871</v>
      </c>
      <c r="J27" s="146">
        <f>IF(SER_hh_fec!J27=0,0,11630*1000*SER_hh_fec!J27/SER_hh_num!J19)</f>
        <v>867.54096351174826</v>
      </c>
      <c r="K27" s="146">
        <f>IF(SER_hh_fec!K27=0,0,11630*1000*SER_hh_fec!K27/SER_hh_num!K19)</f>
        <v>952.64262461849307</v>
      </c>
      <c r="L27" s="146">
        <f>IF(SER_hh_fec!L27=0,0,11630*1000*SER_hh_fec!L27/SER_hh_num!L19)</f>
        <v>988.1868728982796</v>
      </c>
      <c r="M27" s="146">
        <f>IF(SER_hh_fec!M27=0,0,11630*1000*SER_hh_fec!M27/SER_hh_num!M19)</f>
        <v>1011.800334741371</v>
      </c>
      <c r="N27" s="146">
        <f>IF(SER_hh_fec!N27=0,0,11630*1000*SER_hh_fec!N27/SER_hh_num!N19)</f>
        <v>1018.2969207543679</v>
      </c>
      <c r="O27" s="146">
        <f>IF(SER_hh_fec!O27=0,0,11630*1000*SER_hh_fec!O27/SER_hh_num!O19)</f>
        <v>1033.5471470602222</v>
      </c>
      <c r="P27" s="146">
        <f>IF(SER_hh_fec!P27=0,0,11630*1000*SER_hh_fec!P27/SER_hh_num!P19)</f>
        <v>1059.3232230742994</v>
      </c>
      <c r="Q27" s="146">
        <f>IF(SER_hh_fec!Q27=0,0,11630*1000*SER_hh_fec!Q27/SER_hh_num!Q19)</f>
        <v>1080.2772230421515</v>
      </c>
      <c r="R27" s="146">
        <f>IF(SER_hh_fec!R27=0,0,11630*1000*SER_hh_fec!R27/SER_hh_num!R19)</f>
        <v>1101.3904996210945</v>
      </c>
      <c r="S27" s="146">
        <f>IF(SER_hh_fec!S27=0,0,11630*1000*SER_hh_fec!S27/SER_hh_num!S19)</f>
        <v>1123.507629666542</v>
      </c>
      <c r="T27" s="146">
        <f>IF(SER_hh_fec!T27=0,0,11630*1000*SER_hh_fec!T27/SER_hh_num!T19)</f>
        <v>1139.6361783893365</v>
      </c>
      <c r="U27" s="146">
        <f>IF(SER_hh_fec!U27=0,0,11630*1000*SER_hh_fec!U27/SER_hh_num!U19)</f>
        <v>1151.6657856950733</v>
      </c>
      <c r="V27" s="146">
        <f>IF(SER_hh_fec!V27=0,0,11630*1000*SER_hh_fec!V27/SER_hh_num!V19)</f>
        <v>1171.4382495831237</v>
      </c>
      <c r="W27" s="146">
        <f>IF(SER_hh_fec!W27=0,0,11630*1000*SER_hh_fec!W27/SER_hh_num!W19)</f>
        <v>1206.0920365135194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14521.408276976441</v>
      </c>
      <c r="C28" s="147">
        <f>IF(SER_hh_fec!C27=0,0,11630*1000*SER_hh_fec!C27/SER_hh_num!C27)</f>
        <v>15142.963377927874</v>
      </c>
      <c r="D28" s="147">
        <f>IF(SER_hh_fec!D27=0,0,11630*1000*SER_hh_fec!D27/SER_hh_num!D27)</f>
        <v>15752.973818433811</v>
      </c>
      <c r="E28" s="147">
        <f>IF(SER_hh_fec!E27=0,0,11630*1000*SER_hh_fec!E27/SER_hh_num!E27)</f>
        <v>16018.406206823713</v>
      </c>
      <c r="F28" s="147">
        <f>IF(SER_hh_fec!F27=0,0,11630*1000*SER_hh_fec!F27/SER_hh_num!F27)</f>
        <v>16202.726625241594</v>
      </c>
      <c r="G28" s="147">
        <f>IF(SER_hh_fec!G27=0,0,11630*1000*SER_hh_fec!G27/SER_hh_num!G27)</f>
        <v>16549.843995555169</v>
      </c>
      <c r="H28" s="147">
        <f>IF(SER_hh_fec!H27=0,0,11630*1000*SER_hh_fec!H27/SER_hh_num!H27)</f>
        <v>16840.156240630109</v>
      </c>
      <c r="I28" s="147">
        <f>IF(SER_hh_fec!I27=0,0,11630*1000*SER_hh_fec!I27/SER_hh_num!I27)</f>
        <v>16469.420158843423</v>
      </c>
      <c r="J28" s="147">
        <f>IF(SER_hh_fec!J27=0,0,11630*1000*SER_hh_fec!J27/SER_hh_num!J27)</f>
        <v>16768.363626465121</v>
      </c>
      <c r="K28" s="147">
        <f>IF(SER_hh_fec!K27=0,0,11630*1000*SER_hh_fec!K27/SER_hh_num!K27)</f>
        <v>17119.645469245472</v>
      </c>
      <c r="L28" s="147">
        <f>IF(SER_hh_fec!L27=0,0,11630*1000*SER_hh_fec!L27/SER_hh_num!L27)</f>
        <v>17993.891067147189</v>
      </c>
      <c r="M28" s="147">
        <f>IF(SER_hh_fec!M27=0,0,11630*1000*SER_hh_fec!M27/SER_hh_num!M27)</f>
        <v>18683.930804821128</v>
      </c>
      <c r="N28" s="147">
        <f>IF(SER_hh_fec!N27=0,0,11630*1000*SER_hh_fec!N27/SER_hh_num!N27)</f>
        <v>19441.672139134324</v>
      </c>
      <c r="O28" s="147">
        <f>IF(SER_hh_fec!O27=0,0,11630*1000*SER_hh_fec!O27/SER_hh_num!O27)</f>
        <v>19436.193711393993</v>
      </c>
      <c r="P28" s="147">
        <f>IF(SER_hh_fec!P27=0,0,11630*1000*SER_hh_fec!P27/SER_hh_num!P27)</f>
        <v>20006.659272222321</v>
      </c>
      <c r="Q28" s="147">
        <f>IF(SER_hh_fec!Q27=0,0,11630*1000*SER_hh_fec!Q27/SER_hh_num!Q27)</f>
        <v>20457.332914022081</v>
      </c>
      <c r="R28" s="147">
        <f>IF(SER_hh_fec!R27=0,0,11630*1000*SER_hh_fec!R27/SER_hh_num!R27)</f>
        <v>19722.360276962874</v>
      </c>
      <c r="S28" s="147">
        <f>IF(SER_hh_fec!S27=0,0,11630*1000*SER_hh_fec!S27/SER_hh_num!S27)</f>
        <v>19707.275907518917</v>
      </c>
      <c r="T28" s="147">
        <f>IF(SER_hh_fec!T27=0,0,11630*1000*SER_hh_fec!T27/SER_hh_num!T27)</f>
        <v>19761.018691124867</v>
      </c>
      <c r="U28" s="147">
        <f>IF(SER_hh_fec!U27=0,0,11630*1000*SER_hh_fec!U27/SER_hh_num!U27)</f>
        <v>19660.627700565798</v>
      </c>
      <c r="V28" s="147">
        <f>IF(SER_hh_fec!V27=0,0,11630*1000*SER_hh_fec!V27/SER_hh_num!V27)</f>
        <v>17676.731261238219</v>
      </c>
      <c r="W28" s="147">
        <f>IF(SER_hh_fec!W27=0,0,11630*1000*SER_hh_fec!W27/SER_hh_num!W27)</f>
        <v>17889.399368561921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37654.282717471666</v>
      </c>
      <c r="C29" s="131">
        <f>IF(SER_hh_fec!C29=0,0,11630*1000*SER_hh_fec!C29/SER_hh_num!C29)</f>
        <v>38255.189781404086</v>
      </c>
      <c r="D29" s="131">
        <f>IF(SER_hh_fec!D29=0,0,11630*1000*SER_hh_fec!D29/SER_hh_num!D29)</f>
        <v>39203.643231520422</v>
      </c>
      <c r="E29" s="131">
        <f>IF(SER_hh_fec!E29=0,0,11630*1000*SER_hh_fec!E29/SER_hh_num!E29)</f>
        <v>38539.403381862474</v>
      </c>
      <c r="F29" s="131">
        <f>IF(SER_hh_fec!F29=0,0,11630*1000*SER_hh_fec!F29/SER_hh_num!F29)</f>
        <v>40271.62541377615</v>
      </c>
      <c r="G29" s="131">
        <f>IF(SER_hh_fec!G29=0,0,11630*1000*SER_hh_fec!G29/SER_hh_num!G29)</f>
        <v>40525.132445954579</v>
      </c>
      <c r="H29" s="131">
        <f>IF(SER_hh_fec!H29=0,0,11630*1000*SER_hh_fec!H29/SER_hh_num!H29)</f>
        <v>39494.534599393555</v>
      </c>
      <c r="I29" s="131">
        <f>IF(SER_hh_fec!I29=0,0,11630*1000*SER_hh_fec!I29/SER_hh_num!I29)</f>
        <v>38218.786177363603</v>
      </c>
      <c r="J29" s="131">
        <f>IF(SER_hh_fec!J29=0,0,11630*1000*SER_hh_fec!J29/SER_hh_num!J29)</f>
        <v>37794.806798492697</v>
      </c>
      <c r="K29" s="131">
        <f>IF(SER_hh_fec!K29=0,0,11630*1000*SER_hh_fec!K29/SER_hh_num!K29)</f>
        <v>38721.925521897509</v>
      </c>
      <c r="L29" s="131">
        <f>IF(SER_hh_fec!L29=0,0,11630*1000*SER_hh_fec!L29/SER_hh_num!L29)</f>
        <v>40525.807680710051</v>
      </c>
      <c r="M29" s="131">
        <f>IF(SER_hh_fec!M29=0,0,11630*1000*SER_hh_fec!M29/SER_hh_num!M29)</f>
        <v>41694.353158929145</v>
      </c>
      <c r="N29" s="131">
        <f>IF(SER_hh_fec!N29=0,0,11630*1000*SER_hh_fec!N29/SER_hh_num!N29)</f>
        <v>43386.410964046248</v>
      </c>
      <c r="O29" s="131">
        <f>IF(SER_hh_fec!O29=0,0,11630*1000*SER_hh_fec!O29/SER_hh_num!O29)</f>
        <v>43151.816773332677</v>
      </c>
      <c r="P29" s="131">
        <f>IF(SER_hh_fec!P29=0,0,11630*1000*SER_hh_fec!P29/SER_hh_num!P29)</f>
        <v>42133.525512847911</v>
      </c>
      <c r="Q29" s="131">
        <f>IF(SER_hh_fec!Q29=0,0,11630*1000*SER_hh_fec!Q29/SER_hh_num!Q29)</f>
        <v>41392.916240141887</v>
      </c>
      <c r="R29" s="131">
        <f>IF(SER_hh_fec!R29=0,0,11630*1000*SER_hh_fec!R29/SER_hh_num!R29)</f>
        <v>41350.567360979418</v>
      </c>
      <c r="S29" s="131">
        <f>IF(SER_hh_fec!S29=0,0,11630*1000*SER_hh_fec!S29/SER_hh_num!S29)</f>
        <v>41120.161770456405</v>
      </c>
      <c r="T29" s="131">
        <f>IF(SER_hh_fec!T29=0,0,11630*1000*SER_hh_fec!T29/SER_hh_num!T29)</f>
        <v>40386.97832580925</v>
      </c>
      <c r="U29" s="131">
        <f>IF(SER_hh_fec!U29=0,0,11630*1000*SER_hh_fec!U29/SER_hh_num!U29)</f>
        <v>39298.53737723743</v>
      </c>
      <c r="V29" s="131">
        <f>IF(SER_hh_fec!V29=0,0,11630*1000*SER_hh_fec!V29/SER_hh_num!V29)</f>
        <v>32927.455547918013</v>
      </c>
      <c r="W29" s="131">
        <f>IF(SER_hh_fec!W29=0,0,11630*1000*SER_hh_fec!W29/SER_hh_num!W29)</f>
        <v>37095.584217047093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48176.847433168245</v>
      </c>
      <c r="C30" s="133">
        <f>IF(SER_hh_fec!C30=0,0,11630*1000*SER_hh_fec!C30/SER_hh_num!C30)</f>
        <v>55073.621049855246</v>
      </c>
      <c r="D30" s="133">
        <f>IF(SER_hh_fec!D30=0,0,11630*1000*SER_hh_fec!D30/SER_hh_num!D30)</f>
        <v>33647.451197185386</v>
      </c>
      <c r="E30" s="133">
        <f>IF(SER_hh_fec!E30=0,0,11630*1000*SER_hh_fec!E30/SER_hh_num!E30)</f>
        <v>33759.766224961968</v>
      </c>
      <c r="F30" s="133">
        <f>IF(SER_hh_fec!F30=0,0,11630*1000*SER_hh_fec!F30/SER_hh_num!F30)</f>
        <v>67031.494206535863</v>
      </c>
      <c r="G30" s="133">
        <f>IF(SER_hh_fec!G30=0,0,11630*1000*SER_hh_fec!G30/SER_hh_num!G30)</f>
        <v>53151.486073957203</v>
      </c>
      <c r="H30" s="133">
        <f>IF(SER_hh_fec!H30=0,0,11630*1000*SER_hh_fec!H30/SER_hh_num!H30)</f>
        <v>50002.674631357462</v>
      </c>
      <c r="I30" s="133">
        <f>IF(SER_hh_fec!I30=0,0,11630*1000*SER_hh_fec!I30/SER_hh_num!I30)</f>
        <v>48398.623744102682</v>
      </c>
      <c r="J30" s="133">
        <f>IF(SER_hh_fec!J30=0,0,11630*1000*SER_hh_fec!J30/SER_hh_num!J30)</f>
        <v>45858.797203989147</v>
      </c>
      <c r="K30" s="133">
        <f>IF(SER_hh_fec!K30=0,0,11630*1000*SER_hh_fec!K30/SER_hh_num!K30)</f>
        <v>42846.251741135166</v>
      </c>
      <c r="L30" s="133">
        <f>IF(SER_hh_fec!L30=0,0,11630*1000*SER_hh_fec!L30/SER_hh_num!L30)</f>
        <v>45498.112336724073</v>
      </c>
      <c r="M30" s="133">
        <f>IF(SER_hh_fec!M30=0,0,11630*1000*SER_hh_fec!M30/SER_hh_num!M30)</f>
        <v>32668.288451334196</v>
      </c>
      <c r="N30" s="133">
        <f>IF(SER_hh_fec!N30=0,0,11630*1000*SER_hh_fec!N30/SER_hh_num!N30)</f>
        <v>89489.385571978681</v>
      </c>
      <c r="O30" s="133">
        <f>IF(SER_hh_fec!O30=0,0,11630*1000*SER_hh_fec!O30/SER_hh_num!O30)</f>
        <v>61523.928672263799</v>
      </c>
      <c r="P30" s="133">
        <f>IF(SER_hh_fec!P30=0,0,11630*1000*SER_hh_fec!P30/SER_hh_num!P30)</f>
        <v>36434.568975525792</v>
      </c>
      <c r="Q30" s="133">
        <f>IF(SER_hh_fec!Q30=0,0,11630*1000*SER_hh_fec!Q30/SER_hh_num!Q30)</f>
        <v>43056.513165223914</v>
      </c>
      <c r="R30" s="133">
        <f>IF(SER_hh_fec!R30=0,0,11630*1000*SER_hh_fec!R30/SER_hh_num!R30)</f>
        <v>48412.642598075829</v>
      </c>
      <c r="S30" s="133">
        <f>IF(SER_hh_fec!S30=0,0,11630*1000*SER_hh_fec!S30/SER_hh_num!S30)</f>
        <v>52597.693285485679</v>
      </c>
      <c r="T30" s="133">
        <f>IF(SER_hh_fec!T30=0,0,11630*1000*SER_hh_fec!T30/SER_hh_num!T30)</f>
        <v>53064.434080525156</v>
      </c>
      <c r="U30" s="133">
        <f>IF(SER_hh_fec!U30=0,0,11630*1000*SER_hh_fec!U30/SER_hh_num!U30)</f>
        <v>56758.479183280826</v>
      </c>
      <c r="V30" s="133">
        <f>IF(SER_hh_fec!V30=0,0,11630*1000*SER_hh_fec!V30/SER_hh_num!V30)</f>
        <v>36860.591648878079</v>
      </c>
      <c r="W30" s="133">
        <f>IF(SER_hh_fec!W30=0,0,11630*1000*SER_hh_fec!W30/SER_hh_num!W30)</f>
        <v>53002.290115823234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43027.516593259119</v>
      </c>
      <c r="C31" s="133">
        <f>IF(SER_hh_fec!C31=0,0,11630*1000*SER_hh_fec!C31/SER_hh_num!C31)</f>
        <v>46603.235435431321</v>
      </c>
      <c r="D31" s="133">
        <f>IF(SER_hh_fec!D31=0,0,11630*1000*SER_hh_fec!D31/SER_hh_num!D31)</f>
        <v>44515.652639162283</v>
      </c>
      <c r="E31" s="133">
        <f>IF(SER_hh_fec!E31=0,0,11630*1000*SER_hh_fec!E31/SER_hh_num!E31)</f>
        <v>46570.947238270732</v>
      </c>
      <c r="F31" s="133">
        <f>IF(SER_hh_fec!F31=0,0,11630*1000*SER_hh_fec!F31/SER_hh_num!F31)</f>
        <v>47501.544029563884</v>
      </c>
      <c r="G31" s="133">
        <f>IF(SER_hh_fec!G31=0,0,11630*1000*SER_hh_fec!G31/SER_hh_num!G31)</f>
        <v>53021.140607787886</v>
      </c>
      <c r="H31" s="133">
        <f>IF(SER_hh_fec!H31=0,0,11630*1000*SER_hh_fec!H31/SER_hh_num!H31)</f>
        <v>49280.109775685698</v>
      </c>
      <c r="I31" s="133">
        <f>IF(SER_hh_fec!I31=0,0,11630*1000*SER_hh_fec!I31/SER_hh_num!I31)</f>
        <v>47142.043252465897</v>
      </c>
      <c r="J31" s="133">
        <f>IF(SER_hh_fec!J31=0,0,11630*1000*SER_hh_fec!J31/SER_hh_num!J31)</f>
        <v>46737.33755519148</v>
      </c>
      <c r="K31" s="133">
        <f>IF(SER_hh_fec!K31=0,0,11630*1000*SER_hh_fec!K31/SER_hh_num!K31)</f>
        <v>49823.600730774182</v>
      </c>
      <c r="L31" s="133">
        <f>IF(SER_hh_fec!L31=0,0,11630*1000*SER_hh_fec!L31/SER_hh_num!L31)</f>
        <v>51984.790845220101</v>
      </c>
      <c r="M31" s="133">
        <f>IF(SER_hh_fec!M31=0,0,11630*1000*SER_hh_fec!M31/SER_hh_num!M31)</f>
        <v>54109.305571504774</v>
      </c>
      <c r="N31" s="133">
        <f>IF(SER_hh_fec!N31=0,0,11630*1000*SER_hh_fec!N31/SER_hh_num!N31)</f>
        <v>53419.279333162784</v>
      </c>
      <c r="O31" s="133">
        <f>IF(SER_hh_fec!O31=0,0,11630*1000*SER_hh_fec!O31/SER_hh_num!O31)</f>
        <v>52636.645498251797</v>
      </c>
      <c r="P31" s="133">
        <f>IF(SER_hh_fec!P31=0,0,11630*1000*SER_hh_fec!P31/SER_hh_num!P31)</f>
        <v>54277.945622377345</v>
      </c>
      <c r="Q31" s="133">
        <f>IF(SER_hh_fec!Q31=0,0,11630*1000*SER_hh_fec!Q31/SER_hh_num!Q31)</f>
        <v>54025.094428746044</v>
      </c>
      <c r="R31" s="133">
        <f>IF(SER_hh_fec!R31=0,0,11630*1000*SER_hh_fec!R31/SER_hh_num!R31)</f>
        <v>52771.01908698606</v>
      </c>
      <c r="S31" s="133">
        <f>IF(SER_hh_fec!S31=0,0,11630*1000*SER_hh_fec!S31/SER_hh_num!S31)</f>
        <v>51832.262697807695</v>
      </c>
      <c r="T31" s="133">
        <f>IF(SER_hh_fec!T31=0,0,11630*1000*SER_hh_fec!T31/SER_hh_num!T31)</f>
        <v>50543.702397841909</v>
      </c>
      <c r="U31" s="133">
        <f>IF(SER_hh_fec!U31=0,0,11630*1000*SER_hh_fec!U31/SER_hh_num!U31)</f>
        <v>49835.561518996648</v>
      </c>
      <c r="V31" s="133">
        <f>IF(SER_hh_fec!V31=0,0,11630*1000*SER_hh_fec!V31/SER_hh_num!V31)</f>
        <v>44522.357767940623</v>
      </c>
      <c r="W31" s="133">
        <f>IF(SER_hh_fec!W31=0,0,11630*1000*SER_hh_fec!W31/SER_hh_num!W31)</f>
        <v>47498.813677157807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36862.250249856479</v>
      </c>
      <c r="C33" s="68">
        <f>IF(SER_hh_fec!C33=0,0,11630*1000*SER_hh_fec!C33/SER_hh_num!C33)</f>
        <v>37158.761279284961</v>
      </c>
      <c r="D33" s="68">
        <f>IF(SER_hh_fec!D33=0,0,11630*1000*SER_hh_fec!D33/SER_hh_num!D33)</f>
        <v>39467.363087706763</v>
      </c>
      <c r="E33" s="68">
        <f>IF(SER_hh_fec!E33=0,0,11630*1000*SER_hh_fec!E33/SER_hh_num!E33)</f>
        <v>38740.263384245307</v>
      </c>
      <c r="F33" s="68">
        <f>IF(SER_hh_fec!F33=0,0,11630*1000*SER_hh_fec!F33/SER_hh_num!F33)</f>
        <v>37487.243807048035</v>
      </c>
      <c r="G33" s="68">
        <f>IF(SER_hh_fec!G33=0,0,11630*1000*SER_hh_fec!G33/SER_hh_num!G33)</f>
        <v>38815.748423449353</v>
      </c>
      <c r="H33" s="68">
        <f>IF(SER_hh_fec!H33=0,0,11630*1000*SER_hh_fec!H33/SER_hh_num!H33)</f>
        <v>38057.427087761615</v>
      </c>
      <c r="I33" s="68">
        <f>IF(SER_hh_fec!I33=0,0,11630*1000*SER_hh_fec!I33/SER_hh_num!I33)</f>
        <v>36887.762521145785</v>
      </c>
      <c r="J33" s="68">
        <f>IF(SER_hh_fec!J33=0,0,11630*1000*SER_hh_fec!J33/SER_hh_num!J33)</f>
        <v>36593.260681891814</v>
      </c>
      <c r="K33" s="68">
        <f>IF(SER_hh_fec!K33=0,0,11630*1000*SER_hh_fec!K33/SER_hh_num!K33)</f>
        <v>37671.658129542411</v>
      </c>
      <c r="L33" s="68">
        <f>IF(SER_hh_fec!L33=0,0,11630*1000*SER_hh_fec!L33/SER_hh_num!L33)</f>
        <v>39226.030346779902</v>
      </c>
      <c r="M33" s="68">
        <f>IF(SER_hh_fec!M33=0,0,11630*1000*SER_hh_fec!M33/SER_hh_num!M33)</f>
        <v>41771.127451768589</v>
      </c>
      <c r="N33" s="68">
        <f>IF(SER_hh_fec!N33=0,0,11630*1000*SER_hh_fec!N33/SER_hh_num!N33)</f>
        <v>35835.778527072594</v>
      </c>
      <c r="O33" s="68">
        <f>IF(SER_hh_fec!O33=0,0,11630*1000*SER_hh_fec!O33/SER_hh_num!O33)</f>
        <v>39713.566482471011</v>
      </c>
      <c r="P33" s="68">
        <f>IF(SER_hh_fec!P33=0,0,11630*1000*SER_hh_fec!P33/SER_hh_num!P33)</f>
        <v>41706.351215886796</v>
      </c>
      <c r="Q33" s="68">
        <f>IF(SER_hh_fec!Q33=0,0,11630*1000*SER_hh_fec!Q33/SER_hh_num!Q33)</f>
        <v>40055.72142089183</v>
      </c>
      <c r="R33" s="68">
        <f>IF(SER_hh_fec!R33=0,0,11630*1000*SER_hh_fec!R33/SER_hh_num!R33)</f>
        <v>39458.474353901729</v>
      </c>
      <c r="S33" s="68">
        <f>IF(SER_hh_fec!S33=0,0,11630*1000*SER_hh_fec!S33/SER_hh_num!S33)</f>
        <v>38735.468153944981</v>
      </c>
      <c r="T33" s="68">
        <f>IF(SER_hh_fec!T33=0,0,11630*1000*SER_hh_fec!T33/SER_hh_num!T33)</f>
        <v>37756.665032648365</v>
      </c>
      <c r="U33" s="68">
        <f>IF(SER_hh_fec!U33=0,0,11630*1000*SER_hh_fec!U33/SER_hh_num!U33)</f>
        <v>35788.409055737502</v>
      </c>
      <c r="V33" s="68">
        <f>IF(SER_hh_fec!V33=0,0,11630*1000*SER_hh_fec!V33/SER_hh_num!V33)</f>
        <v>31267.679666436743</v>
      </c>
      <c r="W33" s="68">
        <f>IF(SER_hh_fec!W33=0,0,11630*1000*SER_hh_fec!W33/SER_hh_num!W33)</f>
        <v>33777.928633189658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76392.932551854959</v>
      </c>
      <c r="C3" s="126">
        <f>IF(SER_hh_tes!C3=0,0,11630*1000*SER_hh_tes!C3/SER_hh_num!C3)</f>
        <v>84750.253638718932</v>
      </c>
      <c r="D3" s="126">
        <f>IF(SER_hh_tes!D3=0,0,11630*1000*SER_hh_tes!D3/SER_hh_num!D3)</f>
        <v>85546.17042628456</v>
      </c>
      <c r="E3" s="126">
        <f>IF(SER_hh_tes!E3=0,0,11630*1000*SER_hh_tes!E3/SER_hh_num!E3)</f>
        <v>92461.448009661064</v>
      </c>
      <c r="F3" s="126">
        <f>IF(SER_hh_tes!F3=0,0,11630*1000*SER_hh_tes!F3/SER_hh_num!F3)</f>
        <v>93294.21428749022</v>
      </c>
      <c r="G3" s="126">
        <f>IF(SER_hh_tes!G3=0,0,11630*1000*SER_hh_tes!G3/SER_hh_num!G3)</f>
        <v>99502.678189622791</v>
      </c>
      <c r="H3" s="126">
        <f>IF(SER_hh_tes!H3=0,0,11630*1000*SER_hh_tes!H3/SER_hh_num!H3)</f>
        <v>105951.94226922955</v>
      </c>
      <c r="I3" s="126">
        <f>IF(SER_hh_tes!I3=0,0,11630*1000*SER_hh_tes!I3/SER_hh_num!I3)</f>
        <v>112900.14290940975</v>
      </c>
      <c r="J3" s="126">
        <f>IF(SER_hh_tes!J3=0,0,11630*1000*SER_hh_tes!J3/SER_hh_num!J3)</f>
        <v>117758.09434639275</v>
      </c>
      <c r="K3" s="126">
        <f>IF(SER_hh_tes!K3=0,0,11630*1000*SER_hh_tes!K3/SER_hh_num!K3)</f>
        <v>112791.21746289296</v>
      </c>
      <c r="L3" s="126">
        <f>IF(SER_hh_tes!L3=0,0,11630*1000*SER_hh_tes!L3/SER_hh_num!L3)</f>
        <v>109476.53668858099</v>
      </c>
      <c r="M3" s="126">
        <f>IF(SER_hh_tes!M3=0,0,11630*1000*SER_hh_tes!M3/SER_hh_num!M3)</f>
        <v>106895.52453378639</v>
      </c>
      <c r="N3" s="126">
        <f>IF(SER_hh_tes!N3=0,0,11630*1000*SER_hh_tes!N3/SER_hh_num!N3)</f>
        <v>127335.77614687364</v>
      </c>
      <c r="O3" s="126">
        <f>IF(SER_hh_tes!O3=0,0,11630*1000*SER_hh_tes!O3/SER_hh_num!O3)</f>
        <v>115042.18263581074</v>
      </c>
      <c r="P3" s="126">
        <f>IF(SER_hh_tes!P3=0,0,11630*1000*SER_hh_tes!P3/SER_hh_num!P3)</f>
        <v>113217.19655399547</v>
      </c>
      <c r="Q3" s="126">
        <f>IF(SER_hh_tes!Q3=0,0,11630*1000*SER_hh_tes!Q3/SER_hh_num!Q3)</f>
        <v>134660.14527913963</v>
      </c>
      <c r="R3" s="126">
        <f>IF(SER_hh_tes!R3=0,0,11630*1000*SER_hh_tes!R3/SER_hh_num!R3)</f>
        <v>146900.74278735623</v>
      </c>
      <c r="S3" s="126">
        <f>IF(SER_hh_tes!S3=0,0,11630*1000*SER_hh_tes!S3/SER_hh_num!S3)</f>
        <v>145205.06237003946</v>
      </c>
      <c r="T3" s="126">
        <f>IF(SER_hh_tes!T3=0,0,11630*1000*SER_hh_tes!T3/SER_hh_num!T3)</f>
        <v>138343.18689836026</v>
      </c>
      <c r="U3" s="126">
        <f>IF(SER_hh_tes!U3=0,0,11630*1000*SER_hh_tes!U3/SER_hh_num!U3)</f>
        <v>149484.52468467818</v>
      </c>
      <c r="V3" s="126">
        <f>IF(SER_hh_tes!V3=0,0,11630*1000*SER_hh_tes!V3/SER_hh_num!V3)</f>
        <v>135496.16284447437</v>
      </c>
      <c r="W3" s="126">
        <f>IF(SER_hh_tes!W3=0,0,11630*1000*SER_hh_tes!W3/SER_hh_num!W3)</f>
        <v>155388.91784972511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24764.13749700514</v>
      </c>
      <c r="C4" s="131">
        <f>IF(SER_hh_tes!C4=0,0,11630*1000*SER_hh_tes!C4/SER_hh_num!C4)</f>
        <v>29588.402106475241</v>
      </c>
      <c r="D4" s="131">
        <f>IF(SER_hh_tes!D4=0,0,11630*1000*SER_hh_tes!D4/SER_hh_num!D4)</f>
        <v>30490.448974535626</v>
      </c>
      <c r="E4" s="131">
        <f>IF(SER_hh_tes!E4=0,0,11630*1000*SER_hh_tes!E4/SER_hh_num!E4)</f>
        <v>33941.879423299768</v>
      </c>
      <c r="F4" s="131">
        <f>IF(SER_hh_tes!F4=0,0,11630*1000*SER_hh_tes!F4/SER_hh_num!F4)</f>
        <v>38658.007372311797</v>
      </c>
      <c r="G4" s="131">
        <f>IF(SER_hh_tes!G4=0,0,11630*1000*SER_hh_tes!G4/SER_hh_num!G4)</f>
        <v>43013.024058620344</v>
      </c>
      <c r="H4" s="131">
        <f>IF(SER_hh_tes!H4=0,0,11630*1000*SER_hh_tes!H4/SER_hh_num!H4)</f>
        <v>48062.943493268132</v>
      </c>
      <c r="I4" s="131">
        <f>IF(SER_hh_tes!I4=0,0,11630*1000*SER_hh_tes!I4/SER_hh_num!I4)</f>
        <v>49802.368715133009</v>
      </c>
      <c r="J4" s="131">
        <f>IF(SER_hh_tes!J4=0,0,11630*1000*SER_hh_tes!J4/SER_hh_num!J4)</f>
        <v>54351.298563268945</v>
      </c>
      <c r="K4" s="131">
        <f>IF(SER_hh_tes!K4=0,0,11630*1000*SER_hh_tes!K4/SER_hh_num!K4)</f>
        <v>53166.185470326345</v>
      </c>
      <c r="L4" s="131">
        <f>IF(SER_hh_tes!L4=0,0,11630*1000*SER_hh_tes!L4/SER_hh_num!L4)</f>
        <v>43112.13666939571</v>
      </c>
      <c r="M4" s="131">
        <f>IF(SER_hh_tes!M4=0,0,11630*1000*SER_hh_tes!M4/SER_hh_num!M4)</f>
        <v>40328.383195258692</v>
      </c>
      <c r="N4" s="131">
        <f>IF(SER_hh_tes!N4=0,0,11630*1000*SER_hh_tes!N4/SER_hh_num!N4)</f>
        <v>49173.706025678061</v>
      </c>
      <c r="O4" s="131">
        <f>IF(SER_hh_tes!O4=0,0,11630*1000*SER_hh_tes!O4/SER_hh_num!O4)</f>
        <v>44837.15771176108</v>
      </c>
      <c r="P4" s="131">
        <f>IF(SER_hh_tes!P4=0,0,11630*1000*SER_hh_tes!P4/SER_hh_num!P4)</f>
        <v>44530.438416868441</v>
      </c>
      <c r="Q4" s="131">
        <f>IF(SER_hh_tes!Q4=0,0,11630*1000*SER_hh_tes!Q4/SER_hh_num!Q4)</f>
        <v>60312.241063928363</v>
      </c>
      <c r="R4" s="131">
        <f>IF(SER_hh_tes!R4=0,0,11630*1000*SER_hh_tes!R4/SER_hh_num!R4)</f>
        <v>69458.630053751025</v>
      </c>
      <c r="S4" s="131">
        <f>IF(SER_hh_tes!S4=0,0,11630*1000*SER_hh_tes!S4/SER_hh_num!S4)</f>
        <v>66163.972935605969</v>
      </c>
      <c r="T4" s="131">
        <f>IF(SER_hh_tes!T4=0,0,11630*1000*SER_hh_tes!T4/SER_hh_num!T4)</f>
        <v>62405.216629149574</v>
      </c>
      <c r="U4" s="131">
        <f>IF(SER_hh_tes!U4=0,0,11630*1000*SER_hh_tes!U4/SER_hh_num!U4)</f>
        <v>66947.315758630139</v>
      </c>
      <c r="V4" s="131">
        <f>IF(SER_hh_tes!V4=0,0,11630*1000*SER_hh_tes!V4/SER_hh_num!V4)</f>
        <v>63437.566676264818</v>
      </c>
      <c r="W4" s="131">
        <f>IF(SER_hh_tes!W4=0,0,11630*1000*SER_hh_tes!W4/SER_hh_num!W4)</f>
        <v>70384.102599681049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23952.94793549311</v>
      </c>
      <c r="C7" s="133">
        <f>IF(SER_hh_tes!C7=0,0,11630*1000*SER_hh_tes!C7/SER_hh_num!C7)</f>
        <v>29738.663956615615</v>
      </c>
      <c r="D7" s="133">
        <f>IF(SER_hh_tes!D7=0,0,11630*1000*SER_hh_tes!D7/SER_hh_num!D7)</f>
        <v>31142.569779471098</v>
      </c>
      <c r="E7" s="133">
        <f>IF(SER_hh_tes!E7=0,0,11630*1000*SER_hh_tes!E7/SER_hh_num!E7)</f>
        <v>33819.238181904606</v>
      </c>
      <c r="F7" s="133">
        <f>IF(SER_hh_tes!F7=0,0,11630*1000*SER_hh_tes!F7/SER_hh_num!F7)</f>
        <v>34711.832547197184</v>
      </c>
      <c r="G7" s="133">
        <f>IF(SER_hh_tes!G7=0,0,11630*1000*SER_hh_tes!G7/SER_hh_num!G7)</f>
        <v>44952.776229785646</v>
      </c>
      <c r="H7" s="133">
        <f>IF(SER_hh_tes!H7=0,0,11630*1000*SER_hh_tes!H7/SER_hh_num!H7)</f>
        <v>49228.321132648744</v>
      </c>
      <c r="I7" s="133">
        <f>IF(SER_hh_tes!I7=0,0,11630*1000*SER_hh_tes!I7/SER_hh_num!I7)</f>
        <v>49332.846728603581</v>
      </c>
      <c r="J7" s="133">
        <f>IF(SER_hh_tes!J7=0,0,11630*1000*SER_hh_tes!J7/SER_hh_num!J7)</f>
        <v>54568.609145000773</v>
      </c>
      <c r="K7" s="133">
        <f>IF(SER_hh_tes!K7=0,0,11630*1000*SER_hh_tes!K7/SER_hh_num!K7)</f>
        <v>45865.786018835672</v>
      </c>
      <c r="L7" s="133">
        <f>IF(SER_hh_tes!L7=0,0,11630*1000*SER_hh_tes!L7/SER_hh_num!L7)</f>
        <v>44597.918076183989</v>
      </c>
      <c r="M7" s="133">
        <f>IF(SER_hh_tes!M7=0,0,11630*1000*SER_hh_tes!M7/SER_hh_num!M7)</f>
        <v>45595.729841229615</v>
      </c>
      <c r="N7" s="133">
        <f>IF(SER_hh_tes!N7=0,0,11630*1000*SER_hh_tes!N7/SER_hh_num!N7)</f>
        <v>24086.161237983582</v>
      </c>
      <c r="O7" s="133">
        <f>IF(SER_hh_tes!O7=0,0,11630*1000*SER_hh_tes!O7/SER_hh_num!O7)</f>
        <v>55967.653170944694</v>
      </c>
      <c r="P7" s="133">
        <f>IF(SER_hh_tes!P7=0,0,11630*1000*SER_hh_tes!P7/SER_hh_num!P7)</f>
        <v>34745.044871550468</v>
      </c>
      <c r="Q7" s="133">
        <f>IF(SER_hh_tes!Q7=0,0,11630*1000*SER_hh_tes!Q7/SER_hh_num!Q7)</f>
        <v>43416.507656829664</v>
      </c>
      <c r="R7" s="133">
        <f>IF(SER_hh_tes!R7=0,0,11630*1000*SER_hh_tes!R7/SER_hh_num!R7)</f>
        <v>92246.303034333629</v>
      </c>
      <c r="S7" s="133">
        <f>IF(SER_hh_tes!S7=0,0,11630*1000*SER_hh_tes!S7/SER_hh_num!S7)</f>
        <v>51059.730153525903</v>
      </c>
      <c r="T7" s="133">
        <f>IF(SER_hh_tes!T7=0,0,11630*1000*SER_hh_tes!T7/SER_hh_num!T7)</f>
        <v>56869.996308740629</v>
      </c>
      <c r="U7" s="133">
        <f>IF(SER_hh_tes!U7=0,0,11630*1000*SER_hh_tes!U7/SER_hh_num!U7)</f>
        <v>69930.362493239954</v>
      </c>
      <c r="V7" s="133">
        <f>IF(SER_hh_tes!V7=0,0,11630*1000*SER_hh_tes!V7/SER_hh_num!V7)</f>
        <v>73870.69554565876</v>
      </c>
      <c r="W7" s="133">
        <f>IF(SER_hh_tes!W7=0,0,11630*1000*SER_hh_tes!W7/SER_hh_num!W7)</f>
        <v>67726.067196593809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24570.516879342056</v>
      </c>
      <c r="C8" s="133">
        <f>IF(SER_hh_tes!C8=0,0,11630*1000*SER_hh_tes!C8/SER_hh_num!C8)</f>
        <v>25544.193406815157</v>
      </c>
      <c r="D8" s="133">
        <f>IF(SER_hh_tes!D8=0,0,11630*1000*SER_hh_tes!D8/SER_hh_num!D8)</f>
        <v>27426.278631886005</v>
      </c>
      <c r="E8" s="133">
        <f>IF(SER_hh_tes!E8=0,0,11630*1000*SER_hh_tes!E8/SER_hh_num!E8)</f>
        <v>31229.019299137293</v>
      </c>
      <c r="F8" s="133">
        <f>IF(SER_hh_tes!F8=0,0,11630*1000*SER_hh_tes!F8/SER_hh_num!F8)</f>
        <v>37399.369828470968</v>
      </c>
      <c r="G8" s="133">
        <f>IF(SER_hh_tes!G8=0,0,11630*1000*SER_hh_tes!G8/SER_hh_num!G8)</f>
        <v>46428.000099308738</v>
      </c>
      <c r="H8" s="133">
        <f>IF(SER_hh_tes!H8=0,0,11630*1000*SER_hh_tes!H8/SER_hh_num!H8)</f>
        <v>47614.566299118051</v>
      </c>
      <c r="I8" s="133">
        <f>IF(SER_hh_tes!I8=0,0,11630*1000*SER_hh_tes!I8/SER_hh_num!I8)</f>
        <v>47822.016348034573</v>
      </c>
      <c r="J8" s="133">
        <f>IF(SER_hh_tes!J8=0,0,11630*1000*SER_hh_tes!J8/SER_hh_num!J8)</f>
        <v>48171.592259282705</v>
      </c>
      <c r="K8" s="133">
        <f>IF(SER_hh_tes!K8=0,0,11630*1000*SER_hh_tes!K8/SER_hh_num!K8)</f>
        <v>45276.895257633063</v>
      </c>
      <c r="L8" s="133">
        <f>IF(SER_hh_tes!L8=0,0,11630*1000*SER_hh_tes!L8/SER_hh_num!L8)</f>
        <v>37853.043038454474</v>
      </c>
      <c r="M8" s="133">
        <f>IF(SER_hh_tes!M8=0,0,11630*1000*SER_hh_tes!M8/SER_hh_num!M8)</f>
        <v>30873.254451300512</v>
      </c>
      <c r="N8" s="133">
        <f>IF(SER_hh_tes!N8=0,0,11630*1000*SER_hh_tes!N8/SER_hh_num!N8)</f>
        <v>22133.158413747828</v>
      </c>
      <c r="O8" s="133">
        <f>IF(SER_hh_tes!O8=0,0,11630*1000*SER_hh_tes!O8/SER_hh_num!O8)</f>
        <v>28633.883781261549</v>
      </c>
      <c r="P8" s="133">
        <f>IF(SER_hh_tes!P8=0,0,11630*1000*SER_hh_tes!P8/SER_hh_num!P8)</f>
        <v>45247.919746086664</v>
      </c>
      <c r="Q8" s="133">
        <f>IF(SER_hh_tes!Q8=0,0,11630*1000*SER_hh_tes!Q8/SER_hh_num!Q8)</f>
        <v>74495.580363366185</v>
      </c>
      <c r="R8" s="133">
        <f>IF(SER_hh_tes!R8=0,0,11630*1000*SER_hh_tes!R8/SER_hh_num!R8)</f>
        <v>67236.229169979735</v>
      </c>
      <c r="S8" s="133">
        <f>IF(SER_hh_tes!S8=0,0,11630*1000*SER_hh_tes!S8/SER_hh_num!S8)</f>
        <v>63808.311365014422</v>
      </c>
      <c r="T8" s="133">
        <f>IF(SER_hh_tes!T8=0,0,11630*1000*SER_hh_tes!T8/SER_hh_num!T8)</f>
        <v>63716.15174434978</v>
      </c>
      <c r="U8" s="133">
        <f>IF(SER_hh_tes!U8=0,0,11630*1000*SER_hh_tes!U8/SER_hh_num!U8)</f>
        <v>63085.560008324763</v>
      </c>
      <c r="V8" s="133">
        <f>IF(SER_hh_tes!V8=0,0,11630*1000*SER_hh_tes!V8/SER_hh_num!V8)</f>
        <v>66630.44268400321</v>
      </c>
      <c r="W8" s="133">
        <f>IF(SER_hh_tes!W8=0,0,11630*1000*SER_hh_tes!W8/SER_hh_num!W8)</f>
        <v>69600.714503843192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22432.895953910775</v>
      </c>
      <c r="C9" s="133">
        <f>IF(SER_hh_tes!C9=0,0,11630*1000*SER_hh_tes!C9/SER_hh_num!C9)</f>
        <v>24976.122807306485</v>
      </c>
      <c r="D9" s="133">
        <f>IF(SER_hh_tes!D9=0,0,11630*1000*SER_hh_tes!D9/SER_hh_num!D9)</f>
        <v>25037.401772429628</v>
      </c>
      <c r="E9" s="133">
        <f>IF(SER_hh_tes!E9=0,0,11630*1000*SER_hh_tes!E9/SER_hh_num!E9)</f>
        <v>30075.996968459927</v>
      </c>
      <c r="F9" s="133">
        <f>IF(SER_hh_tes!F9=0,0,11630*1000*SER_hh_tes!F9/SER_hh_num!F9)</f>
        <v>36412.096600642508</v>
      </c>
      <c r="G9" s="133">
        <f>IF(SER_hh_tes!G9=0,0,11630*1000*SER_hh_tes!G9/SER_hh_num!G9)</f>
        <v>46455.803935851931</v>
      </c>
      <c r="H9" s="133">
        <f>IF(SER_hh_tes!H9=0,0,11630*1000*SER_hh_tes!H9/SER_hh_num!H9)</f>
        <v>48488.18086163402</v>
      </c>
      <c r="I9" s="133">
        <f>IF(SER_hh_tes!I9=0,0,11630*1000*SER_hh_tes!I9/SER_hh_num!I9)</f>
        <v>47220.31525483985</v>
      </c>
      <c r="J9" s="133">
        <f>IF(SER_hh_tes!J9=0,0,11630*1000*SER_hh_tes!J9/SER_hh_num!J9)</f>
        <v>53261.137429053306</v>
      </c>
      <c r="K9" s="133">
        <f>IF(SER_hh_tes!K9=0,0,11630*1000*SER_hh_tes!K9/SER_hh_num!K9)</f>
        <v>51311.964520884954</v>
      </c>
      <c r="L9" s="133">
        <f>IF(SER_hh_tes!L9=0,0,11630*1000*SER_hh_tes!L9/SER_hh_num!L9)</f>
        <v>39666.951276222309</v>
      </c>
      <c r="M9" s="133">
        <f>IF(SER_hh_tes!M9=0,0,11630*1000*SER_hh_tes!M9/SER_hh_num!M9)</f>
        <v>55905.174695386748</v>
      </c>
      <c r="N9" s="133">
        <f>IF(SER_hh_tes!N9=0,0,11630*1000*SER_hh_tes!N9/SER_hh_num!N9)</f>
        <v>43220.558500777821</v>
      </c>
      <c r="O9" s="133">
        <f>IF(SER_hh_tes!O9=0,0,11630*1000*SER_hh_tes!O9/SER_hh_num!O9)</f>
        <v>39577.288263351169</v>
      </c>
      <c r="P9" s="133">
        <f>IF(SER_hh_tes!P9=0,0,11630*1000*SER_hh_tes!P9/SER_hh_num!P9)</f>
        <v>42604.764728860566</v>
      </c>
      <c r="Q9" s="133">
        <f>IF(SER_hh_tes!Q9=0,0,11630*1000*SER_hh_tes!Q9/SER_hh_num!Q9)</f>
        <v>66937.802881045965</v>
      </c>
      <c r="R9" s="133">
        <f>IF(SER_hh_tes!R9=0,0,11630*1000*SER_hh_tes!R9/SER_hh_num!R9)</f>
        <v>60972.811690124785</v>
      </c>
      <c r="S9" s="133">
        <f>IF(SER_hh_tes!S9=0,0,11630*1000*SER_hh_tes!S9/SER_hh_num!S9)</f>
        <v>62820.111041475575</v>
      </c>
      <c r="T9" s="133">
        <f>IF(SER_hh_tes!T9=0,0,11630*1000*SER_hh_tes!T9/SER_hh_num!T9)</f>
        <v>60774.773415499752</v>
      </c>
      <c r="U9" s="133">
        <f>IF(SER_hh_tes!U9=0,0,11630*1000*SER_hh_tes!U9/SER_hh_num!U9)</f>
        <v>71269.16665160362</v>
      </c>
      <c r="V9" s="133">
        <f>IF(SER_hh_tes!V9=0,0,11630*1000*SER_hh_tes!V9/SER_hh_num!V9)</f>
        <v>62084.397569745357</v>
      </c>
      <c r="W9" s="133">
        <f>IF(SER_hh_tes!W9=0,0,11630*1000*SER_hh_tes!W9/SER_hh_num!W9)</f>
        <v>67120.546199852295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79035.272854593175</v>
      </c>
      <c r="O10" s="133">
        <f>IF(SER_hh_tes!O10=0,0,11630*1000*SER_hh_tes!O10/SER_hh_num!O10)</f>
        <v>43982.386569446324</v>
      </c>
      <c r="P10" s="133">
        <f>IF(SER_hh_tes!P10=0,0,11630*1000*SER_hh_tes!P10/SER_hh_num!P10)</f>
        <v>33631.614233970635</v>
      </c>
      <c r="Q10" s="133">
        <f>IF(SER_hh_tes!Q10=0,0,11630*1000*SER_hh_tes!Q10/SER_hh_num!Q10)</f>
        <v>103329.91932933933</v>
      </c>
      <c r="R10" s="133">
        <f>IF(SER_hh_tes!R10=0,0,11630*1000*SER_hh_tes!R10/SER_hh_num!R10)</f>
        <v>67724.665250896491</v>
      </c>
      <c r="S10" s="133">
        <f>IF(SER_hh_tes!S10=0,0,11630*1000*SER_hh_tes!S10/SER_hh_num!S10)</f>
        <v>51369.932356284218</v>
      </c>
      <c r="T10" s="133">
        <f>IF(SER_hh_tes!T10=0,0,11630*1000*SER_hh_tes!T10/SER_hh_num!T10)</f>
        <v>84226.449402180966</v>
      </c>
      <c r="U10" s="133">
        <f>IF(SER_hh_tes!U10=0,0,11630*1000*SER_hh_tes!U10/SER_hh_num!U10)</f>
        <v>40837.748860984051</v>
      </c>
      <c r="V10" s="133">
        <f>IF(SER_hh_tes!V10=0,0,11630*1000*SER_hh_tes!V10/SER_hh_num!V10)</f>
        <v>42151.149375620989</v>
      </c>
      <c r="W10" s="133">
        <f>IF(SER_hh_tes!W10=0,0,11630*1000*SER_hh_tes!W10/SER_hh_num!W10)</f>
        <v>93802.564994326298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60057.154215541603</v>
      </c>
      <c r="G11" s="133">
        <f>IF(SER_hh_tes!G11=0,0,11630*1000*SER_hh_tes!G11/SER_hh_num!G11)</f>
        <v>47403.586391541961</v>
      </c>
      <c r="H11" s="133">
        <f>IF(SER_hh_tes!H11=0,0,11630*1000*SER_hh_tes!H11/SER_hh_num!H11)</f>
        <v>46425.050246403996</v>
      </c>
      <c r="I11" s="133">
        <f>IF(SER_hh_tes!I11=0,0,11630*1000*SER_hh_tes!I11/SER_hh_num!I11)</f>
        <v>47754.387515205985</v>
      </c>
      <c r="J11" s="133">
        <f>IF(SER_hh_tes!J11=0,0,11630*1000*SER_hh_tes!J11/SER_hh_num!J11)</f>
        <v>46467.531122617082</v>
      </c>
      <c r="K11" s="133">
        <f>IF(SER_hh_tes!K11=0,0,11630*1000*SER_hh_tes!K11/SER_hh_num!K11)</f>
        <v>52278.950770536743</v>
      </c>
      <c r="L11" s="133">
        <f>IF(SER_hh_tes!L11=0,0,11630*1000*SER_hh_tes!L11/SER_hh_num!L11)</f>
        <v>46425.528208592325</v>
      </c>
      <c r="M11" s="133">
        <f>IF(SER_hh_tes!M11=0,0,11630*1000*SER_hh_tes!M11/SER_hh_num!M11)</f>
        <v>44001.807644719658</v>
      </c>
      <c r="N11" s="133">
        <f>IF(SER_hh_tes!N11=0,0,11630*1000*SER_hh_tes!N11/SER_hh_num!N11)</f>
        <v>45034.522160140732</v>
      </c>
      <c r="O11" s="133">
        <f>IF(SER_hh_tes!O11=0,0,11630*1000*SER_hh_tes!O11/SER_hh_num!O11)</f>
        <v>44159.522405702002</v>
      </c>
      <c r="P11" s="133">
        <f>IF(SER_hh_tes!P11=0,0,11630*1000*SER_hh_tes!P11/SER_hh_num!P11)</f>
        <v>51490.958631686757</v>
      </c>
      <c r="Q11" s="133">
        <f>IF(SER_hh_tes!Q11=0,0,11630*1000*SER_hh_tes!Q11/SER_hh_num!Q11)</f>
        <v>55870.482420553126</v>
      </c>
      <c r="R11" s="133">
        <f>IF(SER_hh_tes!R11=0,0,11630*1000*SER_hh_tes!R11/SER_hh_num!R11)</f>
        <v>62306.272058474475</v>
      </c>
      <c r="S11" s="133">
        <f>IF(SER_hh_tes!S11=0,0,11630*1000*SER_hh_tes!S11/SER_hh_num!S11)</f>
        <v>62612.323161385379</v>
      </c>
      <c r="T11" s="133">
        <f>IF(SER_hh_tes!T11=0,0,11630*1000*SER_hh_tes!T11/SER_hh_num!T11)</f>
        <v>64170.585959095086</v>
      </c>
      <c r="U11" s="133">
        <f>IF(SER_hh_tes!U11=0,0,11630*1000*SER_hh_tes!U11/SER_hh_num!U11)</f>
        <v>90479.556508241294</v>
      </c>
      <c r="V11" s="133">
        <f>IF(SER_hh_tes!V11=0,0,11630*1000*SER_hh_tes!V11/SER_hh_num!V11)</f>
        <v>33247.829544234293</v>
      </c>
      <c r="W11" s="133">
        <f>IF(SER_hh_tes!W11=0,0,11630*1000*SER_hh_tes!W11/SER_hh_num!W11)</f>
        <v>34932.020544218853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24316.854103038382</v>
      </c>
      <c r="C13" s="133">
        <f>IF(SER_hh_tes!C13=0,0,11630*1000*SER_hh_tes!C13/SER_hh_num!C13)</f>
        <v>28374.058107917619</v>
      </c>
      <c r="D13" s="133">
        <f>IF(SER_hh_tes!D13=0,0,11630*1000*SER_hh_tes!D13/SER_hh_num!D13)</f>
        <v>29774.310534950997</v>
      </c>
      <c r="E13" s="133">
        <f>IF(SER_hh_tes!E13=0,0,11630*1000*SER_hh_tes!E13/SER_hh_num!E13)</f>
        <v>32751.891258368811</v>
      </c>
      <c r="F13" s="133">
        <f>IF(SER_hh_tes!F13=0,0,11630*1000*SER_hh_tes!F13/SER_hh_num!F13)</f>
        <v>40974.831607906919</v>
      </c>
      <c r="G13" s="133">
        <f>IF(SER_hh_tes!G13=0,0,11630*1000*SER_hh_tes!G13/SER_hh_num!G13)</f>
        <v>40352.443147702405</v>
      </c>
      <c r="H13" s="133">
        <f>IF(SER_hh_tes!H13=0,0,11630*1000*SER_hh_tes!H13/SER_hh_num!H13)</f>
        <v>44855.626883664117</v>
      </c>
      <c r="I13" s="133">
        <f>IF(SER_hh_tes!I13=0,0,11630*1000*SER_hh_tes!I13/SER_hh_num!I13)</f>
        <v>50016.036995015544</v>
      </c>
      <c r="J13" s="133">
        <f>IF(SER_hh_tes!J13=0,0,11630*1000*SER_hh_tes!J13/SER_hh_num!J13)</f>
        <v>50711.65115182077</v>
      </c>
      <c r="K13" s="133">
        <f>IF(SER_hh_tes!K13=0,0,11630*1000*SER_hh_tes!K13/SER_hh_num!K13)</f>
        <v>49758.232465912835</v>
      </c>
      <c r="L13" s="133">
        <f>IF(SER_hh_tes!L13=0,0,11630*1000*SER_hh_tes!L13/SER_hh_num!L13)</f>
        <v>44026.956204866445</v>
      </c>
      <c r="M13" s="133">
        <f>IF(SER_hh_tes!M13=0,0,11630*1000*SER_hh_tes!M13/SER_hh_num!M13)</f>
        <v>41035.95362461984</v>
      </c>
      <c r="N13" s="133">
        <f>IF(SER_hh_tes!N13=0,0,11630*1000*SER_hh_tes!N13/SER_hh_num!N13)</f>
        <v>47000.463789191766</v>
      </c>
      <c r="O13" s="133">
        <f>IF(SER_hh_tes!O13=0,0,11630*1000*SER_hh_tes!O13/SER_hh_num!O13)</f>
        <v>44222.909176247449</v>
      </c>
      <c r="P13" s="133">
        <f>IF(SER_hh_tes!P13=0,0,11630*1000*SER_hh_tes!P13/SER_hh_num!P13)</f>
        <v>50445.02114050513</v>
      </c>
      <c r="Q13" s="133">
        <f>IF(SER_hh_tes!Q13=0,0,11630*1000*SER_hh_tes!Q13/SER_hh_num!Q13)</f>
        <v>62605.041757334679</v>
      </c>
      <c r="R13" s="133">
        <f>IF(SER_hh_tes!R13=0,0,11630*1000*SER_hh_tes!R13/SER_hh_num!R13)</f>
        <v>64474.828965680099</v>
      </c>
      <c r="S13" s="133">
        <f>IF(SER_hh_tes!S13=0,0,11630*1000*SER_hh_tes!S13/SER_hh_num!S13)</f>
        <v>63440.672256937534</v>
      </c>
      <c r="T13" s="133">
        <f>IF(SER_hh_tes!T13=0,0,11630*1000*SER_hh_tes!T13/SER_hh_num!T13)</f>
        <v>64785.443955556504</v>
      </c>
      <c r="U13" s="133">
        <f>IF(SER_hh_tes!U13=0,0,11630*1000*SER_hh_tes!U13/SER_hh_num!U13)</f>
        <v>64365.288733720336</v>
      </c>
      <c r="V13" s="133">
        <f>IF(SER_hh_tes!V13=0,0,11630*1000*SER_hh_tes!V13/SER_hh_num!V13)</f>
        <v>65653.08762298779</v>
      </c>
      <c r="W13" s="133">
        <f>IF(SER_hh_tes!W13=0,0,11630*1000*SER_hh_tes!W13/SER_hh_num!W13)</f>
        <v>70150.418852368311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25195.129489644765</v>
      </c>
      <c r="C14" s="65">
        <f>IF(SER_hh_tes!C14=0,0,11630*1000*SER_hh_tes!C14/SER_hh_num!C14)</f>
        <v>29054.768707284475</v>
      </c>
      <c r="D14" s="65">
        <f>IF(SER_hh_tes!D14=0,0,11630*1000*SER_hh_tes!D14/SER_hh_num!D14)</f>
        <v>29510.411404977756</v>
      </c>
      <c r="E14" s="65">
        <f>IF(SER_hh_tes!E14=0,0,11630*1000*SER_hh_tes!E14/SER_hh_num!E14)</f>
        <v>33894.962665810912</v>
      </c>
      <c r="F14" s="65">
        <f>IF(SER_hh_tes!F14=0,0,11630*1000*SER_hh_tes!F14/SER_hh_num!F14)</f>
        <v>40972.217214948469</v>
      </c>
      <c r="G14" s="65">
        <f>IF(SER_hh_tes!G14=0,0,11630*1000*SER_hh_tes!G14/SER_hh_num!G14)</f>
        <v>40349.184410899252</v>
      </c>
      <c r="H14" s="65">
        <f>IF(SER_hh_tes!H14=0,0,11630*1000*SER_hh_tes!H14/SER_hh_num!H14)</f>
        <v>47092.212342387429</v>
      </c>
      <c r="I14" s="65">
        <f>IF(SER_hh_tes!I14=0,0,11630*1000*SER_hh_tes!I14/SER_hh_num!I14)</f>
        <v>49802.319425218986</v>
      </c>
      <c r="J14" s="65">
        <f>IF(SER_hh_tes!J14=0,0,11630*1000*SER_hh_tes!J14/SER_hh_num!J14)</f>
        <v>55285.605836584946</v>
      </c>
      <c r="K14" s="65">
        <f>IF(SER_hh_tes!K14=0,0,11630*1000*SER_hh_tes!K14/SER_hh_num!K14)</f>
        <v>58566.090337617301</v>
      </c>
      <c r="L14" s="65">
        <f>IF(SER_hh_tes!L14=0,0,11630*1000*SER_hh_tes!L14/SER_hh_num!L14)</f>
        <v>41924.261460070709</v>
      </c>
      <c r="M14" s="65">
        <f>IF(SER_hh_tes!M14=0,0,11630*1000*SER_hh_tes!M14/SER_hh_num!M14)</f>
        <v>29610.864966722031</v>
      </c>
      <c r="N14" s="65">
        <f>IF(SER_hh_tes!N14=0,0,11630*1000*SER_hh_tes!N14/SER_hh_num!N14)</f>
        <v>64265.963690121454</v>
      </c>
      <c r="O14" s="65">
        <f>IF(SER_hh_tes!O14=0,0,11630*1000*SER_hh_tes!O14/SER_hh_num!O14)</f>
        <v>43627.569374422455</v>
      </c>
      <c r="P14" s="65">
        <f>IF(SER_hh_tes!P14=0,0,11630*1000*SER_hh_tes!P14/SER_hh_num!P14)</f>
        <v>28185.977332286959</v>
      </c>
      <c r="Q14" s="65">
        <f>IF(SER_hh_tes!Q14=0,0,11630*1000*SER_hh_tes!Q14/SER_hh_num!Q14)</f>
        <v>50506.378612966044</v>
      </c>
      <c r="R14" s="65">
        <f>IF(SER_hh_tes!R14=0,0,11630*1000*SER_hh_tes!R14/SER_hh_num!R14)</f>
        <v>81582.948890779866</v>
      </c>
      <c r="S14" s="65">
        <f>IF(SER_hh_tes!S14=0,0,11630*1000*SER_hh_tes!S14/SER_hh_num!S14)</f>
        <v>79252.850212293852</v>
      </c>
      <c r="T14" s="65">
        <f>IF(SER_hh_tes!T14=0,0,11630*1000*SER_hh_tes!T14/SER_hh_num!T14)</f>
        <v>53447.535511728638</v>
      </c>
      <c r="U14" s="65">
        <f>IF(SER_hh_tes!U14=0,0,11630*1000*SER_hh_tes!U14/SER_hh_num!U14)</f>
        <v>75400.37614305786</v>
      </c>
      <c r="V14" s="65">
        <f>IF(SER_hh_tes!V14=0,0,11630*1000*SER_hh_tes!V14/SER_hh_num!V14)</f>
        <v>48917.409702005789</v>
      </c>
      <c r="W14" s="65">
        <f>IF(SER_hh_tes!W14=0,0,11630*1000*SER_hh_tes!W14/SER_hh_num!W14)</f>
        <v>75058.488808734503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478.45149698908818</v>
      </c>
      <c r="C15" s="135">
        <f>IF(SER_hh_tes!C15=0,0,11630*1000*SER_hh_tes!C15/SER_hh_num!C15)</f>
        <v>580.21014424466307</v>
      </c>
      <c r="D15" s="135">
        <f>IF(SER_hh_tes!D15=0,0,11630*1000*SER_hh_tes!D15/SER_hh_num!D15)</f>
        <v>592.67877221012191</v>
      </c>
      <c r="E15" s="135">
        <f>IF(SER_hh_tes!E15=0,0,11630*1000*SER_hh_tes!E15/SER_hh_num!E15)</f>
        <v>631.9664520015408</v>
      </c>
      <c r="F15" s="135">
        <f>IF(SER_hh_tes!F15=0,0,11630*1000*SER_hh_tes!F15/SER_hh_num!F15)</f>
        <v>638.30856449495786</v>
      </c>
      <c r="G15" s="135">
        <f>IF(SER_hh_tes!G15=0,0,11630*1000*SER_hh_tes!G15/SER_hh_num!G15)</f>
        <v>808.04373428853341</v>
      </c>
      <c r="H15" s="135">
        <f>IF(SER_hh_tes!H15=0,0,11630*1000*SER_hh_tes!H15/SER_hh_num!H15)</f>
        <v>863.48131701646992</v>
      </c>
      <c r="I15" s="135">
        <f>IF(SER_hh_tes!I15=0,0,11630*1000*SER_hh_tes!I15/SER_hh_num!I15)</f>
        <v>847.19761016003406</v>
      </c>
      <c r="J15" s="135">
        <f>IF(SER_hh_tes!J15=0,0,11630*1000*SER_hh_tes!J15/SER_hh_num!J15)</f>
        <v>923.83519687539035</v>
      </c>
      <c r="K15" s="135">
        <f>IF(SER_hh_tes!K15=0,0,11630*1000*SER_hh_tes!K15/SER_hh_num!K15)</f>
        <v>797.07025949019135</v>
      </c>
      <c r="L15" s="135">
        <f>IF(SER_hh_tes!L15=0,0,11630*1000*SER_hh_tes!L15/SER_hh_num!L15)</f>
        <v>704.44005936403687</v>
      </c>
      <c r="M15" s="135">
        <f>IF(SER_hh_tes!M15=0,0,11630*1000*SER_hh_tes!M15/SER_hh_num!M15)</f>
        <v>803.67694594281068</v>
      </c>
      <c r="N15" s="135">
        <f>IF(SER_hh_tes!N15=0,0,11630*1000*SER_hh_tes!N15/SER_hh_num!N15)</f>
        <v>534.96478988794138</v>
      </c>
      <c r="O15" s="135">
        <f>IF(SER_hh_tes!O15=0,0,11630*1000*SER_hh_tes!O15/SER_hh_num!O15)</f>
        <v>716.15035353486064</v>
      </c>
      <c r="P15" s="135">
        <f>IF(SER_hh_tes!P15=0,0,11630*1000*SER_hh_tes!P15/SER_hh_num!P15)</f>
        <v>570.73092212808979</v>
      </c>
      <c r="Q15" s="135">
        <f>IF(SER_hh_tes!Q15=0,0,11630*1000*SER_hh_tes!Q15/SER_hh_num!Q15)</f>
        <v>836.15705044474112</v>
      </c>
      <c r="R15" s="135">
        <f>IF(SER_hh_tes!R15=0,0,11630*1000*SER_hh_tes!R15/SER_hh_num!R15)</f>
        <v>1018.5779416621695</v>
      </c>
      <c r="S15" s="135">
        <f>IF(SER_hh_tes!S15=0,0,11630*1000*SER_hh_tes!S15/SER_hh_num!S15)</f>
        <v>798.98593485114748</v>
      </c>
      <c r="T15" s="135">
        <f>IF(SER_hh_tes!T15=0,0,11630*1000*SER_hh_tes!T15/SER_hh_num!T15)</f>
        <v>813.92115541560418</v>
      </c>
      <c r="U15" s="135">
        <f>IF(SER_hh_tes!U15=0,0,11630*1000*SER_hh_tes!U15/SER_hh_num!U15)</f>
        <v>931.88482280479752</v>
      </c>
      <c r="V15" s="135">
        <f>IF(SER_hh_tes!V15=0,0,11630*1000*SER_hh_tes!V15/SER_hh_num!V15)</f>
        <v>837.19562477629427</v>
      </c>
      <c r="W15" s="135">
        <f>IF(SER_hh_tes!W15=0,0,11630*1000*SER_hh_tes!W15/SER_hh_num!W15)</f>
        <v>875.61031189155858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31377.320968706452</v>
      </c>
      <c r="C16" s="131">
        <f>IF(SER_hh_tes!C16=0,0,11630*1000*SER_hh_tes!C16/SER_hh_num!C16)</f>
        <v>38939.538924767978</v>
      </c>
      <c r="D16" s="131">
        <f>IF(SER_hh_tes!D16=0,0,11630*1000*SER_hh_tes!D16/SER_hh_num!D16)</f>
        <v>31835.691611963601</v>
      </c>
      <c r="E16" s="131">
        <f>IF(SER_hh_tes!E16=0,0,11630*1000*SER_hh_tes!E16/SER_hh_num!E16)</f>
        <v>42911.550733395692</v>
      </c>
      <c r="F16" s="131">
        <f>IF(SER_hh_tes!F16=0,0,11630*1000*SER_hh_tes!F16/SER_hh_num!F16)</f>
        <v>26913.854729878632</v>
      </c>
      <c r="G16" s="131">
        <f>IF(SER_hh_tes!G16=0,0,11630*1000*SER_hh_tes!G16/SER_hh_num!G16)</f>
        <v>27852.738291641013</v>
      </c>
      <c r="H16" s="131">
        <f>IF(SER_hh_tes!H16=0,0,11630*1000*SER_hh_tes!H16/SER_hh_num!H16)</f>
        <v>33092.819574655907</v>
      </c>
      <c r="I16" s="131">
        <f>IF(SER_hh_tes!I16=0,0,11630*1000*SER_hh_tes!I16/SER_hh_num!I16)</f>
        <v>48972.229879685066</v>
      </c>
      <c r="J16" s="131">
        <f>IF(SER_hh_tes!J16=0,0,11630*1000*SER_hh_tes!J16/SER_hh_num!J16)</f>
        <v>47992.372842503253</v>
      </c>
      <c r="K16" s="131">
        <f>IF(SER_hh_tes!K16=0,0,11630*1000*SER_hh_tes!K16/SER_hh_num!K16)</f>
        <v>32882.083913221759</v>
      </c>
      <c r="L16" s="131">
        <f>IF(SER_hh_tes!L16=0,0,11630*1000*SER_hh_tes!L16/SER_hh_num!L16)</f>
        <v>42953.806682844275</v>
      </c>
      <c r="M16" s="131">
        <f>IF(SER_hh_tes!M16=0,0,11630*1000*SER_hh_tes!M16/SER_hh_num!M16)</f>
        <v>38247.709603322655</v>
      </c>
      <c r="N16" s="131">
        <f>IF(SER_hh_tes!N16=0,0,11630*1000*SER_hh_tes!N16/SER_hh_num!N16)</f>
        <v>62205.94942190955</v>
      </c>
      <c r="O16" s="131">
        <f>IF(SER_hh_tes!O16=0,0,11630*1000*SER_hh_tes!O16/SER_hh_num!O16)</f>
        <v>39596.227004105429</v>
      </c>
      <c r="P16" s="131">
        <f>IF(SER_hh_tes!P16=0,0,11630*1000*SER_hh_tes!P16/SER_hh_num!P16)</f>
        <v>32660.456014620922</v>
      </c>
      <c r="Q16" s="131">
        <f>IF(SER_hh_tes!Q16=0,0,11630*1000*SER_hh_tes!Q16/SER_hh_num!Q16)</f>
        <v>42054.237591304736</v>
      </c>
      <c r="R16" s="131">
        <f>IF(SER_hh_tes!R16=0,0,11630*1000*SER_hh_tes!R16/SER_hh_num!R16)</f>
        <v>45901.115191431229</v>
      </c>
      <c r="S16" s="131">
        <f>IF(SER_hh_tes!S16=0,0,11630*1000*SER_hh_tes!S16/SER_hh_num!S16)</f>
        <v>46190.015172692736</v>
      </c>
      <c r="T16" s="131">
        <f>IF(SER_hh_tes!T16=0,0,11630*1000*SER_hh_tes!T16/SER_hh_num!T16)</f>
        <v>39680.120824343569</v>
      </c>
      <c r="U16" s="131">
        <f>IF(SER_hh_tes!U16=0,0,11630*1000*SER_hh_tes!U16/SER_hh_num!U16)</f>
        <v>50343.519651754192</v>
      </c>
      <c r="V16" s="131">
        <f>IF(SER_hh_tes!V16=0,0,11630*1000*SER_hh_tes!V16/SER_hh_num!V16)</f>
        <v>45070.851778691307</v>
      </c>
      <c r="W16" s="131">
        <f>IF(SER_hh_tes!W16=0,0,11630*1000*SER_hh_tes!W16/SER_hh_num!W16)</f>
        <v>59164.960188823105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31377.320968706448</v>
      </c>
      <c r="C17" s="133">
        <f>IF(SER_hh_tes!C17=0,0,11630*1000*SER_hh_tes!C17/SER_hh_num!C17)</f>
        <v>38939.711467749243</v>
      </c>
      <c r="D17" s="133">
        <f>IF(SER_hh_tes!D17=0,0,11630*1000*SER_hh_tes!D17/SER_hh_num!D17)</f>
        <v>31835.714487146528</v>
      </c>
      <c r="E17" s="133">
        <f>IF(SER_hh_tes!E17=0,0,11630*1000*SER_hh_tes!E17/SER_hh_num!E17)</f>
        <v>42911.493359812986</v>
      </c>
      <c r="F17" s="133">
        <f>IF(SER_hh_tes!F17=0,0,11630*1000*SER_hh_tes!F17/SER_hh_num!F17)</f>
        <v>26913.802144395097</v>
      </c>
      <c r="G17" s="133">
        <f>IF(SER_hh_tes!G17=0,0,11630*1000*SER_hh_tes!G17/SER_hh_num!G17)</f>
        <v>27852.689313653544</v>
      </c>
      <c r="H17" s="133">
        <f>IF(SER_hh_tes!H17=0,0,11630*1000*SER_hh_tes!H17/SER_hh_num!H17)</f>
        <v>33092.790857783068</v>
      </c>
      <c r="I17" s="133">
        <f>IF(SER_hh_tes!I17=0,0,11630*1000*SER_hh_tes!I17/SER_hh_num!I17)</f>
        <v>48972.231288565097</v>
      </c>
      <c r="J17" s="133">
        <f>IF(SER_hh_tes!J17=0,0,11630*1000*SER_hh_tes!J17/SER_hh_num!J17)</f>
        <v>46819.448112051745</v>
      </c>
      <c r="K17" s="133">
        <f>IF(SER_hh_tes!K17=0,0,11630*1000*SER_hh_tes!K17/SER_hh_num!K17)</f>
        <v>40640.455841386494</v>
      </c>
      <c r="L17" s="133">
        <f>IF(SER_hh_tes!L17=0,0,11630*1000*SER_hh_tes!L17/SER_hh_num!L17)</f>
        <v>42953.876543327184</v>
      </c>
      <c r="M17" s="133">
        <f>IF(SER_hh_tes!M17=0,0,11630*1000*SER_hh_tes!M17/SER_hh_num!M17)</f>
        <v>38247.791509992378</v>
      </c>
      <c r="N17" s="133">
        <f>IF(SER_hh_tes!N17=0,0,11630*1000*SER_hh_tes!N17/SER_hh_num!N17)</f>
        <v>62205.888382759491</v>
      </c>
      <c r="O17" s="133">
        <f>IF(SER_hh_tes!O17=0,0,11630*1000*SER_hh_tes!O17/SER_hh_num!O17)</f>
        <v>39596.12772550332</v>
      </c>
      <c r="P17" s="133">
        <f>IF(SER_hh_tes!P17=0,0,11630*1000*SER_hh_tes!P17/SER_hh_num!P17)</f>
        <v>34177.889212901799</v>
      </c>
      <c r="Q17" s="133">
        <f>IF(SER_hh_tes!Q17=0,0,11630*1000*SER_hh_tes!Q17/SER_hh_num!Q17)</f>
        <v>42054.170218156032</v>
      </c>
      <c r="R17" s="133">
        <f>IF(SER_hh_tes!R17=0,0,11630*1000*SER_hh_tes!R17/SER_hh_num!R17)</f>
        <v>45901.108897809907</v>
      </c>
      <c r="S17" s="133">
        <f>IF(SER_hh_tes!S17=0,0,11630*1000*SER_hh_tes!S17/SER_hh_num!S17)</f>
        <v>46190.068184157542</v>
      </c>
      <c r="T17" s="133">
        <f>IF(SER_hh_tes!T17=0,0,11630*1000*SER_hh_tes!T17/SER_hh_num!T17)</f>
        <v>39680.195081029087</v>
      </c>
      <c r="U17" s="133">
        <f>IF(SER_hh_tes!U17=0,0,11630*1000*SER_hh_tes!U17/SER_hh_num!U17)</f>
        <v>50343.623249833909</v>
      </c>
      <c r="V17" s="133">
        <f>IF(SER_hh_tes!V17=0,0,11630*1000*SER_hh_tes!V17/SER_hh_num!V17)</f>
        <v>40743.540090904942</v>
      </c>
      <c r="W17" s="133">
        <f>IF(SER_hh_tes!W17=0,0,11630*1000*SER_hh_tes!W17/SER_hh_num!W17)</f>
        <v>53634.064898786804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31377.320968706441</v>
      </c>
      <c r="C18" s="133">
        <f>IF(SER_hh_tes!C18=0,0,11630*1000*SER_hh_tes!C18/SER_hh_num!C18)</f>
        <v>38939.538788776823</v>
      </c>
      <c r="D18" s="133">
        <f>IF(SER_hh_tes!D18=0,0,11630*1000*SER_hh_tes!D18/SER_hh_num!D18)</f>
        <v>31835.691588400699</v>
      </c>
      <c r="E18" s="133">
        <f>IF(SER_hh_tes!E18=0,0,11630*1000*SER_hh_tes!E18/SER_hh_num!E18)</f>
        <v>42911.550784897729</v>
      </c>
      <c r="F18" s="133">
        <f>IF(SER_hh_tes!F18=0,0,11630*1000*SER_hh_tes!F18/SER_hh_num!F18)</f>
        <v>26913.854824313836</v>
      </c>
      <c r="G18" s="133">
        <f>IF(SER_hh_tes!G18=0,0,11630*1000*SER_hh_tes!G18/SER_hh_num!G18)</f>
        <v>27852.738420098998</v>
      </c>
      <c r="H18" s="133">
        <f>IF(SER_hh_tes!H18=0,0,11630*1000*SER_hh_tes!H18/SER_hh_num!H18)</f>
        <v>33092.819671051686</v>
      </c>
      <c r="I18" s="133">
        <f>IF(SER_hh_tes!I18=0,0,11630*1000*SER_hh_tes!I18/SER_hh_num!I18)</f>
        <v>48972.2298755171</v>
      </c>
      <c r="J18" s="133">
        <f>IF(SER_hh_tes!J18=0,0,11630*1000*SER_hh_tes!J18/SER_hh_num!J18)</f>
        <v>47996.930509960737</v>
      </c>
      <c r="K18" s="133">
        <f>IF(SER_hh_tes!K18=0,0,11630*1000*SER_hh_tes!K18/SER_hh_num!K18)</f>
        <v>32842.790738325901</v>
      </c>
      <c r="L18" s="133">
        <f>IF(SER_hh_tes!L18=0,0,11630*1000*SER_hh_tes!L18/SER_hh_num!L18)</f>
        <v>42953.806228812457</v>
      </c>
      <c r="M18" s="133">
        <f>IF(SER_hh_tes!M18=0,0,11630*1000*SER_hh_tes!M18/SER_hh_num!M18)</f>
        <v>38247.708860812869</v>
      </c>
      <c r="N18" s="133">
        <f>IF(SER_hh_tes!N18=0,0,11630*1000*SER_hh_tes!N18/SER_hh_num!N18)</f>
        <v>62205.950039345786</v>
      </c>
      <c r="O18" s="133">
        <f>IF(SER_hh_tes!O18=0,0,11630*1000*SER_hh_tes!O18/SER_hh_num!O18)</f>
        <v>39596.228578173985</v>
      </c>
      <c r="P18" s="133">
        <f>IF(SER_hh_tes!P18=0,0,11630*1000*SER_hh_tes!P18/SER_hh_num!P18)</f>
        <v>32628.602498584165</v>
      </c>
      <c r="Q18" s="133">
        <f>IF(SER_hh_tes!Q18=0,0,11630*1000*SER_hh_tes!Q18/SER_hh_num!Q18)</f>
        <v>42054.239183248108</v>
      </c>
      <c r="R18" s="133">
        <f>IF(SER_hh_tes!R18=0,0,11630*1000*SER_hh_tes!R18/SER_hh_num!R18)</f>
        <v>45901.115349665008</v>
      </c>
      <c r="S18" s="133">
        <f>IF(SER_hh_tes!S18=0,0,11630*1000*SER_hh_tes!S18/SER_hh_num!S18)</f>
        <v>46190.013739120528</v>
      </c>
      <c r="T18" s="133">
        <f>IF(SER_hh_tes!T18=0,0,11630*1000*SER_hh_tes!T18/SER_hh_num!T18)</f>
        <v>39680.118534421897</v>
      </c>
      <c r="U18" s="133">
        <f>IF(SER_hh_tes!U18=0,0,11630*1000*SER_hh_tes!U18/SER_hh_num!U18)</f>
        <v>50343.516422176239</v>
      </c>
      <c r="V18" s="133">
        <f>IF(SER_hh_tes!V18=0,0,11630*1000*SER_hh_tes!V18/SER_hh_num!V18)</f>
        <v>45216.206279833947</v>
      </c>
      <c r="W18" s="133">
        <f>IF(SER_hh_tes!W18=0,0,11630*1000*SER_hh_tes!W18/SER_hh_num!W18)</f>
        <v>59348.798133378514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18098.682648737689</v>
      </c>
      <c r="C19" s="131">
        <f>IF(SER_hh_tes!C19=0,0,11630*1000*SER_hh_tes!C19/SER_hh_num!C19)</f>
        <v>18832.483119155931</v>
      </c>
      <c r="D19" s="131">
        <f>IF(SER_hh_tes!D19=0,0,11630*1000*SER_hh_tes!D19/SER_hh_num!D19)</f>
        <v>19713.768970732952</v>
      </c>
      <c r="E19" s="131">
        <f>IF(SER_hh_tes!E19=0,0,11630*1000*SER_hh_tes!E19/SER_hh_num!E19)</f>
        <v>19882.245084938688</v>
      </c>
      <c r="F19" s="131">
        <f>IF(SER_hh_tes!F19=0,0,11630*1000*SER_hh_tes!F19/SER_hh_num!F19)</f>
        <v>20219.922011984298</v>
      </c>
      <c r="G19" s="131">
        <f>IF(SER_hh_tes!G19=0,0,11630*1000*SER_hh_tes!G19/SER_hh_num!G19)</f>
        <v>21364.91858244277</v>
      </c>
      <c r="H19" s="131">
        <f>IF(SER_hh_tes!H19=0,0,11630*1000*SER_hh_tes!H19/SER_hh_num!H19)</f>
        <v>21129.592490646581</v>
      </c>
      <c r="I19" s="131">
        <f>IF(SER_hh_tes!I19=0,0,11630*1000*SER_hh_tes!I19/SER_hh_num!I19)</f>
        <v>20732.118810898857</v>
      </c>
      <c r="J19" s="131">
        <f>IF(SER_hh_tes!J19=0,0,11630*1000*SER_hh_tes!J19/SER_hh_num!J19)</f>
        <v>21012.497496455551</v>
      </c>
      <c r="K19" s="131">
        <f>IF(SER_hh_tes!K19=0,0,11630*1000*SER_hh_tes!K19/SER_hh_num!K19)</f>
        <v>21501.172135603469</v>
      </c>
      <c r="L19" s="131">
        <f>IF(SER_hh_tes!L19=0,0,11630*1000*SER_hh_tes!L19/SER_hh_num!L19)</f>
        <v>22641.912937403296</v>
      </c>
      <c r="M19" s="131">
        <f>IF(SER_hh_tes!M19=0,0,11630*1000*SER_hh_tes!M19/SER_hh_num!M19)</f>
        <v>23378.090357366542</v>
      </c>
      <c r="N19" s="131">
        <f>IF(SER_hh_tes!N19=0,0,11630*1000*SER_hh_tes!N19/SER_hh_num!N19)</f>
        <v>23348.093337236794</v>
      </c>
      <c r="O19" s="131">
        <f>IF(SER_hh_tes!O19=0,0,11630*1000*SER_hh_tes!O19/SER_hh_num!O19)</f>
        <v>23778.8812632804</v>
      </c>
      <c r="P19" s="131">
        <f>IF(SER_hh_tes!P19=0,0,11630*1000*SER_hh_tes!P19/SER_hh_num!P19)</f>
        <v>24374.814349531825</v>
      </c>
      <c r="Q19" s="131">
        <f>IF(SER_hh_tes!Q19=0,0,11630*1000*SER_hh_tes!Q19/SER_hh_num!Q19)</f>
        <v>24685.186459748322</v>
      </c>
      <c r="R19" s="131">
        <f>IF(SER_hh_tes!R19=0,0,11630*1000*SER_hh_tes!R19/SER_hh_num!R19)</f>
        <v>24666.147242412353</v>
      </c>
      <c r="S19" s="131">
        <f>IF(SER_hh_tes!S19=0,0,11630*1000*SER_hh_tes!S19/SER_hh_num!S19)</f>
        <v>24835.782361152204</v>
      </c>
      <c r="T19" s="131">
        <f>IF(SER_hh_tes!T19=0,0,11630*1000*SER_hh_tes!T19/SER_hh_num!T19)</f>
        <v>24734.501437112307</v>
      </c>
      <c r="U19" s="131">
        <f>IF(SER_hh_tes!U19=0,0,11630*1000*SER_hh_tes!U19/SER_hh_num!U19)</f>
        <v>24391.89475182322</v>
      </c>
      <c r="V19" s="131">
        <f>IF(SER_hh_tes!V19=0,0,11630*1000*SER_hh_tes!V19/SER_hh_num!V19)</f>
        <v>21853.966317636841</v>
      </c>
      <c r="W19" s="131">
        <f>IF(SER_hh_tes!W19=0,0,11630*1000*SER_hh_tes!W19/SER_hh_num!W19)</f>
        <v>22269.917217197188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17550.01972034316</v>
      </c>
      <c r="C21" s="133">
        <f>IF(SER_hh_tes!C21=0,0,11630*1000*SER_hh_tes!C21/SER_hh_num!C21)</f>
        <v>19049.680932067797</v>
      </c>
      <c r="D21" s="133">
        <f>IF(SER_hh_tes!D21=0,0,11630*1000*SER_hh_tes!D21/SER_hh_num!D21)</f>
        <v>19636.838641235077</v>
      </c>
      <c r="E21" s="133">
        <f>IF(SER_hh_tes!E21=0,0,11630*1000*SER_hh_tes!E21/SER_hh_num!E21)</f>
        <v>19126.742633521484</v>
      </c>
      <c r="F21" s="133">
        <f>IF(SER_hh_tes!F21=0,0,11630*1000*SER_hh_tes!F21/SER_hh_num!F21)</f>
        <v>19594.6219323406</v>
      </c>
      <c r="G21" s="133">
        <f>IF(SER_hh_tes!G21=0,0,11630*1000*SER_hh_tes!G21/SER_hh_num!G21)</f>
        <v>20764.963430673455</v>
      </c>
      <c r="H21" s="133">
        <f>IF(SER_hh_tes!H21=0,0,11630*1000*SER_hh_tes!H21/SER_hh_num!H21)</f>
        <v>20431.974471529142</v>
      </c>
      <c r="I21" s="133">
        <f>IF(SER_hh_tes!I21=0,0,11630*1000*SER_hh_tes!I21/SER_hh_num!I21)</f>
        <v>21827.219031060715</v>
      </c>
      <c r="J21" s="133">
        <f>IF(SER_hh_tes!J21=0,0,11630*1000*SER_hh_tes!J21/SER_hh_num!J21)</f>
        <v>21567.15491894984</v>
      </c>
      <c r="K21" s="133">
        <f>IF(SER_hh_tes!K21=0,0,11630*1000*SER_hh_tes!K21/SER_hh_num!K21)</f>
        <v>21667.543449507175</v>
      </c>
      <c r="L21" s="133">
        <f>IF(SER_hh_tes!L21=0,0,11630*1000*SER_hh_tes!L21/SER_hh_num!L21)</f>
        <v>22343.465773985088</v>
      </c>
      <c r="M21" s="133">
        <f>IF(SER_hh_tes!M21=0,0,11630*1000*SER_hh_tes!M21/SER_hh_num!M21)</f>
        <v>22422.636374283396</v>
      </c>
      <c r="N21" s="133">
        <f>IF(SER_hh_tes!N21=0,0,11630*1000*SER_hh_tes!N21/SER_hh_num!N21)</f>
        <v>23749.196326980196</v>
      </c>
      <c r="O21" s="133">
        <f>IF(SER_hh_tes!O21=0,0,11630*1000*SER_hh_tes!O21/SER_hh_num!O21)</f>
        <v>23816.127506554225</v>
      </c>
      <c r="P21" s="133">
        <f>IF(SER_hh_tes!P21=0,0,11630*1000*SER_hh_tes!P21/SER_hh_num!P21)</f>
        <v>23418.857681209764</v>
      </c>
      <c r="Q21" s="133">
        <f>IF(SER_hh_tes!Q21=0,0,11630*1000*SER_hh_tes!Q21/SER_hh_num!Q21)</f>
        <v>22780.14926379071</v>
      </c>
      <c r="R21" s="133">
        <f>IF(SER_hh_tes!R21=0,0,11630*1000*SER_hh_tes!R21/SER_hh_num!R21)</f>
        <v>24950.174304058452</v>
      </c>
      <c r="S21" s="133">
        <f>IF(SER_hh_tes!S21=0,0,11630*1000*SER_hh_tes!S21/SER_hh_num!S21)</f>
        <v>25515.317987337912</v>
      </c>
      <c r="T21" s="133">
        <f>IF(SER_hh_tes!T21=0,0,11630*1000*SER_hh_tes!T21/SER_hh_num!T21)</f>
        <v>25337.953451283534</v>
      </c>
      <c r="U21" s="133">
        <f>IF(SER_hh_tes!U21=0,0,11630*1000*SER_hh_tes!U21/SER_hh_num!U21)</f>
        <v>27056.342543223767</v>
      </c>
      <c r="V21" s="133">
        <f>IF(SER_hh_tes!V21=0,0,11630*1000*SER_hh_tes!V21/SER_hh_num!V21)</f>
        <v>15856.506617090046</v>
      </c>
      <c r="W21" s="133">
        <f>IF(SER_hh_tes!W21=0,0,11630*1000*SER_hh_tes!W21/SER_hh_num!W21)</f>
        <v>22047.869656575243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17398.167467524658</v>
      </c>
      <c r="C22" s="133">
        <f>IF(SER_hh_tes!C22=0,0,11630*1000*SER_hh_tes!C22/SER_hh_num!C22)</f>
        <v>19022.787733908826</v>
      </c>
      <c r="D22" s="133">
        <f>IF(SER_hh_tes!D22=0,0,11630*1000*SER_hh_tes!D22/SER_hh_num!D22)</f>
        <v>19691.322329814513</v>
      </c>
      <c r="E22" s="133">
        <f>IF(SER_hh_tes!E22=0,0,11630*1000*SER_hh_tes!E22/SER_hh_num!E22)</f>
        <v>19730.474609232169</v>
      </c>
      <c r="F22" s="133">
        <f>IF(SER_hh_tes!F22=0,0,11630*1000*SER_hh_tes!F22/SER_hh_num!F22)</f>
        <v>20130.069093819689</v>
      </c>
      <c r="G22" s="133">
        <f>IF(SER_hh_tes!G22=0,0,11630*1000*SER_hh_tes!G22/SER_hh_num!G22)</f>
        <v>21136.353346314107</v>
      </c>
      <c r="H22" s="133">
        <f>IF(SER_hh_tes!H22=0,0,11630*1000*SER_hh_tes!H22/SER_hh_num!H22)</f>
        <v>21120.281150868777</v>
      </c>
      <c r="I22" s="133">
        <f>IF(SER_hh_tes!I22=0,0,11630*1000*SER_hh_tes!I22/SER_hh_num!I22)</f>
        <v>21141.203419566646</v>
      </c>
      <c r="J22" s="133">
        <f>IF(SER_hh_tes!J22=0,0,11630*1000*SER_hh_tes!J22/SER_hh_num!J22)</f>
        <v>21353.603694550791</v>
      </c>
      <c r="K22" s="133">
        <f>IF(SER_hh_tes!K22=0,0,11630*1000*SER_hh_tes!K22/SER_hh_num!K22)</f>
        <v>21465.05014944281</v>
      </c>
      <c r="L22" s="133">
        <f>IF(SER_hh_tes!L22=0,0,11630*1000*SER_hh_tes!L22/SER_hh_num!L22)</f>
        <v>22209.952745511069</v>
      </c>
      <c r="M22" s="133">
        <f>IF(SER_hh_tes!M22=0,0,11630*1000*SER_hh_tes!M22/SER_hh_num!M22)</f>
        <v>22873.96529438626</v>
      </c>
      <c r="N22" s="133">
        <f>IF(SER_hh_tes!N22=0,0,11630*1000*SER_hh_tes!N22/SER_hh_num!N22)</f>
        <v>23029.378355662822</v>
      </c>
      <c r="O22" s="133">
        <f>IF(SER_hh_tes!O22=0,0,11630*1000*SER_hh_tes!O22/SER_hh_num!O22)</f>
        <v>23653.038614699581</v>
      </c>
      <c r="P22" s="133">
        <f>IF(SER_hh_tes!P22=0,0,11630*1000*SER_hh_tes!P22/SER_hh_num!P22)</f>
        <v>24269.588205778731</v>
      </c>
      <c r="Q22" s="133">
        <f>IF(SER_hh_tes!Q22=0,0,11630*1000*SER_hh_tes!Q22/SER_hh_num!Q22)</f>
        <v>24701.584418230519</v>
      </c>
      <c r="R22" s="133">
        <f>IF(SER_hh_tes!R22=0,0,11630*1000*SER_hh_tes!R22/SER_hh_num!R22)</f>
        <v>25184.406284649955</v>
      </c>
      <c r="S22" s="133">
        <f>IF(SER_hh_tes!S22=0,0,11630*1000*SER_hh_tes!S22/SER_hh_num!S22)</f>
        <v>25770.903056002095</v>
      </c>
      <c r="T22" s="133">
        <f>IF(SER_hh_tes!T22=0,0,11630*1000*SER_hh_tes!T22/SER_hh_num!T22)</f>
        <v>24838.738444566072</v>
      </c>
      <c r="U22" s="133">
        <f>IF(SER_hh_tes!U22=0,0,11630*1000*SER_hh_tes!U22/SER_hh_num!U22)</f>
        <v>25630.939827887927</v>
      </c>
      <c r="V22" s="133">
        <f>IF(SER_hh_tes!V22=0,0,11630*1000*SER_hh_tes!V22/SER_hh_num!V22)</f>
        <v>20698.785488589871</v>
      </c>
      <c r="W22" s="133">
        <f>IF(SER_hh_tes!W22=0,0,11630*1000*SER_hh_tes!W22/SER_hh_num!W22)</f>
        <v>20268.810727838529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16125.528750428419</v>
      </c>
      <c r="C23" s="133">
        <f>IF(SER_hh_tes!C23=0,0,11630*1000*SER_hh_tes!C23/SER_hh_num!C23)</f>
        <v>19166.562461655318</v>
      </c>
      <c r="D23" s="133">
        <f>IF(SER_hh_tes!D23=0,0,11630*1000*SER_hh_tes!D23/SER_hh_num!D23)</f>
        <v>19404.92120932227</v>
      </c>
      <c r="E23" s="133">
        <f>IF(SER_hh_tes!E23=0,0,11630*1000*SER_hh_tes!E23/SER_hh_num!E23)</f>
        <v>19218.935394462525</v>
      </c>
      <c r="F23" s="133">
        <f>IF(SER_hh_tes!F23=0,0,11630*1000*SER_hh_tes!F23/SER_hh_num!F23)</f>
        <v>16848.698475830945</v>
      </c>
      <c r="G23" s="133">
        <f>IF(SER_hh_tes!G23=0,0,11630*1000*SER_hh_tes!G23/SER_hh_num!G23)</f>
        <v>21937.864428055203</v>
      </c>
      <c r="H23" s="133">
        <f>IF(SER_hh_tes!H23=0,0,11630*1000*SER_hh_tes!H23/SER_hh_num!H23)</f>
        <v>21131.655588700665</v>
      </c>
      <c r="I23" s="133">
        <f>IF(SER_hh_tes!I23=0,0,11630*1000*SER_hh_tes!I23/SER_hh_num!I23)</f>
        <v>21474.600375760223</v>
      </c>
      <c r="J23" s="133">
        <f>IF(SER_hh_tes!J23=0,0,11630*1000*SER_hh_tes!J23/SER_hh_num!J23)</f>
        <v>20923.702166890907</v>
      </c>
      <c r="K23" s="133">
        <f>IF(SER_hh_tes!K23=0,0,11630*1000*SER_hh_tes!K23/SER_hh_num!K23)</f>
        <v>21154.840279061147</v>
      </c>
      <c r="L23" s="133">
        <f>IF(SER_hh_tes!L23=0,0,11630*1000*SER_hh_tes!L23/SER_hh_num!L23)</f>
        <v>23208.068817635398</v>
      </c>
      <c r="M23" s="133">
        <f>IF(SER_hh_tes!M23=0,0,11630*1000*SER_hh_tes!M23/SER_hh_num!M23)</f>
        <v>23111.749287131843</v>
      </c>
      <c r="N23" s="133">
        <f>IF(SER_hh_tes!N23=0,0,11630*1000*SER_hh_tes!N23/SER_hh_num!N23)</f>
        <v>23841.673693515586</v>
      </c>
      <c r="O23" s="133">
        <f>IF(SER_hh_tes!O23=0,0,11630*1000*SER_hh_tes!O23/SER_hh_num!O23)</f>
        <v>24508.591146287745</v>
      </c>
      <c r="P23" s="133">
        <f>IF(SER_hh_tes!P23=0,0,11630*1000*SER_hh_tes!P23/SER_hh_num!P23)</f>
        <v>23416.549143469496</v>
      </c>
      <c r="Q23" s="133">
        <f>IF(SER_hh_tes!Q23=0,0,11630*1000*SER_hh_tes!Q23/SER_hh_num!Q23)</f>
        <v>24996.04508238272</v>
      </c>
      <c r="R23" s="133">
        <f>IF(SER_hh_tes!R23=0,0,11630*1000*SER_hh_tes!R23/SER_hh_num!R23)</f>
        <v>23774.180612060663</v>
      </c>
      <c r="S23" s="133">
        <f>IF(SER_hh_tes!S23=0,0,11630*1000*SER_hh_tes!S23/SER_hh_num!S23)</f>
        <v>24476.190736008295</v>
      </c>
      <c r="T23" s="133">
        <f>IF(SER_hh_tes!T23=0,0,11630*1000*SER_hh_tes!T23/SER_hh_num!T23)</f>
        <v>24687.762386567814</v>
      </c>
      <c r="U23" s="133">
        <f>IF(SER_hh_tes!U23=0,0,11630*1000*SER_hh_tes!U23/SER_hh_num!U23)</f>
        <v>24002.22253780067</v>
      </c>
      <c r="V23" s="133">
        <f>IF(SER_hh_tes!V23=0,0,11630*1000*SER_hh_tes!V23/SER_hh_num!V23)</f>
        <v>21848.482244862589</v>
      </c>
      <c r="W23" s="133">
        <f>IF(SER_hh_tes!W23=0,0,11630*1000*SER_hh_tes!W23/SER_hh_num!W23)</f>
        <v>22340.526207318559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17292.547694173401</v>
      </c>
      <c r="C26" s="65">
        <f>IF(SER_hh_tes!C26=0,0,11630*1000*SER_hh_tes!C26/SER_hh_num!C26)</f>
        <v>17959.756462362104</v>
      </c>
      <c r="D26" s="65">
        <f>IF(SER_hh_tes!D26=0,0,11630*1000*SER_hh_tes!D26/SER_hh_num!D26)</f>
        <v>18876.22382813006</v>
      </c>
      <c r="E26" s="65">
        <f>IF(SER_hh_tes!E26=0,0,11630*1000*SER_hh_tes!E26/SER_hh_num!E26)</f>
        <v>19081.48940092104</v>
      </c>
      <c r="F26" s="65">
        <f>IF(SER_hh_tes!F26=0,0,11630*1000*SER_hh_tes!F26/SER_hh_num!F26)</f>
        <v>19508.040647038673</v>
      </c>
      <c r="G26" s="65">
        <f>IF(SER_hh_tes!G26=0,0,11630*1000*SER_hh_tes!G26/SER_hh_num!G26)</f>
        <v>20586.46282599639</v>
      </c>
      <c r="H26" s="65">
        <f>IF(SER_hh_tes!H26=0,0,11630*1000*SER_hh_tes!H26/SER_hh_num!H26)</f>
        <v>20333.636862156465</v>
      </c>
      <c r="I26" s="65">
        <f>IF(SER_hh_tes!I26=0,0,11630*1000*SER_hh_tes!I26/SER_hh_num!I26)</f>
        <v>19780.399719278546</v>
      </c>
      <c r="J26" s="65">
        <f>IF(SER_hh_tes!J26=0,0,11630*1000*SER_hh_tes!J26/SER_hh_num!J26)</f>
        <v>20004.339790843398</v>
      </c>
      <c r="K26" s="65">
        <f>IF(SER_hh_tes!K26=0,0,11630*1000*SER_hh_tes!K26/SER_hh_num!K26)</f>
        <v>20435.197423021382</v>
      </c>
      <c r="L26" s="65">
        <f>IF(SER_hh_tes!L26=0,0,11630*1000*SER_hh_tes!L26/SER_hh_num!L26)</f>
        <v>21476.642591731659</v>
      </c>
      <c r="M26" s="65">
        <f>IF(SER_hh_tes!M26=0,0,11630*1000*SER_hh_tes!M26/SER_hh_num!M26)</f>
        <v>22271.658999951957</v>
      </c>
      <c r="N26" s="65">
        <f>IF(SER_hh_tes!N26=0,0,11630*1000*SER_hh_tes!N26/SER_hh_num!N26)</f>
        <v>22110.910696775525</v>
      </c>
      <c r="O26" s="65">
        <f>IF(SER_hh_tes!O26=0,0,11630*1000*SER_hh_tes!O26/SER_hh_num!O26)</f>
        <v>22498.459262627879</v>
      </c>
      <c r="P26" s="65">
        <f>IF(SER_hh_tes!P26=0,0,11630*1000*SER_hh_tes!P26/SER_hh_num!P26)</f>
        <v>23258.128794083103</v>
      </c>
      <c r="Q26" s="65">
        <f>IF(SER_hh_tes!Q26=0,0,11630*1000*SER_hh_tes!Q26/SER_hh_num!Q26)</f>
        <v>23445.464829334658</v>
      </c>
      <c r="R26" s="65">
        <f>IF(SER_hh_tes!R26=0,0,11630*1000*SER_hh_tes!R26/SER_hh_num!R26)</f>
        <v>23419.457627875421</v>
      </c>
      <c r="S26" s="65">
        <f>IF(SER_hh_tes!S26=0,0,11630*1000*SER_hh_tes!S26/SER_hh_num!S26)</f>
        <v>23475.094251701568</v>
      </c>
      <c r="T26" s="65">
        <f>IF(SER_hh_tes!T26=0,0,11630*1000*SER_hh_tes!T26/SER_hh_num!T26)</f>
        <v>23367.490008718374</v>
      </c>
      <c r="U26" s="65">
        <f>IF(SER_hh_tes!U26=0,0,11630*1000*SER_hh_tes!U26/SER_hh_num!U26)</f>
        <v>22928.133472052803</v>
      </c>
      <c r="V26" s="65">
        <f>IF(SER_hh_tes!V26=0,0,11630*1000*SER_hh_tes!V26/SER_hh_num!V26)</f>
        <v>20756.822034837416</v>
      </c>
      <c r="W26" s="65">
        <f>IF(SER_hh_tes!W26=0,0,11630*1000*SER_hh_tes!W26/SER_hh_num!W26)</f>
        <v>20907.918449174555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816.58095573709431</v>
      </c>
      <c r="C27" s="146">
        <f>IF(SER_hh_tes!C27=0,0,11630*1000*SER_hh_tes!C27/SER_hh_num!C19)</f>
        <v>794.42630457811651</v>
      </c>
      <c r="D27" s="146">
        <f>IF(SER_hh_tes!D27=0,0,11630*1000*SER_hh_tes!D27/SER_hh_num!D19)</f>
        <v>783.81064760748393</v>
      </c>
      <c r="E27" s="146">
        <f>IF(SER_hh_tes!E27=0,0,11630*1000*SER_hh_tes!E27/SER_hh_num!E19)</f>
        <v>771.84532209420831</v>
      </c>
      <c r="F27" s="146">
        <f>IF(SER_hh_tes!F27=0,0,11630*1000*SER_hh_tes!F27/SER_hh_num!F19)</f>
        <v>766.80506272487912</v>
      </c>
      <c r="G27" s="146">
        <f>IF(SER_hh_tes!G27=0,0,11630*1000*SER_hh_tes!G27/SER_hh_num!G19)</f>
        <v>700.65492124441698</v>
      </c>
      <c r="H27" s="146">
        <f>IF(SER_hh_tes!H27=0,0,11630*1000*SER_hh_tes!H27/SER_hh_num!H19)</f>
        <v>725.70408974986321</v>
      </c>
      <c r="I27" s="146">
        <f>IF(SER_hh_tes!I27=0,0,11630*1000*SER_hh_tes!I27/SER_hh_num!I19)</f>
        <v>764.07899679804871</v>
      </c>
      <c r="J27" s="146">
        <f>IF(SER_hh_tes!J27=0,0,11630*1000*SER_hh_tes!J27/SER_hh_num!J19)</f>
        <v>867.54096351174826</v>
      </c>
      <c r="K27" s="146">
        <f>IF(SER_hh_tes!K27=0,0,11630*1000*SER_hh_tes!K27/SER_hh_num!K19)</f>
        <v>952.64262461849307</v>
      </c>
      <c r="L27" s="146">
        <f>IF(SER_hh_tes!L27=0,0,11630*1000*SER_hh_tes!L27/SER_hh_num!L19)</f>
        <v>988.1868728982796</v>
      </c>
      <c r="M27" s="146">
        <f>IF(SER_hh_tes!M27=0,0,11630*1000*SER_hh_tes!M27/SER_hh_num!M19)</f>
        <v>1011.800334741371</v>
      </c>
      <c r="N27" s="146">
        <f>IF(SER_hh_tes!N27=0,0,11630*1000*SER_hh_tes!N27/SER_hh_num!N19)</f>
        <v>1018.2969207543679</v>
      </c>
      <c r="O27" s="146">
        <f>IF(SER_hh_tes!O27=0,0,11630*1000*SER_hh_tes!O27/SER_hh_num!O19)</f>
        <v>1033.5471470602222</v>
      </c>
      <c r="P27" s="146">
        <f>IF(SER_hh_tes!P27=0,0,11630*1000*SER_hh_tes!P27/SER_hh_num!P19)</f>
        <v>1059.3232230742994</v>
      </c>
      <c r="Q27" s="146">
        <f>IF(SER_hh_tes!Q27=0,0,11630*1000*SER_hh_tes!Q27/SER_hh_num!Q19)</f>
        <v>1080.2772230421515</v>
      </c>
      <c r="R27" s="146">
        <f>IF(SER_hh_tes!R27=0,0,11630*1000*SER_hh_tes!R27/SER_hh_num!R19)</f>
        <v>1101.3904996210945</v>
      </c>
      <c r="S27" s="146">
        <f>IF(SER_hh_tes!S27=0,0,11630*1000*SER_hh_tes!S27/SER_hh_num!S19)</f>
        <v>1123.507629666542</v>
      </c>
      <c r="T27" s="146">
        <f>IF(SER_hh_tes!T27=0,0,11630*1000*SER_hh_tes!T27/SER_hh_num!T19)</f>
        <v>1139.6361783893365</v>
      </c>
      <c r="U27" s="146">
        <f>IF(SER_hh_tes!U27=0,0,11630*1000*SER_hh_tes!U27/SER_hh_num!U19)</f>
        <v>1151.6657856950733</v>
      </c>
      <c r="V27" s="146">
        <f>IF(SER_hh_tes!V27=0,0,11630*1000*SER_hh_tes!V27/SER_hh_num!V19)</f>
        <v>1171.4382495831237</v>
      </c>
      <c r="W27" s="146">
        <f>IF(SER_hh_tes!W27=0,0,11630*1000*SER_hh_tes!W27/SER_hh_num!W19)</f>
        <v>1206.0920365135194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14521.408276976441</v>
      </c>
      <c r="C28" s="147">
        <f>IF(SER_hh_tes!C27=0,0,11630*1000*SER_hh_tes!C27/SER_hh_num!C27)</f>
        <v>15142.963377927874</v>
      </c>
      <c r="D28" s="147">
        <f>IF(SER_hh_tes!D27=0,0,11630*1000*SER_hh_tes!D27/SER_hh_num!D27)</f>
        <v>15752.973818433811</v>
      </c>
      <c r="E28" s="147">
        <f>IF(SER_hh_tes!E27=0,0,11630*1000*SER_hh_tes!E27/SER_hh_num!E27)</f>
        <v>16018.406206823713</v>
      </c>
      <c r="F28" s="147">
        <f>IF(SER_hh_tes!F27=0,0,11630*1000*SER_hh_tes!F27/SER_hh_num!F27)</f>
        <v>16202.726625241594</v>
      </c>
      <c r="G28" s="147">
        <f>IF(SER_hh_tes!G27=0,0,11630*1000*SER_hh_tes!G27/SER_hh_num!G27)</f>
        <v>16549.843995555169</v>
      </c>
      <c r="H28" s="147">
        <f>IF(SER_hh_tes!H27=0,0,11630*1000*SER_hh_tes!H27/SER_hh_num!H27)</f>
        <v>16840.156240630109</v>
      </c>
      <c r="I28" s="147">
        <f>IF(SER_hh_tes!I27=0,0,11630*1000*SER_hh_tes!I27/SER_hh_num!I27)</f>
        <v>16469.420158843423</v>
      </c>
      <c r="J28" s="147">
        <f>IF(SER_hh_tes!J27=0,0,11630*1000*SER_hh_tes!J27/SER_hh_num!J27)</f>
        <v>16768.363626465121</v>
      </c>
      <c r="K28" s="147">
        <f>IF(SER_hh_tes!K27=0,0,11630*1000*SER_hh_tes!K27/SER_hh_num!K27)</f>
        <v>17119.645469245472</v>
      </c>
      <c r="L28" s="147">
        <f>IF(SER_hh_tes!L27=0,0,11630*1000*SER_hh_tes!L27/SER_hh_num!L27)</f>
        <v>17993.891067147189</v>
      </c>
      <c r="M28" s="147">
        <f>IF(SER_hh_tes!M27=0,0,11630*1000*SER_hh_tes!M27/SER_hh_num!M27)</f>
        <v>18683.930804821128</v>
      </c>
      <c r="N28" s="147">
        <f>IF(SER_hh_tes!N27=0,0,11630*1000*SER_hh_tes!N27/SER_hh_num!N27)</f>
        <v>19441.672139134324</v>
      </c>
      <c r="O28" s="147">
        <f>IF(SER_hh_tes!O27=0,0,11630*1000*SER_hh_tes!O27/SER_hh_num!O27)</f>
        <v>19436.193711393993</v>
      </c>
      <c r="P28" s="147">
        <f>IF(SER_hh_tes!P27=0,0,11630*1000*SER_hh_tes!P27/SER_hh_num!P27)</f>
        <v>20006.659272222321</v>
      </c>
      <c r="Q28" s="147">
        <f>IF(SER_hh_tes!Q27=0,0,11630*1000*SER_hh_tes!Q27/SER_hh_num!Q27)</f>
        <v>20457.332914022081</v>
      </c>
      <c r="R28" s="147">
        <f>IF(SER_hh_tes!R27=0,0,11630*1000*SER_hh_tes!R27/SER_hh_num!R27)</f>
        <v>19722.360276962874</v>
      </c>
      <c r="S28" s="147">
        <f>IF(SER_hh_tes!S27=0,0,11630*1000*SER_hh_tes!S27/SER_hh_num!S27)</f>
        <v>19707.275907518917</v>
      </c>
      <c r="T28" s="147">
        <f>IF(SER_hh_tes!T27=0,0,11630*1000*SER_hh_tes!T27/SER_hh_num!T27)</f>
        <v>19761.018691124867</v>
      </c>
      <c r="U28" s="147">
        <f>IF(SER_hh_tes!U27=0,0,11630*1000*SER_hh_tes!U27/SER_hh_num!U27)</f>
        <v>19660.627700565798</v>
      </c>
      <c r="V28" s="147">
        <f>IF(SER_hh_tes!V27=0,0,11630*1000*SER_hh_tes!V27/SER_hh_num!V27)</f>
        <v>17676.731261238219</v>
      </c>
      <c r="W28" s="147">
        <f>IF(SER_hh_tes!W27=0,0,11630*1000*SER_hh_tes!W27/SER_hh_num!W27)</f>
        <v>17889.399368561921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24440.79909771516</v>
      </c>
      <c r="C29" s="131">
        <f>IF(SER_hh_tes!C29=0,0,11630*1000*SER_hh_tes!C29/SER_hh_num!C29)</f>
        <v>24904.949039258641</v>
      </c>
      <c r="D29" s="131">
        <f>IF(SER_hh_tes!D29=0,0,11630*1000*SER_hh_tes!D29/SER_hh_num!D29)</f>
        <v>25794.417786742997</v>
      </c>
      <c r="E29" s="131">
        <f>IF(SER_hh_tes!E29=0,0,11630*1000*SER_hh_tes!E29/SER_hh_num!E29)</f>
        <v>25334.340930826984</v>
      </c>
      <c r="F29" s="131">
        <f>IF(SER_hh_tes!F29=0,0,11630*1000*SER_hh_tes!F29/SER_hh_num!F29)</f>
        <v>25944.809924332731</v>
      </c>
      <c r="G29" s="131">
        <f>IF(SER_hh_tes!G29=0,0,11630*1000*SER_hh_tes!G29/SER_hh_num!G29)</f>
        <v>26274.571657677625</v>
      </c>
      <c r="H29" s="131">
        <f>IF(SER_hh_tes!H29=0,0,11630*1000*SER_hh_tes!H29/SER_hh_num!H29)</f>
        <v>25713.804386466567</v>
      </c>
      <c r="I29" s="131">
        <f>IF(SER_hh_tes!I29=0,0,11630*1000*SER_hh_tes!I29/SER_hh_num!I29)</f>
        <v>24998.572527741904</v>
      </c>
      <c r="J29" s="131">
        <f>IF(SER_hh_tes!J29=0,0,11630*1000*SER_hh_tes!J29/SER_hh_num!J29)</f>
        <v>24797.528971332235</v>
      </c>
      <c r="K29" s="131">
        <f>IF(SER_hh_tes!K29=0,0,11630*1000*SER_hh_tes!K29/SER_hh_num!K29)</f>
        <v>25488.755994007555</v>
      </c>
      <c r="L29" s="131">
        <f>IF(SER_hh_tes!L29=0,0,11630*1000*SER_hh_tes!L29/SER_hh_num!L29)</f>
        <v>26645.653964214078</v>
      </c>
      <c r="M29" s="131">
        <f>IF(SER_hh_tes!M29=0,0,11630*1000*SER_hh_tes!M29/SER_hh_num!M29)</f>
        <v>27484.151634360522</v>
      </c>
      <c r="N29" s="131">
        <f>IF(SER_hh_tes!N29=0,0,11630*1000*SER_hh_tes!N29/SER_hh_num!N29)</f>
        <v>27473.472466552128</v>
      </c>
      <c r="O29" s="131">
        <f>IF(SER_hh_tes!O29=0,0,11630*1000*SER_hh_tes!O29/SER_hh_num!O29)</f>
        <v>28014.024196207429</v>
      </c>
      <c r="P29" s="131">
        <f>IF(SER_hh_tes!P29=0,0,11630*1000*SER_hh_tes!P29/SER_hh_num!P29)</f>
        <v>28039.501687550397</v>
      </c>
      <c r="Q29" s="131">
        <f>IF(SER_hh_tes!Q29=0,0,11630*1000*SER_hh_tes!Q29/SER_hh_num!Q29)</f>
        <v>27596.419585228621</v>
      </c>
      <c r="R29" s="131">
        <f>IF(SER_hh_tes!R29=0,0,11630*1000*SER_hh_tes!R29/SER_hh_num!R29)</f>
        <v>27663.75078878157</v>
      </c>
      <c r="S29" s="131">
        <f>IF(SER_hh_tes!S29=0,0,11630*1000*SER_hh_tes!S29/SER_hh_num!S29)</f>
        <v>27705.985873643545</v>
      </c>
      <c r="T29" s="131">
        <f>IF(SER_hh_tes!T29=0,0,11630*1000*SER_hh_tes!T29/SER_hh_num!T29)</f>
        <v>27433.366832209587</v>
      </c>
      <c r="U29" s="131">
        <f>IF(SER_hh_tes!U29=0,0,11630*1000*SER_hh_tes!U29/SER_hh_num!U29)</f>
        <v>26818.827843238094</v>
      </c>
      <c r="V29" s="131">
        <f>IF(SER_hh_tes!V29=0,0,11630*1000*SER_hh_tes!V29/SER_hh_num!V29)</f>
        <v>23004.364996833083</v>
      </c>
      <c r="W29" s="131">
        <f>IF(SER_hh_tes!W29=0,0,11630*1000*SER_hh_tes!W29/SER_hh_num!W29)</f>
        <v>25946.487046546263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24376.238053746918</v>
      </c>
      <c r="C30" s="133">
        <f>IF(SER_hh_tes!C30=0,0,11630*1000*SER_hh_tes!C30/SER_hh_num!C30)</f>
        <v>27866.817453309002</v>
      </c>
      <c r="D30" s="133">
        <f>IF(SER_hh_tes!D30=0,0,11630*1000*SER_hh_tes!D30/SER_hh_num!D30)</f>
        <v>17051.068950680183</v>
      </c>
      <c r="E30" s="133">
        <f>IF(SER_hh_tes!E30=0,0,11630*1000*SER_hh_tes!E30/SER_hh_num!E30)</f>
        <v>17185.041769296258</v>
      </c>
      <c r="F30" s="133">
        <f>IF(SER_hh_tes!F30=0,0,11630*1000*SER_hh_tes!F30/SER_hh_num!F30)</f>
        <v>34294.513907822628</v>
      </c>
      <c r="G30" s="133">
        <f>IF(SER_hh_tes!G30=0,0,11630*1000*SER_hh_tes!G30/SER_hh_num!G30)</f>
        <v>27252.502615270452</v>
      </c>
      <c r="H30" s="133">
        <f>IF(SER_hh_tes!H30=0,0,11630*1000*SER_hh_tes!H30/SER_hh_num!H30)</f>
        <v>25680.191224090133</v>
      </c>
      <c r="I30" s="133">
        <f>IF(SER_hh_tes!I30=0,0,11630*1000*SER_hh_tes!I30/SER_hh_num!I30)</f>
        <v>24882.7438445109</v>
      </c>
      <c r="J30" s="133">
        <f>IF(SER_hh_tes!J30=0,0,11630*1000*SER_hh_tes!J30/SER_hh_num!J30)</f>
        <v>23627.09395980823</v>
      </c>
      <c r="K30" s="133">
        <f>IF(SER_hh_tes!K30=0,0,11630*1000*SER_hh_tes!K30/SER_hh_num!K30)</f>
        <v>22124.360182411423</v>
      </c>
      <c r="L30" s="133">
        <f>IF(SER_hh_tes!L30=0,0,11630*1000*SER_hh_tes!L30/SER_hh_num!L30)</f>
        <v>23536.910281549932</v>
      </c>
      <c r="M30" s="133">
        <f>IF(SER_hh_tes!M30=0,0,11630*1000*SER_hh_tes!M30/SER_hh_num!M30)</f>
        <v>16938.650849727215</v>
      </c>
      <c r="N30" s="133">
        <f>IF(SER_hh_tes!N30=0,0,11630*1000*SER_hh_tes!N30/SER_hh_num!N30)</f>
        <v>46497.737022859117</v>
      </c>
      <c r="O30" s="133">
        <f>IF(SER_hh_tes!O30=0,0,11630*1000*SER_hh_tes!O30/SER_hh_num!O30)</f>
        <v>31998.06982880069</v>
      </c>
      <c r="P30" s="133">
        <f>IF(SER_hh_tes!P30=0,0,11630*1000*SER_hh_tes!P30/SER_hh_num!P30)</f>
        <v>18967.423336263608</v>
      </c>
      <c r="Q30" s="133">
        <f>IF(SER_hh_tes!Q30=0,0,11630*1000*SER_hh_tes!Q30/SER_hh_num!Q30)</f>
        <v>22449.652073376492</v>
      </c>
      <c r="R30" s="133">
        <f>IF(SER_hh_tes!R30=0,0,11630*1000*SER_hh_tes!R30/SER_hh_num!R30)</f>
        <v>25308.170036099429</v>
      </c>
      <c r="S30" s="133">
        <f>IF(SER_hh_tes!S30=0,0,11630*1000*SER_hh_tes!S30/SER_hh_num!S30)</f>
        <v>27562.41238407325</v>
      </c>
      <c r="T30" s="133">
        <f>IF(SER_hh_tes!T30=0,0,11630*1000*SER_hh_tes!T30/SER_hh_num!T30)</f>
        <v>27925.836460004597</v>
      </c>
      <c r="U30" s="133">
        <f>IF(SER_hh_tes!U30=0,0,11630*1000*SER_hh_tes!U30/SER_hh_num!U30)</f>
        <v>30023.649812774969</v>
      </c>
      <c r="V30" s="133">
        <f>IF(SER_hh_tes!V30=0,0,11630*1000*SER_hh_tes!V30/SER_hh_num!V30)</f>
        <v>19568.481172476248</v>
      </c>
      <c r="W30" s="133">
        <f>IF(SER_hh_tes!W30=0,0,11630*1000*SER_hh_tes!W30/SER_hh_num!W30)</f>
        <v>28362.073005355542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21885.632093910779</v>
      </c>
      <c r="C31" s="133">
        <f>IF(SER_hh_tes!C31=0,0,11630*1000*SER_hh_tes!C31/SER_hh_num!C31)</f>
        <v>23789.389291551346</v>
      </c>
      <c r="D31" s="133">
        <f>IF(SER_hh_tes!D31=0,0,11630*1000*SER_hh_tes!D31/SER_hh_num!D31)</f>
        <v>22830.717407822482</v>
      </c>
      <c r="E31" s="133">
        <f>IF(SER_hh_tes!E31=0,0,11630*1000*SER_hh_tes!E31/SER_hh_num!E31)</f>
        <v>23965.338188228568</v>
      </c>
      <c r="F31" s="133">
        <f>IF(SER_hh_tes!F31=0,0,11630*1000*SER_hh_tes!F31/SER_hh_num!F31)</f>
        <v>24507.458903224979</v>
      </c>
      <c r="G31" s="133">
        <f>IF(SER_hh_tes!G31=0,0,11630*1000*SER_hh_tes!G31/SER_hh_num!G31)</f>
        <v>27414.855333343654</v>
      </c>
      <c r="H31" s="133">
        <f>IF(SER_hh_tes!H31=0,0,11630*1000*SER_hh_tes!H31/SER_hh_num!H31)</f>
        <v>25524.353852681248</v>
      </c>
      <c r="I31" s="133">
        <f>IF(SER_hh_tes!I31=0,0,11630*1000*SER_hh_tes!I31/SER_hh_num!I31)</f>
        <v>24457.845123983487</v>
      </c>
      <c r="J31" s="133">
        <f>IF(SER_hh_tes!J31=0,0,11630*1000*SER_hh_tes!J31/SER_hh_num!J31)</f>
        <v>24288.231777168996</v>
      </c>
      <c r="K31" s="133">
        <f>IF(SER_hh_tes!K31=0,0,11630*1000*SER_hh_tes!K31/SER_hh_num!K31)</f>
        <v>25936.282342554499</v>
      </c>
      <c r="L31" s="133">
        <f>IF(SER_hh_tes!L31=0,0,11630*1000*SER_hh_tes!L31/SER_hh_num!L31)</f>
        <v>27101.02488348545</v>
      </c>
      <c r="M31" s="133">
        <f>IF(SER_hh_tes!M31=0,0,11630*1000*SER_hh_tes!M31/SER_hh_num!M31)</f>
        <v>28240.784546538747</v>
      </c>
      <c r="N31" s="133">
        <f>IF(SER_hh_tes!N31=0,0,11630*1000*SER_hh_tes!N31/SER_hh_num!N31)</f>
        <v>27907.873666347423</v>
      </c>
      <c r="O31" s="133">
        <f>IF(SER_hh_tes!O31=0,0,11630*1000*SER_hh_tes!O31/SER_hh_num!O31)</f>
        <v>27526.221742983038</v>
      </c>
      <c r="P31" s="133">
        <f>IF(SER_hh_tes!P31=0,0,11630*1000*SER_hh_tes!P31/SER_hh_num!P31)</f>
        <v>28413.334829930562</v>
      </c>
      <c r="Q31" s="133">
        <f>IF(SER_hh_tes!Q31=0,0,11630*1000*SER_hh_tes!Q31/SER_hh_num!Q31)</f>
        <v>28306.047208068088</v>
      </c>
      <c r="R31" s="133">
        <f>IF(SER_hh_tes!R31=0,0,11630*1000*SER_hh_tes!R31/SER_hh_num!R31)</f>
        <v>27685.079743998438</v>
      </c>
      <c r="S31" s="133">
        <f>IF(SER_hh_tes!S31=0,0,11630*1000*SER_hh_tes!S31/SER_hh_num!S31)</f>
        <v>27251.598938038936</v>
      </c>
      <c r="T31" s="133">
        <f>IF(SER_hh_tes!T31=0,0,11630*1000*SER_hh_tes!T31/SER_hh_num!T31)</f>
        <v>26674.102255407102</v>
      </c>
      <c r="U31" s="133">
        <f>IF(SER_hh_tes!U31=0,0,11630*1000*SER_hh_tes!U31/SER_hh_num!U31)</f>
        <v>26451.865075170073</v>
      </c>
      <c r="V31" s="133">
        <f>IF(SER_hh_tes!V31=0,0,11630*1000*SER_hh_tes!V31/SER_hh_num!V31)</f>
        <v>23810.968723309314</v>
      </c>
      <c r="W31" s="133">
        <f>IF(SER_hh_tes!W31=0,0,11630*1000*SER_hh_tes!W31/SER_hh_num!W31)</f>
        <v>25572.056856387233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24461.838554644371</v>
      </c>
      <c r="C33" s="68">
        <f>IF(SER_hh_tes!C33=0,0,11630*1000*SER_hh_tes!C33/SER_hh_num!C33)</f>
        <v>24731.779140050705</v>
      </c>
      <c r="D33" s="68">
        <f>IF(SER_hh_tes!D33=0,0,11630*1000*SER_hh_tes!D33/SER_hh_num!D33)</f>
        <v>26341.278124682907</v>
      </c>
      <c r="E33" s="68">
        <f>IF(SER_hh_tes!E33=0,0,11630*1000*SER_hh_tes!E33/SER_hh_num!E33)</f>
        <v>25930.650787197752</v>
      </c>
      <c r="F33" s="68">
        <f>IF(SER_hh_tes!F33=0,0,11630*1000*SER_hh_tes!F33/SER_hh_num!F33)</f>
        <v>25162.437735267311</v>
      </c>
      <c r="G33" s="68">
        <f>IF(SER_hh_tes!G33=0,0,11630*1000*SER_hh_tes!G33/SER_hh_num!G33)</f>
        <v>26136.843945266344</v>
      </c>
      <c r="H33" s="68">
        <f>IF(SER_hh_tes!H33=0,0,11630*1000*SER_hh_tes!H33/SER_hh_num!H33)</f>
        <v>25724.219967412009</v>
      </c>
      <c r="I33" s="68">
        <f>IF(SER_hh_tes!I33=0,0,11630*1000*SER_hh_tes!I33/SER_hh_num!I33)</f>
        <v>25032.624799234189</v>
      </c>
      <c r="J33" s="68">
        <f>IF(SER_hh_tes!J33=0,0,11630*1000*SER_hh_tes!J33/SER_hh_num!J33)</f>
        <v>24932.081836330024</v>
      </c>
      <c r="K33" s="68">
        <f>IF(SER_hh_tes!K33=0,0,11630*1000*SER_hh_tes!K33/SER_hh_num!K33)</f>
        <v>25775.8444480078</v>
      </c>
      <c r="L33" s="68">
        <f>IF(SER_hh_tes!L33=0,0,11630*1000*SER_hh_tes!L33/SER_hh_num!L33)</f>
        <v>26917.054652384541</v>
      </c>
      <c r="M33" s="68">
        <f>IF(SER_hh_tes!M33=0,0,11630*1000*SER_hh_tes!M33/SER_hh_num!M33)</f>
        <v>28691.765533982249</v>
      </c>
      <c r="N33" s="68">
        <f>IF(SER_hh_tes!N33=0,0,11630*1000*SER_hh_tes!N33/SER_hh_num!N33)</f>
        <v>24681.412287815914</v>
      </c>
      <c r="O33" s="68">
        <f>IF(SER_hh_tes!O33=0,0,11630*1000*SER_hh_tes!O33/SER_hh_num!O33)</f>
        <v>27496.910397448271</v>
      </c>
      <c r="P33" s="68">
        <f>IF(SER_hh_tes!P33=0,0,11630*1000*SER_hh_tes!P33/SER_hh_num!P33)</f>
        <v>29070.726997017598</v>
      </c>
      <c r="Q33" s="68">
        <f>IF(SER_hh_tes!Q33=0,0,11630*1000*SER_hh_tes!Q33/SER_hh_num!Q33)</f>
        <v>28126.988565272284</v>
      </c>
      <c r="R33" s="68">
        <f>IF(SER_hh_tes!R33=0,0,11630*1000*SER_hh_tes!R33/SER_hh_num!R33)</f>
        <v>27950.017162621767</v>
      </c>
      <c r="S33" s="68">
        <f>IF(SER_hh_tes!S33=0,0,11630*1000*SER_hh_tes!S33/SER_hh_num!S33)</f>
        <v>27764.092902662967</v>
      </c>
      <c r="T33" s="68">
        <f>IF(SER_hh_tes!T33=0,0,11630*1000*SER_hh_tes!T33/SER_hh_num!T33)</f>
        <v>27434.067479632773</v>
      </c>
      <c r="U33" s="68">
        <f>IF(SER_hh_tes!U33=0,0,11630*1000*SER_hh_tes!U33/SER_hh_num!U33)</f>
        <v>26386.209669380936</v>
      </c>
      <c r="V33" s="68">
        <f>IF(SER_hh_tes!V33=0,0,11630*1000*SER_hh_tes!V33/SER_hh_num!V33)</f>
        <v>23406.752467565668</v>
      </c>
      <c r="W33" s="68">
        <f>IF(SER_hh_tes!W33=0,0,11630*1000*SER_hh_tes!W33/SER_hh_num!W33)</f>
        <v>25630.66013904379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9466.5252556035248</v>
      </c>
      <c r="C3" s="126">
        <f>IF(SER_hh_emi!C3=0,0,1000000*SER_hh_emi!C3/SER_hh_num!C3)</f>
        <v>11783.639628036302</v>
      </c>
      <c r="D3" s="126">
        <f>IF(SER_hh_emi!D3=0,0,1000000*SER_hh_emi!D3/SER_hh_num!D3)</f>
        <v>11605.650237875499</v>
      </c>
      <c r="E3" s="126">
        <f>IF(SER_hh_emi!E3=0,0,1000000*SER_hh_emi!E3/SER_hh_num!E3)</f>
        <v>12210.050553920539</v>
      </c>
      <c r="F3" s="126">
        <f>IF(SER_hh_emi!F3=0,0,1000000*SER_hh_emi!F3/SER_hh_num!F3)</f>
        <v>12670.012879820995</v>
      </c>
      <c r="G3" s="126">
        <f>IF(SER_hh_emi!G3=0,0,1000000*SER_hh_emi!G3/SER_hh_num!G3)</f>
        <v>15473.559321685651</v>
      </c>
      <c r="H3" s="126">
        <f>IF(SER_hh_emi!H3=0,0,1000000*SER_hh_emi!H3/SER_hh_num!H3)</f>
        <v>15507.397030421718</v>
      </c>
      <c r="I3" s="126">
        <f>IF(SER_hh_emi!I3=0,0,1000000*SER_hh_emi!I3/SER_hh_num!I3)</f>
        <v>14169.334876358602</v>
      </c>
      <c r="J3" s="126">
        <f>IF(SER_hh_emi!J3=0,0,1000000*SER_hh_emi!J3/SER_hh_num!J3)</f>
        <v>13875.42029129818</v>
      </c>
      <c r="K3" s="126">
        <f>IF(SER_hh_emi!K3=0,0,1000000*SER_hh_emi!K3/SER_hh_num!K3)</f>
        <v>11331.105949992332</v>
      </c>
      <c r="L3" s="126">
        <f>IF(SER_hh_emi!L3=0,0,1000000*SER_hh_emi!L3/SER_hh_num!L3)</f>
        <v>10424.109934330636</v>
      </c>
      <c r="M3" s="126">
        <f>IF(SER_hh_emi!M3=0,0,1000000*SER_hh_emi!M3/SER_hh_num!M3)</f>
        <v>10508.095432680946</v>
      </c>
      <c r="N3" s="126">
        <f>IF(SER_hh_emi!N3=0,0,1000000*SER_hh_emi!N3/SER_hh_num!N3)</f>
        <v>7813.0979965928145</v>
      </c>
      <c r="O3" s="126">
        <f>IF(SER_hh_emi!O3=0,0,1000000*SER_hh_emi!O3/SER_hh_num!O3)</f>
        <v>8359.8485884084457</v>
      </c>
      <c r="P3" s="126">
        <f>IF(SER_hh_emi!P3=0,0,1000000*SER_hh_emi!P3/SER_hh_num!P3)</f>
        <v>5979.4397157072299</v>
      </c>
      <c r="Q3" s="126">
        <f>IF(SER_hh_emi!Q3=0,0,1000000*SER_hh_emi!Q3/SER_hh_num!Q3)</f>
        <v>7107.8167588772803</v>
      </c>
      <c r="R3" s="126">
        <f>IF(SER_hh_emi!R3=0,0,1000000*SER_hh_emi!R3/SER_hh_num!R3)</f>
        <v>8406.5751233556566</v>
      </c>
      <c r="S3" s="126">
        <f>IF(SER_hh_emi!S3=0,0,1000000*SER_hh_emi!S3/SER_hh_num!S3)</f>
        <v>6820.1663244801211</v>
      </c>
      <c r="T3" s="126">
        <f>IF(SER_hh_emi!T3=0,0,1000000*SER_hh_emi!T3/SER_hh_num!T3)</f>
        <v>6510.1243600943262</v>
      </c>
      <c r="U3" s="126">
        <f>IF(SER_hh_emi!U3=0,0,1000000*SER_hh_emi!U3/SER_hh_num!U3)</f>
        <v>6782.7322367879378</v>
      </c>
      <c r="V3" s="126">
        <f>IF(SER_hh_emi!V3=0,0,1000000*SER_hh_emi!V3/SER_hh_num!V3)</f>
        <v>5371.1689636890296</v>
      </c>
      <c r="W3" s="126">
        <f>IF(SER_hh_emi!W3=0,0,1000000*SER_hh_emi!W3/SER_hh_num!W3)</f>
        <v>5717.4590479655908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8025.5691605249613</v>
      </c>
      <c r="C4" s="131">
        <f>IF(SER_hh_emi!C4=0,0,1000000*SER_hh_emi!C4/SER_hh_num!C4)</f>
        <v>10252.341887476312</v>
      </c>
      <c r="D4" s="131">
        <f>IF(SER_hh_emi!D4=0,0,1000000*SER_hh_emi!D4/SER_hh_num!D4)</f>
        <v>10296.280166874863</v>
      </c>
      <c r="E4" s="131">
        <f>IF(SER_hh_emi!E4=0,0,1000000*SER_hh_emi!E4/SER_hh_num!E4)</f>
        <v>10772.123728872622</v>
      </c>
      <c r="F4" s="131">
        <f>IF(SER_hh_emi!F4=0,0,1000000*SER_hh_emi!F4/SER_hh_num!F4)</f>
        <v>10317.173764768437</v>
      </c>
      <c r="G4" s="131">
        <f>IF(SER_hh_emi!G4=0,0,1000000*SER_hh_emi!G4/SER_hh_num!G4)</f>
        <v>13051.450638854574</v>
      </c>
      <c r="H4" s="131">
        <f>IF(SER_hh_emi!H4=0,0,1000000*SER_hh_emi!H4/SER_hh_num!H4)</f>
        <v>13088.202303627973</v>
      </c>
      <c r="I4" s="131">
        <f>IF(SER_hh_emi!I4=0,0,1000000*SER_hh_emi!I4/SER_hh_num!I4)</f>
        <v>11705.279428280015</v>
      </c>
      <c r="J4" s="131">
        <f>IF(SER_hh_emi!J4=0,0,1000000*SER_hh_emi!J4/SER_hh_num!J4)</f>
        <v>11359.68479629972</v>
      </c>
      <c r="K4" s="131">
        <f>IF(SER_hh_emi!K4=0,0,1000000*SER_hh_emi!K4/SER_hh_num!K4)</f>
        <v>8724.4465174330671</v>
      </c>
      <c r="L4" s="131">
        <f>IF(SER_hh_emi!L4=0,0,1000000*SER_hh_emi!L4/SER_hh_num!L4)</f>
        <v>7469.4651866199656</v>
      </c>
      <c r="M4" s="131">
        <f>IF(SER_hh_emi!M4=0,0,1000000*SER_hh_emi!M4/SER_hh_num!M4)</f>
        <v>7605.0234892018325</v>
      </c>
      <c r="N4" s="131">
        <f>IF(SER_hh_emi!N4=0,0,1000000*SER_hh_emi!N4/SER_hh_num!N4)</f>
        <v>3243.7273754294451</v>
      </c>
      <c r="O4" s="131">
        <f>IF(SER_hh_emi!O4=0,0,1000000*SER_hh_emi!O4/SER_hh_num!O4)</f>
        <v>4528.1378274797889</v>
      </c>
      <c r="P4" s="131">
        <f>IF(SER_hh_emi!P4=0,0,1000000*SER_hh_emi!P4/SER_hh_num!P4)</f>
        <v>2883.5791946093645</v>
      </c>
      <c r="Q4" s="131">
        <f>IF(SER_hh_emi!Q4=0,0,1000000*SER_hh_emi!Q4/SER_hh_num!Q4)</f>
        <v>3813.883278573297</v>
      </c>
      <c r="R4" s="131">
        <f>IF(SER_hh_emi!R4=0,0,1000000*SER_hh_emi!R4/SER_hh_num!R4)</f>
        <v>4942.6644547335336</v>
      </c>
      <c r="S4" s="131">
        <f>IF(SER_hh_emi!S4=0,0,1000000*SER_hh_emi!S4/SER_hh_num!S4)</f>
        <v>3200.7284235836401</v>
      </c>
      <c r="T4" s="131">
        <f>IF(SER_hh_emi!T4=0,0,1000000*SER_hh_emi!T4/SER_hh_num!T4)</f>
        <v>2932.1920660588771</v>
      </c>
      <c r="U4" s="131">
        <f>IF(SER_hh_emi!U4=0,0,1000000*SER_hh_emi!U4/SER_hh_num!U4)</f>
        <v>3106.4729106453492</v>
      </c>
      <c r="V4" s="131">
        <f>IF(SER_hh_emi!V4=0,0,1000000*SER_hh_emi!V4/SER_hh_num!V4)</f>
        <v>2660.4737728997598</v>
      </c>
      <c r="W4" s="131">
        <f>IF(SER_hh_emi!W4=0,0,1000000*SER_hh_emi!W4/SER_hh_num!W4)</f>
        <v>2420.0987478274064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17030.988245403245</v>
      </c>
      <c r="C7" s="133">
        <f>IF(SER_hh_emi!C7=0,0,1000000*SER_hh_emi!C7/SER_hh_num!C7)</f>
        <v>20722.283185833869</v>
      </c>
      <c r="D7" s="133">
        <f>IF(SER_hh_emi!D7=0,0,1000000*SER_hh_emi!D7/SER_hh_num!D7)</f>
        <v>21507.629197255632</v>
      </c>
      <c r="E7" s="133">
        <f>IF(SER_hh_emi!E7=0,0,1000000*SER_hh_emi!E7/SER_hh_num!E7)</f>
        <v>23092.866383178498</v>
      </c>
      <c r="F7" s="133">
        <f>IF(SER_hh_emi!F7=0,0,1000000*SER_hh_emi!F7/SER_hh_num!F7)</f>
        <v>23592.289040398344</v>
      </c>
      <c r="G7" s="133">
        <f>IF(SER_hh_emi!G7=0,0,1000000*SER_hh_emi!G7/SER_hh_num!G7)</f>
        <v>30141.799175145006</v>
      </c>
      <c r="H7" s="133">
        <f>IF(SER_hh_emi!H7=0,0,1000000*SER_hh_emi!H7/SER_hh_num!H7)</f>
        <v>32759.104395852559</v>
      </c>
      <c r="I7" s="133">
        <f>IF(SER_hh_emi!I7=0,0,1000000*SER_hh_emi!I7/SER_hh_num!I7)</f>
        <v>32654.109871892655</v>
      </c>
      <c r="J7" s="133">
        <f>IF(SER_hh_emi!J7=0,0,1000000*SER_hh_emi!J7/SER_hh_num!J7)</f>
        <v>35861.065034085659</v>
      </c>
      <c r="K7" s="133">
        <f>IF(SER_hh_emi!K7=0,0,1000000*SER_hh_emi!K7/SER_hh_num!K7)</f>
        <v>29933.207453201245</v>
      </c>
      <c r="L7" s="133">
        <f>IF(SER_hh_emi!L7=0,0,1000000*SER_hh_emi!L7/SER_hh_num!L7)</f>
        <v>28800.651056251263</v>
      </c>
      <c r="M7" s="133">
        <f>IF(SER_hh_emi!M7=0,0,1000000*SER_hh_emi!M7/SER_hh_num!M7)</f>
        <v>29044.153392812594</v>
      </c>
      <c r="N7" s="133">
        <f>IF(SER_hh_emi!N7=0,0,1000000*SER_hh_emi!N7/SER_hh_num!N7)</f>
        <v>13317.614358014549</v>
      </c>
      <c r="O7" s="133">
        <f>IF(SER_hh_emi!O7=0,0,1000000*SER_hh_emi!O7/SER_hh_num!O7)</f>
        <v>32120.727157562604</v>
      </c>
      <c r="P7" s="133">
        <f>IF(SER_hh_emi!P7=0,0,1000000*SER_hh_emi!P7/SER_hh_num!P7)</f>
        <v>21131.671106878501</v>
      </c>
      <c r="Q7" s="133">
        <f>IF(SER_hh_emi!Q7=0,0,1000000*SER_hh_emi!Q7/SER_hh_num!Q7)</f>
        <v>25180.954137358985</v>
      </c>
      <c r="R7" s="133">
        <f>IF(SER_hh_emi!R7=0,0,1000000*SER_hh_emi!R7/SER_hh_num!R7)</f>
        <v>52984.872923587907</v>
      </c>
      <c r="S7" s="133">
        <f>IF(SER_hh_emi!S7=0,0,1000000*SER_hh_emi!S7/SER_hh_num!S7)</f>
        <v>28565.541678074733</v>
      </c>
      <c r="T7" s="133">
        <f>IF(SER_hh_emi!T7=0,0,1000000*SER_hh_emi!T7/SER_hh_num!T7)</f>
        <v>28928.292296691918</v>
      </c>
      <c r="U7" s="133">
        <f>IF(SER_hh_emi!U7=0,0,1000000*SER_hh_emi!U7/SER_hh_num!U7)</f>
        <v>33858.801974429683</v>
      </c>
      <c r="V7" s="133">
        <f>IF(SER_hh_emi!V7=0,0,1000000*SER_hh_emi!V7/SER_hh_num!V7)</f>
        <v>34097.940913845567</v>
      </c>
      <c r="W7" s="133">
        <f>IF(SER_hh_emi!W7=0,0,1000000*SER_hh_emi!W7/SER_hh_num!W7)</f>
        <v>28552.673364352162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4424.0672701677413</v>
      </c>
      <c r="C8" s="133">
        <f>IF(SER_hh_emi!C8=0,0,1000000*SER_hh_emi!C8/SER_hh_num!C8)</f>
        <v>4601.7016567644914</v>
      </c>
      <c r="D8" s="133">
        <f>IF(SER_hh_emi!D8=0,0,1000000*SER_hh_emi!D8/SER_hh_num!D8)</f>
        <v>4716.1861168655478</v>
      </c>
      <c r="E8" s="133">
        <f>IF(SER_hh_emi!E8=0,0,1000000*SER_hh_emi!E8/SER_hh_num!E8)</f>
        <v>4833.5720126284932</v>
      </c>
      <c r="F8" s="133">
        <f>IF(SER_hh_emi!F8=0,0,1000000*SER_hh_emi!F8/SER_hh_num!F8)</f>
        <v>5658.2513138319337</v>
      </c>
      <c r="G8" s="133">
        <f>IF(SER_hh_emi!G8=0,0,1000000*SER_hh_emi!G8/SER_hh_num!G8)</f>
        <v>6810.5192318968784</v>
      </c>
      <c r="H8" s="133">
        <f>IF(SER_hh_emi!H8=0,0,1000000*SER_hh_emi!H8/SER_hh_num!H8)</f>
        <v>6774.5997032233854</v>
      </c>
      <c r="I8" s="133">
        <f>IF(SER_hh_emi!I8=0,0,1000000*SER_hh_emi!I8/SER_hh_num!I8)</f>
        <v>6826.0995005614795</v>
      </c>
      <c r="J8" s="133">
        <f>IF(SER_hh_emi!J8=0,0,1000000*SER_hh_emi!J8/SER_hh_num!J8)</f>
        <v>6650.9946468706949</v>
      </c>
      <c r="K8" s="133">
        <f>IF(SER_hh_emi!K8=0,0,1000000*SER_hh_emi!K8/SER_hh_num!K8)</f>
        <v>5783.2084145544204</v>
      </c>
      <c r="L8" s="133">
        <f>IF(SER_hh_emi!L8=0,0,1000000*SER_hh_emi!L8/SER_hh_num!L8)</f>
        <v>4462.1539112055625</v>
      </c>
      <c r="M8" s="133">
        <f>IF(SER_hh_emi!M8=0,0,1000000*SER_hh_emi!M8/SER_hh_num!M8)</f>
        <v>3064.4361522129598</v>
      </c>
      <c r="N8" s="133">
        <f>IF(SER_hh_emi!N8=0,0,1000000*SER_hh_emi!N8/SER_hh_num!N8)</f>
        <v>1961.6603198205944</v>
      </c>
      <c r="O8" s="133">
        <f>IF(SER_hh_emi!O8=0,0,1000000*SER_hh_emi!O8/SER_hh_num!O8)</f>
        <v>2308.371145956914</v>
      </c>
      <c r="P8" s="133">
        <f>IF(SER_hh_emi!P8=0,0,1000000*SER_hh_emi!P8/SER_hh_num!P8)</f>
        <v>3502.0863521478491</v>
      </c>
      <c r="Q8" s="133">
        <f>IF(SER_hh_emi!Q8=0,0,1000000*SER_hh_emi!Q8/SER_hh_num!Q8)</f>
        <v>5692.9986543166679</v>
      </c>
      <c r="R8" s="133">
        <f>IF(SER_hh_emi!R8=0,0,1000000*SER_hh_emi!R8/SER_hh_num!R8)</f>
        <v>5100.4618268690456</v>
      </c>
      <c r="S8" s="133">
        <f>IF(SER_hh_emi!S8=0,0,1000000*SER_hh_emi!S8/SER_hh_num!S8)</f>
        <v>4860.6801495384516</v>
      </c>
      <c r="T8" s="133">
        <f>IF(SER_hh_emi!T8=0,0,1000000*SER_hh_emi!T8/SER_hh_num!T8)</f>
        <v>4722.1785766679131</v>
      </c>
      <c r="U8" s="133">
        <f>IF(SER_hh_emi!U8=0,0,1000000*SER_hh_emi!U8/SER_hh_num!U8)</f>
        <v>4472.8934552334322</v>
      </c>
      <c r="V8" s="133">
        <f>IF(SER_hh_emi!V8=0,0,1000000*SER_hh_emi!V8/SER_hh_num!V8)</f>
        <v>4776.2031483154115</v>
      </c>
      <c r="W8" s="133">
        <f>IF(SER_hh_emi!W8=0,0,1000000*SER_hh_emi!W8/SER_hh_num!W8)</f>
        <v>5020.2794061187678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9886.9956027637272</v>
      </c>
      <c r="C9" s="133">
        <f>IF(SER_hh_emi!C9=0,0,1000000*SER_hh_emi!C9/SER_hh_num!C9)</f>
        <v>10683.156357262989</v>
      </c>
      <c r="D9" s="133">
        <f>IF(SER_hh_emi!D9=0,0,1000000*SER_hh_emi!D9/SER_hh_num!D9)</f>
        <v>10158.438226518805</v>
      </c>
      <c r="E9" s="133">
        <f>IF(SER_hh_emi!E9=0,0,1000000*SER_hh_emi!E9/SER_hh_num!E9)</f>
        <v>11242.927203999003</v>
      </c>
      <c r="F9" s="133">
        <f>IF(SER_hh_emi!F9=0,0,1000000*SER_hh_emi!F9/SER_hh_num!F9)</f>
        <v>13751.506555743845</v>
      </c>
      <c r="G9" s="133">
        <f>IF(SER_hh_emi!G9=0,0,1000000*SER_hh_emi!G9/SER_hh_num!G9)</f>
        <v>17585.01811908701</v>
      </c>
      <c r="H9" s="133">
        <f>IF(SER_hh_emi!H9=0,0,1000000*SER_hh_emi!H9/SER_hh_num!H9)</f>
        <v>18265.210815547707</v>
      </c>
      <c r="I9" s="133">
        <f>IF(SER_hh_emi!I9=0,0,1000000*SER_hh_emi!I9/SER_hh_num!I9)</f>
        <v>18392.253065943882</v>
      </c>
      <c r="J9" s="133">
        <f>IF(SER_hh_emi!J9=0,0,1000000*SER_hh_emi!J9/SER_hh_num!J9)</f>
        <v>20942.75110471022</v>
      </c>
      <c r="K9" s="133">
        <f>IF(SER_hh_emi!K9=0,0,1000000*SER_hh_emi!K9/SER_hh_num!K9)</f>
        <v>19893.851033890503</v>
      </c>
      <c r="L9" s="133">
        <f>IF(SER_hh_emi!L9=0,0,1000000*SER_hh_emi!L9/SER_hh_num!L9)</f>
        <v>15223.798761161483</v>
      </c>
      <c r="M9" s="133">
        <f>IF(SER_hh_emi!M9=0,0,1000000*SER_hh_emi!M9/SER_hh_num!M9)</f>
        <v>19900.318457892143</v>
      </c>
      <c r="N9" s="133">
        <f>IF(SER_hh_emi!N9=0,0,1000000*SER_hh_emi!N9/SER_hh_num!N9)</f>
        <v>15164.53867125828</v>
      </c>
      <c r="O9" s="133">
        <f>IF(SER_hh_emi!O9=0,0,1000000*SER_hh_emi!O9/SER_hh_num!O9)</f>
        <v>13621.824256226208</v>
      </c>
      <c r="P9" s="133">
        <f>IF(SER_hh_emi!P9=0,0,1000000*SER_hh_emi!P9/SER_hh_num!P9)</f>
        <v>14810.277226042555</v>
      </c>
      <c r="Q9" s="133">
        <f>IF(SER_hh_emi!Q9=0,0,1000000*SER_hh_emi!Q9/SER_hh_num!Q9)</f>
        <v>23662.118619582387</v>
      </c>
      <c r="R9" s="133">
        <f>IF(SER_hh_emi!R9=0,0,1000000*SER_hh_emi!R9/SER_hh_num!R9)</f>
        <v>21583.819844905865</v>
      </c>
      <c r="S9" s="133">
        <f>IF(SER_hh_emi!S9=0,0,1000000*SER_hh_emi!S9/SER_hh_num!S9)</f>
        <v>22134.149594274997</v>
      </c>
      <c r="T9" s="133">
        <f>IF(SER_hh_emi!T9=0,0,1000000*SER_hh_emi!T9/SER_hh_num!T9)</f>
        <v>20510.806729895663</v>
      </c>
      <c r="U9" s="133">
        <f>IF(SER_hh_emi!U9=0,0,1000000*SER_hh_emi!U9/SER_hh_num!U9)</f>
        <v>22547.100604946299</v>
      </c>
      <c r="V9" s="133">
        <f>IF(SER_hh_emi!V9=0,0,1000000*SER_hh_emi!V9/SER_hh_num!V9)</f>
        <v>19608.998393986891</v>
      </c>
      <c r="W9" s="133">
        <f>IF(SER_hh_emi!W9=0,0,1000000*SER_hh_emi!W9/SER_hh_num!W9)</f>
        <v>21082.509496319271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3.7995527565212335</v>
      </c>
      <c r="C16" s="131">
        <f>IF(SER_hh_emi!C16=0,0,1000000*SER_hh_emi!C16/SER_hh_num!C16)</f>
        <v>4.7091095710094697</v>
      </c>
      <c r="D16" s="131">
        <f>IF(SER_hh_emi!D16=0,0,1000000*SER_hh_emi!D16/SER_hh_num!D16)</f>
        <v>5.0479289300179691</v>
      </c>
      <c r="E16" s="131">
        <f>IF(SER_hh_emi!E16=0,0,1000000*SER_hh_emi!E16/SER_hh_num!E16)</f>
        <v>5.646359369637878</v>
      </c>
      <c r="F16" s="131">
        <f>IF(SER_hh_emi!F16=0,0,1000000*SER_hh_emi!F16/SER_hh_num!F16)</f>
        <v>7.2216697666280352</v>
      </c>
      <c r="G16" s="131">
        <f>IF(SER_hh_emi!G16=0,0,1000000*SER_hh_emi!G16/SER_hh_num!G16)</f>
        <v>11.046469199882063</v>
      </c>
      <c r="H16" s="131">
        <f>IF(SER_hh_emi!H16=0,0,1000000*SER_hh_emi!H16/SER_hh_num!H16)</f>
        <v>16.816406843918468</v>
      </c>
      <c r="I16" s="131">
        <f>IF(SER_hh_emi!I16=0,0,1000000*SER_hh_emi!I16/SER_hh_num!I16)</f>
        <v>22.84224259279523</v>
      </c>
      <c r="J16" s="131">
        <f>IF(SER_hh_emi!J16=0,0,1000000*SER_hh_emi!J16/SER_hh_num!J16)</f>
        <v>29.101845691331501</v>
      </c>
      <c r="K16" s="131">
        <f>IF(SER_hh_emi!K16=0,0,1000000*SER_hh_emi!K16/SER_hh_num!K16)</f>
        <v>32.733253072852762</v>
      </c>
      <c r="L16" s="131">
        <f>IF(SER_hh_emi!L16=0,0,1000000*SER_hh_emi!L16/SER_hh_num!L16)</f>
        <v>44.190900223253578</v>
      </c>
      <c r="M16" s="131">
        <f>IF(SER_hh_emi!M16=0,0,1000000*SER_hh_emi!M16/SER_hh_num!M16)</f>
        <v>50.864596533720047</v>
      </c>
      <c r="N16" s="131">
        <f>IF(SER_hh_emi!N16=0,0,1000000*SER_hh_emi!N16/SER_hh_num!N16)</f>
        <v>90.793164797178193</v>
      </c>
      <c r="O16" s="131">
        <f>IF(SER_hh_emi!O16=0,0,1000000*SER_hh_emi!O16/SER_hh_num!O16)</f>
        <v>87.449162019949455</v>
      </c>
      <c r="P16" s="131">
        <f>IF(SER_hh_emi!P16=0,0,1000000*SER_hh_emi!P16/SER_hh_num!P16)</f>
        <v>99.161628592626698</v>
      </c>
      <c r="Q16" s="131">
        <f>IF(SER_hh_emi!Q16=0,0,1000000*SER_hh_emi!Q16/SER_hh_num!Q16)</f>
        <v>138.18122440821685</v>
      </c>
      <c r="R16" s="131">
        <f>IF(SER_hh_emi!R16=0,0,1000000*SER_hh_emi!R16/SER_hh_num!R16)</f>
        <v>159.49296137174397</v>
      </c>
      <c r="S16" s="131">
        <f>IF(SER_hh_emi!S16=0,0,1000000*SER_hh_emi!S16/SER_hh_num!S16)</f>
        <v>172.3827446737661</v>
      </c>
      <c r="T16" s="131">
        <f>IF(SER_hh_emi!T16=0,0,1000000*SER_hh_emi!T16/SER_hh_num!T16)</f>
        <v>162.07405812429323</v>
      </c>
      <c r="U16" s="131">
        <f>IF(SER_hh_emi!U16=0,0,1000000*SER_hh_emi!U16/SER_hh_num!U16)</f>
        <v>197.87635781585999</v>
      </c>
      <c r="V16" s="131">
        <f>IF(SER_hh_emi!V16=0,0,1000000*SER_hh_emi!V16/SER_hh_num!V16)</f>
        <v>173.37691266928022</v>
      </c>
      <c r="W16" s="131">
        <f>IF(SER_hh_emi!W16=0,0,1000000*SER_hh_emi!W16/SER_hh_num!W16)</f>
        <v>225.04141438459595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4744.8311768900685</v>
      </c>
      <c r="C17" s="133">
        <f>IF(SER_hh_emi!C17=0,0,1000000*SER_hh_emi!C17/SER_hh_num!C17)</f>
        <v>5979.5372717893379</v>
      </c>
      <c r="D17" s="133">
        <f>IF(SER_hh_emi!D17=0,0,1000000*SER_hh_emi!D17/SER_hh_num!D17)</f>
        <v>4905.6460182751262</v>
      </c>
      <c r="E17" s="133">
        <f>IF(SER_hh_emi!E17=0,0,1000000*SER_hh_emi!E17/SER_hh_num!E17)</f>
        <v>6295.724084430406</v>
      </c>
      <c r="F17" s="133">
        <f>IF(SER_hh_emi!F17=0,0,1000000*SER_hh_emi!F17/SER_hh_num!F17)</f>
        <v>4028.5504646250847</v>
      </c>
      <c r="G17" s="133">
        <f>IF(SER_hh_emi!G17=0,0,1000000*SER_hh_emi!G17/SER_hh_num!G17)</f>
        <v>4222.8037102574617</v>
      </c>
      <c r="H17" s="133">
        <f>IF(SER_hh_emi!H17=0,0,1000000*SER_hh_emi!H17/SER_hh_num!H17)</f>
        <v>5026.5234390683208</v>
      </c>
      <c r="I17" s="133">
        <f>IF(SER_hh_emi!I17=0,0,1000000*SER_hh_emi!I17/SER_hh_num!I17)</f>
        <v>7744.0860076847121</v>
      </c>
      <c r="J17" s="133">
        <f>IF(SER_hh_emi!J17=0,0,1000000*SER_hh_emi!J17/SER_hh_num!J17)</f>
        <v>7518.5193671656607</v>
      </c>
      <c r="K17" s="133">
        <f>IF(SER_hh_emi!K17=0,0,1000000*SER_hh_emi!K17/SER_hh_num!K17)</f>
        <v>6495.8595448797578</v>
      </c>
      <c r="L17" s="133">
        <f>IF(SER_hh_emi!L17=0,0,1000000*SER_hh_emi!L17/SER_hh_num!L17)</f>
        <v>6843.7090689838215</v>
      </c>
      <c r="M17" s="133">
        <f>IF(SER_hh_emi!M17=0,0,1000000*SER_hh_emi!M17/SER_hh_num!M17)</f>
        <v>5661.7666598759142</v>
      </c>
      <c r="N17" s="133">
        <f>IF(SER_hh_emi!N17=0,0,1000000*SER_hh_emi!N17/SER_hh_num!N17)</f>
        <v>9066.5178760125527</v>
      </c>
      <c r="O17" s="133">
        <f>IF(SER_hh_emi!O17=0,0,1000000*SER_hh_emi!O17/SER_hh_num!O17)</f>
        <v>5602.9843797753665</v>
      </c>
      <c r="P17" s="133">
        <f>IF(SER_hh_emi!P17=0,0,1000000*SER_hh_emi!P17/SER_hh_num!P17)</f>
        <v>4823.0089755673825</v>
      </c>
      <c r="Q17" s="133">
        <f>IF(SER_hh_emi!Q17=0,0,1000000*SER_hh_emi!Q17/SER_hh_num!Q17)</f>
        <v>5986.1933703209406</v>
      </c>
      <c r="R17" s="133">
        <f>IF(SER_hh_emi!R17=0,0,1000000*SER_hh_emi!R17/SER_hh_num!R17)</f>
        <v>6503.1969704726971</v>
      </c>
      <c r="S17" s="133">
        <f>IF(SER_hh_emi!S17=0,0,1000000*SER_hh_emi!S17/SER_hh_num!S17)</f>
        <v>6546.851899128792</v>
      </c>
      <c r="T17" s="133">
        <f>IF(SER_hh_emi!T17=0,0,1000000*SER_hh_emi!T17/SER_hh_num!T17)</f>
        <v>5417.7483227511184</v>
      </c>
      <c r="U17" s="133">
        <f>IF(SER_hh_emi!U17=0,0,1000000*SER_hh_emi!U17/SER_hh_num!U17)</f>
        <v>6545.3344267543498</v>
      </c>
      <c r="V17" s="133">
        <f>IF(SER_hh_emi!V17=0,0,1000000*SER_hh_emi!V17/SER_hh_num!V17)</f>
        <v>5334.9366489573877</v>
      </c>
      <c r="W17" s="133">
        <f>IF(SER_hh_emi!W17=0,0,1000000*SER_hh_emi!W17/SER_hh_num!W17)</f>
        <v>6995.5723942267123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662.60853266778929</v>
      </c>
      <c r="C19" s="131">
        <f>IF(SER_hh_emi!C19=0,0,1000000*SER_hh_emi!C19/SER_hh_num!C19)</f>
        <v>749.33138981536297</v>
      </c>
      <c r="D19" s="131">
        <f>IF(SER_hh_emi!D19=0,0,1000000*SER_hh_emi!D19/SER_hh_num!D19)</f>
        <v>798.02158456046209</v>
      </c>
      <c r="E19" s="131">
        <f>IF(SER_hh_emi!E19=0,0,1000000*SER_hh_emi!E19/SER_hh_num!E19)</f>
        <v>810.12569640715878</v>
      </c>
      <c r="F19" s="131">
        <f>IF(SER_hh_emi!F19=0,0,1000000*SER_hh_emi!F19/SER_hh_num!F19)</f>
        <v>839.08753976639832</v>
      </c>
      <c r="G19" s="131">
        <f>IF(SER_hh_emi!G19=0,0,1000000*SER_hh_emi!G19/SER_hh_num!G19)</f>
        <v>1031.9177211281412</v>
      </c>
      <c r="H19" s="131">
        <f>IF(SER_hh_emi!H19=0,0,1000000*SER_hh_emi!H19/SER_hh_num!H19)</f>
        <v>1089.6705482531675</v>
      </c>
      <c r="I19" s="131">
        <f>IF(SER_hh_emi!I19=0,0,1000000*SER_hh_emi!I19/SER_hh_num!I19)</f>
        <v>1202.5798005627444</v>
      </c>
      <c r="J19" s="131">
        <f>IF(SER_hh_emi!J19=0,0,1000000*SER_hh_emi!J19/SER_hh_num!J19)</f>
        <v>1242.6374781181096</v>
      </c>
      <c r="K19" s="131">
        <f>IF(SER_hh_emi!K19=0,0,1000000*SER_hh_emi!K19/SER_hh_num!K19)</f>
        <v>1287.5606108088325</v>
      </c>
      <c r="L19" s="131">
        <f>IF(SER_hh_emi!L19=0,0,1000000*SER_hh_emi!L19/SER_hh_num!L19)</f>
        <v>1441.1473417488739</v>
      </c>
      <c r="M19" s="131">
        <f>IF(SER_hh_emi!M19=0,0,1000000*SER_hh_emi!M19/SER_hh_num!M19)</f>
        <v>1457.0272954263701</v>
      </c>
      <c r="N19" s="131">
        <f>IF(SER_hh_emi!N19=0,0,1000000*SER_hh_emi!N19/SER_hh_num!N19)</f>
        <v>1444.258665223251</v>
      </c>
      <c r="O19" s="131">
        <f>IF(SER_hh_emi!O19=0,0,1000000*SER_hh_emi!O19/SER_hh_num!O19)</f>
        <v>1497.7162916627476</v>
      </c>
      <c r="P19" s="131">
        <f>IF(SER_hh_emi!P19=0,0,1000000*SER_hh_emi!P19/SER_hh_num!P19)</f>
        <v>1500.7574922082067</v>
      </c>
      <c r="Q19" s="131">
        <f>IF(SER_hh_emi!Q19=0,0,1000000*SER_hh_emi!Q19/SER_hh_num!Q19)</f>
        <v>1528.4116340329881</v>
      </c>
      <c r="R19" s="131">
        <f>IF(SER_hh_emi!R19=0,0,1000000*SER_hh_emi!R19/SER_hh_num!R19)</f>
        <v>1534.1532544299423</v>
      </c>
      <c r="S19" s="131">
        <f>IF(SER_hh_emi!S19=0,0,1000000*SER_hh_emi!S19/SER_hh_num!S19)</f>
        <v>1572.3055699952249</v>
      </c>
      <c r="T19" s="131">
        <f>IF(SER_hh_emi!T19=0,0,1000000*SER_hh_emi!T19/SER_hh_num!T19)</f>
        <v>1458.7858257937048</v>
      </c>
      <c r="U19" s="131">
        <f>IF(SER_hh_emi!U19=0,0,1000000*SER_hh_emi!U19/SER_hh_num!U19)</f>
        <v>1372.8624911613415</v>
      </c>
      <c r="V19" s="131">
        <f>IF(SER_hh_emi!V19=0,0,1000000*SER_hh_emi!V19/SER_hh_num!V19)</f>
        <v>1027.4107687154874</v>
      </c>
      <c r="W19" s="131">
        <f>IF(SER_hh_emi!W19=0,0,1000000*SER_hh_emi!W19/SER_hh_num!W19)</f>
        <v>1062.3760335243628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8966.7229846159626</v>
      </c>
      <c r="C21" s="133">
        <f>IF(SER_hh_emi!C21=0,0,1000000*SER_hh_emi!C21/SER_hh_num!C21)</f>
        <v>9696.8581141385639</v>
      </c>
      <c r="D21" s="133">
        <f>IF(SER_hh_emi!D21=0,0,1000000*SER_hh_emi!D21/SER_hh_num!D21)</f>
        <v>9959.4015003996792</v>
      </c>
      <c r="E21" s="133">
        <f>IF(SER_hh_emi!E21=0,0,1000000*SER_hh_emi!E21/SER_hh_num!E21)</f>
        <v>9658.2607759432994</v>
      </c>
      <c r="F21" s="133">
        <f>IF(SER_hh_emi!F21=0,0,1000000*SER_hh_emi!F21/SER_hh_num!F21)</f>
        <v>9839.7960741600928</v>
      </c>
      <c r="G21" s="133">
        <f>IF(SER_hh_emi!G21=0,0,1000000*SER_hh_emi!G21/SER_hh_num!G21)</f>
        <v>10356.071255414752</v>
      </c>
      <c r="H21" s="133">
        <f>IF(SER_hh_emi!H21=0,0,1000000*SER_hh_emi!H21/SER_hh_num!H21)</f>
        <v>10117.93667028959</v>
      </c>
      <c r="I21" s="133">
        <f>IF(SER_hh_emi!I21=0,0,1000000*SER_hh_emi!I21/SER_hh_num!I21)</f>
        <v>10734.24289069834</v>
      </c>
      <c r="J21" s="133">
        <f>IF(SER_hh_emi!J21=0,0,1000000*SER_hh_emi!J21/SER_hh_num!J21)</f>
        <v>10549.759701653315</v>
      </c>
      <c r="K21" s="133">
        <f>IF(SER_hh_emi!K21=0,0,1000000*SER_hh_emi!K21/SER_hh_num!K21)</f>
        <v>10551.25109817685</v>
      </c>
      <c r="L21" s="133">
        <f>IF(SER_hh_emi!L21=0,0,1000000*SER_hh_emi!L21/SER_hh_num!L21)</f>
        <v>10830.896091933246</v>
      </c>
      <c r="M21" s="133">
        <f>IF(SER_hh_emi!M21=0,0,1000000*SER_hh_emi!M21/SER_hh_num!M21)</f>
        <v>10800.222817537269</v>
      </c>
      <c r="N21" s="133">
        <f>IF(SER_hh_emi!N21=0,0,1000000*SER_hh_emi!N21/SER_hh_num!N21)</f>
        <v>11313.377281102477</v>
      </c>
      <c r="O21" s="133">
        <f>IF(SER_hh_emi!O21=0,0,1000000*SER_hh_emi!O21/SER_hh_num!O21)</f>
        <v>11194.799241150933</v>
      </c>
      <c r="P21" s="133">
        <f>IF(SER_hh_emi!P21=0,0,1000000*SER_hh_emi!P21/SER_hh_num!P21)</f>
        <v>10856.160650363356</v>
      </c>
      <c r="Q21" s="133">
        <f>IF(SER_hh_emi!Q21=0,0,1000000*SER_hh_emi!Q21/SER_hh_num!Q21)</f>
        <v>10300.303891503369</v>
      </c>
      <c r="R21" s="133">
        <f>IF(SER_hh_emi!R21=0,0,1000000*SER_hh_emi!R21/SER_hh_num!R21)</f>
        <v>10877.659827328536</v>
      </c>
      <c r="S21" s="133">
        <f>IF(SER_hh_emi!S21=0,0,1000000*SER_hh_emi!S21/SER_hh_num!S21)</f>
        <v>10718.244368257523</v>
      </c>
      <c r="T21" s="133">
        <f>IF(SER_hh_emi!T21=0,0,1000000*SER_hh_emi!T21/SER_hh_num!T21)</f>
        <v>10372.731472508631</v>
      </c>
      <c r="U21" s="133">
        <f>IF(SER_hh_emi!U21=0,0,1000000*SER_hh_emi!U21/SER_hh_num!U21)</f>
        <v>10817.976939248547</v>
      </c>
      <c r="V21" s="133">
        <f>IF(SER_hh_emi!V21=0,0,1000000*SER_hh_emi!V21/SER_hh_num!V21)</f>
        <v>6172.721323109502</v>
      </c>
      <c r="W21" s="133">
        <f>IF(SER_hh_emi!W21=0,0,1000000*SER_hh_emi!W21/SER_hh_num!W21)</f>
        <v>8364.0525173617243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11104.900003052471</v>
      </c>
      <c r="C22" s="133">
        <f>IF(SER_hh_emi!C22=0,0,1000000*SER_hh_emi!C22/SER_hh_num!C22)</f>
        <v>12087.569900067765</v>
      </c>
      <c r="D22" s="133">
        <f>IF(SER_hh_emi!D22=0,0,1000000*SER_hh_emi!D22/SER_hh_num!D22)</f>
        <v>12458.274694560718</v>
      </c>
      <c r="E22" s="133">
        <f>IF(SER_hh_emi!E22=0,0,1000000*SER_hh_emi!E22/SER_hh_num!E22)</f>
        <v>12423.980231431069</v>
      </c>
      <c r="F22" s="133">
        <f>IF(SER_hh_emi!F22=0,0,1000000*SER_hh_emi!F22/SER_hh_num!F22)</f>
        <v>12626.720741958203</v>
      </c>
      <c r="G22" s="133">
        <f>IF(SER_hh_emi!G22=0,0,1000000*SER_hh_emi!G22/SER_hh_num!G22)</f>
        <v>13183.041824368225</v>
      </c>
      <c r="H22" s="133">
        <f>IF(SER_hh_emi!H22=0,0,1000000*SER_hh_emi!H22/SER_hh_num!H22)</f>
        <v>13107.715297623137</v>
      </c>
      <c r="I22" s="133">
        <f>IF(SER_hh_emi!I22=0,0,1000000*SER_hh_emi!I22/SER_hh_num!I22)</f>
        <v>13054.737590912582</v>
      </c>
      <c r="J22" s="133">
        <f>IF(SER_hh_emi!J22=0,0,1000000*SER_hh_emi!J22/SER_hh_num!J22)</f>
        <v>13112.396055659765</v>
      </c>
      <c r="K22" s="133">
        <f>IF(SER_hh_emi!K22=0,0,1000000*SER_hh_emi!K22/SER_hh_num!K22)</f>
        <v>13117.741921182816</v>
      </c>
      <c r="L22" s="133">
        <f>IF(SER_hh_emi!L22=0,0,1000000*SER_hh_emi!L22/SER_hh_num!L22)</f>
        <v>13465.038796705079</v>
      </c>
      <c r="M22" s="133">
        <f>IF(SER_hh_emi!M22=0,0,1000000*SER_hh_emi!M22/SER_hh_num!M22)</f>
        <v>13751.398093941143</v>
      </c>
      <c r="N22" s="133">
        <f>IF(SER_hh_emi!N22=0,0,1000000*SER_hh_emi!N22/SER_hh_num!N22)</f>
        <v>12116.860019772743</v>
      </c>
      <c r="O22" s="133">
        <f>IF(SER_hh_emi!O22=0,0,1000000*SER_hh_emi!O22/SER_hh_num!O22)</f>
        <v>13011.779664800548</v>
      </c>
      <c r="P22" s="133">
        <f>IF(SER_hh_emi!P22=0,0,1000000*SER_hh_emi!P22/SER_hh_num!P22)</f>
        <v>13955.96205984647</v>
      </c>
      <c r="Q22" s="133">
        <f>IF(SER_hh_emi!Q22=0,0,1000000*SER_hh_emi!Q22/SER_hh_num!Q22)</f>
        <v>13286.131586304302</v>
      </c>
      <c r="R22" s="133">
        <f>IF(SER_hh_emi!R22=0,0,1000000*SER_hh_emi!R22/SER_hh_num!R22)</f>
        <v>13485.42280953808</v>
      </c>
      <c r="S22" s="133">
        <f>IF(SER_hh_emi!S22=0,0,1000000*SER_hh_emi!S22/SER_hh_num!S22)</f>
        <v>13872.375996263085</v>
      </c>
      <c r="T22" s="133">
        <f>IF(SER_hh_emi!T22=0,0,1000000*SER_hh_emi!T22/SER_hh_num!T22)</f>
        <v>12637.979426570048</v>
      </c>
      <c r="U22" s="133">
        <f>IF(SER_hh_emi!U22=0,0,1000000*SER_hh_emi!U22/SER_hh_num!U22)</f>
        <v>12927.151484701621</v>
      </c>
      <c r="V22" s="133">
        <f>IF(SER_hh_emi!V22=0,0,1000000*SER_hh_emi!V22/SER_hh_num!V22)</f>
        <v>10365.293099031607</v>
      </c>
      <c r="W22" s="133">
        <f>IF(SER_hh_emi!W22=0,0,1000000*SER_hh_emi!W22/SER_hh_num!W22)</f>
        <v>9934.1753783575496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6864.5758424172873</v>
      </c>
      <c r="C23" s="133">
        <f>IF(SER_hh_emi!C23=0,0,1000000*SER_hh_emi!C23/SER_hh_num!C23)</f>
        <v>8145.9747090931605</v>
      </c>
      <c r="D23" s="133">
        <f>IF(SER_hh_emi!D23=0,0,1000000*SER_hh_emi!D23/SER_hh_num!D23)</f>
        <v>8183.0568248341933</v>
      </c>
      <c r="E23" s="133">
        <f>IF(SER_hh_emi!E23=0,0,1000000*SER_hh_emi!E23/SER_hh_num!E23)</f>
        <v>7565.6980706698523</v>
      </c>
      <c r="F23" s="133">
        <f>IF(SER_hh_emi!F23=0,0,1000000*SER_hh_emi!F23/SER_hh_num!F23)</f>
        <v>6712.3810304228273</v>
      </c>
      <c r="G23" s="133">
        <f>IF(SER_hh_emi!G23=0,0,1000000*SER_hh_emi!G23/SER_hh_num!G23)</f>
        <v>8700.6859573547536</v>
      </c>
      <c r="H23" s="133">
        <f>IF(SER_hh_emi!H23=0,0,1000000*SER_hh_emi!H23/SER_hh_num!H23)</f>
        <v>8288.9307391993134</v>
      </c>
      <c r="I23" s="133">
        <f>IF(SER_hh_emi!I23=0,0,1000000*SER_hh_emi!I23/SER_hh_num!I23)</f>
        <v>8664.3743353490445</v>
      </c>
      <c r="J23" s="133">
        <f>IF(SER_hh_emi!J23=0,0,1000000*SER_hh_emi!J23/SER_hh_num!J23)</f>
        <v>8503.3586176583194</v>
      </c>
      <c r="K23" s="133">
        <f>IF(SER_hh_emi!K23=0,0,1000000*SER_hh_emi!K23/SER_hh_num!K23)</f>
        <v>8486.1819799917266</v>
      </c>
      <c r="L23" s="133">
        <f>IF(SER_hh_emi!L23=0,0,1000000*SER_hh_emi!L23/SER_hh_num!L23)</f>
        <v>9198.1980250495071</v>
      </c>
      <c r="M23" s="133">
        <f>IF(SER_hh_emi!M23=0,0,1000000*SER_hh_emi!M23/SER_hh_num!M23)</f>
        <v>8449.3693159459035</v>
      </c>
      <c r="N23" s="133">
        <f>IF(SER_hh_emi!N23=0,0,1000000*SER_hh_emi!N23/SER_hh_num!N23)</f>
        <v>8520.0898415576121</v>
      </c>
      <c r="O23" s="133">
        <f>IF(SER_hh_emi!O23=0,0,1000000*SER_hh_emi!O23/SER_hh_num!O23)</f>
        <v>8525.780556253605</v>
      </c>
      <c r="P23" s="133">
        <f>IF(SER_hh_emi!P23=0,0,1000000*SER_hh_emi!P23/SER_hh_num!P23)</f>
        <v>8195.1789306587925</v>
      </c>
      <c r="Q23" s="133">
        <f>IF(SER_hh_emi!Q23=0,0,1000000*SER_hh_emi!Q23/SER_hh_num!Q23)</f>
        <v>8815.1707336135914</v>
      </c>
      <c r="R23" s="133">
        <f>IF(SER_hh_emi!R23=0,0,1000000*SER_hh_emi!R23/SER_hh_num!R23)</f>
        <v>8296.565755705542</v>
      </c>
      <c r="S23" s="133">
        <f>IF(SER_hh_emi!S23=0,0,1000000*SER_hh_emi!S23/SER_hh_num!S23)</f>
        <v>8418.7472827553011</v>
      </c>
      <c r="T23" s="133">
        <f>IF(SER_hh_emi!T23=0,0,1000000*SER_hh_emi!T23/SER_hh_num!T23)</f>
        <v>8072.0520743421575</v>
      </c>
      <c r="U23" s="133">
        <f>IF(SER_hh_emi!U23=0,0,1000000*SER_hh_emi!U23/SER_hh_num!U23)</f>
        <v>7307.309601621615</v>
      </c>
      <c r="V23" s="133">
        <f>IF(SER_hh_emi!V23=0,0,1000000*SER_hh_emi!V23/SER_hh_num!V23)</f>
        <v>6552.9586172648014</v>
      </c>
      <c r="W23" s="133">
        <f>IF(SER_hh_emi!W23=0,0,1000000*SER_hh_emi!W23/SER_hh_num!W23)</f>
        <v>6560.7366015465886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777.24691632724705</v>
      </c>
      <c r="C29" s="131">
        <f>IF(SER_hh_emi!C29=0,0,1000000*SER_hh_emi!C29/SER_hh_num!C29)</f>
        <v>780.58475137026244</v>
      </c>
      <c r="D29" s="131">
        <f>IF(SER_hh_emi!D29=0,0,1000000*SER_hh_emi!D29/SER_hh_num!D29)</f>
        <v>509.83461084478915</v>
      </c>
      <c r="E29" s="131">
        <f>IF(SER_hh_emi!E29=0,0,1000000*SER_hh_emi!E29/SER_hh_num!E29)</f>
        <v>626.05070436109565</v>
      </c>
      <c r="F29" s="131">
        <f>IF(SER_hh_emi!F29=0,0,1000000*SER_hh_emi!F29/SER_hh_num!F29)</f>
        <v>1511.4784637104456</v>
      </c>
      <c r="G29" s="131">
        <f>IF(SER_hh_emi!G29=0,0,1000000*SER_hh_emi!G29/SER_hh_num!G29)</f>
        <v>1386.6809634467186</v>
      </c>
      <c r="H29" s="131">
        <f>IF(SER_hh_emi!H29=0,0,1000000*SER_hh_emi!H29/SER_hh_num!H29)</f>
        <v>1323.9112589479157</v>
      </c>
      <c r="I29" s="131">
        <f>IF(SER_hh_emi!I29=0,0,1000000*SER_hh_emi!I29/SER_hh_num!I29)</f>
        <v>1253.3750745851801</v>
      </c>
      <c r="J29" s="131">
        <f>IF(SER_hh_emi!J29=0,0,1000000*SER_hh_emi!J29/SER_hh_num!J29)</f>
        <v>1262.4276033344008</v>
      </c>
      <c r="K29" s="131">
        <f>IF(SER_hh_emi!K29=0,0,1000000*SER_hh_emi!K29/SER_hh_num!K29)</f>
        <v>1306.5209068762017</v>
      </c>
      <c r="L29" s="131">
        <f>IF(SER_hh_emi!L29=0,0,1000000*SER_hh_emi!L29/SER_hh_num!L29)</f>
        <v>1495.9287505455361</v>
      </c>
      <c r="M29" s="131">
        <f>IF(SER_hh_emi!M29=0,0,1000000*SER_hh_emi!M29/SER_hh_num!M29)</f>
        <v>1425.1591263532061</v>
      </c>
      <c r="N29" s="131">
        <f>IF(SER_hh_emi!N29=0,0,1000000*SER_hh_emi!N29/SER_hh_num!N29)</f>
        <v>3085.2069157117003</v>
      </c>
      <c r="O29" s="131">
        <f>IF(SER_hh_emi!O29=0,0,1000000*SER_hh_emi!O29/SER_hh_num!O29)</f>
        <v>2293.3308874044324</v>
      </c>
      <c r="P29" s="131">
        <f>IF(SER_hh_emi!P29=0,0,1000000*SER_hh_emi!P29/SER_hh_num!P29)</f>
        <v>1545.6976605415471</v>
      </c>
      <c r="Q29" s="131">
        <f>IF(SER_hh_emi!Q29=0,0,1000000*SER_hh_emi!Q29/SER_hh_num!Q29)</f>
        <v>1693.0167130439399</v>
      </c>
      <c r="R29" s="131">
        <f>IF(SER_hh_emi!R29=0,0,1000000*SER_hh_emi!R29/SER_hh_num!R29)</f>
        <v>1842.499806772692</v>
      </c>
      <c r="S29" s="131">
        <f>IF(SER_hh_emi!S29=0,0,1000000*SER_hh_emi!S29/SER_hh_num!S29)</f>
        <v>1948.2359416425263</v>
      </c>
      <c r="T29" s="131">
        <f>IF(SER_hh_emi!T29=0,0,1000000*SER_hh_emi!T29/SER_hh_num!T29)</f>
        <v>2022.0571244314094</v>
      </c>
      <c r="U29" s="131">
        <f>IF(SER_hh_emi!U29=0,0,1000000*SER_hh_emi!U29/SER_hh_num!U29)</f>
        <v>2180.2673624846211</v>
      </c>
      <c r="V29" s="131">
        <f>IF(SER_hh_emi!V29=0,0,1000000*SER_hh_emi!V29/SER_hh_num!V29)</f>
        <v>1578.6514329462566</v>
      </c>
      <c r="W29" s="131">
        <f>IF(SER_hh_emi!W29=0,0,1000000*SER_hh_emi!W29/SER_hh_num!W29)</f>
        <v>2095.054889244228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10943.8526629185</v>
      </c>
      <c r="C30" s="133">
        <f>IF(SER_hh_emi!C30=0,0,1000000*SER_hh_emi!C30/SER_hh_num!C30)</f>
        <v>12510.52375768512</v>
      </c>
      <c r="D30" s="133">
        <f>IF(SER_hh_emi!D30=0,0,1000000*SER_hh_emi!D30/SER_hh_num!D30)</f>
        <v>7643.3550139526342</v>
      </c>
      <c r="E30" s="133">
        <f>IF(SER_hh_emi!E30=0,0,1000000*SER_hh_emi!E30/SER_hh_num!E30)</f>
        <v>7668.868495662362</v>
      </c>
      <c r="F30" s="133">
        <f>IF(SER_hh_emi!F30=0,0,1000000*SER_hh_emi!F30/SER_hh_num!F30)</f>
        <v>15226.874223956689</v>
      </c>
      <c r="G30" s="133">
        <f>IF(SER_hh_emi!G30=0,0,1000000*SER_hh_emi!G30/SER_hh_num!G30)</f>
        <v>12073.89157656012</v>
      </c>
      <c r="H30" s="133">
        <f>IF(SER_hh_emi!H30=0,0,1000000*SER_hh_emi!H30/SER_hh_num!H30)</f>
        <v>11358.607569259162</v>
      </c>
      <c r="I30" s="133">
        <f>IF(SER_hh_emi!I30=0,0,1000000*SER_hh_emi!I30/SER_hh_num!I30)</f>
        <v>10994.231369710367</v>
      </c>
      <c r="J30" s="133">
        <f>IF(SER_hh_emi!J30=0,0,1000000*SER_hh_emi!J30/SER_hh_num!J30)</f>
        <v>10417.284372858177</v>
      </c>
      <c r="K30" s="133">
        <f>IF(SER_hh_emi!K30=0,0,1000000*SER_hh_emi!K30/SER_hh_num!K30)</f>
        <v>9732.9545455162661</v>
      </c>
      <c r="L30" s="133">
        <f>IF(SER_hh_emi!L30=0,0,1000000*SER_hh_emi!L30/SER_hh_num!L30)</f>
        <v>10335.351198410242</v>
      </c>
      <c r="M30" s="133">
        <f>IF(SER_hh_emi!M30=0,0,1000000*SER_hh_emi!M30/SER_hh_num!M30)</f>
        <v>7420.928404605077</v>
      </c>
      <c r="N30" s="133">
        <f>IF(SER_hh_emi!N30=0,0,1000000*SER_hh_emi!N30/SER_hh_num!N30)</f>
        <v>20328.408826530678</v>
      </c>
      <c r="O30" s="133">
        <f>IF(SER_hh_emi!O30=0,0,1000000*SER_hh_emi!O30/SER_hh_num!O30)</f>
        <v>13975.775637191449</v>
      </c>
      <c r="P30" s="133">
        <f>IF(SER_hh_emi!P30=0,0,1000000*SER_hh_emi!P30/SER_hh_num!P30)</f>
        <v>8276.4766884804412</v>
      </c>
      <c r="Q30" s="133">
        <f>IF(SER_hh_emi!Q30=0,0,1000000*SER_hh_emi!Q30/SER_hh_num!Q30)</f>
        <v>9780.7175306122663</v>
      </c>
      <c r="R30" s="133">
        <f>IF(SER_hh_emi!R30=0,0,1000000*SER_hh_emi!R30/SER_hh_num!R30)</f>
        <v>10997.415892578907</v>
      </c>
      <c r="S30" s="133">
        <f>IF(SER_hh_emi!S30=0,0,1000000*SER_hh_emi!S30/SER_hh_num!S30)</f>
        <v>11948.092006730927</v>
      </c>
      <c r="T30" s="133">
        <f>IF(SER_hh_emi!T30=0,0,1000000*SER_hh_emi!T30/SER_hh_num!T30)</f>
        <v>12054.116845732096</v>
      </c>
      <c r="U30" s="133">
        <f>IF(SER_hh_emi!U30=0,0,1000000*SER_hh_emi!U30/SER_hh_num!U30)</f>
        <v>12893.256131274075</v>
      </c>
      <c r="V30" s="133">
        <f>IF(SER_hh_emi!V30=0,0,1000000*SER_hh_emi!V30/SER_hh_num!V30)</f>
        <v>8373.2519989591456</v>
      </c>
      <c r="W30" s="133">
        <f>IF(SER_hh_emi!W30=0,0,1000000*SER_hh_emi!W30/SER_hh_num!W30)</f>
        <v>12040.000222710409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7840.4859064430802</v>
      </c>
      <c r="C31" s="133">
        <f>IF(SER_hh_emi!C31=0,0,1000000*SER_hh_emi!C31/SER_hh_num!C31)</f>
        <v>8664.8838847030893</v>
      </c>
      <c r="D31" s="133">
        <f>IF(SER_hh_emi!D31=0,0,1000000*SER_hh_emi!D31/SER_hh_num!D31)</f>
        <v>8394.3364686169734</v>
      </c>
      <c r="E31" s="133">
        <f>IF(SER_hh_emi!E31=0,0,1000000*SER_hh_emi!E31/SER_hh_num!E31)</f>
        <v>8378.3492838740185</v>
      </c>
      <c r="F31" s="133">
        <f>IF(SER_hh_emi!F31=0,0,1000000*SER_hh_emi!F31/SER_hh_num!F31)</f>
        <v>8823.2640226368603</v>
      </c>
      <c r="G31" s="133">
        <f>IF(SER_hh_emi!G31=0,0,1000000*SER_hh_emi!G31/SER_hh_num!G31)</f>
        <v>10017.744234962685</v>
      </c>
      <c r="H31" s="133">
        <f>IF(SER_hh_emi!H31=0,0,1000000*SER_hh_emi!H31/SER_hh_num!H31)</f>
        <v>9351.8031914325602</v>
      </c>
      <c r="I31" s="133">
        <f>IF(SER_hh_emi!I31=0,0,1000000*SER_hh_emi!I31/SER_hh_num!I31)</f>
        <v>9321.4270211821458</v>
      </c>
      <c r="J31" s="133">
        <f>IF(SER_hh_emi!J31=0,0,1000000*SER_hh_emi!J31/SER_hh_num!J31)</f>
        <v>9402.4610598976833</v>
      </c>
      <c r="K31" s="133">
        <f>IF(SER_hh_emi!K31=0,0,1000000*SER_hh_emi!K31/SER_hh_num!K31)</f>
        <v>9986.6079590774098</v>
      </c>
      <c r="L31" s="133">
        <f>IF(SER_hh_emi!L31=0,0,1000000*SER_hh_emi!L31/SER_hh_num!L31)</f>
        <v>10396.981256475885</v>
      </c>
      <c r="M31" s="133">
        <f>IF(SER_hh_emi!M31=0,0,1000000*SER_hh_emi!M31/SER_hh_num!M31)</f>
        <v>10077.801266702185</v>
      </c>
      <c r="N31" s="133">
        <f>IF(SER_hh_emi!N31=0,0,1000000*SER_hh_emi!N31/SER_hh_num!N31)</f>
        <v>9827.4299848161008</v>
      </c>
      <c r="O31" s="133">
        <f>IF(SER_hh_emi!O31=0,0,1000000*SER_hh_emi!O31/SER_hh_num!O31)</f>
        <v>9516.4175912905685</v>
      </c>
      <c r="P31" s="133">
        <f>IF(SER_hh_emi!P31=0,0,1000000*SER_hh_emi!P31/SER_hh_num!P31)</f>
        <v>9916.647459969372</v>
      </c>
      <c r="Q31" s="133">
        <f>IF(SER_hh_emi!Q31=0,0,1000000*SER_hh_emi!Q31/SER_hh_num!Q31)</f>
        <v>10058.558445690347</v>
      </c>
      <c r="R31" s="133">
        <f>IF(SER_hh_emi!R31=0,0,1000000*SER_hh_emi!R31/SER_hh_num!R31)</f>
        <v>9867.8727323140865</v>
      </c>
      <c r="S31" s="133">
        <f>IF(SER_hh_emi!S31=0,0,1000000*SER_hh_emi!S31/SER_hh_num!S31)</f>
        <v>9814.5879512566589</v>
      </c>
      <c r="T31" s="133">
        <f>IF(SER_hh_emi!T31=0,0,1000000*SER_hh_emi!T31/SER_hh_num!T31)</f>
        <v>9393.2991715845856</v>
      </c>
      <c r="U31" s="133">
        <f>IF(SER_hh_emi!U31=0,0,1000000*SER_hh_emi!U31/SER_hh_num!U31)</f>
        <v>8934.0264033638869</v>
      </c>
      <c r="V31" s="133">
        <f>IF(SER_hh_emi!V31=0,0,1000000*SER_hh_emi!V31/SER_hh_num!V31)</f>
        <v>8156.5767255305027</v>
      </c>
      <c r="W31" s="133">
        <f>IF(SER_hh_emi!W31=0,0,1000000*SER_hh_emi!W31/SER_hh_num!W31)</f>
        <v>8815.8587564319769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143.59618019867199</v>
      </c>
      <c r="C3" s="126">
        <f>IF(SER_hh_fech!C3=0,0,SER_hh_fech!C3/SER_summary!C$26)</f>
        <v>158.4628276436467</v>
      </c>
      <c r="D3" s="126">
        <f>IF(SER_hh_fech!D3=0,0,SER_hh_fech!D3/SER_summary!D$26)</f>
        <v>160.63698382465847</v>
      </c>
      <c r="E3" s="126">
        <f>IF(SER_hh_fech!E3=0,0,SER_hh_fech!E3/SER_summary!E$26)</f>
        <v>168.02284190825361</v>
      </c>
      <c r="F3" s="126">
        <f>IF(SER_hh_fech!F3=0,0,SER_hh_fech!F3/SER_summary!F$26)</f>
        <v>173.49189250514502</v>
      </c>
      <c r="G3" s="126">
        <f>IF(SER_hh_fech!G3=0,0,SER_hh_fech!G3/SER_summary!G$26)</f>
        <v>186.60228349639948</v>
      </c>
      <c r="H3" s="126">
        <f>IF(SER_hh_fech!H3=0,0,SER_hh_fech!H3/SER_summary!H$26)</f>
        <v>192.8705809780553</v>
      </c>
      <c r="I3" s="126">
        <f>IF(SER_hh_fech!I3=0,0,SER_hh_fech!I3/SER_summary!I$26)</f>
        <v>191.43524757183695</v>
      </c>
      <c r="J3" s="126">
        <f>IF(SER_hh_fech!J3=0,0,SER_hh_fech!J3/SER_summary!J$26)</f>
        <v>195.55694870899245</v>
      </c>
      <c r="K3" s="126">
        <f>IF(SER_hh_fech!K3=0,0,SER_hh_fech!K3/SER_summary!K$26)</f>
        <v>185.36649496825189</v>
      </c>
      <c r="L3" s="126">
        <f>IF(SER_hh_fech!L3=0,0,SER_hh_fech!L3/SER_summary!L$26)</f>
        <v>168.18974082031119</v>
      </c>
      <c r="M3" s="126">
        <f>IF(SER_hh_fech!M3=0,0,SER_hh_fech!M3/SER_summary!M$26)</f>
        <v>161.46999389013021</v>
      </c>
      <c r="N3" s="126">
        <f>IF(SER_hh_fech!N3=0,0,SER_hh_fech!N3/SER_summary!N$26)</f>
        <v>169.31236880266852</v>
      </c>
      <c r="O3" s="126">
        <f>IF(SER_hh_fech!O3=0,0,SER_hh_fech!O3/SER_summary!O$26)</f>
        <v>154.51598014849068</v>
      </c>
      <c r="P3" s="126">
        <f>IF(SER_hh_fech!P3=0,0,SER_hh_fech!P3/SER_summary!P$26)</f>
        <v>139.61573023595108</v>
      </c>
      <c r="Q3" s="126">
        <f>IF(SER_hh_fech!Q3=0,0,SER_hh_fech!Q3/SER_summary!Q$26)</f>
        <v>158.00508394288323</v>
      </c>
      <c r="R3" s="126">
        <f>IF(SER_hh_fech!R3=0,0,SER_hh_fech!R3/SER_summary!R$26)</f>
        <v>174.07600365966931</v>
      </c>
      <c r="S3" s="126">
        <f>IF(SER_hh_fech!S3=0,0,SER_hh_fech!S3/SER_summary!S$26)</f>
        <v>164.38464916384072</v>
      </c>
      <c r="T3" s="126">
        <f>IF(SER_hh_fech!T3=0,0,SER_hh_fech!T3/SER_summary!T$26)</f>
        <v>148.98881155417016</v>
      </c>
      <c r="U3" s="126">
        <f>IF(SER_hh_fech!U3=0,0,SER_hh_fech!U3/SER_summary!U$26)</f>
        <v>152.54021347363263</v>
      </c>
      <c r="V3" s="126">
        <f>IF(SER_hh_fech!V3=0,0,SER_hh_fech!V3/SER_summary!V$26)</f>
        <v>125.72423136516011</v>
      </c>
      <c r="W3" s="126">
        <f>IF(SER_hh_fech!W3=0,0,SER_hh_fech!W3/SER_summary!W$26)</f>
        <v>137.17689855717663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57.883182456208097</v>
      </c>
      <c r="C4" s="131">
        <f>IF(SER_hh_fech!C4=0,0,SER_hh_fech!C4/SER_summary!C$26)</f>
        <v>69.371390850518793</v>
      </c>
      <c r="D4" s="131">
        <f>IF(SER_hh_fech!D4=0,0,SER_hh_fech!D4/SER_summary!D$26)</f>
        <v>70.214504180596848</v>
      </c>
      <c r="E4" s="131">
        <f>IF(SER_hh_fech!E4=0,0,SER_hh_fech!E4/SER_summary!E$26)</f>
        <v>76.251905395099428</v>
      </c>
      <c r="F4" s="131">
        <f>IF(SER_hh_fech!F4=0,0,SER_hh_fech!F4/SER_summary!F$26)</f>
        <v>82.29680849826309</v>
      </c>
      <c r="G4" s="131">
        <f>IF(SER_hh_fech!G4=0,0,SER_hh_fech!G4/SER_summary!G$26)</f>
        <v>92.771626095858892</v>
      </c>
      <c r="H4" s="131">
        <f>IF(SER_hh_fech!H4=0,0,SER_hh_fech!H4/SER_summary!H$26)</f>
        <v>100.03711672397593</v>
      </c>
      <c r="I4" s="131">
        <f>IF(SER_hh_fech!I4=0,0,SER_hh_fech!I4/SER_summary!I$26)</f>
        <v>98.327862576974965</v>
      </c>
      <c r="J4" s="131">
        <f>IF(SER_hh_fech!J4=0,0,SER_hh_fech!J4/SER_summary!J$26)</f>
        <v>102.97623633504723</v>
      </c>
      <c r="K4" s="131">
        <f>IF(SER_hh_fech!K4=0,0,SER_hh_fech!K4/SER_summary!K$26)</f>
        <v>93.356673219577246</v>
      </c>
      <c r="L4" s="131">
        <f>IF(SER_hh_fech!L4=0,0,SER_hh_fech!L4/SER_summary!L$26)</f>
        <v>70.186155753116637</v>
      </c>
      <c r="M4" s="131">
        <f>IF(SER_hh_fech!M4=0,0,SER_hh_fech!M4/SER_summary!M$26)</f>
        <v>61.753784079573229</v>
      </c>
      <c r="N4" s="131">
        <f>IF(SER_hh_fech!N4=0,0,SER_hh_fech!N4/SER_summary!N$26)</f>
        <v>63.665731598662532</v>
      </c>
      <c r="O4" s="131">
        <f>IF(SER_hh_fech!O4=0,0,SER_hh_fech!O4/SER_summary!O$26)</f>
        <v>52.748075215976343</v>
      </c>
      <c r="P4" s="131">
        <f>IF(SER_hh_fech!P4=0,0,SER_hh_fech!P4/SER_summary!P$26)</f>
        <v>39.280205681789496</v>
      </c>
      <c r="Q4" s="131">
        <f>IF(SER_hh_fech!Q4=0,0,SER_hh_fech!Q4/SER_summary!Q$26)</f>
        <v>56.491210405071143</v>
      </c>
      <c r="R4" s="131">
        <f>IF(SER_hh_fech!R4=0,0,SER_hh_fech!R4/SER_summary!R$26)</f>
        <v>72.561249558770228</v>
      </c>
      <c r="S4" s="131">
        <f>IF(SER_hh_fech!S4=0,0,SER_hh_fech!S4/SER_summary!S$26)</f>
        <v>63.634368794998039</v>
      </c>
      <c r="T4" s="131">
        <f>IF(SER_hh_fech!T4=0,0,SER_hh_fech!T4/SER_summary!T$26)</f>
        <v>51.511502907622983</v>
      </c>
      <c r="U4" s="131">
        <f>IF(SER_hh_fech!U4=0,0,SER_hh_fech!U4/SER_summary!U$26)</f>
        <v>55.624548566282932</v>
      </c>
      <c r="V4" s="131">
        <f>IF(SER_hh_fech!V4=0,0,SER_hh_fech!V4/SER_summary!V$26)</f>
        <v>43.029044972749716</v>
      </c>
      <c r="W4" s="131">
        <f>IF(SER_hh_fech!W4=0,0,SER_hh_fech!W4/SER_summary!W$26)</f>
        <v>47.142422901272717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70.758783836071274</v>
      </c>
      <c r="C7" s="133">
        <f>IF(SER_hh_fech!C7=0,0,SER_hh_fech!C7/SER_summary!C$26)</f>
        <v>86.110386170156104</v>
      </c>
      <c r="D7" s="133">
        <f>IF(SER_hh_fech!D7=0,0,SER_hh_fech!D7/SER_summary!D$26)</f>
        <v>89.367529526702143</v>
      </c>
      <c r="E7" s="133">
        <f>IF(SER_hh_fech!E7=0,0,SER_hh_fech!E7/SER_summary!E$26)</f>
        <v>95.970564698217501</v>
      </c>
      <c r="F7" s="133">
        <f>IF(SER_hh_fech!F7=0,0,SER_hh_fech!F7/SER_summary!F$26)</f>
        <v>97.959345154651828</v>
      </c>
      <c r="G7" s="133">
        <f>IF(SER_hh_fech!G7=0,0,SER_hh_fech!G7/SER_summary!G$26)</f>
        <v>125.22241811430132</v>
      </c>
      <c r="H7" s="133">
        <f>IF(SER_hh_fech!H7=0,0,SER_hh_fech!H7/SER_summary!H$26)</f>
        <v>136.03403315869082</v>
      </c>
      <c r="I7" s="133">
        <f>IF(SER_hh_fech!I7=0,0,SER_hh_fech!I7/SER_summary!I$26)</f>
        <v>135.5533367108975</v>
      </c>
      <c r="J7" s="133">
        <f>IF(SER_hh_fech!J7=0,0,SER_hh_fech!J7/SER_summary!J$26)</f>
        <v>148.9674815717041</v>
      </c>
      <c r="K7" s="133">
        <f>IF(SER_hh_fech!K7=0,0,SER_hh_fech!K7/SER_summary!K$26)</f>
        <v>124.36235531578356</v>
      </c>
      <c r="L7" s="133">
        <f>IF(SER_hh_fech!L7=0,0,SER_hh_fech!L7/SER_summary!L$26)</f>
        <v>119.96072648011223</v>
      </c>
      <c r="M7" s="133">
        <f>IF(SER_hh_fech!M7=0,0,SER_hh_fech!M7/SER_summary!M$26)</f>
        <v>120.97496456578774</v>
      </c>
      <c r="N7" s="133">
        <f>IF(SER_hh_fech!N7=0,0,SER_hh_fech!N7/SER_summary!N$26)</f>
        <v>62.493927676787536</v>
      </c>
      <c r="O7" s="133">
        <f>IF(SER_hh_fech!O7=0,0,SER_hh_fech!O7/SER_summary!O$26)</f>
        <v>141.36115713015352</v>
      </c>
      <c r="P7" s="133">
        <f>IF(SER_hh_fech!P7=0,0,SER_hh_fech!P7/SER_summary!P$26)</f>
        <v>87.652069299654443</v>
      </c>
      <c r="Q7" s="133">
        <f>IF(SER_hh_fech!Q7=0,0,SER_hh_fech!Q7/SER_summary!Q$26)</f>
        <v>109.46924204842468</v>
      </c>
      <c r="R7" s="133">
        <f>IF(SER_hh_fech!R7=0,0,SER_hh_fech!R7/SER_summary!R$26)</f>
        <v>226.45885113758897</v>
      </c>
      <c r="S7" s="133">
        <f>IF(SER_hh_fech!S7=0,0,SER_hh_fech!S7/SER_summary!S$26)</f>
        <v>118.81572609368855</v>
      </c>
      <c r="T7" s="133">
        <f>IF(SER_hh_fech!T7=0,0,SER_hh_fech!T7/SER_summary!T$26)</f>
        <v>125.86507189412465</v>
      </c>
      <c r="U7" s="133">
        <f>IF(SER_hh_fech!U7=0,0,SER_hh_fech!U7/SER_summary!U$26)</f>
        <v>146.78494898762628</v>
      </c>
      <c r="V7" s="133">
        <f>IF(SER_hh_fech!V7=0,0,SER_hh_fech!V7/SER_summary!V$26)</f>
        <v>147.14356310737404</v>
      </c>
      <c r="W7" s="133">
        <f>IF(SER_hh_fech!W7=0,0,SER_hh_fech!W7/SER_summary!W$26)</f>
        <v>124.71687542991268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26.976308207350538</v>
      </c>
      <c r="C8" s="133">
        <f>IF(SER_hh_fech!C8=0,0,SER_hh_fech!C8/SER_summary!C$26)</f>
        <v>27.499783233282759</v>
      </c>
      <c r="D8" s="133">
        <f>IF(SER_hh_fech!D8=0,0,SER_hh_fech!D8/SER_summary!D$26)</f>
        <v>27.789120245923794</v>
      </c>
      <c r="E8" s="133">
        <f>IF(SER_hh_fech!E8=0,0,SER_hh_fech!E8/SER_summary!E$26)</f>
        <v>29.852609060907604</v>
      </c>
      <c r="F8" s="133">
        <f>IF(SER_hh_fech!F8=0,0,SER_hh_fech!F8/SER_summary!F$26)</f>
        <v>33.846843630248088</v>
      </c>
      <c r="G8" s="133">
        <f>IF(SER_hh_fech!G8=0,0,SER_hh_fech!G8/SER_summary!G$26)</f>
        <v>40.051320640759336</v>
      </c>
      <c r="H8" s="133">
        <f>IF(SER_hh_fech!H8=0,0,SER_hh_fech!H8/SER_summary!H$26)</f>
        <v>39.665911390701147</v>
      </c>
      <c r="I8" s="133">
        <f>IF(SER_hh_fech!I8=0,0,SER_hh_fech!I8/SER_summary!I$26)</f>
        <v>38.358013110826477</v>
      </c>
      <c r="J8" s="133">
        <f>IF(SER_hh_fech!J8=0,0,SER_hh_fech!J8/SER_summary!J$26)</f>
        <v>36.733855566386246</v>
      </c>
      <c r="K8" s="133">
        <f>IF(SER_hh_fech!K8=0,0,SER_hh_fech!K8/SER_summary!K$26)</f>
        <v>32.058518119725811</v>
      </c>
      <c r="L8" s="133">
        <f>IF(SER_hh_fech!L8=0,0,SER_hh_fech!L8/SER_summary!L$26)</f>
        <v>24.789688903286269</v>
      </c>
      <c r="M8" s="133">
        <f>IF(SER_hh_fech!M8=0,0,SER_hh_fech!M8/SER_summary!M$26)</f>
        <v>18.281601509461638</v>
      </c>
      <c r="N8" s="133">
        <f>IF(SER_hh_fech!N8=0,0,SER_hh_fech!N8/SER_summary!N$26)</f>
        <v>11.847845010590493</v>
      </c>
      <c r="O8" s="133">
        <f>IF(SER_hh_fech!O8=0,0,SER_hh_fech!O8/SER_summary!O$26)</f>
        <v>14.18658422230566</v>
      </c>
      <c r="P8" s="133">
        <f>IF(SER_hh_fech!P8=0,0,SER_hh_fech!P8/SER_summary!P$26)</f>
        <v>21.298198403136755</v>
      </c>
      <c r="Q8" s="133">
        <f>IF(SER_hh_fech!Q8=0,0,SER_hh_fech!Q8/SER_summary!Q$26)</f>
        <v>33.974913728424674</v>
      </c>
      <c r="R8" s="133">
        <f>IF(SER_hh_fech!R8=0,0,SER_hh_fech!R8/SER_summary!R$26)</f>
        <v>30.306719787600294</v>
      </c>
      <c r="S8" s="133">
        <f>IF(SER_hh_fech!S8=0,0,SER_hh_fech!S8/SER_summary!S$26)</f>
        <v>28.522174412679902</v>
      </c>
      <c r="T8" s="133">
        <f>IF(SER_hh_fech!T8=0,0,SER_hh_fech!T8/SER_summary!T$26)</f>
        <v>28.23246471160363</v>
      </c>
      <c r="U8" s="133">
        <f>IF(SER_hh_fech!U8=0,0,SER_hh_fech!U8/SER_summary!U$26)</f>
        <v>27.722868713393485</v>
      </c>
      <c r="V8" s="133">
        <f>IF(SER_hh_fech!V8=0,0,SER_hh_fech!V8/SER_summary!V$26)</f>
        <v>28.967466308651623</v>
      </c>
      <c r="W8" s="133">
        <f>IF(SER_hh_fech!W8=0,0,SER_hh_fech!W8/SER_summary!W$26)</f>
        <v>30.054085572968312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60.28720277907555</v>
      </c>
      <c r="C9" s="133">
        <f>IF(SER_hh_fech!C9=0,0,SER_hh_fech!C9/SER_summary!C$26)</f>
        <v>63.842575200444884</v>
      </c>
      <c r="D9" s="133">
        <f>IF(SER_hh_fech!D9=0,0,SER_hh_fech!D9/SER_summary!D$26)</f>
        <v>59.856429409774229</v>
      </c>
      <c r="E9" s="133">
        <f>IF(SER_hh_fech!E9=0,0,SER_hh_fech!E9/SER_summary!E$26)</f>
        <v>69.437407706833653</v>
      </c>
      <c r="F9" s="133">
        <f>IF(SER_hh_fech!F9=0,0,SER_hh_fech!F9/SER_summary!F$26)</f>
        <v>82.259529712790425</v>
      </c>
      <c r="G9" s="133">
        <f>IF(SER_hh_fech!G9=0,0,SER_hh_fech!G9/SER_summary!G$26)</f>
        <v>103.41402397963017</v>
      </c>
      <c r="H9" s="133">
        <f>IF(SER_hh_fech!H9=0,0,SER_hh_fech!H9/SER_summary!H$26)</f>
        <v>106.94450823378808</v>
      </c>
      <c r="I9" s="133">
        <f>IF(SER_hh_fech!I9=0,0,SER_hh_fech!I9/SER_summary!I$26)</f>
        <v>103.35188993115088</v>
      </c>
      <c r="J9" s="133">
        <f>IF(SER_hh_fech!J9=0,0,SER_hh_fech!J9/SER_summary!J$26)</f>
        <v>115.66811207781714</v>
      </c>
      <c r="K9" s="133">
        <f>IF(SER_hh_fech!K9=0,0,SER_hh_fech!K9/SER_summary!K$26)</f>
        <v>110.27916307426437</v>
      </c>
      <c r="L9" s="133">
        <f>IF(SER_hh_fech!L9=0,0,SER_hh_fech!L9/SER_summary!L$26)</f>
        <v>84.576471974151559</v>
      </c>
      <c r="M9" s="133">
        <f>IF(SER_hh_fech!M9=0,0,SER_hh_fech!M9/SER_summary!M$26)</f>
        <v>118.71994516702392</v>
      </c>
      <c r="N9" s="133">
        <f>IF(SER_hh_fech!N9=0,0,SER_hh_fech!N9/SER_summary!N$26)</f>
        <v>91.589304233163887</v>
      </c>
      <c r="O9" s="133">
        <f>IF(SER_hh_fech!O9=0,0,SER_hh_fech!O9/SER_summary!O$26)</f>
        <v>83.715808617201546</v>
      </c>
      <c r="P9" s="133">
        <f>IF(SER_hh_fech!P9=0,0,SER_hh_fech!P9/SER_summary!P$26)</f>
        <v>90.069801554794864</v>
      </c>
      <c r="Q9" s="133">
        <f>IF(SER_hh_fech!Q9=0,0,SER_hh_fech!Q9/SER_summary!Q$26)</f>
        <v>141.21177389046073</v>
      </c>
      <c r="R9" s="133">
        <f>IF(SER_hh_fech!R9=0,0,SER_hh_fech!R9/SER_summary!R$26)</f>
        <v>128.25010796858641</v>
      </c>
      <c r="S9" s="133">
        <f>IF(SER_hh_fech!S9=0,0,SER_hh_fech!S9/SER_summary!S$26)</f>
        <v>129.88183871020732</v>
      </c>
      <c r="T9" s="133">
        <f>IF(SER_hh_fech!T9=0,0,SER_hh_fech!T9/SER_summary!T$26)</f>
        <v>122.62785445460815</v>
      </c>
      <c r="U9" s="133">
        <f>IF(SER_hh_fech!U9=0,0,SER_hh_fech!U9/SER_summary!U$26)</f>
        <v>139.74629983802728</v>
      </c>
      <c r="V9" s="133">
        <f>IF(SER_hh_fech!V9=0,0,SER_hh_fech!V9/SER_summary!V$26)</f>
        <v>118.92773039282541</v>
      </c>
      <c r="W9" s="133">
        <f>IF(SER_hh_fech!W9=0,0,SER_hh_fech!W9/SER_summary!W$26)</f>
        <v>126.21121121725602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183.28896762873055</v>
      </c>
      <c r="O10" s="133">
        <f>IF(SER_hh_fech!O10=0,0,SER_hh_fech!O10/SER_summary!O$26)</f>
        <v>101.76395013700807</v>
      </c>
      <c r="P10" s="133">
        <f>IF(SER_hh_fech!P10=0,0,SER_hh_fech!P10/SER_summary!P$26)</f>
        <v>77.721338911831623</v>
      </c>
      <c r="Q10" s="133">
        <f>IF(SER_hh_fech!Q10=0,0,SER_hh_fech!Q10/SER_summary!Q$26)</f>
        <v>238.77314230910906</v>
      </c>
      <c r="R10" s="133">
        <f>IF(SER_hh_fech!R10=0,0,SER_hh_fech!R10/SER_summary!R$26)</f>
        <v>156.49465640193401</v>
      </c>
      <c r="S10" s="133">
        <f>IF(SER_hh_fech!S10=0,0,SER_hh_fech!S10/SER_summary!S$26)</f>
        <v>118.70298485352616</v>
      </c>
      <c r="T10" s="133">
        <f>IF(SER_hh_fech!T10=0,0,SER_hh_fech!T10/SER_summary!T$26)</f>
        <v>194.62422707707339</v>
      </c>
      <c r="U10" s="133">
        <f>IF(SER_hh_fech!U10=0,0,SER_hh_fech!U10/SER_summary!U$26)</f>
        <v>94.364838646882973</v>
      </c>
      <c r="V10" s="133">
        <f>IF(SER_hh_fech!V10=0,0,SER_hh_fech!V10/SER_summary!V$26)</f>
        <v>97.399747061260712</v>
      </c>
      <c r="W10" s="133">
        <f>IF(SER_hh_fech!W10=0,0,SER_hh_fech!W10/SER_summary!W$26)</f>
        <v>216.75061635860854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75.97148740205094</v>
      </c>
      <c r="G11" s="133">
        <f>IF(SER_hh_fech!G11=0,0,SER_hh_fech!G11/SER_summary!G$26)</f>
        <v>59.917921651840068</v>
      </c>
      <c r="H11" s="133">
        <f>IF(SER_hh_fech!H11=0,0,SER_hh_fech!H11/SER_summary!H$26)</f>
        <v>58.668302439975776</v>
      </c>
      <c r="I11" s="133">
        <f>IF(SER_hh_fech!I11=0,0,SER_hh_fech!I11/SER_summary!I$26)</f>
        <v>60.348046068154382</v>
      </c>
      <c r="J11" s="133">
        <f>IF(SER_hh_fech!J11=0,0,SER_hh_fech!J11/SER_summary!J$26)</f>
        <v>58.689803249803248</v>
      </c>
      <c r="K11" s="133">
        <f>IF(SER_hh_fech!K11=0,0,SER_hh_fech!K11/SER_summary!K$26)</f>
        <v>65.810168634638117</v>
      </c>
      <c r="L11" s="133">
        <f>IF(SER_hh_fech!L11=0,0,SER_hh_fech!L11/SER_summary!L$26)</f>
        <v>58.264731213737875</v>
      </c>
      <c r="M11" s="133">
        <f>IF(SER_hh_fech!M11=0,0,SER_hh_fech!M11/SER_summary!M$26)</f>
        <v>55.107541212859168</v>
      </c>
      <c r="N11" s="133">
        <f>IF(SER_hh_fech!N11=0,0,SER_hh_fech!N11/SER_summary!N$26)</f>
        <v>56.37261561204533</v>
      </c>
      <c r="O11" s="133">
        <f>IF(SER_hh_fech!O11=0,0,SER_hh_fech!O11/SER_summary!O$26)</f>
        <v>55.216031819516424</v>
      </c>
      <c r="P11" s="133">
        <f>IF(SER_hh_fech!P11=0,0,SER_hh_fech!P11/SER_summary!P$26)</f>
        <v>64.3040300672331</v>
      </c>
      <c r="Q11" s="133">
        <f>IF(SER_hh_fech!Q11=0,0,SER_hh_fech!Q11/SER_summary!Q$26)</f>
        <v>69.722829204971816</v>
      </c>
      <c r="R11" s="133">
        <f>IF(SER_hh_fech!R11=0,0,SER_hh_fech!R11/SER_summary!R$26)</f>
        <v>77.703139881126376</v>
      </c>
      <c r="S11" s="133">
        <f>IF(SER_hh_fech!S11=0,0,SER_hh_fech!S11/SER_summary!S$26)</f>
        <v>77.789376017842585</v>
      </c>
      <c r="T11" s="133">
        <f>IF(SER_hh_fech!T11=0,0,SER_hh_fech!T11/SER_summary!T$26)</f>
        <v>79.045784162074995</v>
      </c>
      <c r="U11" s="133">
        <f>IF(SER_hh_fech!U11=0,0,SER_hh_fech!U11/SER_summary!U$26)</f>
        <v>110.3280627633704</v>
      </c>
      <c r="V11" s="133">
        <f>IF(SER_hh_fech!V11=0,0,SER_hh_fech!V11/SER_summary!V$26)</f>
        <v>39.978965390518738</v>
      </c>
      <c r="W11" s="133">
        <f>IF(SER_hh_fech!W11=0,0,SER_hh_fech!W11/SER_summary!W$26)</f>
        <v>41.879609395603744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23.009929355222376</v>
      </c>
      <c r="C13" s="133">
        <f>IF(SER_hh_fech!C13=0,0,SER_hh_fech!C13/SER_summary!C$26)</f>
        <v>26.354198220915887</v>
      </c>
      <c r="D13" s="133">
        <f>IF(SER_hh_fech!D13=0,0,SER_hh_fech!D13/SER_summary!D$26)</f>
        <v>26.489101530197729</v>
      </c>
      <c r="E13" s="133">
        <f>IF(SER_hh_fech!E13=0,0,SER_hh_fech!E13/SER_summary!E$26)</f>
        <v>27.834366754765842</v>
      </c>
      <c r="F13" s="133">
        <f>IF(SER_hh_fech!F13=0,0,SER_hh_fech!F13/SER_summary!F$26)</f>
        <v>33.038636467258094</v>
      </c>
      <c r="G13" s="133">
        <f>IF(SER_hh_fech!G13=0,0,SER_hh_fech!G13/SER_summary!G$26)</f>
        <v>30.978231187132184</v>
      </c>
      <c r="H13" s="133">
        <f>IF(SER_hh_fech!H13=0,0,SER_hh_fech!H13/SER_summary!H$26)</f>
        <v>32.461063976726976</v>
      </c>
      <c r="I13" s="133">
        <f>IF(SER_hh_fech!I13=0,0,SER_hh_fech!I13/SER_summary!I$26)</f>
        <v>33.817765535533781</v>
      </c>
      <c r="J13" s="133">
        <f>IF(SER_hh_fech!J13=0,0,SER_hh_fech!J13/SER_summary!J$26)</f>
        <v>31.954157720445174</v>
      </c>
      <c r="K13" s="133">
        <f>IF(SER_hh_fech!K13=0,0,SER_hh_fech!K13/SER_summary!K$26)</f>
        <v>29.116141653934925</v>
      </c>
      <c r="L13" s="133">
        <f>IF(SER_hh_fech!L13=0,0,SER_hh_fech!L13/SER_summary!L$26)</f>
        <v>24.021891883546019</v>
      </c>
      <c r="M13" s="133">
        <f>IF(SER_hh_fech!M13=0,0,SER_hh_fech!M13/SER_summary!M$26)</f>
        <v>21.151431312150621</v>
      </c>
      <c r="N13" s="133">
        <f>IF(SER_hh_fech!N13=0,0,SER_hh_fech!N13/SER_summary!N$26)</f>
        <v>22.703904089592879</v>
      </c>
      <c r="O13" s="133">
        <f>IF(SER_hh_fech!O13=0,0,SER_hh_fech!O13/SER_summary!O$26)</f>
        <v>20.21332066391626</v>
      </c>
      <c r="P13" s="133">
        <f>IF(SER_hh_fech!P13=0,0,SER_hh_fech!P13/SER_summary!P$26)</f>
        <v>22.143822305859608</v>
      </c>
      <c r="Q13" s="133">
        <f>IF(SER_hh_fech!Q13=0,0,SER_hh_fech!Q13/SER_summary!Q$26)</f>
        <v>26.992869619178791</v>
      </c>
      <c r="R13" s="133">
        <f>IF(SER_hh_fech!R13=0,0,SER_hh_fech!R13/SER_summary!R$26)</f>
        <v>27.449287093131243</v>
      </c>
      <c r="S13" s="133">
        <f>IF(SER_hh_fech!S13=0,0,SER_hh_fech!S13/SER_summary!S$26)</f>
        <v>26.331821555447135</v>
      </c>
      <c r="T13" s="133">
        <f>IF(SER_hh_fech!T13=0,0,SER_hh_fech!T13/SER_summary!T$26)</f>
        <v>25.892140141213588</v>
      </c>
      <c r="U13" s="133">
        <f>IF(SER_hh_fech!U13=0,0,SER_hh_fech!U13/SER_summary!U$26)</f>
        <v>24.882939725666827</v>
      </c>
      <c r="V13" s="133">
        <f>IF(SER_hh_fech!V13=0,0,SER_hh_fech!V13/SER_summary!V$26)</f>
        <v>24.50319882642053</v>
      </c>
      <c r="W13" s="133">
        <f>IF(SER_hh_fech!W13=0,0,SER_hh_fech!W13/SER_summary!W$26)</f>
        <v>25.449653673639862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49.006637658890426</v>
      </c>
      <c r="C14" s="65">
        <f>IF(SER_hh_fech!C14=0,0,SER_hh_fech!C14/SER_summary!C$26)</f>
        <v>56.331084243446313</v>
      </c>
      <c r="D14" s="65">
        <f>IF(SER_hh_fech!D14=0,0,SER_hh_fech!D14/SER_summary!D$26)</f>
        <v>56.855621653591285</v>
      </c>
      <c r="E14" s="65">
        <f>IF(SER_hh_fech!E14=0,0,SER_hh_fech!E14/SER_summary!E$26)</f>
        <v>64.867355353490183</v>
      </c>
      <c r="F14" s="65">
        <f>IF(SER_hh_fech!F14=0,0,SER_hh_fech!F14/SER_summary!F$26)</f>
        <v>77.801198851060377</v>
      </c>
      <c r="G14" s="65">
        <f>IF(SER_hh_fech!G14=0,0,SER_hh_fech!G14/SER_summary!G$26)</f>
        <v>76.219496423364745</v>
      </c>
      <c r="H14" s="65">
        <f>IF(SER_hh_fech!H14=0,0,SER_hh_fech!H14/SER_summary!H$26)</f>
        <v>88.135224715465696</v>
      </c>
      <c r="I14" s="65">
        <f>IF(SER_hh_fech!I14=0,0,SER_hh_fech!I14/SER_summary!I$26)</f>
        <v>92.376475394873921</v>
      </c>
      <c r="J14" s="65">
        <f>IF(SER_hh_fech!J14=0,0,SER_hh_fech!J14/SER_summary!J$26)</f>
        <v>101.75380224498804</v>
      </c>
      <c r="K14" s="65">
        <f>IF(SER_hh_fech!K14=0,0,SER_hh_fech!K14/SER_summary!K$26)</f>
        <v>107.31821421150947</v>
      </c>
      <c r="L14" s="65">
        <f>IF(SER_hh_fech!L14=0,0,SER_hh_fech!L14/SER_summary!L$26)</f>
        <v>76.503612818951169</v>
      </c>
      <c r="M14" s="65">
        <f>IF(SER_hh_fech!M14=0,0,SER_hh_fech!M14/SER_summary!M$26)</f>
        <v>53.827340201890337</v>
      </c>
      <c r="N14" s="65">
        <f>IF(SER_hh_fech!N14=0,0,SER_hh_fech!N14/SER_summary!N$26)</f>
        <v>116.18257392114384</v>
      </c>
      <c r="O14" s="65">
        <f>IF(SER_hh_fech!O14=0,0,SER_hh_fech!O14/SER_summary!O$26)</f>
        <v>78.330716933662146</v>
      </c>
      <c r="P14" s="65">
        <f>IF(SER_hh_fech!P14=0,0,SER_hh_fech!P14/SER_summary!P$26)</f>
        <v>50.602947682276486</v>
      </c>
      <c r="Q14" s="65">
        <f>IF(SER_hh_fech!Q14=0,0,SER_hh_fech!Q14/SER_summary!Q$26)</f>
        <v>90.66111112311323</v>
      </c>
      <c r="R14" s="65">
        <f>IF(SER_hh_fech!R14=0,0,SER_hh_fech!R14/SER_summary!R$26)</f>
        <v>143.22161432038726</v>
      </c>
      <c r="S14" s="65">
        <f>IF(SER_hh_fech!S14=0,0,SER_hh_fech!S14/SER_summary!S$26)</f>
        <v>136.42841538161949</v>
      </c>
      <c r="T14" s="65">
        <f>IF(SER_hh_fech!T14=0,0,SER_hh_fech!T14/SER_summary!T$26)</f>
        <v>91.392602271443067</v>
      </c>
      <c r="U14" s="65">
        <f>IF(SER_hh_fech!U14=0,0,SER_hh_fech!U14/SER_summary!U$26)</f>
        <v>128.0594870826171</v>
      </c>
      <c r="V14" s="65">
        <f>IF(SER_hh_fech!V14=0,0,SER_hh_fech!V14/SER_summary!V$26)</f>
        <v>82.365375526696027</v>
      </c>
      <c r="W14" s="65">
        <f>IF(SER_hh_fech!W14=0,0,SER_hh_fech!W14/SER_summary!W$26)</f>
        <v>124.99848987723946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0.53161277443232013</v>
      </c>
      <c r="C15" s="135">
        <f>IF(SER_hh_fech!C15=0,0,SER_hh_fech!C15/SER_summary!C$26)</f>
        <v>0.64467793804962559</v>
      </c>
      <c r="D15" s="135">
        <f>IF(SER_hh_fech!D15=0,0,SER_hh_fech!D15/SER_summary!D$26)</f>
        <v>0.65853196912235756</v>
      </c>
      <c r="E15" s="135">
        <f>IF(SER_hh_fech!E15=0,0,SER_hh_fech!E15/SER_summary!E$26)</f>
        <v>0.70218494666837861</v>
      </c>
      <c r="F15" s="135">
        <f>IF(SER_hh_fech!F15=0,0,SER_hh_fech!F15/SER_summary!F$26)</f>
        <v>0.7092317383277309</v>
      </c>
      <c r="G15" s="135">
        <f>IF(SER_hh_fech!G15=0,0,SER_hh_fech!G15/SER_summary!G$26)</f>
        <v>0.89782637143170374</v>
      </c>
      <c r="H15" s="135">
        <f>IF(SER_hh_fech!H15=0,0,SER_hh_fech!H15/SER_summary!H$26)</f>
        <v>0.95942368557385549</v>
      </c>
      <c r="I15" s="135">
        <f>IF(SER_hh_fech!I15=0,0,SER_hh_fech!I15/SER_summary!I$26)</f>
        <v>0.94133067795559355</v>
      </c>
      <c r="J15" s="135">
        <f>IF(SER_hh_fech!J15=0,0,SER_hh_fech!J15/SER_summary!J$26)</f>
        <v>1.026483552083767</v>
      </c>
      <c r="K15" s="135">
        <f>IF(SER_hh_fech!K15=0,0,SER_hh_fech!K15/SER_summary!K$26)</f>
        <v>0.88563362165576831</v>
      </c>
      <c r="L15" s="135">
        <f>IF(SER_hh_fech!L15=0,0,SER_hh_fech!L15/SER_summary!L$26)</f>
        <v>0.78271117707115212</v>
      </c>
      <c r="M15" s="135">
        <f>IF(SER_hh_fech!M15=0,0,SER_hh_fech!M15/SER_summary!M$26)</f>
        <v>0.8929743843809006</v>
      </c>
      <c r="N15" s="135">
        <f>IF(SER_hh_fech!N15=0,0,SER_hh_fech!N15/SER_summary!N$26)</f>
        <v>0.59440532209771269</v>
      </c>
      <c r="O15" s="135">
        <f>IF(SER_hh_fech!O15=0,0,SER_hh_fech!O15/SER_summary!O$26)</f>
        <v>0.79572261503873398</v>
      </c>
      <c r="P15" s="135">
        <f>IF(SER_hh_fech!P15=0,0,SER_hh_fech!P15/SER_summary!P$26)</f>
        <v>0.63414546903121094</v>
      </c>
      <c r="Q15" s="135">
        <f>IF(SER_hh_fech!Q15=0,0,SER_hh_fech!Q15/SER_summary!Q$26)</f>
        <v>0.92906338938304567</v>
      </c>
      <c r="R15" s="135">
        <f>IF(SER_hh_fech!R15=0,0,SER_hh_fech!R15/SER_summary!R$26)</f>
        <v>1.1317532685135216</v>
      </c>
      <c r="S15" s="135">
        <f>IF(SER_hh_fech!S15=0,0,SER_hh_fech!S15/SER_summary!S$26)</f>
        <v>0.88776214983460833</v>
      </c>
      <c r="T15" s="135">
        <f>IF(SER_hh_fech!T15=0,0,SER_hh_fech!T15/SER_summary!T$26)</f>
        <v>0.90435683935067135</v>
      </c>
      <c r="U15" s="135">
        <f>IF(SER_hh_fech!U15=0,0,SER_hh_fech!U15/SER_summary!U$26)</f>
        <v>1.0354275808942195</v>
      </c>
      <c r="V15" s="135">
        <f>IF(SER_hh_fech!V15=0,0,SER_hh_fech!V15/SER_summary!V$26)</f>
        <v>0.93021736086254903</v>
      </c>
      <c r="W15" s="135">
        <f>IF(SER_hh_fech!W15=0,0,SER_hh_fech!W15/SER_summary!W$26)</f>
        <v>0.97290034654617619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20.74400463350225</v>
      </c>
      <c r="C16" s="131">
        <f>IF(SER_hh_fech!C16=0,0,SER_hh_fech!C16/SER_summary!C$26)</f>
        <v>24.71604226070496</v>
      </c>
      <c r="D16" s="131">
        <f>IF(SER_hh_fech!D16=0,0,SER_hh_fech!D16/SER_summary!D$26)</f>
        <v>19.370162463565585</v>
      </c>
      <c r="E16" s="131">
        <f>IF(SER_hh_fech!E16=0,0,SER_hh_fech!E16/SER_summary!E$26)</f>
        <v>24.889374250277914</v>
      </c>
      <c r="F16" s="131">
        <f>IF(SER_hh_fech!F16=0,0,SER_hh_fech!F16/SER_summary!F$26)</f>
        <v>14.931552591191295</v>
      </c>
      <c r="G16" s="131">
        <f>IF(SER_hh_fech!G16=0,0,SER_hh_fech!G16/SER_summary!G$26)</f>
        <v>14.790202789247385</v>
      </c>
      <c r="H16" s="131">
        <f>IF(SER_hh_fech!H16=0,0,SER_hh_fech!H16/SER_summary!H$26)</f>
        <v>16.650104123787131</v>
      </c>
      <c r="I16" s="131">
        <f>IF(SER_hh_fech!I16=0,0,SER_hh_fech!I16/SER_summary!I$26)</f>
        <v>23.298496061747322</v>
      </c>
      <c r="J16" s="131">
        <f>IF(SER_hh_fech!J16=0,0,SER_hh_fech!J16/SER_summary!J$26)</f>
        <v>21.650153071577098</v>
      </c>
      <c r="K16" s="131">
        <f>IF(SER_hh_fech!K16=0,0,SER_hh_fech!K16/SER_summary!K$26)</f>
        <v>14.642891449872199</v>
      </c>
      <c r="L16" s="131">
        <f>IF(SER_hh_fech!L16=0,0,SER_hh_fech!L16/SER_summary!L$26)</f>
        <v>18.817041623022785</v>
      </c>
      <c r="M16" s="131">
        <f>IF(SER_hh_fech!M16=0,0,SER_hh_fech!M16/SER_summary!M$26)</f>
        <v>16.35514693636355</v>
      </c>
      <c r="N16" s="131">
        <f>IF(SER_hh_fech!N16=0,0,SER_hh_fech!N16/SER_summary!N$26)</f>
        <v>25.70196883895197</v>
      </c>
      <c r="O16" s="131">
        <f>IF(SER_hh_fech!O16=0,0,SER_hh_fech!O16/SER_summary!O$26)</f>
        <v>15.904537250623378</v>
      </c>
      <c r="P16" s="131">
        <f>IF(SER_hh_fech!P16=0,0,SER_hh_fech!P16/SER_summary!P$26)</f>
        <v>12.728124220942714</v>
      </c>
      <c r="Q16" s="131">
        <f>IF(SER_hh_fech!Q16=0,0,SER_hh_fech!Q16/SER_summary!Q$26)</f>
        <v>15.842184160284935</v>
      </c>
      <c r="R16" s="131">
        <f>IF(SER_hh_fech!R16=0,0,SER_hh_fech!R16/SER_summary!R$26)</f>
        <v>16.730710636187062</v>
      </c>
      <c r="S16" s="131">
        <f>IF(SER_hh_fech!S16=0,0,SER_hh_fech!S16/SER_summary!S$26)</f>
        <v>16.341898557356064</v>
      </c>
      <c r="T16" s="131">
        <f>IF(SER_hh_fech!T16=0,0,SER_hh_fech!T16/SER_summary!T$26)</f>
        <v>13.740400070596682</v>
      </c>
      <c r="U16" s="131">
        <f>IF(SER_hh_fech!U16=0,0,SER_hh_fech!U16/SER_summary!U$26)</f>
        <v>17.071193341819939</v>
      </c>
      <c r="V16" s="131">
        <f>IF(SER_hh_fech!V16=0,0,SER_hh_fech!V16/SER_summary!V$26)</f>
        <v>15.026726986929113</v>
      </c>
      <c r="W16" s="131">
        <f>IF(SER_hh_fech!W16=0,0,SER_hh_fech!W16/SER_summary!W$26)</f>
        <v>19.283534156493889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28.932206587984172</v>
      </c>
      <c r="C17" s="133">
        <f>IF(SER_hh_fech!C17=0,0,SER_hh_fech!C17/SER_summary!C$26)</f>
        <v>35.73373310019376</v>
      </c>
      <c r="D17" s="133">
        <f>IF(SER_hh_fech!D17=0,0,SER_hh_fech!D17/SER_summary!D$26)</f>
        <v>28.905472283690866</v>
      </c>
      <c r="E17" s="133">
        <f>IF(SER_hh_fech!E17=0,0,SER_hh_fech!E17/SER_summary!E$26)</f>
        <v>38.883001920072267</v>
      </c>
      <c r="F17" s="133">
        <f>IF(SER_hh_fech!F17=0,0,SER_hh_fech!F17/SER_summary!F$26)</f>
        <v>24.098208098216443</v>
      </c>
      <c r="G17" s="133">
        <f>IF(SER_hh_fech!G17=0,0,SER_hh_fech!G17/SER_summary!G$26)</f>
        <v>24.833475928002581</v>
      </c>
      <c r="H17" s="133">
        <f>IF(SER_hh_fech!H17=0,0,SER_hh_fech!H17/SER_summary!H$26)</f>
        <v>29.430762269614217</v>
      </c>
      <c r="I17" s="133">
        <f>IF(SER_hh_fech!I17=0,0,SER_hh_fech!I17/SER_summary!I$26)</f>
        <v>43.516469777462873</v>
      </c>
      <c r="J17" s="133">
        <f>IF(SER_hh_fech!J17=0,0,SER_hh_fech!J17/SER_summary!J$26)</f>
        <v>41.52524835311457</v>
      </c>
      <c r="K17" s="133">
        <f>IF(SER_hh_fech!K17=0,0,SER_hh_fech!K17/SER_summary!K$26)</f>
        <v>36.009013681511341</v>
      </c>
      <c r="L17" s="133">
        <f>IF(SER_hh_fech!L17=0,0,SER_hh_fech!L17/SER_summary!L$26)</f>
        <v>38.020521510624384</v>
      </c>
      <c r="M17" s="133">
        <f>IF(SER_hh_fech!M17=0,0,SER_hh_fech!M17/SER_summary!M$26)</f>
        <v>33.776576431739613</v>
      </c>
      <c r="N17" s="133">
        <f>IF(SER_hh_fech!N17=0,0,SER_hh_fech!N17/SER_summary!N$26)</f>
        <v>54.759071942979865</v>
      </c>
      <c r="O17" s="133">
        <f>IF(SER_hh_fech!O17=0,0,SER_hh_fech!O17/SER_summary!O$26)</f>
        <v>34.434328266131402</v>
      </c>
      <c r="P17" s="133">
        <f>IF(SER_hh_fech!P17=0,0,SER_hh_fech!P17/SER_summary!P$26)</f>
        <v>29.331487499942384</v>
      </c>
      <c r="Q17" s="133">
        <f>IF(SER_hh_fech!Q17=0,0,SER_hh_fech!Q17/SER_summary!Q$26)</f>
        <v>35.724653327312872</v>
      </c>
      <c r="R17" s="133">
        <f>IF(SER_hh_fech!R17=0,0,SER_hh_fech!R17/SER_summary!R$26)</f>
        <v>38.641710299530381</v>
      </c>
      <c r="S17" s="133">
        <f>IF(SER_hh_fech!S17=0,0,SER_hh_fech!S17/SER_summary!S$26)</f>
        <v>38.416527312266609</v>
      </c>
      <c r="T17" s="133">
        <f>IF(SER_hh_fech!T17=0,0,SER_hh_fech!T17/SER_summary!T$26)</f>
        <v>32.391063966570819</v>
      </c>
      <c r="U17" s="133">
        <f>IF(SER_hh_fech!U17=0,0,SER_hh_fech!U17/SER_summary!U$26)</f>
        <v>40.567799974277641</v>
      </c>
      <c r="V17" s="133">
        <f>IF(SER_hh_fech!V17=0,0,SER_hh_fech!V17/SER_summary!V$26)</f>
        <v>32.356160916641656</v>
      </c>
      <c r="W17" s="133">
        <f>IF(SER_hh_fech!W17=0,0,SER_hh_fech!W17/SER_summary!W$26)</f>
        <v>41.879249013856679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20.737442452995214</v>
      </c>
      <c r="C18" s="133">
        <f>IF(SER_hh_fech!C18=0,0,SER_hh_fech!C18/SER_summary!C$26)</f>
        <v>24.70735857776479</v>
      </c>
      <c r="D18" s="133">
        <f>IF(SER_hh_fech!D18=0,0,SER_hh_fech!D18/SER_summary!D$26)</f>
        <v>19.360340485631433</v>
      </c>
      <c r="E18" s="133">
        <f>IF(SER_hh_fech!E18=0,0,SER_hh_fech!E18/SER_summary!E$26)</f>
        <v>24.876812712223497</v>
      </c>
      <c r="F18" s="133">
        <f>IF(SER_hh_fech!F18=0,0,SER_hh_fech!F18/SER_summary!F$26)</f>
        <v>14.915090729375663</v>
      </c>
      <c r="G18" s="133">
        <f>IF(SER_hh_fech!G18=0,0,SER_hh_fech!G18/SER_summary!G$26)</f>
        <v>14.763861596950793</v>
      </c>
      <c r="H18" s="133">
        <f>IF(SER_hh_fech!H18=0,0,SER_hh_fech!H18/SER_summary!H$26)</f>
        <v>16.607202463923432</v>
      </c>
      <c r="I18" s="133">
        <f>IF(SER_hh_fech!I18=0,0,SER_hh_fech!I18/SER_summary!I$26)</f>
        <v>23.238683954475558</v>
      </c>
      <c r="J18" s="133">
        <f>IF(SER_hh_fech!J18=0,0,SER_hh_fech!J18/SER_summary!J$26)</f>
        <v>21.572923840555408</v>
      </c>
      <c r="K18" s="133">
        <f>IF(SER_hh_fech!K18=0,0,SER_hh_fech!K18/SER_summary!K$26)</f>
        <v>14.534680244548802</v>
      </c>
      <c r="L18" s="133">
        <f>IF(SER_hh_fech!L18=0,0,SER_hh_fech!L18/SER_summary!L$26)</f>
        <v>18.692235858468596</v>
      </c>
      <c r="M18" s="133">
        <f>IF(SER_hh_fech!M18=0,0,SER_hh_fech!M18/SER_summary!M$26)</f>
        <v>16.19721618435268</v>
      </c>
      <c r="N18" s="133">
        <f>IF(SER_hh_fech!N18=0,0,SER_hh_fech!N18/SER_summary!N$26)</f>
        <v>25.408044232802215</v>
      </c>
      <c r="O18" s="133">
        <f>IF(SER_hh_fech!O18=0,0,SER_hh_fech!O18/SER_summary!O$26)</f>
        <v>15.610746234387166</v>
      </c>
      <c r="P18" s="133">
        <f>IF(SER_hh_fech!P18=0,0,SER_hh_fech!P18/SER_summary!P$26)</f>
        <v>12.379591251536956</v>
      </c>
      <c r="Q18" s="133">
        <f>IF(SER_hh_fech!Q18=0,0,SER_hh_fech!Q18/SER_summary!Q$26)</f>
        <v>15.372386241742864</v>
      </c>
      <c r="R18" s="133">
        <f>IF(SER_hh_fech!R18=0,0,SER_hh_fech!R18/SER_summary!R$26)</f>
        <v>16.179825819066288</v>
      </c>
      <c r="S18" s="133">
        <f>IF(SER_hh_fech!S18=0,0,SER_hh_fech!S18/SER_summary!S$26)</f>
        <v>15.744941383319624</v>
      </c>
      <c r="T18" s="133">
        <f>IF(SER_hh_fech!T18=0,0,SER_hh_fech!T18/SER_summary!T$26)</f>
        <v>13.165252405019773</v>
      </c>
      <c r="U18" s="133">
        <f>IF(SER_hh_fech!U18=0,0,SER_hh_fech!U18/SER_summary!U$26)</f>
        <v>16.338707535538713</v>
      </c>
      <c r="V18" s="133">
        <f>IF(SER_hh_fech!V18=0,0,SER_hh_fech!V18/SER_summary!V$26)</f>
        <v>14.444630894556749</v>
      </c>
      <c r="W18" s="133">
        <f>IF(SER_hh_fech!W18=0,0,SER_hh_fech!W18/SER_summary!W$26)</f>
        <v>18.532489423714232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37.865828208548756</v>
      </c>
      <c r="C19" s="131">
        <f>IF(SER_hh_fech!C19=0,0,SER_hh_fech!C19/SER_summary!C$26)</f>
        <v>39.334263705463023</v>
      </c>
      <c r="D19" s="131">
        <f>IF(SER_hh_fech!D19=0,0,SER_hh_fech!D19/SER_summary!D$26)</f>
        <v>41.053757771752736</v>
      </c>
      <c r="E19" s="131">
        <f>IF(SER_hh_fech!E19=0,0,SER_hh_fech!E19/SER_summary!E$26)</f>
        <v>41.233438106987229</v>
      </c>
      <c r="F19" s="131">
        <f>IF(SER_hh_fech!F19=0,0,SER_hh_fech!F19/SER_summary!F$26)</f>
        <v>41.748939182634309</v>
      </c>
      <c r="G19" s="131">
        <f>IF(SER_hh_fech!G19=0,0,SER_hh_fech!G19/SER_summary!G$26)</f>
        <v>44.103168730316668</v>
      </c>
      <c r="H19" s="131">
        <f>IF(SER_hh_fech!H19=0,0,SER_hh_fech!H19/SER_summary!H$26)</f>
        <v>43.393236361674973</v>
      </c>
      <c r="I19" s="131">
        <f>IF(SER_hh_fech!I19=0,0,SER_hh_fech!I19/SER_summary!I$26)</f>
        <v>42.379692353592183</v>
      </c>
      <c r="J19" s="131">
        <f>IF(SER_hh_fech!J19=0,0,SER_hh_fech!J19/SER_summary!J$26)</f>
        <v>42.648288950020387</v>
      </c>
      <c r="K19" s="131">
        <f>IF(SER_hh_fech!K19=0,0,SER_hh_fech!K19/SER_summary!K$26)</f>
        <v>43.358856378561896</v>
      </c>
      <c r="L19" s="131">
        <f>IF(SER_hh_fech!L19=0,0,SER_hh_fech!L19/SER_summary!L$26)</f>
        <v>45.493955222843582</v>
      </c>
      <c r="M19" s="131">
        <f>IF(SER_hh_fech!M19=0,0,SER_hh_fech!M19/SER_summary!M$26)</f>
        <v>46.673560737164735</v>
      </c>
      <c r="N19" s="131">
        <f>IF(SER_hh_fech!N19=0,0,SER_hh_fech!N19/SER_summary!N$26)</f>
        <v>46.143089749627464</v>
      </c>
      <c r="O19" s="131">
        <f>IF(SER_hh_fech!O19=0,0,SER_hh_fech!O19/SER_summary!O$26)</f>
        <v>46.425882676754441</v>
      </c>
      <c r="P19" s="131">
        <f>IF(SER_hh_fech!P19=0,0,SER_hh_fech!P19/SER_summary!P$26)</f>
        <v>47.178953873685515</v>
      </c>
      <c r="Q19" s="131">
        <f>IF(SER_hh_fech!Q19=0,0,SER_hh_fech!Q19/SER_summary!Q$26)</f>
        <v>47.209184712228883</v>
      </c>
      <c r="R19" s="131">
        <f>IF(SER_hh_fech!R19=0,0,SER_hh_fech!R19/SER_summary!R$26)</f>
        <v>46.416411499939848</v>
      </c>
      <c r="S19" s="131">
        <f>IF(SER_hh_fech!S19=0,0,SER_hh_fech!S19/SER_summary!S$26)</f>
        <v>45.685825793598795</v>
      </c>
      <c r="T19" s="131">
        <f>IF(SER_hh_fech!T19=0,0,SER_hh_fech!T19/SER_summary!T$26)</f>
        <v>44.371796634307209</v>
      </c>
      <c r="U19" s="131">
        <f>IF(SER_hh_fech!U19=0,0,SER_hh_fech!U19/SER_summary!U$26)</f>
        <v>42.627994912182352</v>
      </c>
      <c r="V19" s="131">
        <f>IF(SER_hh_fech!V19=0,0,SER_hh_fech!V19/SER_summary!V$26)</f>
        <v>37.04049300038939</v>
      </c>
      <c r="W19" s="131">
        <f>IF(SER_hh_fech!W19=0,0,SER_hh_fech!W19/SER_summary!W$26)</f>
        <v>36.826776065239983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43.859066466200822</v>
      </c>
      <c r="C21" s="133">
        <f>IF(SER_hh_fech!C21=0,0,SER_hh_fech!C21/SER_summary!C$26)</f>
        <v>47.43038736347637</v>
      </c>
      <c r="D21" s="133">
        <f>IF(SER_hh_fech!D21=0,0,SER_hh_fech!D21/SER_summary!D$26)</f>
        <v>48.714569761889209</v>
      </c>
      <c r="E21" s="133">
        <f>IF(SER_hh_fech!E21=0,0,SER_hh_fech!E21/SER_summary!E$26)</f>
        <v>47.241595624930518</v>
      </c>
      <c r="F21" s="133">
        <f>IF(SER_hh_fech!F21=0,0,SER_hh_fech!F21/SER_summary!F$26)</f>
        <v>48.129541948700322</v>
      </c>
      <c r="G21" s="133">
        <f>IF(SER_hh_fech!G21=0,0,SER_hh_fech!G21/SER_summary!G$26)</f>
        <v>50.654806477151446</v>
      </c>
      <c r="H21" s="133">
        <f>IF(SER_hh_fech!H21=0,0,SER_hh_fech!H21/SER_summary!H$26)</f>
        <v>49.49001521340606</v>
      </c>
      <c r="I21" s="133">
        <f>IF(SER_hh_fech!I21=0,0,SER_hh_fech!I21/SER_summary!I$26)</f>
        <v>52.504563062248536</v>
      </c>
      <c r="J21" s="133">
        <f>IF(SER_hh_fech!J21=0,0,SER_hh_fech!J21/SER_summary!J$26)</f>
        <v>51.60219767590791</v>
      </c>
      <c r="K21" s="133">
        <f>IF(SER_hh_fech!K21=0,0,SER_hh_fech!K21/SER_summary!K$26)</f>
        <v>51.609492566066265</v>
      </c>
      <c r="L21" s="133">
        <f>IF(SER_hh_fech!L21=0,0,SER_hh_fech!L21/SER_summary!L$26)</f>
        <v>52.977324313421988</v>
      </c>
      <c r="M21" s="133">
        <f>IF(SER_hh_fech!M21=0,0,SER_hh_fech!M21/SER_summary!M$26)</f>
        <v>52.82729166684895</v>
      </c>
      <c r="N21" s="133">
        <f>IF(SER_hh_fech!N21=0,0,SER_hh_fech!N21/SER_summary!N$26)</f>
        <v>55.337291782113809</v>
      </c>
      <c r="O21" s="133">
        <f>IF(SER_hh_fech!O21=0,0,SER_hh_fech!O21/SER_summary!O$26)</f>
        <v>54.757289238867024</v>
      </c>
      <c r="P21" s="133">
        <f>IF(SER_hh_fech!P21=0,0,SER_hh_fech!P21/SER_summary!P$26)</f>
        <v>53.100901226562549</v>
      </c>
      <c r="Q21" s="133">
        <f>IF(SER_hh_fech!Q21=0,0,SER_hh_fech!Q21/SER_summary!Q$26)</f>
        <v>50.382030734594146</v>
      </c>
      <c r="R21" s="133">
        <f>IF(SER_hh_fech!R21=0,0,SER_hh_fech!R21/SER_summary!R$26)</f>
        <v>53.206060472934077</v>
      </c>
      <c r="S21" s="133">
        <f>IF(SER_hh_fech!S21=0,0,SER_hh_fech!S21/SER_summary!S$26)</f>
        <v>52.426309249757992</v>
      </c>
      <c r="T21" s="133">
        <f>IF(SER_hh_fech!T21=0,0,SER_hh_fech!T21/SER_summary!T$26)</f>
        <v>50.736296846611431</v>
      </c>
      <c r="U21" s="133">
        <f>IF(SER_hh_fech!U21=0,0,SER_hh_fech!U21/SER_summary!U$26)</f>
        <v>52.91413266835194</v>
      </c>
      <c r="V21" s="133">
        <f>IF(SER_hh_fech!V21=0,0,SER_hh_fech!V21/SER_summary!V$26)</f>
        <v>30.192724282001425</v>
      </c>
      <c r="W21" s="133">
        <f>IF(SER_hh_fech!W21=0,0,SER_hh_fech!W21/SER_summary!W$26)</f>
        <v>40.911215381041856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46.137617354604195</v>
      </c>
      <c r="C22" s="133">
        <f>IF(SER_hh_fech!C22=0,0,SER_hh_fech!C22/SER_summary!C$26)</f>
        <v>50.229277470020541</v>
      </c>
      <c r="D22" s="133">
        <f>IF(SER_hh_fech!D22=0,0,SER_hh_fech!D22/SER_summary!D$26)</f>
        <v>51.766060378239466</v>
      </c>
      <c r="E22" s="133">
        <f>IF(SER_hh_fech!E22=0,0,SER_hh_fech!E22/SER_summary!E$26)</f>
        <v>51.632239100402991</v>
      </c>
      <c r="F22" s="133">
        <f>IF(SER_hh_fech!F22=0,0,SER_hh_fech!F22/SER_summary!F$26)</f>
        <v>52.428371541856976</v>
      </c>
      <c r="G22" s="133">
        <f>IF(SER_hh_fech!G22=0,0,SER_hh_fech!G22/SER_summary!G$26)</f>
        <v>54.768209613400352</v>
      </c>
      <c r="H22" s="133">
        <f>IF(SER_hh_fech!H22=0,0,SER_hh_fech!H22/SER_summary!H$26)</f>
        <v>54.430528865657642</v>
      </c>
      <c r="I22" s="133">
        <f>IF(SER_hh_fech!I22=0,0,SER_hh_fech!I22/SER_summary!I$26)</f>
        <v>54.192665097161189</v>
      </c>
      <c r="J22" s="133">
        <f>IF(SER_hh_fech!J22=0,0,SER_hh_fech!J22/SER_summary!J$26)</f>
        <v>54.469118971390451</v>
      </c>
      <c r="K22" s="133">
        <f>IF(SER_hh_fech!K22=0,0,SER_hh_fech!K22/SER_summary!K$26)</f>
        <v>54.499782032827895</v>
      </c>
      <c r="L22" s="133">
        <f>IF(SER_hh_fech!L22=0,0,SER_hh_fech!L22/SER_summary!L$26)</f>
        <v>56.084698675068218</v>
      </c>
      <c r="M22" s="133">
        <f>IF(SER_hh_fech!M22=0,0,SER_hh_fech!M22/SER_summary!M$26)</f>
        <v>57.277444952354756</v>
      </c>
      <c r="N22" s="133">
        <f>IF(SER_hh_fech!N22=0,0,SER_hh_fech!N22/SER_summary!N$26)</f>
        <v>56.859295770922714</v>
      </c>
      <c r="O22" s="133">
        <f>IF(SER_hh_fech!O22=0,0,SER_hh_fech!O22/SER_summary!O$26)</f>
        <v>57.263966058929704</v>
      </c>
      <c r="P22" s="133">
        <f>IF(SER_hh_fech!P22=0,0,SER_hh_fech!P22/SER_summary!P$26)</f>
        <v>57.887942104816702</v>
      </c>
      <c r="Q22" s="133">
        <f>IF(SER_hh_fech!Q22=0,0,SER_hh_fech!Q22/SER_summary!Q$26)</f>
        <v>57.758842122290908</v>
      </c>
      <c r="R22" s="133">
        <f>IF(SER_hh_fech!R22=0,0,SER_hh_fech!R22/SER_summary!R$26)</f>
        <v>57.637079944624951</v>
      </c>
      <c r="S22" s="133">
        <f>IF(SER_hh_fech!S22=0,0,SER_hh_fech!S22/SER_summary!S$26)</f>
        <v>57.70086369150706</v>
      </c>
      <c r="T22" s="133">
        <f>IF(SER_hh_fech!T22=0,0,SER_hh_fech!T22/SER_summary!T$26)</f>
        <v>54.987006243144506</v>
      </c>
      <c r="U22" s="133">
        <f>IF(SER_hh_fech!U22=0,0,SER_hh_fech!U22/SER_summary!U$26)</f>
        <v>56.0418904564389</v>
      </c>
      <c r="V22" s="133">
        <f>IF(SER_hh_fech!V22=0,0,SER_hh_fech!V22/SER_summary!V$26)</f>
        <v>44.729567779398671</v>
      </c>
      <c r="W22" s="133">
        <f>IF(SER_hh_fech!W22=0,0,SER_hh_fech!W22/SER_summary!W$26)</f>
        <v>43.392059908070031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41.857617058964948</v>
      </c>
      <c r="C23" s="133">
        <f>IF(SER_hh_fech!C23=0,0,SER_hh_fech!C23/SER_summary!C$26)</f>
        <v>48.680369878948483</v>
      </c>
      <c r="D23" s="133">
        <f>IF(SER_hh_fech!D23=0,0,SER_hh_fech!D23/SER_summary!D$26)</f>
        <v>48.216916052430591</v>
      </c>
      <c r="E23" s="133">
        <f>IF(SER_hh_fech!E23=0,0,SER_hh_fech!E23/SER_summary!E$26)</f>
        <v>46.726484303220246</v>
      </c>
      <c r="F23" s="133">
        <f>IF(SER_hh_fech!F23=0,0,SER_hh_fech!F23/SER_summary!F$26)</f>
        <v>40.152495624925379</v>
      </c>
      <c r="G23" s="133">
        <f>IF(SER_hh_fech!G23=0,0,SER_hh_fech!G23/SER_summary!G$26)</f>
        <v>51.167018432383109</v>
      </c>
      <c r="H23" s="133">
        <f>IF(SER_hh_fech!H23=0,0,SER_hh_fech!H23/SER_summary!H$26)</f>
        <v>48.532460459368565</v>
      </c>
      <c r="I23" s="133">
        <f>IF(SER_hh_fech!I23=0,0,SER_hh_fech!I23/SER_summary!I$26)</f>
        <v>48.68786110209642</v>
      </c>
      <c r="J23" s="133">
        <f>IF(SER_hh_fech!J23=0,0,SER_hh_fech!J23/SER_summary!J$26)</f>
        <v>46.964576559569636</v>
      </c>
      <c r="K23" s="133">
        <f>IF(SER_hh_fech!K23=0,0,SER_hh_fech!K23/SER_summary!K$26)</f>
        <v>47.042125974257559</v>
      </c>
      <c r="L23" s="133">
        <f>IF(SER_hh_fech!L23=0,0,SER_hh_fech!L23/SER_summary!L$26)</f>
        <v>51.100986664575615</v>
      </c>
      <c r="M23" s="133">
        <f>IF(SER_hh_fech!M23=0,0,SER_hh_fech!M23/SER_summary!M$26)</f>
        <v>50.406663793222634</v>
      </c>
      <c r="N23" s="133">
        <f>IF(SER_hh_fech!N23=0,0,SER_hh_fech!N23/SER_summary!N$26)</f>
        <v>51.458809101217433</v>
      </c>
      <c r="O23" s="133">
        <f>IF(SER_hh_fech!O23=0,0,SER_hh_fech!O23/SER_summary!O$26)</f>
        <v>52.396991763665611</v>
      </c>
      <c r="P23" s="133">
        <f>IF(SER_hh_fech!P23=0,0,SER_hh_fech!P23/SER_summary!P$26)</f>
        <v>49.839589679828734</v>
      </c>
      <c r="Q23" s="133">
        <f>IF(SER_hh_fech!Q23=0,0,SER_hh_fech!Q23/SER_summary!Q$26)</f>
        <v>52.607541888099057</v>
      </c>
      <c r="R23" s="133">
        <f>IF(SER_hh_fech!R23=0,0,SER_hh_fech!R23/SER_summary!R$26)</f>
        <v>49.297828724642642</v>
      </c>
      <c r="S23" s="133">
        <f>IF(SER_hh_fech!S23=0,0,SER_hh_fech!S23/SER_summary!S$26)</f>
        <v>49.400695159467041</v>
      </c>
      <c r="T23" s="133">
        <f>IF(SER_hh_fech!T23=0,0,SER_hh_fech!T23/SER_summary!T$26)</f>
        <v>48.260336122209829</v>
      </c>
      <c r="U23" s="133">
        <f>IF(SER_hh_fech!U23=0,0,SER_hh_fech!U23/SER_summary!U$26)</f>
        <v>45.290500827121399</v>
      </c>
      <c r="V23" s="133">
        <f>IF(SER_hh_fech!V23=0,0,SER_hh_fech!V23/SER_summary!V$26)</f>
        <v>39.74341167514153</v>
      </c>
      <c r="W23" s="133">
        <f>IF(SER_hh_fech!W23=0,0,SER_hh_fech!W23/SER_summary!W$26)</f>
        <v>39.276088698223695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36.392084365260651</v>
      </c>
      <c r="C26" s="65">
        <f>IF(SER_hh_fech!C26=0,0,SER_hh_fech!C26/SER_summary!C$26)</f>
        <v>37.62954627322263</v>
      </c>
      <c r="D26" s="65">
        <f>IF(SER_hh_fech!D26=0,0,SER_hh_fech!D26/SER_summary!D$26)</f>
        <v>39.383734448046944</v>
      </c>
      <c r="E26" s="65">
        <f>IF(SER_hh_fech!E26=0,0,SER_hh_fech!E26/SER_summary!E$26)</f>
        <v>39.624156353659906</v>
      </c>
      <c r="F26" s="65">
        <f>IF(SER_hh_fech!F26=0,0,SER_hh_fech!F26/SER_summary!F$26)</f>
        <v>40.316274391654211</v>
      </c>
      <c r="G26" s="65">
        <f>IF(SER_hh_fech!G26=0,0,SER_hh_fech!G26/SER_summary!G$26)</f>
        <v>42.352979589537014</v>
      </c>
      <c r="H26" s="65">
        <f>IF(SER_hh_fech!H26=0,0,SER_hh_fech!H26/SER_summary!H$26)</f>
        <v>41.614922429024745</v>
      </c>
      <c r="I26" s="65">
        <f>IF(SER_hh_fech!I26=0,0,SER_hh_fech!I26/SER_summary!I$26)</f>
        <v>40.278546481655447</v>
      </c>
      <c r="J26" s="65">
        <f>IF(SER_hh_fech!J26=0,0,SER_hh_fech!J26/SER_summary!J$26)</f>
        <v>40.524002030792388</v>
      </c>
      <c r="K26" s="65">
        <f>IF(SER_hh_fech!K26=0,0,SER_hh_fech!K26/SER_summary!K$26)</f>
        <v>41.183616039150017</v>
      </c>
      <c r="L26" s="65">
        <f>IF(SER_hh_fech!L26=0,0,SER_hh_fech!L26/SER_summary!L$26)</f>
        <v>43.081634201311886</v>
      </c>
      <c r="M26" s="65">
        <f>IF(SER_hh_fech!M26=0,0,SER_hh_fech!M26/SER_summary!M$26)</f>
        <v>44.374427346478647</v>
      </c>
      <c r="N26" s="65">
        <f>IF(SER_hh_fech!N26=0,0,SER_hh_fech!N26/SER_summary!N$26)</f>
        <v>43.56406380896555</v>
      </c>
      <c r="O26" s="65">
        <f>IF(SER_hh_fech!O26=0,0,SER_hh_fech!O26/SER_summary!O$26)</f>
        <v>43.755124080941904</v>
      </c>
      <c r="P26" s="65">
        <f>IF(SER_hh_fech!P26=0,0,SER_hh_fech!P26/SER_summary!P$26)</f>
        <v>44.86944377519864</v>
      </c>
      <c r="Q26" s="65">
        <f>IF(SER_hh_fech!Q26=0,0,SER_hh_fech!Q26/SER_summary!Q$26)</f>
        <v>44.68367532751278</v>
      </c>
      <c r="R26" s="65">
        <f>IF(SER_hh_fech!R26=0,0,SER_hh_fech!R26/SER_summary!R$26)</f>
        <v>43.933026751374662</v>
      </c>
      <c r="S26" s="65">
        <f>IF(SER_hh_fech!S26=0,0,SER_hh_fech!S26/SER_summary!S$26)</f>
        <v>43.047111154687698</v>
      </c>
      <c r="T26" s="65">
        <f>IF(SER_hh_fech!T26=0,0,SER_hh_fech!T26/SER_summary!T$26)</f>
        <v>41.812274101393776</v>
      </c>
      <c r="U26" s="65">
        <f>IF(SER_hh_fech!U26=0,0,SER_hh_fech!U26/SER_summary!U$26)</f>
        <v>39.981118358992902</v>
      </c>
      <c r="V26" s="65">
        <f>IF(SER_hh_fech!V26=0,0,SER_hh_fech!V26/SER_summary!V$26)</f>
        <v>35.308738202784575</v>
      </c>
      <c r="W26" s="65">
        <f>IF(SER_hh_fech!W26=0,0,SER_hh_fech!W26/SER_summary!W$26)</f>
        <v>34.699727631343855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0.90731217304121581</v>
      </c>
      <c r="C27" s="146">
        <f>IF(SER_hh_fech!C27=0,0,SER_hh_fech!C27/SER_summary!C$26)</f>
        <v>0.88269589397568504</v>
      </c>
      <c r="D27" s="146">
        <f>IF(SER_hh_fech!D27=0,0,SER_hh_fech!D27/SER_summary!D$26)</f>
        <v>0.87090071956387094</v>
      </c>
      <c r="E27" s="146">
        <f>IF(SER_hh_fech!E27=0,0,SER_hh_fech!E27/SER_summary!E$26)</f>
        <v>0.85760591343800918</v>
      </c>
      <c r="F27" s="146">
        <f>IF(SER_hh_fech!F27=0,0,SER_hh_fech!F27/SER_summary!F$26)</f>
        <v>0.85200562524986556</v>
      </c>
      <c r="G27" s="146">
        <f>IF(SER_hh_fech!G27=0,0,SER_hh_fech!G27/SER_summary!G$26)</f>
        <v>0.77850546804935217</v>
      </c>
      <c r="H27" s="146">
        <f>IF(SER_hh_fech!H27=0,0,SER_hh_fech!H27/SER_summary!H$26)</f>
        <v>0.80633787749984798</v>
      </c>
      <c r="I27" s="146">
        <f>IF(SER_hh_fech!I27=0,0,SER_hh_fech!I27/SER_summary!I$26)</f>
        <v>0.84897666310894315</v>
      </c>
      <c r="J27" s="146">
        <f>IF(SER_hh_fech!J27=0,0,SER_hh_fech!J27/SER_summary!J$26)</f>
        <v>0.96393440390194252</v>
      </c>
      <c r="K27" s="146">
        <f>IF(SER_hh_fech!K27=0,0,SER_hh_fech!K27/SER_summary!K$26)</f>
        <v>1.0584918051316592</v>
      </c>
      <c r="L27" s="146">
        <f>IF(SER_hh_fech!L27=0,0,SER_hh_fech!L27/SER_summary!L$26)</f>
        <v>1.0979854143314218</v>
      </c>
      <c r="M27" s="146">
        <f>IF(SER_hh_fech!M27=0,0,SER_hh_fech!M27/SER_summary!M$26)</f>
        <v>1.1242225941570787</v>
      </c>
      <c r="N27" s="146">
        <f>IF(SER_hh_fech!N27=0,0,SER_hh_fech!N27/SER_summary!N$26)</f>
        <v>1.1314410230604088</v>
      </c>
      <c r="O27" s="146">
        <f>IF(SER_hh_fech!O27=0,0,SER_hh_fech!O27/SER_summary!O$26)</f>
        <v>1.1483857189558022</v>
      </c>
      <c r="P27" s="146">
        <f>IF(SER_hh_fech!P27=0,0,SER_hh_fech!P27/SER_summary!P$26)</f>
        <v>1.1770258034158885</v>
      </c>
      <c r="Q27" s="146">
        <f>IF(SER_hh_fech!Q27=0,0,SER_hh_fech!Q27/SER_summary!Q$26)</f>
        <v>1.2003080256023906</v>
      </c>
      <c r="R27" s="146">
        <f>IF(SER_hh_fech!R27=0,0,SER_hh_fech!R27/SER_summary!R$26)</f>
        <v>1.2237672218012161</v>
      </c>
      <c r="S27" s="146">
        <f>IF(SER_hh_fech!S27=0,0,SER_hh_fech!S27/SER_summary!S$26)</f>
        <v>1.2483418107406021</v>
      </c>
      <c r="T27" s="146">
        <f>IF(SER_hh_fech!T27=0,0,SER_hh_fech!T27/SER_summary!T$26)</f>
        <v>1.2662624204325961</v>
      </c>
      <c r="U27" s="146">
        <f>IF(SER_hh_fech!U27=0,0,SER_hh_fech!U27/SER_summary!U$26)</f>
        <v>1.2796286507723038</v>
      </c>
      <c r="V27" s="146">
        <f>IF(SER_hh_fech!V27=0,0,SER_hh_fech!V27/SER_summary!V$26)</f>
        <v>1.3015980550923596</v>
      </c>
      <c r="W27" s="146">
        <f>IF(SER_hh_fech!W27=0,0,SER_hh_fech!W27/SER_summary!W$26)</f>
        <v>1.3401022627927992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16.134898085529375</v>
      </c>
      <c r="C28" s="147">
        <f>IF(SER_hh_fech!C28=0,0,SER_hh_fech!C28/SER_summary!C$26)</f>
        <v>16.825514864364305</v>
      </c>
      <c r="D28" s="147">
        <f>IF(SER_hh_fech!D28=0,0,SER_hh_fech!D28/SER_summary!D$26)</f>
        <v>17.503304242704232</v>
      </c>
      <c r="E28" s="147">
        <f>IF(SER_hh_fech!E28=0,0,SER_hh_fech!E28/SER_summary!E$26)</f>
        <v>17.798229118693012</v>
      </c>
      <c r="F28" s="147">
        <f>IF(SER_hh_fech!F28=0,0,SER_hh_fech!F28/SER_summary!F$26)</f>
        <v>18.003029583601769</v>
      </c>
      <c r="G28" s="147">
        <f>IF(SER_hh_fech!G28=0,0,SER_hh_fech!G28/SER_summary!G$26)</f>
        <v>18.388715550616855</v>
      </c>
      <c r="H28" s="147">
        <f>IF(SER_hh_fech!H28=0,0,SER_hh_fech!H28/SER_summary!H$26)</f>
        <v>18.711284711811231</v>
      </c>
      <c r="I28" s="147">
        <f>IF(SER_hh_fech!I28=0,0,SER_hh_fech!I28/SER_summary!I$26)</f>
        <v>18.299355732048248</v>
      </c>
      <c r="J28" s="147">
        <f>IF(SER_hh_fech!J28=0,0,SER_hh_fech!J28/SER_summary!J$26)</f>
        <v>18.6315151405168</v>
      </c>
      <c r="K28" s="147">
        <f>IF(SER_hh_fech!K28=0,0,SER_hh_fech!K28/SER_summary!K$26)</f>
        <v>19.021828299161637</v>
      </c>
      <c r="L28" s="147">
        <f>IF(SER_hh_fech!L28=0,0,SER_hh_fech!L28/SER_summary!L$26)</f>
        <v>19.993212296830212</v>
      </c>
      <c r="M28" s="147">
        <f>IF(SER_hh_fech!M28=0,0,SER_hh_fech!M28/SER_summary!M$26)</f>
        <v>20.759923116467917</v>
      </c>
      <c r="N28" s="147">
        <f>IF(SER_hh_fech!N28=0,0,SER_hh_fech!N28/SER_summary!N$26)</f>
        <v>21.60185793237147</v>
      </c>
      <c r="O28" s="147">
        <f>IF(SER_hh_fech!O28=0,0,SER_hh_fech!O28/SER_summary!O$26)</f>
        <v>21.595770790437768</v>
      </c>
      <c r="P28" s="147">
        <f>IF(SER_hh_fech!P28=0,0,SER_hh_fech!P28/SER_summary!P$26)</f>
        <v>22.229621413580361</v>
      </c>
      <c r="Q28" s="147">
        <f>IF(SER_hh_fech!Q28=0,0,SER_hh_fech!Q28/SER_summary!Q$26)</f>
        <v>22.730369904468979</v>
      </c>
      <c r="R28" s="147">
        <f>IF(SER_hh_fech!R28=0,0,SER_hh_fech!R28/SER_summary!R$26)</f>
        <v>21.913733641069861</v>
      </c>
      <c r="S28" s="147">
        <f>IF(SER_hh_fech!S28=0,0,SER_hh_fech!S28/SER_summary!S$26)</f>
        <v>21.896973230576574</v>
      </c>
      <c r="T28" s="147">
        <f>IF(SER_hh_fech!T28=0,0,SER_hh_fech!T28/SER_summary!T$26)</f>
        <v>21.956687434583188</v>
      </c>
      <c r="U28" s="147">
        <f>IF(SER_hh_fech!U28=0,0,SER_hh_fech!U28/SER_summary!U$26)</f>
        <v>21.845141889517556</v>
      </c>
      <c r="V28" s="147">
        <f>IF(SER_hh_fech!V28=0,0,SER_hh_fech!V28/SER_summary!V$26)</f>
        <v>19.640812512486907</v>
      </c>
      <c r="W28" s="147">
        <f>IF(SER_hh_fech!W28=0,0,SER_hh_fech!W28/SER_summary!W$26)</f>
        <v>19.877110409513246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41.838091908301848</v>
      </c>
      <c r="C29" s="131">
        <f>IF(SER_hh_fech!C29=0,0,SER_hh_fech!C29/SER_summary!C$26)</f>
        <v>42.505766423782319</v>
      </c>
      <c r="D29" s="131">
        <f>IF(SER_hh_fech!D29=0,0,SER_hh_fech!D29/SER_summary!D$26)</f>
        <v>43.559603590578241</v>
      </c>
      <c r="E29" s="131">
        <f>IF(SER_hh_fech!E29=0,0,SER_hh_fech!E29/SER_summary!E$26)</f>
        <v>42.821559313180522</v>
      </c>
      <c r="F29" s="131">
        <f>IF(SER_hh_fech!F29=0,0,SER_hh_fech!F29/SER_summary!F$26)</f>
        <v>44.746250459751273</v>
      </c>
      <c r="G29" s="131">
        <f>IF(SER_hh_fech!G29=0,0,SER_hh_fech!G29/SER_summary!G$26)</f>
        <v>45.027924939949536</v>
      </c>
      <c r="H29" s="131">
        <f>IF(SER_hh_fech!H29=0,0,SER_hh_fech!H29/SER_summary!H$26)</f>
        <v>43.882816221548396</v>
      </c>
      <c r="I29" s="131">
        <f>IF(SER_hh_fech!I29=0,0,SER_hh_fech!I29/SER_summary!I$26)</f>
        <v>42.465317974848453</v>
      </c>
      <c r="J29" s="131">
        <f>IF(SER_hh_fech!J29=0,0,SER_hh_fech!J29/SER_summary!J$26)</f>
        <v>41.994229776102998</v>
      </c>
      <c r="K29" s="131">
        <f>IF(SER_hh_fech!K29=0,0,SER_hh_fech!K29/SER_summary!K$26)</f>
        <v>43.024361690997239</v>
      </c>
      <c r="L29" s="131">
        <f>IF(SER_hh_fech!L29=0,0,SER_hh_fech!L29/SER_summary!L$26)</f>
        <v>45.028675200788946</v>
      </c>
      <c r="M29" s="131">
        <f>IF(SER_hh_fech!M29=0,0,SER_hh_fech!M29/SER_summary!M$26)</f>
        <v>46.327059065476824</v>
      </c>
      <c r="N29" s="131">
        <f>IF(SER_hh_fech!N29=0,0,SER_hh_fech!N29/SER_summary!N$26)</f>
        <v>48.207123293384718</v>
      </c>
      <c r="O29" s="131">
        <f>IF(SER_hh_fech!O29=0,0,SER_hh_fech!O29/SER_summary!O$26)</f>
        <v>47.946463081480744</v>
      </c>
      <c r="P29" s="131">
        <f>IF(SER_hh_fech!P29=0,0,SER_hh_fech!P29/SER_summary!P$26)</f>
        <v>46.815028347608795</v>
      </c>
      <c r="Q29" s="131">
        <f>IF(SER_hh_fech!Q29=0,0,SER_hh_fech!Q29/SER_summary!Q$26)</f>
        <v>45.992129155713208</v>
      </c>
      <c r="R29" s="131">
        <f>IF(SER_hh_fech!R29=0,0,SER_hh_fech!R29/SER_summary!R$26)</f>
        <v>45.945074845532687</v>
      </c>
      <c r="S29" s="131">
        <f>IF(SER_hh_fech!S29=0,0,SER_hh_fech!S29/SER_summary!S$26)</f>
        <v>45.689068633840449</v>
      </c>
      <c r="T29" s="131">
        <f>IF(SER_hh_fech!T29=0,0,SER_hh_fech!T29/SER_summary!T$26)</f>
        <v>44.874420362010277</v>
      </c>
      <c r="U29" s="131">
        <f>IF(SER_hh_fech!U29=0,0,SER_hh_fech!U29/SER_summary!U$26)</f>
        <v>43.665041530263814</v>
      </c>
      <c r="V29" s="131">
        <f>IF(SER_hh_fech!V29=0,0,SER_hh_fech!V29/SER_summary!V$26)</f>
        <v>36.586061719908898</v>
      </c>
      <c r="W29" s="131">
        <f>IF(SER_hh_fech!W29=0,0,SER_hh_fech!W29/SER_summary!W$26)</f>
        <v>41.217315796718992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53.529830481298042</v>
      </c>
      <c r="C30" s="133">
        <f>IF(SER_hh_fech!C30=0,0,SER_hh_fech!C30/SER_summary!C$26)</f>
        <v>61.192912277616941</v>
      </c>
      <c r="D30" s="133">
        <f>IF(SER_hh_fech!D30=0,0,SER_hh_fech!D30/SER_summary!D$26)</f>
        <v>37.386056885761533</v>
      </c>
      <c r="E30" s="133">
        <f>IF(SER_hh_fech!E30=0,0,SER_hh_fech!E30/SER_summary!E$26)</f>
        <v>37.510851361068852</v>
      </c>
      <c r="F30" s="133">
        <f>IF(SER_hh_fech!F30=0,0,SER_hh_fech!F30/SER_summary!F$26)</f>
        <v>74.479438007262061</v>
      </c>
      <c r="G30" s="133">
        <f>IF(SER_hh_fech!G30=0,0,SER_hh_fech!G30/SER_summary!G$26)</f>
        <v>59.057206748841338</v>
      </c>
      <c r="H30" s="133">
        <f>IF(SER_hh_fech!H30=0,0,SER_hh_fech!H30/SER_summary!H$26)</f>
        <v>55.558527368174957</v>
      </c>
      <c r="I30" s="133">
        <f>IF(SER_hh_fech!I30=0,0,SER_hh_fech!I30/SER_summary!I$26)</f>
        <v>53.776248604558546</v>
      </c>
      <c r="J30" s="133">
        <f>IF(SER_hh_fech!J30=0,0,SER_hh_fech!J30/SER_summary!J$26)</f>
        <v>50.954219115543495</v>
      </c>
      <c r="K30" s="133">
        <f>IF(SER_hh_fech!K30=0,0,SER_hh_fech!K30/SER_summary!K$26)</f>
        <v>47.60694637903908</v>
      </c>
      <c r="L30" s="133">
        <f>IF(SER_hh_fech!L30=0,0,SER_hh_fech!L30/SER_summary!L$26)</f>
        <v>50.553458151915635</v>
      </c>
      <c r="M30" s="133">
        <f>IF(SER_hh_fech!M30=0,0,SER_hh_fech!M30/SER_summary!M$26)</f>
        <v>36.298098279260216</v>
      </c>
      <c r="N30" s="133">
        <f>IF(SER_hh_fech!N30=0,0,SER_hh_fech!N30/SER_summary!N$26)</f>
        <v>99.432650635531871</v>
      </c>
      <c r="O30" s="133">
        <f>IF(SER_hh_fech!O30=0,0,SER_hh_fech!O30/SER_summary!O$26)</f>
        <v>68.359920746959773</v>
      </c>
      <c r="P30" s="133">
        <f>IF(SER_hh_fech!P30=0,0,SER_hh_fech!P30/SER_summary!P$26)</f>
        <v>40.482854417250884</v>
      </c>
      <c r="Q30" s="133">
        <f>IF(SER_hh_fech!Q30=0,0,SER_hh_fech!Q30/SER_summary!Q$26)</f>
        <v>47.84057018358213</v>
      </c>
      <c r="R30" s="133">
        <f>IF(SER_hh_fech!R30=0,0,SER_hh_fech!R30/SER_summary!R$26)</f>
        <v>53.791825108973143</v>
      </c>
      <c r="S30" s="133">
        <f>IF(SER_hh_fech!S30=0,0,SER_hh_fech!S30/SER_summary!S$26)</f>
        <v>58.441881428317423</v>
      </c>
      <c r="T30" s="133">
        <f>IF(SER_hh_fech!T30=0,0,SER_hh_fech!T30/SER_summary!T$26)</f>
        <v>58.960482311694619</v>
      </c>
      <c r="U30" s="133">
        <f>IF(SER_hh_fech!U30=0,0,SER_hh_fech!U30/SER_summary!U$26)</f>
        <v>63.064976870312037</v>
      </c>
      <c r="V30" s="133">
        <f>IF(SER_hh_fech!V30=0,0,SER_hh_fech!V30/SER_summary!V$26)</f>
        <v>40.956212943197862</v>
      </c>
      <c r="W30" s="133">
        <f>IF(SER_hh_fech!W30=0,0,SER_hh_fech!W30/SER_summary!W$26)</f>
        <v>58.891433462025816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47.808351770287906</v>
      </c>
      <c r="C31" s="133">
        <f>IF(SER_hh_fech!C31=0,0,SER_hh_fech!C31/SER_summary!C$26)</f>
        <v>51.781372706034801</v>
      </c>
      <c r="D31" s="133">
        <f>IF(SER_hh_fech!D31=0,0,SER_hh_fech!D31/SER_summary!D$26)</f>
        <v>49.461836265735862</v>
      </c>
      <c r="E31" s="133">
        <f>IF(SER_hh_fech!E31=0,0,SER_hh_fech!E31/SER_summary!E$26)</f>
        <v>51.745496931411921</v>
      </c>
      <c r="F31" s="133">
        <f>IF(SER_hh_fech!F31=0,0,SER_hh_fech!F31/SER_summary!F$26)</f>
        <v>52.779493366182088</v>
      </c>
      <c r="G31" s="133">
        <f>IF(SER_hh_fech!G31=0,0,SER_hh_fech!G31/SER_summary!G$26)</f>
        <v>58.912378453097652</v>
      </c>
      <c r="H31" s="133">
        <f>IF(SER_hh_fech!H31=0,0,SER_hh_fech!H31/SER_summary!H$26)</f>
        <v>54.755677528539664</v>
      </c>
      <c r="I31" s="133">
        <f>IF(SER_hh_fech!I31=0,0,SER_hh_fech!I31/SER_summary!I$26)</f>
        <v>52.380048058295451</v>
      </c>
      <c r="J31" s="133">
        <f>IF(SER_hh_fech!J31=0,0,SER_hh_fech!J31/SER_summary!J$26)</f>
        <v>51.930375061323865</v>
      </c>
      <c r="K31" s="133">
        <f>IF(SER_hh_fech!K31=0,0,SER_hh_fech!K31/SER_summary!K$26)</f>
        <v>55.359556367526878</v>
      </c>
      <c r="L31" s="133">
        <f>IF(SER_hh_fech!L31=0,0,SER_hh_fech!L31/SER_summary!L$26)</f>
        <v>57.760878716911222</v>
      </c>
      <c r="M31" s="133">
        <f>IF(SER_hh_fech!M31=0,0,SER_hh_fech!M31/SER_summary!M$26)</f>
        <v>60.121450635005296</v>
      </c>
      <c r="N31" s="133">
        <f>IF(SER_hh_fech!N31=0,0,SER_hh_fech!N31/SER_summary!N$26)</f>
        <v>59.354754814625316</v>
      </c>
      <c r="O31" s="133">
        <f>IF(SER_hh_fech!O31=0,0,SER_hh_fech!O31/SER_summary!O$26)</f>
        <v>58.48516166472421</v>
      </c>
      <c r="P31" s="133">
        <f>IF(SER_hh_fech!P31=0,0,SER_hh_fech!P31/SER_summary!P$26)</f>
        <v>60.308828469308168</v>
      </c>
      <c r="Q31" s="133">
        <f>IF(SER_hh_fech!Q31=0,0,SER_hh_fech!Q31/SER_summary!Q$26)</f>
        <v>60.027882698606717</v>
      </c>
      <c r="R31" s="133">
        <f>IF(SER_hh_fech!R31=0,0,SER_hh_fech!R31/SER_summary!R$26)</f>
        <v>58.634465652206735</v>
      </c>
      <c r="S31" s="133">
        <f>IF(SER_hh_fech!S31=0,0,SER_hh_fech!S31/SER_summary!S$26)</f>
        <v>57.591402997564103</v>
      </c>
      <c r="T31" s="133">
        <f>IF(SER_hh_fech!T31=0,0,SER_hh_fech!T31/SER_summary!T$26)</f>
        <v>56.159669330935458</v>
      </c>
      <c r="U31" s="133">
        <f>IF(SER_hh_fech!U31=0,0,SER_hh_fech!U31/SER_summary!U$26)</f>
        <v>55.372846132218505</v>
      </c>
      <c r="V31" s="133">
        <f>IF(SER_hh_fech!V31=0,0,SER_hh_fech!V31/SER_summary!V$26)</f>
        <v>49.46928640882291</v>
      </c>
      <c r="W31" s="133">
        <f>IF(SER_hh_fech!W31=0,0,SER_hh_fech!W31/SER_summary!W$26)</f>
        <v>52.776459641286451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40.958055833173859</v>
      </c>
      <c r="C33" s="68">
        <f>IF(SER_hh_fech!C33=0,0,SER_hh_fech!C33/SER_summary!C$26)</f>
        <v>41.287512532538848</v>
      </c>
      <c r="D33" s="68">
        <f>IF(SER_hh_fech!D33=0,0,SER_hh_fech!D33/SER_summary!D$26)</f>
        <v>43.852625653007507</v>
      </c>
      <c r="E33" s="68">
        <f>IF(SER_hh_fech!E33=0,0,SER_hh_fech!E33/SER_summary!E$26)</f>
        <v>43.044737093605889</v>
      </c>
      <c r="F33" s="68">
        <f>IF(SER_hh_fech!F33=0,0,SER_hh_fech!F33/SER_summary!F$26)</f>
        <v>41.652493118942253</v>
      </c>
      <c r="G33" s="68">
        <f>IF(SER_hh_fech!G33=0,0,SER_hh_fech!G33/SER_summary!G$26)</f>
        <v>43.128609359388172</v>
      </c>
      <c r="H33" s="68">
        <f>IF(SER_hh_fech!H33=0,0,SER_hh_fech!H33/SER_summary!H$26)</f>
        <v>42.286030097512906</v>
      </c>
      <c r="I33" s="68">
        <f>IF(SER_hh_fech!I33=0,0,SER_hh_fech!I33/SER_summary!I$26)</f>
        <v>40.986402801273101</v>
      </c>
      <c r="J33" s="68">
        <f>IF(SER_hh_fech!J33=0,0,SER_hh_fech!J33/SER_summary!J$26)</f>
        <v>40.659178535435352</v>
      </c>
      <c r="K33" s="68">
        <f>IF(SER_hh_fech!K33=0,0,SER_hh_fech!K33/SER_summary!K$26)</f>
        <v>41.857397921713797</v>
      </c>
      <c r="L33" s="68">
        <f>IF(SER_hh_fech!L33=0,0,SER_hh_fech!L33/SER_summary!L$26)</f>
        <v>43.584478163088782</v>
      </c>
      <c r="M33" s="68">
        <f>IF(SER_hh_fech!M33=0,0,SER_hh_fech!M33/SER_summary!M$26)</f>
        <v>46.412363835298429</v>
      </c>
      <c r="N33" s="68">
        <f>IF(SER_hh_fech!N33=0,0,SER_hh_fech!N33/SER_summary!N$26)</f>
        <v>39.817531696747324</v>
      </c>
      <c r="O33" s="68">
        <f>IF(SER_hh_fech!O33=0,0,SER_hh_fech!O33/SER_summary!O$26)</f>
        <v>44.126184980523341</v>
      </c>
      <c r="P33" s="68">
        <f>IF(SER_hh_fech!P33=0,0,SER_hh_fech!P33/SER_summary!P$26)</f>
        <v>46.340390239874225</v>
      </c>
      <c r="Q33" s="68">
        <f>IF(SER_hh_fech!Q33=0,0,SER_hh_fech!Q33/SER_summary!Q$26)</f>
        <v>44.506357134324254</v>
      </c>
      <c r="R33" s="68">
        <f>IF(SER_hh_fech!R33=0,0,SER_hh_fech!R33/SER_summary!R$26)</f>
        <v>43.842749282113033</v>
      </c>
      <c r="S33" s="68">
        <f>IF(SER_hh_fech!S33=0,0,SER_hh_fech!S33/SER_summary!S$26)</f>
        <v>43.039409059938869</v>
      </c>
      <c r="T33" s="68">
        <f>IF(SER_hh_fech!T33=0,0,SER_hh_fech!T33/SER_summary!T$26)</f>
        <v>41.951850036275964</v>
      </c>
      <c r="U33" s="68">
        <f>IF(SER_hh_fech!U33=0,0,SER_hh_fech!U33/SER_summary!U$26)</f>
        <v>39.76489895081945</v>
      </c>
      <c r="V33" s="68">
        <f>IF(SER_hh_fech!V33=0,0,SER_hh_fech!V33/SER_summary!V$26)</f>
        <v>34.741866296040818</v>
      </c>
      <c r="W33" s="68">
        <f>IF(SER_hh_fech!W33=0,0,SER_hh_fech!W33/SER_summary!W$26)</f>
        <v>37.531031814655179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84.881036168727718</v>
      </c>
      <c r="C3" s="126">
        <f>IF(SER_hh_tesh!C3=0,0,SER_hh_tesh!C3/SER_summary!C$26)</f>
        <v>94.166948487465476</v>
      </c>
      <c r="D3" s="126">
        <f>IF(SER_hh_tesh!D3=0,0,SER_hh_tesh!D3/SER_summary!D$26)</f>
        <v>95.051300473649505</v>
      </c>
      <c r="E3" s="126">
        <f>IF(SER_hh_tesh!E3=0,0,SER_hh_tesh!E3/SER_summary!E$26)</f>
        <v>102.73494223295673</v>
      </c>
      <c r="F3" s="126">
        <f>IF(SER_hh_tesh!F3=0,0,SER_hh_tesh!F3/SER_summary!F$26)</f>
        <v>103.66023809721135</v>
      </c>
      <c r="G3" s="126">
        <f>IF(SER_hh_tesh!G3=0,0,SER_hh_tesh!G3/SER_summary!G$26)</f>
        <v>110.5585313218031</v>
      </c>
      <c r="H3" s="126">
        <f>IF(SER_hh_tesh!H3=0,0,SER_hh_tesh!H3/SER_summary!H$26)</f>
        <v>117.72438029914395</v>
      </c>
      <c r="I3" s="126">
        <f>IF(SER_hh_tesh!I3=0,0,SER_hh_tesh!I3/SER_summary!I$26)</f>
        <v>125.44460323267752</v>
      </c>
      <c r="J3" s="126">
        <f>IF(SER_hh_tesh!J3=0,0,SER_hh_tesh!J3/SER_summary!J$26)</f>
        <v>130.8423270515475</v>
      </c>
      <c r="K3" s="126">
        <f>IF(SER_hh_tesh!K3=0,0,SER_hh_tesh!K3/SER_summary!K$26)</f>
        <v>125.32357495876998</v>
      </c>
      <c r="L3" s="126">
        <f>IF(SER_hh_tesh!L3=0,0,SER_hh_tesh!L3/SER_summary!L$26)</f>
        <v>121.64059632064554</v>
      </c>
      <c r="M3" s="126">
        <f>IF(SER_hh_tesh!M3=0,0,SER_hh_tesh!M3/SER_summary!M$26)</f>
        <v>118.77280503754042</v>
      </c>
      <c r="N3" s="126">
        <f>IF(SER_hh_tesh!N3=0,0,SER_hh_tesh!N3/SER_summary!N$26)</f>
        <v>141.48419571874848</v>
      </c>
      <c r="O3" s="126">
        <f>IF(SER_hh_tesh!O3=0,0,SER_hh_tesh!O3/SER_summary!O$26)</f>
        <v>127.82464737312303</v>
      </c>
      <c r="P3" s="126">
        <f>IF(SER_hh_tesh!P3=0,0,SER_hh_tesh!P3/SER_summary!P$26)</f>
        <v>125.79688505999498</v>
      </c>
      <c r="Q3" s="126">
        <f>IF(SER_hh_tesh!Q3=0,0,SER_hh_tesh!Q3/SER_summary!Q$26)</f>
        <v>149.62238364348849</v>
      </c>
      <c r="R3" s="126">
        <f>IF(SER_hh_tesh!R3=0,0,SER_hh_tesh!R3/SER_summary!R$26)</f>
        <v>163.22304754150693</v>
      </c>
      <c r="S3" s="126">
        <f>IF(SER_hh_tesh!S3=0,0,SER_hh_tesh!S3/SER_summary!S$26)</f>
        <v>161.33895818893274</v>
      </c>
      <c r="T3" s="126">
        <f>IF(SER_hh_tesh!T3=0,0,SER_hh_tesh!T3/SER_summary!T$26)</f>
        <v>153.71465210928918</v>
      </c>
      <c r="U3" s="126">
        <f>IF(SER_hh_tesh!U3=0,0,SER_hh_tesh!U3/SER_summary!U$26)</f>
        <v>166.09391631630911</v>
      </c>
      <c r="V3" s="126">
        <f>IF(SER_hh_tesh!V3=0,0,SER_hh_tesh!V3/SER_summary!V$26)</f>
        <v>150.55129204941593</v>
      </c>
      <c r="W3" s="126">
        <f>IF(SER_hh_tesh!W3=0,0,SER_hh_tesh!W3/SER_summary!W$26)</f>
        <v>172.65435316636123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27.515708330005708</v>
      </c>
      <c r="C4" s="131">
        <f>IF(SER_hh_tesh!C4=0,0,SER_hh_tesh!C4/SER_summary!C$26)</f>
        <v>32.876002340528046</v>
      </c>
      <c r="D4" s="131">
        <f>IF(SER_hh_tesh!D4=0,0,SER_hh_tesh!D4/SER_summary!D$26)</f>
        <v>33.878276638372917</v>
      </c>
      <c r="E4" s="131">
        <f>IF(SER_hh_tesh!E4=0,0,SER_hh_tesh!E4/SER_summary!E$26)</f>
        <v>37.71319935922196</v>
      </c>
      <c r="F4" s="131">
        <f>IF(SER_hh_tesh!F4=0,0,SER_hh_tesh!F4/SER_summary!F$26)</f>
        <v>42.953341524790879</v>
      </c>
      <c r="G4" s="131">
        <f>IF(SER_hh_tesh!G4=0,0,SER_hh_tesh!G4/SER_summary!G$26)</f>
        <v>47.792248954022604</v>
      </c>
      <c r="H4" s="131">
        <f>IF(SER_hh_tesh!H4=0,0,SER_hh_tesh!H4/SER_summary!H$26)</f>
        <v>53.403270548075703</v>
      </c>
      <c r="I4" s="131">
        <f>IF(SER_hh_tesh!I4=0,0,SER_hh_tesh!I4/SER_summary!I$26)</f>
        <v>55.335965239036682</v>
      </c>
      <c r="J4" s="131">
        <f>IF(SER_hh_tesh!J4=0,0,SER_hh_tesh!J4/SER_summary!J$26)</f>
        <v>60.390331736965493</v>
      </c>
      <c r="K4" s="131">
        <f>IF(SER_hh_tesh!K4=0,0,SER_hh_tesh!K4/SER_summary!K$26)</f>
        <v>59.073539411473725</v>
      </c>
      <c r="L4" s="131">
        <f>IF(SER_hh_tesh!L4=0,0,SER_hh_tesh!L4/SER_summary!L$26)</f>
        <v>47.902374077106344</v>
      </c>
      <c r="M4" s="131">
        <f>IF(SER_hh_tesh!M4=0,0,SER_hh_tesh!M4/SER_summary!M$26)</f>
        <v>44.809314661398538</v>
      </c>
      <c r="N4" s="131">
        <f>IF(SER_hh_tesh!N4=0,0,SER_hh_tesh!N4/SER_summary!N$26)</f>
        <v>54.637451139642288</v>
      </c>
      <c r="O4" s="131">
        <f>IF(SER_hh_tesh!O4=0,0,SER_hh_tesh!O4/SER_summary!O$26)</f>
        <v>49.819064124178972</v>
      </c>
      <c r="P4" s="131">
        <f>IF(SER_hh_tesh!P4=0,0,SER_hh_tesh!P4/SER_summary!P$26)</f>
        <v>49.478264907631605</v>
      </c>
      <c r="Q4" s="131">
        <f>IF(SER_hh_tesh!Q4=0,0,SER_hh_tesh!Q4/SER_summary!Q$26)</f>
        <v>67.013601182142622</v>
      </c>
      <c r="R4" s="131">
        <f>IF(SER_hh_tesh!R4=0,0,SER_hh_tesh!R4/SER_summary!R$26)</f>
        <v>77.176255615278919</v>
      </c>
      <c r="S4" s="131">
        <f>IF(SER_hh_tesh!S4=0,0,SER_hh_tesh!S4/SER_summary!S$26)</f>
        <v>73.515525484006631</v>
      </c>
      <c r="T4" s="131">
        <f>IF(SER_hh_tesh!T4=0,0,SER_hh_tesh!T4/SER_summary!T$26)</f>
        <v>69.339129587943972</v>
      </c>
      <c r="U4" s="131">
        <f>IF(SER_hh_tesh!U4=0,0,SER_hh_tesh!U4/SER_summary!U$26)</f>
        <v>74.385906398477943</v>
      </c>
      <c r="V4" s="131">
        <f>IF(SER_hh_tesh!V4=0,0,SER_hh_tesh!V4/SER_summary!V$26)</f>
        <v>70.486185195849785</v>
      </c>
      <c r="W4" s="131">
        <f>IF(SER_hh_tesh!W4=0,0,SER_hh_tesh!W4/SER_summary!W$26)</f>
        <v>78.204558444090054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26.614386594992339</v>
      </c>
      <c r="C7" s="133">
        <f>IF(SER_hh_tesh!C7=0,0,SER_hh_tesh!C7/SER_summary!C$26)</f>
        <v>33.042959951795126</v>
      </c>
      <c r="D7" s="133">
        <f>IF(SER_hh_tesh!D7=0,0,SER_hh_tesh!D7/SER_summary!D$26)</f>
        <v>34.602855310523438</v>
      </c>
      <c r="E7" s="133">
        <f>IF(SER_hh_tesh!E7=0,0,SER_hh_tesh!E7/SER_summary!E$26)</f>
        <v>37.576931313227334</v>
      </c>
      <c r="F7" s="133">
        <f>IF(SER_hh_tesh!F7=0,0,SER_hh_tesh!F7/SER_summary!F$26)</f>
        <v>38.568702830219088</v>
      </c>
      <c r="G7" s="133">
        <f>IF(SER_hh_tesh!G7=0,0,SER_hh_tesh!G7/SER_summary!G$26)</f>
        <v>49.947529144206271</v>
      </c>
      <c r="H7" s="133">
        <f>IF(SER_hh_tesh!H7=0,0,SER_hh_tesh!H7/SER_summary!H$26)</f>
        <v>54.698134591831938</v>
      </c>
      <c r="I7" s="133">
        <f>IF(SER_hh_tesh!I7=0,0,SER_hh_tesh!I7/SER_summary!I$26)</f>
        <v>54.814274142892877</v>
      </c>
      <c r="J7" s="133">
        <f>IF(SER_hh_tesh!J7=0,0,SER_hh_tesh!J7/SER_summary!J$26)</f>
        <v>60.631787938889751</v>
      </c>
      <c r="K7" s="133">
        <f>IF(SER_hh_tesh!K7=0,0,SER_hh_tesh!K7/SER_summary!K$26)</f>
        <v>50.961984465372979</v>
      </c>
      <c r="L7" s="133">
        <f>IF(SER_hh_tesh!L7=0,0,SER_hh_tesh!L7/SER_summary!L$26)</f>
        <v>49.553242306871098</v>
      </c>
      <c r="M7" s="133">
        <f>IF(SER_hh_tesh!M7=0,0,SER_hh_tesh!M7/SER_summary!M$26)</f>
        <v>50.661922045810677</v>
      </c>
      <c r="N7" s="133">
        <f>IF(SER_hh_tesh!N7=0,0,SER_hh_tesh!N7/SER_summary!N$26)</f>
        <v>26.762401375537312</v>
      </c>
      <c r="O7" s="133">
        <f>IF(SER_hh_tesh!O7=0,0,SER_hh_tesh!O7/SER_summary!O$26)</f>
        <v>62.186281301049654</v>
      </c>
      <c r="P7" s="133">
        <f>IF(SER_hh_tesh!P7=0,0,SER_hh_tesh!P7/SER_summary!P$26)</f>
        <v>38.60560541283386</v>
      </c>
      <c r="Q7" s="133">
        <f>IF(SER_hh_tesh!Q7=0,0,SER_hh_tesh!Q7/SER_summary!Q$26)</f>
        <v>48.24056406314407</v>
      </c>
      <c r="R7" s="133">
        <f>IF(SER_hh_tesh!R7=0,0,SER_hh_tesh!R7/SER_summary!R$26)</f>
        <v>102.4958922603707</v>
      </c>
      <c r="S7" s="133">
        <f>IF(SER_hh_tesh!S7=0,0,SER_hh_tesh!S7/SER_summary!S$26)</f>
        <v>56.733033503917667</v>
      </c>
      <c r="T7" s="133">
        <f>IF(SER_hh_tesh!T7=0,0,SER_hh_tesh!T7/SER_summary!T$26)</f>
        <v>63.188884787489584</v>
      </c>
      <c r="U7" s="133">
        <f>IF(SER_hh_tesh!U7=0,0,SER_hh_tesh!U7/SER_summary!U$26)</f>
        <v>77.700402770266621</v>
      </c>
      <c r="V7" s="133">
        <f>IF(SER_hh_tesh!V7=0,0,SER_hh_tesh!V7/SER_summary!V$26)</f>
        <v>82.078550606287507</v>
      </c>
      <c r="W7" s="133">
        <f>IF(SER_hh_tesh!W7=0,0,SER_hh_tesh!W7/SER_summary!W$26)</f>
        <v>75.251185773993114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27.30057431038006</v>
      </c>
      <c r="C8" s="133">
        <f>IF(SER_hh_tesh!C8=0,0,SER_hh_tesh!C8/SER_summary!C$26)</f>
        <v>28.382437118683509</v>
      </c>
      <c r="D8" s="133">
        <f>IF(SER_hh_tesh!D8=0,0,SER_hh_tesh!D8/SER_summary!D$26)</f>
        <v>30.47364292431778</v>
      </c>
      <c r="E8" s="133">
        <f>IF(SER_hh_tesh!E8=0,0,SER_hh_tesh!E8/SER_summary!E$26)</f>
        <v>34.698910332374766</v>
      </c>
      <c r="F8" s="133">
        <f>IF(SER_hh_tesh!F8=0,0,SER_hh_tesh!F8/SER_summary!F$26)</f>
        <v>41.554855364967736</v>
      </c>
      <c r="G8" s="133">
        <f>IF(SER_hh_tesh!G8=0,0,SER_hh_tesh!G8/SER_summary!G$26)</f>
        <v>51.586666777009711</v>
      </c>
      <c r="H8" s="133">
        <f>IF(SER_hh_tesh!H8=0,0,SER_hh_tesh!H8/SER_summary!H$26)</f>
        <v>52.905073665686722</v>
      </c>
      <c r="I8" s="133">
        <f>IF(SER_hh_tesh!I8=0,0,SER_hh_tesh!I8/SER_summary!I$26)</f>
        <v>53.135573720038423</v>
      </c>
      <c r="J8" s="133">
        <f>IF(SER_hh_tesh!J8=0,0,SER_hh_tesh!J8/SER_summary!J$26)</f>
        <v>53.523991399203005</v>
      </c>
      <c r="K8" s="133">
        <f>IF(SER_hh_tesh!K8=0,0,SER_hh_tesh!K8/SER_summary!K$26)</f>
        <v>50.307661397370076</v>
      </c>
      <c r="L8" s="133">
        <f>IF(SER_hh_tesh!L8=0,0,SER_hh_tesh!L8/SER_summary!L$26)</f>
        <v>42.058936709393862</v>
      </c>
      <c r="M8" s="133">
        <f>IF(SER_hh_tesh!M8=0,0,SER_hh_tesh!M8/SER_summary!M$26)</f>
        <v>34.303616057000568</v>
      </c>
      <c r="N8" s="133">
        <f>IF(SER_hh_tesh!N8=0,0,SER_hh_tesh!N8/SER_summary!N$26)</f>
        <v>24.592398237497587</v>
      </c>
      <c r="O8" s="133">
        <f>IF(SER_hh_tesh!O8=0,0,SER_hh_tesh!O8/SER_summary!O$26)</f>
        <v>31.81542642362394</v>
      </c>
      <c r="P8" s="133">
        <f>IF(SER_hh_tesh!P8=0,0,SER_hh_tesh!P8/SER_summary!P$26)</f>
        <v>50.275466384540742</v>
      </c>
      <c r="Q8" s="133">
        <f>IF(SER_hh_tesh!Q8=0,0,SER_hh_tesh!Q8/SER_summary!Q$26)</f>
        <v>82.772867070406875</v>
      </c>
      <c r="R8" s="133">
        <f>IF(SER_hh_tesh!R8=0,0,SER_hh_tesh!R8/SER_summary!R$26)</f>
        <v>74.706921299977481</v>
      </c>
      <c r="S8" s="133">
        <f>IF(SER_hh_tesh!S8=0,0,SER_hh_tesh!S8/SER_summary!S$26)</f>
        <v>70.898123738904914</v>
      </c>
      <c r="T8" s="133">
        <f>IF(SER_hh_tesh!T8=0,0,SER_hh_tesh!T8/SER_summary!T$26)</f>
        <v>70.795724160388644</v>
      </c>
      <c r="U8" s="133">
        <f>IF(SER_hh_tesh!U8=0,0,SER_hh_tesh!U8/SER_summary!U$26)</f>
        <v>70.095066675916414</v>
      </c>
      <c r="V8" s="133">
        <f>IF(SER_hh_tesh!V8=0,0,SER_hh_tesh!V8/SER_summary!V$26)</f>
        <v>74.033825204448007</v>
      </c>
      <c r="W8" s="133">
        <f>IF(SER_hh_tesh!W8=0,0,SER_hh_tesh!W8/SER_summary!W$26)</f>
        <v>77.334127226492441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24.925439948789748</v>
      </c>
      <c r="C9" s="133">
        <f>IF(SER_hh_tesh!C9=0,0,SER_hh_tesh!C9/SER_summary!C$26)</f>
        <v>27.751247563673871</v>
      </c>
      <c r="D9" s="133">
        <f>IF(SER_hh_tesh!D9=0,0,SER_hh_tesh!D9/SER_summary!D$26)</f>
        <v>27.819335302699585</v>
      </c>
      <c r="E9" s="133">
        <f>IF(SER_hh_tesh!E9=0,0,SER_hh_tesh!E9/SER_summary!E$26)</f>
        <v>33.417774409399918</v>
      </c>
      <c r="F9" s="133">
        <f>IF(SER_hh_tesh!F9=0,0,SER_hh_tesh!F9/SER_summary!F$26)</f>
        <v>40.457885111825007</v>
      </c>
      <c r="G9" s="133">
        <f>IF(SER_hh_tesh!G9=0,0,SER_hh_tesh!G9/SER_summary!G$26)</f>
        <v>51.617559928724368</v>
      </c>
      <c r="H9" s="133">
        <f>IF(SER_hh_tesh!H9=0,0,SER_hh_tesh!H9/SER_summary!H$26)</f>
        <v>53.875756512926692</v>
      </c>
      <c r="I9" s="133">
        <f>IF(SER_hh_tesh!I9=0,0,SER_hh_tesh!I9/SER_summary!I$26)</f>
        <v>52.46701694982206</v>
      </c>
      <c r="J9" s="133">
        <f>IF(SER_hh_tesh!J9=0,0,SER_hh_tesh!J9/SER_summary!J$26)</f>
        <v>59.179041587837006</v>
      </c>
      <c r="K9" s="133">
        <f>IF(SER_hh_tesh!K9=0,0,SER_hh_tesh!K9/SER_summary!K$26)</f>
        <v>57.013293912094397</v>
      </c>
      <c r="L9" s="133">
        <f>IF(SER_hh_tesh!L9=0,0,SER_hh_tesh!L9/SER_summary!L$26)</f>
        <v>44.074390306913678</v>
      </c>
      <c r="M9" s="133">
        <f>IF(SER_hh_tesh!M9=0,0,SER_hh_tesh!M9/SER_summary!M$26)</f>
        <v>62.116860772651933</v>
      </c>
      <c r="N9" s="133">
        <f>IF(SER_hh_tesh!N9=0,0,SER_hh_tesh!N9/SER_summary!N$26)</f>
        <v>48.022842778642023</v>
      </c>
      <c r="O9" s="133">
        <f>IF(SER_hh_tesh!O9=0,0,SER_hh_tesh!O9/SER_summary!O$26)</f>
        <v>43.974764737056852</v>
      </c>
      <c r="P9" s="133">
        <f>IF(SER_hh_tesh!P9=0,0,SER_hh_tesh!P9/SER_summary!P$26)</f>
        <v>47.338627476511746</v>
      </c>
      <c r="Q9" s="133">
        <f>IF(SER_hh_tesh!Q9=0,0,SER_hh_tesh!Q9/SER_summary!Q$26)</f>
        <v>74.375336534495517</v>
      </c>
      <c r="R9" s="133">
        <f>IF(SER_hh_tesh!R9=0,0,SER_hh_tesh!R9/SER_summary!R$26)</f>
        <v>67.747568544583089</v>
      </c>
      <c r="S9" s="133">
        <f>IF(SER_hh_tesh!S9=0,0,SER_hh_tesh!S9/SER_summary!S$26)</f>
        <v>69.8001233794173</v>
      </c>
      <c r="T9" s="133">
        <f>IF(SER_hh_tesh!T9=0,0,SER_hh_tesh!T9/SER_summary!T$26)</f>
        <v>67.527526017221945</v>
      </c>
      <c r="U9" s="133">
        <f>IF(SER_hh_tesh!U9=0,0,SER_hh_tesh!U9/SER_summary!U$26)</f>
        <v>79.18796294622625</v>
      </c>
      <c r="V9" s="133">
        <f>IF(SER_hh_tesh!V9=0,0,SER_hh_tesh!V9/SER_summary!V$26)</f>
        <v>68.982663966383726</v>
      </c>
      <c r="W9" s="133">
        <f>IF(SER_hh_tesh!W9=0,0,SER_hh_tesh!W9/SER_summary!W$26)</f>
        <v>74.578384666502544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87.816969838436862</v>
      </c>
      <c r="O10" s="133">
        <f>IF(SER_hh_tesh!O10=0,0,SER_hh_tesh!O10/SER_summary!O$26)</f>
        <v>48.869318410495907</v>
      </c>
      <c r="P10" s="133">
        <f>IF(SER_hh_tesh!P10=0,0,SER_hh_tesh!P10/SER_summary!P$26)</f>
        <v>37.368460259967378</v>
      </c>
      <c r="Q10" s="133">
        <f>IF(SER_hh_tesh!Q10=0,0,SER_hh_tesh!Q10/SER_summary!Q$26)</f>
        <v>114.81102147704371</v>
      </c>
      <c r="R10" s="133">
        <f>IF(SER_hh_tesh!R10=0,0,SER_hh_tesh!R10/SER_summary!R$26)</f>
        <v>75.249628056551657</v>
      </c>
      <c r="S10" s="133">
        <f>IF(SER_hh_tesh!S10=0,0,SER_hh_tesh!S10/SER_summary!S$26)</f>
        <v>57.077702618093575</v>
      </c>
      <c r="T10" s="133">
        <f>IF(SER_hh_tesh!T10=0,0,SER_hh_tesh!T10/SER_summary!T$26)</f>
        <v>93.584943780201073</v>
      </c>
      <c r="U10" s="133">
        <f>IF(SER_hh_tesh!U10=0,0,SER_hh_tesh!U10/SER_summary!U$26)</f>
        <v>45.375276512204508</v>
      </c>
      <c r="V10" s="133">
        <f>IF(SER_hh_tesh!V10=0,0,SER_hh_tesh!V10/SER_summary!V$26)</f>
        <v>46.83461041735665</v>
      </c>
      <c r="W10" s="133">
        <f>IF(SER_hh_tesh!W10=0,0,SER_hh_tesh!W10/SER_summary!W$26)</f>
        <v>104.2250722159181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66.730171350601779</v>
      </c>
      <c r="G11" s="133">
        <f>IF(SER_hh_tesh!G11=0,0,SER_hh_tesh!G11/SER_summary!G$26)</f>
        <v>52.670651546157735</v>
      </c>
      <c r="H11" s="133">
        <f>IF(SER_hh_tesh!H11=0,0,SER_hh_tesh!H11/SER_summary!H$26)</f>
        <v>51.583389162671104</v>
      </c>
      <c r="I11" s="133">
        <f>IF(SER_hh_tesh!I11=0,0,SER_hh_tesh!I11/SER_summary!I$26)</f>
        <v>53.060430572451104</v>
      </c>
      <c r="J11" s="133">
        <f>IF(SER_hh_tesh!J11=0,0,SER_hh_tesh!J11/SER_summary!J$26)</f>
        <v>51.630590136241203</v>
      </c>
      <c r="K11" s="133">
        <f>IF(SER_hh_tesh!K11=0,0,SER_hh_tesh!K11/SER_summary!K$26)</f>
        <v>58.087723078374168</v>
      </c>
      <c r="L11" s="133">
        <f>IF(SER_hh_tesh!L11=0,0,SER_hh_tesh!L11/SER_summary!L$26)</f>
        <v>51.583920231769248</v>
      </c>
      <c r="M11" s="133">
        <f>IF(SER_hh_tesh!M11=0,0,SER_hh_tesh!M11/SER_summary!M$26)</f>
        <v>48.890897383021837</v>
      </c>
      <c r="N11" s="133">
        <f>IF(SER_hh_tesh!N11=0,0,SER_hh_tesh!N11/SER_summary!N$26)</f>
        <v>50.038357955711923</v>
      </c>
      <c r="O11" s="133">
        <f>IF(SER_hh_tesh!O11=0,0,SER_hh_tesh!O11/SER_summary!O$26)</f>
        <v>49.066136006335554</v>
      </c>
      <c r="P11" s="133">
        <f>IF(SER_hh_tesh!P11=0,0,SER_hh_tesh!P11/SER_summary!P$26)</f>
        <v>57.212176257429739</v>
      </c>
      <c r="Q11" s="133">
        <f>IF(SER_hh_tesh!Q11=0,0,SER_hh_tesh!Q11/SER_summary!Q$26)</f>
        <v>62.078313800614588</v>
      </c>
      <c r="R11" s="133">
        <f>IF(SER_hh_tesh!R11=0,0,SER_hh_tesh!R11/SER_summary!R$26)</f>
        <v>69.22919117608275</v>
      </c>
      <c r="S11" s="133">
        <f>IF(SER_hh_tesh!S11=0,0,SER_hh_tesh!S11/SER_summary!S$26)</f>
        <v>69.569247957094859</v>
      </c>
      <c r="T11" s="133">
        <f>IF(SER_hh_tesh!T11=0,0,SER_hh_tesh!T11/SER_summary!T$26)</f>
        <v>71.300651065661214</v>
      </c>
      <c r="U11" s="133">
        <f>IF(SER_hh_tesh!U11=0,0,SER_hh_tesh!U11/SER_summary!U$26)</f>
        <v>100.53284056471256</v>
      </c>
      <c r="V11" s="133">
        <f>IF(SER_hh_tesh!V11=0,0,SER_hh_tesh!V11/SER_summary!V$26)</f>
        <v>36.94203282692699</v>
      </c>
      <c r="W11" s="133">
        <f>IF(SER_hh_tesh!W11=0,0,SER_hh_tesh!W11/SER_summary!W$26)</f>
        <v>38.813356160243167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27.018726781153756</v>
      </c>
      <c r="C13" s="133">
        <f>IF(SER_hh_tesh!C13=0,0,SER_hh_tesh!C13/SER_summary!C$26)</f>
        <v>31.526731231019578</v>
      </c>
      <c r="D13" s="133">
        <f>IF(SER_hh_tesh!D13=0,0,SER_hh_tesh!D13/SER_summary!D$26)</f>
        <v>33.08256726105666</v>
      </c>
      <c r="E13" s="133">
        <f>IF(SER_hh_tesh!E13=0,0,SER_hh_tesh!E13/SER_summary!E$26)</f>
        <v>36.390990287076448</v>
      </c>
      <c r="F13" s="133">
        <f>IF(SER_hh_tesh!F13=0,0,SER_hh_tesh!F13/SER_summary!F$26)</f>
        <v>45.527590675452124</v>
      </c>
      <c r="G13" s="133">
        <f>IF(SER_hh_tesh!G13=0,0,SER_hh_tesh!G13/SER_summary!G$26)</f>
        <v>44.836047941891557</v>
      </c>
      <c r="H13" s="133">
        <f>IF(SER_hh_tesh!H13=0,0,SER_hh_tesh!H13/SER_summary!H$26)</f>
        <v>49.839585426293461</v>
      </c>
      <c r="I13" s="133">
        <f>IF(SER_hh_tesh!I13=0,0,SER_hh_tesh!I13/SER_summary!I$26)</f>
        <v>55.573374438906164</v>
      </c>
      <c r="J13" s="133">
        <f>IF(SER_hh_tesh!J13=0,0,SER_hh_tesh!J13/SER_summary!J$26)</f>
        <v>56.346279057578634</v>
      </c>
      <c r="K13" s="133">
        <f>IF(SER_hh_tesh!K13=0,0,SER_hh_tesh!K13/SER_summary!K$26)</f>
        <v>55.286924962125383</v>
      </c>
      <c r="L13" s="133">
        <f>IF(SER_hh_tesh!L13=0,0,SER_hh_tesh!L13/SER_summary!L$26)</f>
        <v>48.918840227629381</v>
      </c>
      <c r="M13" s="133">
        <f>IF(SER_hh_tesh!M13=0,0,SER_hh_tesh!M13/SER_summary!M$26)</f>
        <v>45.595504027355375</v>
      </c>
      <c r="N13" s="133">
        <f>IF(SER_hh_tesh!N13=0,0,SER_hh_tesh!N13/SER_summary!N$26)</f>
        <v>52.222737543546408</v>
      </c>
      <c r="O13" s="133">
        <f>IF(SER_hh_tesh!O13=0,0,SER_hh_tesh!O13/SER_summary!O$26)</f>
        <v>49.136565751386051</v>
      </c>
      <c r="P13" s="133">
        <f>IF(SER_hh_tesh!P13=0,0,SER_hh_tesh!P13/SER_summary!P$26)</f>
        <v>56.050023489450155</v>
      </c>
      <c r="Q13" s="133">
        <f>IF(SER_hh_tesh!Q13=0,0,SER_hh_tesh!Q13/SER_summary!Q$26)</f>
        <v>69.561157508149648</v>
      </c>
      <c r="R13" s="133">
        <f>IF(SER_hh_tesh!R13=0,0,SER_hh_tesh!R13/SER_summary!R$26)</f>
        <v>71.638698850755659</v>
      </c>
      <c r="S13" s="133">
        <f>IF(SER_hh_tesh!S13=0,0,SER_hh_tesh!S13/SER_summary!S$26)</f>
        <v>70.489635841041704</v>
      </c>
      <c r="T13" s="133">
        <f>IF(SER_hh_tesh!T13=0,0,SER_hh_tesh!T13/SER_summary!T$26)</f>
        <v>71.983826617285004</v>
      </c>
      <c r="U13" s="133">
        <f>IF(SER_hh_tesh!U13=0,0,SER_hh_tesh!U13/SER_summary!U$26)</f>
        <v>71.516987481911499</v>
      </c>
      <c r="V13" s="133">
        <f>IF(SER_hh_tesh!V13=0,0,SER_hh_tesh!V13/SER_summary!V$26)</f>
        <v>72.947875136653096</v>
      </c>
      <c r="W13" s="133">
        <f>IF(SER_hh_tesh!W13=0,0,SER_hh_tesh!W13/SER_summary!W$26)</f>
        <v>77.944909835964793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27.994588321827514</v>
      </c>
      <c r="C14" s="65">
        <f>IF(SER_hh_tesh!C14=0,0,SER_hh_tesh!C14/SER_summary!C$26)</f>
        <v>32.283076341427197</v>
      </c>
      <c r="D14" s="65">
        <f>IF(SER_hh_tesh!D14=0,0,SER_hh_tesh!D14/SER_summary!D$26)</f>
        <v>32.789346005530838</v>
      </c>
      <c r="E14" s="65">
        <f>IF(SER_hh_tesh!E14=0,0,SER_hh_tesh!E14/SER_summary!E$26)</f>
        <v>37.661069628678788</v>
      </c>
      <c r="F14" s="65">
        <f>IF(SER_hh_tesh!F14=0,0,SER_hh_tesh!F14/SER_summary!F$26)</f>
        <v>45.524685794387182</v>
      </c>
      <c r="G14" s="65">
        <f>IF(SER_hh_tesh!G14=0,0,SER_hh_tesh!G14/SER_summary!G$26)</f>
        <v>44.832427123221393</v>
      </c>
      <c r="H14" s="65">
        <f>IF(SER_hh_tesh!H14=0,0,SER_hh_tesh!H14/SER_summary!H$26)</f>
        <v>52.324680380430479</v>
      </c>
      <c r="I14" s="65">
        <f>IF(SER_hh_tesh!I14=0,0,SER_hh_tesh!I14/SER_summary!I$26)</f>
        <v>55.33591047246555</v>
      </c>
      <c r="J14" s="65">
        <f>IF(SER_hh_tesh!J14=0,0,SER_hh_tesh!J14/SER_summary!J$26)</f>
        <v>61.428450929538826</v>
      </c>
      <c r="K14" s="65">
        <f>IF(SER_hh_tesh!K14=0,0,SER_hh_tesh!K14/SER_summary!K$26)</f>
        <v>65.073433708463682</v>
      </c>
      <c r="L14" s="65">
        <f>IF(SER_hh_tesh!L14=0,0,SER_hh_tesh!L14/SER_summary!L$26)</f>
        <v>46.582512733411896</v>
      </c>
      <c r="M14" s="65">
        <f>IF(SER_hh_tesh!M14=0,0,SER_hh_tesh!M14/SER_summary!M$26)</f>
        <v>32.900961074135587</v>
      </c>
      <c r="N14" s="65">
        <f>IF(SER_hh_tesh!N14=0,0,SER_hh_tesh!N14/SER_summary!N$26)</f>
        <v>71.40662632235717</v>
      </c>
      <c r="O14" s="65">
        <f>IF(SER_hh_tesh!O14=0,0,SER_hh_tesh!O14/SER_summary!O$26)</f>
        <v>48.475077082691612</v>
      </c>
      <c r="P14" s="65">
        <f>IF(SER_hh_tesh!P14=0,0,SER_hh_tesh!P14/SER_summary!P$26)</f>
        <v>31.317752591429958</v>
      </c>
      <c r="Q14" s="65">
        <f>IF(SER_hh_tesh!Q14=0,0,SER_hh_tesh!Q14/SER_summary!Q$26)</f>
        <v>56.118198458851161</v>
      </c>
      <c r="R14" s="65">
        <f>IF(SER_hh_tesh!R14=0,0,SER_hh_tesh!R14/SER_summary!R$26)</f>
        <v>90.647720989755413</v>
      </c>
      <c r="S14" s="65">
        <f>IF(SER_hh_tesh!S14=0,0,SER_hh_tesh!S14/SER_summary!S$26)</f>
        <v>88.058722458104285</v>
      </c>
      <c r="T14" s="65">
        <f>IF(SER_hh_tesh!T14=0,0,SER_hh_tesh!T14/SER_summary!T$26)</f>
        <v>59.386150568587375</v>
      </c>
      <c r="U14" s="65">
        <f>IF(SER_hh_tesh!U14=0,0,SER_hh_tesh!U14/SER_summary!U$26)</f>
        <v>83.77819571450874</v>
      </c>
      <c r="V14" s="65">
        <f>IF(SER_hh_tesh!V14=0,0,SER_hh_tesh!V14/SER_summary!V$26)</f>
        <v>54.352677446673091</v>
      </c>
      <c r="W14" s="65">
        <f>IF(SER_hh_tesh!W14=0,0,SER_hh_tesh!W14/SER_summary!W$26)</f>
        <v>83.398320898593894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0.53161277443232013</v>
      </c>
      <c r="C15" s="135">
        <f>IF(SER_hh_tesh!C15=0,0,SER_hh_tesh!C15/SER_summary!C$26)</f>
        <v>0.64467793804962559</v>
      </c>
      <c r="D15" s="135">
        <f>IF(SER_hh_tesh!D15=0,0,SER_hh_tesh!D15/SER_summary!D$26)</f>
        <v>0.65853196912235756</v>
      </c>
      <c r="E15" s="135">
        <f>IF(SER_hh_tesh!E15=0,0,SER_hh_tesh!E15/SER_summary!E$26)</f>
        <v>0.70218494666837861</v>
      </c>
      <c r="F15" s="135">
        <f>IF(SER_hh_tesh!F15=0,0,SER_hh_tesh!F15/SER_summary!F$26)</f>
        <v>0.7092317383277309</v>
      </c>
      <c r="G15" s="135">
        <f>IF(SER_hh_tesh!G15=0,0,SER_hh_tesh!G15/SER_summary!G$26)</f>
        <v>0.89782637143170374</v>
      </c>
      <c r="H15" s="135">
        <f>IF(SER_hh_tesh!H15=0,0,SER_hh_tesh!H15/SER_summary!H$26)</f>
        <v>0.95942368557385549</v>
      </c>
      <c r="I15" s="135">
        <f>IF(SER_hh_tesh!I15=0,0,SER_hh_tesh!I15/SER_summary!I$26)</f>
        <v>0.94133067795559355</v>
      </c>
      <c r="J15" s="135">
        <f>IF(SER_hh_tesh!J15=0,0,SER_hh_tesh!J15/SER_summary!J$26)</f>
        <v>1.026483552083767</v>
      </c>
      <c r="K15" s="135">
        <f>IF(SER_hh_tesh!K15=0,0,SER_hh_tesh!K15/SER_summary!K$26)</f>
        <v>0.88563362165576831</v>
      </c>
      <c r="L15" s="135">
        <f>IF(SER_hh_tesh!L15=0,0,SER_hh_tesh!L15/SER_summary!L$26)</f>
        <v>0.78271117707115212</v>
      </c>
      <c r="M15" s="135">
        <f>IF(SER_hh_tesh!M15=0,0,SER_hh_tesh!M15/SER_summary!M$26)</f>
        <v>0.8929743843809006</v>
      </c>
      <c r="N15" s="135">
        <f>IF(SER_hh_tesh!N15=0,0,SER_hh_tesh!N15/SER_summary!N$26)</f>
        <v>0.59440532209771269</v>
      </c>
      <c r="O15" s="135">
        <f>IF(SER_hh_tesh!O15=0,0,SER_hh_tesh!O15/SER_summary!O$26)</f>
        <v>0.79572261503873398</v>
      </c>
      <c r="P15" s="135">
        <f>IF(SER_hh_tesh!P15=0,0,SER_hh_tesh!P15/SER_summary!P$26)</f>
        <v>0.63414546903121094</v>
      </c>
      <c r="Q15" s="135">
        <f>IF(SER_hh_tesh!Q15=0,0,SER_hh_tesh!Q15/SER_summary!Q$26)</f>
        <v>0.92906338938304567</v>
      </c>
      <c r="R15" s="135">
        <f>IF(SER_hh_tesh!R15=0,0,SER_hh_tesh!R15/SER_summary!R$26)</f>
        <v>1.1317532685135216</v>
      </c>
      <c r="S15" s="135">
        <f>IF(SER_hh_tesh!S15=0,0,SER_hh_tesh!S15/SER_summary!S$26)</f>
        <v>0.88776214983460833</v>
      </c>
      <c r="T15" s="135">
        <f>IF(SER_hh_tesh!T15=0,0,SER_hh_tesh!T15/SER_summary!T$26)</f>
        <v>0.90435683935067135</v>
      </c>
      <c r="U15" s="135">
        <f>IF(SER_hh_tesh!U15=0,0,SER_hh_tesh!U15/SER_summary!U$26)</f>
        <v>1.0354275808942195</v>
      </c>
      <c r="V15" s="135">
        <f>IF(SER_hh_tesh!V15=0,0,SER_hh_tesh!V15/SER_summary!V$26)</f>
        <v>0.93021736086254903</v>
      </c>
      <c r="W15" s="135">
        <f>IF(SER_hh_tesh!W15=0,0,SER_hh_tesh!W15/SER_summary!W$26)</f>
        <v>0.97290034654617619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34.863689965229383</v>
      </c>
      <c r="C16" s="131">
        <f>IF(SER_hh_tesh!C16=0,0,SER_hh_tesh!C16/SER_summary!C$26)</f>
        <v>43.266154360853307</v>
      </c>
      <c r="D16" s="131">
        <f>IF(SER_hh_tesh!D16=0,0,SER_hh_tesh!D16/SER_summary!D$26)</f>
        <v>35.37299067995955</v>
      </c>
      <c r="E16" s="131">
        <f>IF(SER_hh_tesh!E16=0,0,SER_hh_tesh!E16/SER_summary!E$26)</f>
        <v>47.679500814884094</v>
      </c>
      <c r="F16" s="131">
        <f>IF(SER_hh_tesh!F16=0,0,SER_hh_tesh!F16/SER_summary!F$26)</f>
        <v>29.904283033198478</v>
      </c>
      <c r="G16" s="131">
        <f>IF(SER_hh_tesh!G16=0,0,SER_hh_tesh!G16/SER_summary!G$26)</f>
        <v>30.947486990712235</v>
      </c>
      <c r="H16" s="131">
        <f>IF(SER_hh_tesh!H16=0,0,SER_hh_tesh!H16/SER_summary!H$26)</f>
        <v>36.769799527395449</v>
      </c>
      <c r="I16" s="131">
        <f>IF(SER_hh_tesh!I16=0,0,SER_hh_tesh!I16/SER_summary!I$26)</f>
        <v>54.413588755205637</v>
      </c>
      <c r="J16" s="131">
        <f>IF(SER_hh_tesh!J16=0,0,SER_hh_tesh!J16/SER_summary!J$26)</f>
        <v>53.324858713892503</v>
      </c>
      <c r="K16" s="131">
        <f>IF(SER_hh_tesh!K16=0,0,SER_hh_tesh!K16/SER_summary!K$26)</f>
        <v>36.535648792468628</v>
      </c>
      <c r="L16" s="131">
        <f>IF(SER_hh_tesh!L16=0,0,SER_hh_tesh!L16/SER_summary!L$26)</f>
        <v>47.726451869826974</v>
      </c>
      <c r="M16" s="131">
        <f>IF(SER_hh_tesh!M16=0,0,SER_hh_tesh!M16/SER_summary!M$26)</f>
        <v>42.497455114802946</v>
      </c>
      <c r="N16" s="131">
        <f>IF(SER_hh_tesh!N16=0,0,SER_hh_tesh!N16/SER_summary!N$26)</f>
        <v>69.117721579899495</v>
      </c>
      <c r="O16" s="131">
        <f>IF(SER_hh_tesh!O16=0,0,SER_hh_tesh!O16/SER_summary!O$26)</f>
        <v>43.995807782339362</v>
      </c>
      <c r="P16" s="131">
        <f>IF(SER_hh_tesh!P16=0,0,SER_hh_tesh!P16/SER_summary!P$26)</f>
        <v>36.28939557180103</v>
      </c>
      <c r="Q16" s="131">
        <f>IF(SER_hh_tesh!Q16=0,0,SER_hh_tesh!Q16/SER_summary!Q$26)</f>
        <v>46.726930657005262</v>
      </c>
      <c r="R16" s="131">
        <f>IF(SER_hh_tesh!R16=0,0,SER_hh_tesh!R16/SER_summary!R$26)</f>
        <v>51.001239101590251</v>
      </c>
      <c r="S16" s="131">
        <f>IF(SER_hh_tesh!S16=0,0,SER_hh_tesh!S16/SER_summary!S$26)</f>
        <v>51.322239080769705</v>
      </c>
      <c r="T16" s="131">
        <f>IF(SER_hh_tesh!T16=0,0,SER_hh_tesh!T16/SER_summary!T$26)</f>
        <v>44.089023138159519</v>
      </c>
      <c r="U16" s="131">
        <f>IF(SER_hh_tesh!U16=0,0,SER_hh_tesh!U16/SER_summary!U$26)</f>
        <v>55.937244057504664</v>
      </c>
      <c r="V16" s="131">
        <f>IF(SER_hh_tesh!V16=0,0,SER_hh_tesh!V16/SER_summary!V$26)</f>
        <v>50.078724198545892</v>
      </c>
      <c r="W16" s="131">
        <f>IF(SER_hh_tesh!W16=0,0,SER_hh_tesh!W16/SER_summary!W$26)</f>
        <v>65.738844654247899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34.863689965229383</v>
      </c>
      <c r="C17" s="133">
        <f>IF(SER_hh_tesh!C17=0,0,SER_hh_tesh!C17/SER_summary!C$26)</f>
        <v>43.266346075276935</v>
      </c>
      <c r="D17" s="133">
        <f>IF(SER_hh_tesh!D17=0,0,SER_hh_tesh!D17/SER_summary!D$26)</f>
        <v>35.373016096829474</v>
      </c>
      <c r="E17" s="133">
        <f>IF(SER_hh_tesh!E17=0,0,SER_hh_tesh!E17/SER_summary!E$26)</f>
        <v>47.679437066458867</v>
      </c>
      <c r="F17" s="133">
        <f>IF(SER_hh_tesh!F17=0,0,SER_hh_tesh!F17/SER_summary!F$26)</f>
        <v>29.904224604883439</v>
      </c>
      <c r="G17" s="133">
        <f>IF(SER_hh_tesh!G17=0,0,SER_hh_tesh!G17/SER_summary!G$26)</f>
        <v>30.947432570726161</v>
      </c>
      <c r="H17" s="133">
        <f>IF(SER_hh_tesh!H17=0,0,SER_hh_tesh!H17/SER_summary!H$26)</f>
        <v>36.769767619758966</v>
      </c>
      <c r="I17" s="133">
        <f>IF(SER_hh_tesh!I17=0,0,SER_hh_tesh!I17/SER_summary!I$26)</f>
        <v>54.41359032062789</v>
      </c>
      <c r="J17" s="133">
        <f>IF(SER_hh_tesh!J17=0,0,SER_hh_tesh!J17/SER_summary!J$26)</f>
        <v>52.02160901339083</v>
      </c>
      <c r="K17" s="133">
        <f>IF(SER_hh_tesh!K17=0,0,SER_hh_tesh!K17/SER_summary!K$26)</f>
        <v>45.156062045985003</v>
      </c>
      <c r="L17" s="133">
        <f>IF(SER_hh_tesh!L17=0,0,SER_hh_tesh!L17/SER_summary!L$26)</f>
        <v>47.726529492585762</v>
      </c>
      <c r="M17" s="133">
        <f>IF(SER_hh_tesh!M17=0,0,SER_hh_tesh!M17/SER_summary!M$26)</f>
        <v>42.497546122213748</v>
      </c>
      <c r="N17" s="133">
        <f>IF(SER_hh_tesh!N17=0,0,SER_hh_tesh!N17/SER_summary!N$26)</f>
        <v>69.117653758621657</v>
      </c>
      <c r="O17" s="133">
        <f>IF(SER_hh_tesh!O17=0,0,SER_hh_tesh!O17/SER_summary!O$26)</f>
        <v>43.995697472781458</v>
      </c>
      <c r="P17" s="133">
        <f>IF(SER_hh_tesh!P17=0,0,SER_hh_tesh!P17/SER_summary!P$26)</f>
        <v>37.975432458779778</v>
      </c>
      <c r="Q17" s="133">
        <f>IF(SER_hh_tesh!Q17=0,0,SER_hh_tesh!Q17/SER_summary!Q$26)</f>
        <v>46.726855797951146</v>
      </c>
      <c r="R17" s="133">
        <f>IF(SER_hh_tesh!R17=0,0,SER_hh_tesh!R17/SER_summary!R$26)</f>
        <v>51.001232108677677</v>
      </c>
      <c r="S17" s="133">
        <f>IF(SER_hh_tesh!S17=0,0,SER_hh_tesh!S17/SER_summary!S$26)</f>
        <v>51.322297982397266</v>
      </c>
      <c r="T17" s="133">
        <f>IF(SER_hh_tesh!T17=0,0,SER_hh_tesh!T17/SER_summary!T$26)</f>
        <v>44.089105645587878</v>
      </c>
      <c r="U17" s="133">
        <f>IF(SER_hh_tesh!U17=0,0,SER_hh_tesh!U17/SER_summary!U$26)</f>
        <v>55.937359166482125</v>
      </c>
      <c r="V17" s="133">
        <f>IF(SER_hh_tesh!V17=0,0,SER_hh_tesh!V17/SER_summary!V$26)</f>
        <v>45.270600101005485</v>
      </c>
      <c r="W17" s="133">
        <f>IF(SER_hh_tesh!W17=0,0,SER_hh_tesh!W17/SER_summary!W$26)</f>
        <v>59.593405443096451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34.863689965229376</v>
      </c>
      <c r="C18" s="133">
        <f>IF(SER_hh_tesh!C18=0,0,SER_hh_tesh!C18/SER_summary!C$26)</f>
        <v>43.266154209752024</v>
      </c>
      <c r="D18" s="133">
        <f>IF(SER_hh_tesh!D18=0,0,SER_hh_tesh!D18/SER_summary!D$26)</f>
        <v>35.372990653778551</v>
      </c>
      <c r="E18" s="133">
        <f>IF(SER_hh_tesh!E18=0,0,SER_hh_tesh!E18/SER_summary!E$26)</f>
        <v>47.679500872108584</v>
      </c>
      <c r="F18" s="133">
        <f>IF(SER_hh_tesh!F18=0,0,SER_hh_tesh!F18/SER_summary!F$26)</f>
        <v>29.90428313812648</v>
      </c>
      <c r="G18" s="133">
        <f>IF(SER_hh_tesh!G18=0,0,SER_hh_tesh!G18/SER_summary!G$26)</f>
        <v>30.947487133443332</v>
      </c>
      <c r="H18" s="133">
        <f>IF(SER_hh_tesh!H18=0,0,SER_hh_tesh!H18/SER_summary!H$26)</f>
        <v>36.769799634501872</v>
      </c>
      <c r="I18" s="133">
        <f>IF(SER_hh_tesh!I18=0,0,SER_hh_tesh!I18/SER_summary!I$26)</f>
        <v>54.413588750574561</v>
      </c>
      <c r="J18" s="133">
        <f>IF(SER_hh_tesh!J18=0,0,SER_hh_tesh!J18/SER_summary!J$26)</f>
        <v>53.329922788845266</v>
      </c>
      <c r="K18" s="133">
        <f>IF(SER_hh_tesh!K18=0,0,SER_hh_tesh!K18/SER_summary!K$26)</f>
        <v>36.491989709251008</v>
      </c>
      <c r="L18" s="133">
        <f>IF(SER_hh_tesh!L18=0,0,SER_hh_tesh!L18/SER_summary!L$26)</f>
        <v>47.726451365347174</v>
      </c>
      <c r="M18" s="133">
        <f>IF(SER_hh_tesh!M18=0,0,SER_hh_tesh!M18/SER_summary!M$26)</f>
        <v>42.497454289792074</v>
      </c>
      <c r="N18" s="133">
        <f>IF(SER_hh_tesh!N18=0,0,SER_hh_tesh!N18/SER_summary!N$26)</f>
        <v>69.117722265939761</v>
      </c>
      <c r="O18" s="133">
        <f>IF(SER_hh_tesh!O18=0,0,SER_hh_tesh!O18/SER_summary!O$26)</f>
        <v>43.995809531304424</v>
      </c>
      <c r="P18" s="133">
        <f>IF(SER_hh_tesh!P18=0,0,SER_hh_tesh!P18/SER_summary!P$26)</f>
        <v>36.254002776204629</v>
      </c>
      <c r="Q18" s="133">
        <f>IF(SER_hh_tesh!Q18=0,0,SER_hh_tesh!Q18/SER_summary!Q$26)</f>
        <v>46.72693242583123</v>
      </c>
      <c r="R18" s="133">
        <f>IF(SER_hh_tesh!R18=0,0,SER_hh_tesh!R18/SER_summary!R$26)</f>
        <v>51.001239277405567</v>
      </c>
      <c r="S18" s="133">
        <f>IF(SER_hh_tesh!S18=0,0,SER_hh_tesh!S18/SER_summary!S$26)</f>
        <v>51.3222374879117</v>
      </c>
      <c r="T18" s="133">
        <f>IF(SER_hh_tesh!T18=0,0,SER_hh_tesh!T18/SER_summary!T$26)</f>
        <v>44.089020593802111</v>
      </c>
      <c r="U18" s="133">
        <f>IF(SER_hh_tesh!U18=0,0,SER_hh_tesh!U18/SER_summary!U$26)</f>
        <v>55.937240469084713</v>
      </c>
      <c r="V18" s="133">
        <f>IF(SER_hh_tesh!V18=0,0,SER_hh_tesh!V18/SER_summary!V$26)</f>
        <v>50.240229199815488</v>
      </c>
      <c r="W18" s="133">
        <f>IF(SER_hh_tesh!W18=0,0,SER_hh_tesh!W18/SER_summary!W$26)</f>
        <v>65.94310903708724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20.109647387486319</v>
      </c>
      <c r="C19" s="131">
        <f>IF(SER_hh_tesh!C19=0,0,SER_hh_tesh!C19/SER_summary!C$26)</f>
        <v>20.92498124350659</v>
      </c>
      <c r="D19" s="131">
        <f>IF(SER_hh_tesh!D19=0,0,SER_hh_tesh!D19/SER_summary!D$26)</f>
        <v>21.904187745258831</v>
      </c>
      <c r="E19" s="131">
        <f>IF(SER_hh_tesh!E19=0,0,SER_hh_tesh!E19/SER_summary!E$26)</f>
        <v>22.091383427709651</v>
      </c>
      <c r="F19" s="131">
        <f>IF(SER_hh_tesh!F19=0,0,SER_hh_tesh!F19/SER_summary!F$26)</f>
        <v>22.466580013315884</v>
      </c>
      <c r="G19" s="131">
        <f>IF(SER_hh_tesh!G19=0,0,SER_hh_tesh!G19/SER_summary!G$26)</f>
        <v>23.738798424936412</v>
      </c>
      <c r="H19" s="131">
        <f>IF(SER_hh_tesh!H19=0,0,SER_hh_tesh!H19/SER_summary!H$26)</f>
        <v>23.477324989607311</v>
      </c>
      <c r="I19" s="131">
        <f>IF(SER_hh_tesh!I19=0,0,SER_hh_tesh!I19/SER_summary!I$26)</f>
        <v>23.035687567665398</v>
      </c>
      <c r="J19" s="131">
        <f>IF(SER_hh_tesh!J19=0,0,SER_hh_tesh!J19/SER_summary!J$26)</f>
        <v>23.347219440506169</v>
      </c>
      <c r="K19" s="131">
        <f>IF(SER_hh_tesh!K19=0,0,SER_hh_tesh!K19/SER_summary!K$26)</f>
        <v>23.890191261781634</v>
      </c>
      <c r="L19" s="131">
        <f>IF(SER_hh_tesh!L19=0,0,SER_hh_tesh!L19/SER_summary!L$26)</f>
        <v>25.157681041559218</v>
      </c>
      <c r="M19" s="131">
        <f>IF(SER_hh_tesh!M19=0,0,SER_hh_tesh!M19/SER_summary!M$26)</f>
        <v>25.975655952629488</v>
      </c>
      <c r="N19" s="131">
        <f>IF(SER_hh_tesh!N19=0,0,SER_hh_tesh!N19/SER_summary!N$26)</f>
        <v>25.942325930263106</v>
      </c>
      <c r="O19" s="131">
        <f>IF(SER_hh_tesh!O19=0,0,SER_hh_tesh!O19/SER_summary!O$26)</f>
        <v>26.420979181422663</v>
      </c>
      <c r="P19" s="131">
        <f>IF(SER_hh_tesh!P19=0,0,SER_hh_tesh!P19/SER_summary!P$26)</f>
        <v>27.083127055035366</v>
      </c>
      <c r="Q19" s="131">
        <f>IF(SER_hh_tesh!Q19=0,0,SER_hh_tesh!Q19/SER_summary!Q$26)</f>
        <v>27.427984955275914</v>
      </c>
      <c r="R19" s="131">
        <f>IF(SER_hh_tesh!R19=0,0,SER_hh_tesh!R19/SER_summary!R$26)</f>
        <v>27.406830269347058</v>
      </c>
      <c r="S19" s="131">
        <f>IF(SER_hh_tesh!S19=0,0,SER_hh_tesh!S19/SER_summary!S$26)</f>
        <v>27.595313734613558</v>
      </c>
      <c r="T19" s="131">
        <f>IF(SER_hh_tesh!T19=0,0,SER_hh_tesh!T19/SER_summary!T$26)</f>
        <v>27.48277937456923</v>
      </c>
      <c r="U19" s="131">
        <f>IF(SER_hh_tesh!U19=0,0,SER_hh_tesh!U19/SER_summary!U$26)</f>
        <v>27.102105279803581</v>
      </c>
      <c r="V19" s="131">
        <f>IF(SER_hh_tesh!V19=0,0,SER_hh_tesh!V19/SER_summary!V$26)</f>
        <v>24.282184797374263</v>
      </c>
      <c r="W19" s="131">
        <f>IF(SER_hh_tesh!W19=0,0,SER_hh_tesh!W19/SER_summary!W$26)</f>
        <v>24.744352463552431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19.500021911492396</v>
      </c>
      <c r="C21" s="133">
        <f>IF(SER_hh_tesh!C21=0,0,SER_hh_tesh!C21/SER_summary!C$26)</f>
        <v>21.166312146741998</v>
      </c>
      <c r="D21" s="133">
        <f>IF(SER_hh_tesh!D21=0,0,SER_hh_tesh!D21/SER_summary!D$26)</f>
        <v>21.818709601372305</v>
      </c>
      <c r="E21" s="133">
        <f>IF(SER_hh_tesh!E21=0,0,SER_hh_tesh!E21/SER_summary!E$26)</f>
        <v>21.251936259468312</v>
      </c>
      <c r="F21" s="133">
        <f>IF(SER_hh_tesh!F21=0,0,SER_hh_tesh!F21/SER_summary!F$26)</f>
        <v>21.771802147045108</v>
      </c>
      <c r="G21" s="133">
        <f>IF(SER_hh_tesh!G21=0,0,SER_hh_tesh!G21/SER_summary!G$26)</f>
        <v>23.072181589637172</v>
      </c>
      <c r="H21" s="133">
        <f>IF(SER_hh_tesh!H21=0,0,SER_hh_tesh!H21/SER_summary!H$26)</f>
        <v>22.702193857254603</v>
      </c>
      <c r="I21" s="133">
        <f>IF(SER_hh_tesh!I21=0,0,SER_hh_tesh!I21/SER_summary!I$26)</f>
        <v>24.252465590067462</v>
      </c>
      <c r="J21" s="133">
        <f>IF(SER_hh_tesh!J21=0,0,SER_hh_tesh!J21/SER_summary!J$26)</f>
        <v>23.963505465499821</v>
      </c>
      <c r="K21" s="133">
        <f>IF(SER_hh_tesh!K21=0,0,SER_hh_tesh!K21/SER_summary!K$26)</f>
        <v>24.075048277230199</v>
      </c>
      <c r="L21" s="133">
        <f>IF(SER_hh_tesh!L21=0,0,SER_hh_tesh!L21/SER_summary!L$26)</f>
        <v>24.826073082205653</v>
      </c>
      <c r="M21" s="133">
        <f>IF(SER_hh_tesh!M21=0,0,SER_hh_tesh!M21/SER_summary!M$26)</f>
        <v>24.914040415870438</v>
      </c>
      <c r="N21" s="133">
        <f>IF(SER_hh_tesh!N21=0,0,SER_hh_tesh!N21/SER_summary!N$26)</f>
        <v>26.387995918866885</v>
      </c>
      <c r="O21" s="133">
        <f>IF(SER_hh_tesh!O21=0,0,SER_hh_tesh!O21/SER_summary!O$26)</f>
        <v>26.462363896171357</v>
      </c>
      <c r="P21" s="133">
        <f>IF(SER_hh_tesh!P21=0,0,SER_hh_tesh!P21/SER_summary!P$26)</f>
        <v>26.020952979121962</v>
      </c>
      <c r="Q21" s="133">
        <f>IF(SER_hh_tesh!Q21=0,0,SER_hh_tesh!Q21/SER_summary!Q$26)</f>
        <v>25.311276959767454</v>
      </c>
      <c r="R21" s="133">
        <f>IF(SER_hh_tesh!R21=0,0,SER_hh_tesh!R21/SER_summary!R$26)</f>
        <v>27.722415893398278</v>
      </c>
      <c r="S21" s="133">
        <f>IF(SER_hh_tesh!S21=0,0,SER_hh_tesh!S21/SER_summary!S$26)</f>
        <v>28.350353319264347</v>
      </c>
      <c r="T21" s="133">
        <f>IF(SER_hh_tesh!T21=0,0,SER_hh_tesh!T21/SER_summary!T$26)</f>
        <v>28.15328161253726</v>
      </c>
      <c r="U21" s="133">
        <f>IF(SER_hh_tesh!U21=0,0,SER_hh_tesh!U21/SER_summary!U$26)</f>
        <v>30.062602825804191</v>
      </c>
      <c r="V21" s="133">
        <f>IF(SER_hh_tesh!V21=0,0,SER_hh_tesh!V21/SER_summary!V$26)</f>
        <v>17.618340685655603</v>
      </c>
      <c r="W21" s="133">
        <f>IF(SER_hh_tesh!W21=0,0,SER_hh_tesh!W21/SER_summary!W$26)</f>
        <v>24.497632951750269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19.331297186138507</v>
      </c>
      <c r="C22" s="133">
        <f>IF(SER_hh_tesh!C22=0,0,SER_hh_tesh!C22/SER_summary!C$26)</f>
        <v>21.136430815454251</v>
      </c>
      <c r="D22" s="133">
        <f>IF(SER_hh_tesh!D22=0,0,SER_hh_tesh!D22/SER_summary!D$26)</f>
        <v>21.879247033127236</v>
      </c>
      <c r="E22" s="133">
        <f>IF(SER_hh_tesh!E22=0,0,SER_hh_tesh!E22/SER_summary!E$26)</f>
        <v>21.922749565813518</v>
      </c>
      <c r="F22" s="133">
        <f>IF(SER_hh_tesh!F22=0,0,SER_hh_tesh!F22/SER_summary!F$26)</f>
        <v>22.36674343757743</v>
      </c>
      <c r="G22" s="133">
        <f>IF(SER_hh_tesh!G22=0,0,SER_hh_tesh!G22/SER_summary!G$26)</f>
        <v>23.484837051460119</v>
      </c>
      <c r="H22" s="133">
        <f>IF(SER_hh_tesh!H22=0,0,SER_hh_tesh!H22/SER_summary!H$26)</f>
        <v>23.466979056520863</v>
      </c>
      <c r="I22" s="133">
        <f>IF(SER_hh_tesh!I22=0,0,SER_hh_tesh!I22/SER_summary!I$26)</f>
        <v>23.490226021740721</v>
      </c>
      <c r="J22" s="133">
        <f>IF(SER_hh_tesh!J22=0,0,SER_hh_tesh!J22/SER_summary!J$26)</f>
        <v>23.726226327278656</v>
      </c>
      <c r="K22" s="133">
        <f>IF(SER_hh_tesh!K22=0,0,SER_hh_tesh!K22/SER_summary!K$26)</f>
        <v>23.850055721603127</v>
      </c>
      <c r="L22" s="133">
        <f>IF(SER_hh_tesh!L22=0,0,SER_hh_tesh!L22/SER_summary!L$26)</f>
        <v>24.677725272790077</v>
      </c>
      <c r="M22" s="133">
        <f>IF(SER_hh_tesh!M22=0,0,SER_hh_tesh!M22/SER_summary!M$26)</f>
        <v>25.415516993762509</v>
      </c>
      <c r="N22" s="133">
        <f>IF(SER_hh_tesh!N22=0,0,SER_hh_tesh!N22/SER_summary!N$26)</f>
        <v>25.588198172958691</v>
      </c>
      <c r="O22" s="133">
        <f>IF(SER_hh_tesh!O22=0,0,SER_hh_tesh!O22/SER_summary!O$26)</f>
        <v>26.281154016332863</v>
      </c>
      <c r="P22" s="133">
        <f>IF(SER_hh_tesh!P22=0,0,SER_hh_tesh!P22/SER_summary!P$26)</f>
        <v>26.966209117531928</v>
      </c>
      <c r="Q22" s="133">
        <f>IF(SER_hh_tesh!Q22=0,0,SER_hh_tesh!Q22/SER_summary!Q$26)</f>
        <v>27.44620490914502</v>
      </c>
      <c r="R22" s="133">
        <f>IF(SER_hh_tesh!R22=0,0,SER_hh_tesh!R22/SER_summary!R$26)</f>
        <v>27.982673649611062</v>
      </c>
      <c r="S22" s="133">
        <f>IF(SER_hh_tesh!S22=0,0,SER_hh_tesh!S22/SER_summary!S$26)</f>
        <v>28.634336728891217</v>
      </c>
      <c r="T22" s="133">
        <f>IF(SER_hh_tesh!T22=0,0,SER_hh_tesh!T22/SER_summary!T$26)</f>
        <v>27.59859827174008</v>
      </c>
      <c r="U22" s="133">
        <f>IF(SER_hh_tesh!U22=0,0,SER_hh_tesh!U22/SER_summary!U$26)</f>
        <v>28.478822030986588</v>
      </c>
      <c r="V22" s="133">
        <f>IF(SER_hh_tesh!V22=0,0,SER_hh_tesh!V22/SER_summary!V$26)</f>
        <v>22.99865054287763</v>
      </c>
      <c r="W22" s="133">
        <f>IF(SER_hh_tesh!W22=0,0,SER_hh_tesh!W22/SER_summary!W$26)</f>
        <v>22.520900808709477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17.917254167142687</v>
      </c>
      <c r="C23" s="133">
        <f>IF(SER_hh_tesh!C23=0,0,SER_hh_tesh!C23/SER_summary!C$26)</f>
        <v>21.296180512950354</v>
      </c>
      <c r="D23" s="133">
        <f>IF(SER_hh_tesh!D23=0,0,SER_hh_tesh!D23/SER_summary!D$26)</f>
        <v>21.561023565913629</v>
      </c>
      <c r="E23" s="133">
        <f>IF(SER_hh_tesh!E23=0,0,SER_hh_tesh!E23/SER_summary!E$26)</f>
        <v>21.354372660513913</v>
      </c>
      <c r="F23" s="133">
        <f>IF(SER_hh_tesh!F23=0,0,SER_hh_tesh!F23/SER_summary!F$26)</f>
        <v>18.720776084256602</v>
      </c>
      <c r="G23" s="133">
        <f>IF(SER_hh_tesh!G23=0,0,SER_hh_tesh!G23/SER_summary!G$26)</f>
        <v>24.375404920061339</v>
      </c>
      <c r="H23" s="133">
        <f>IF(SER_hh_tesh!H23=0,0,SER_hh_tesh!H23/SER_summary!H$26)</f>
        <v>23.479617320778516</v>
      </c>
      <c r="I23" s="133">
        <f>IF(SER_hh_tesh!I23=0,0,SER_hh_tesh!I23/SER_summary!I$26)</f>
        <v>23.860667084178029</v>
      </c>
      <c r="J23" s="133">
        <f>IF(SER_hh_tesh!J23=0,0,SER_hh_tesh!J23/SER_summary!J$26)</f>
        <v>23.248557963212118</v>
      </c>
      <c r="K23" s="133">
        <f>IF(SER_hh_tesh!K23=0,0,SER_hh_tesh!K23/SER_summary!K$26)</f>
        <v>23.50537808784572</v>
      </c>
      <c r="L23" s="133">
        <f>IF(SER_hh_tesh!L23=0,0,SER_hh_tesh!L23/SER_summary!L$26)</f>
        <v>25.786743130705997</v>
      </c>
      <c r="M23" s="133">
        <f>IF(SER_hh_tesh!M23=0,0,SER_hh_tesh!M23/SER_summary!M$26)</f>
        <v>25.67972143014649</v>
      </c>
      <c r="N23" s="133">
        <f>IF(SER_hh_tesh!N23=0,0,SER_hh_tesh!N23/SER_summary!N$26)</f>
        <v>26.490748548350652</v>
      </c>
      <c r="O23" s="133">
        <f>IF(SER_hh_tesh!O23=0,0,SER_hh_tesh!O23/SER_summary!O$26)</f>
        <v>27.231767940319713</v>
      </c>
      <c r="P23" s="133">
        <f>IF(SER_hh_tesh!P23=0,0,SER_hh_tesh!P23/SER_summary!P$26)</f>
        <v>26.018387937188333</v>
      </c>
      <c r="Q23" s="133">
        <f>IF(SER_hh_tesh!Q23=0,0,SER_hh_tesh!Q23/SER_summary!Q$26)</f>
        <v>27.773383424869689</v>
      </c>
      <c r="R23" s="133">
        <f>IF(SER_hh_tesh!R23=0,0,SER_hh_tesh!R23/SER_summary!R$26)</f>
        <v>26.415756235622958</v>
      </c>
      <c r="S23" s="133">
        <f>IF(SER_hh_tesh!S23=0,0,SER_hh_tesh!S23/SER_summary!S$26)</f>
        <v>27.195767484453661</v>
      </c>
      <c r="T23" s="133">
        <f>IF(SER_hh_tesh!T23=0,0,SER_hh_tesh!T23/SER_summary!T$26)</f>
        <v>27.430847096186461</v>
      </c>
      <c r="U23" s="133">
        <f>IF(SER_hh_tesh!U23=0,0,SER_hh_tesh!U23/SER_summary!U$26)</f>
        <v>26.669136153111857</v>
      </c>
      <c r="V23" s="133">
        <f>IF(SER_hh_tesh!V23=0,0,SER_hh_tesh!V23/SER_summary!V$26)</f>
        <v>24.276091383180653</v>
      </c>
      <c r="W23" s="133">
        <f>IF(SER_hh_tesh!W23=0,0,SER_hh_tesh!W23/SER_summary!W$26)</f>
        <v>24.822806897020619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19.21394188241489</v>
      </c>
      <c r="C26" s="65">
        <f>IF(SER_hh_tesh!C26=0,0,SER_hh_tesh!C26/SER_summary!C$26)</f>
        <v>19.955284958180115</v>
      </c>
      <c r="D26" s="65">
        <f>IF(SER_hh_tesh!D26=0,0,SER_hh_tesh!D26/SER_summary!D$26)</f>
        <v>20.973582031255621</v>
      </c>
      <c r="E26" s="65">
        <f>IF(SER_hh_tesh!E26=0,0,SER_hh_tesh!E26/SER_summary!E$26)</f>
        <v>21.201654889912263</v>
      </c>
      <c r="F26" s="65">
        <f>IF(SER_hh_tesh!F26=0,0,SER_hh_tesh!F26/SER_summary!F$26)</f>
        <v>21.675600718931857</v>
      </c>
      <c r="G26" s="65">
        <f>IF(SER_hh_tesh!G26=0,0,SER_hh_tesh!G26/SER_summary!G$26)</f>
        <v>22.873847584440433</v>
      </c>
      <c r="H26" s="65">
        <f>IF(SER_hh_tesh!H26=0,0,SER_hh_tesh!H26/SER_summary!H$26)</f>
        <v>22.592929846840516</v>
      </c>
      <c r="I26" s="65">
        <f>IF(SER_hh_tesh!I26=0,0,SER_hh_tesh!I26/SER_summary!I$26)</f>
        <v>21.9782219103095</v>
      </c>
      <c r="J26" s="65">
        <f>IF(SER_hh_tesh!J26=0,0,SER_hh_tesh!J26/SER_summary!J$26)</f>
        <v>22.22704421204822</v>
      </c>
      <c r="K26" s="65">
        <f>IF(SER_hh_tesh!K26=0,0,SER_hh_tesh!K26/SER_summary!K$26)</f>
        <v>22.705774914468204</v>
      </c>
      <c r="L26" s="65">
        <f>IF(SER_hh_tesh!L26=0,0,SER_hh_tesh!L26/SER_summary!L$26)</f>
        <v>23.862936213035177</v>
      </c>
      <c r="M26" s="65">
        <f>IF(SER_hh_tesh!M26=0,0,SER_hh_tesh!M26/SER_summary!M$26)</f>
        <v>24.746287777724394</v>
      </c>
      <c r="N26" s="65">
        <f>IF(SER_hh_tesh!N26=0,0,SER_hh_tesh!N26/SER_summary!N$26)</f>
        <v>24.567678551972804</v>
      </c>
      <c r="O26" s="65">
        <f>IF(SER_hh_tesh!O26=0,0,SER_hh_tesh!O26/SER_summary!O$26)</f>
        <v>24.998288069586529</v>
      </c>
      <c r="P26" s="65">
        <f>IF(SER_hh_tesh!P26=0,0,SER_hh_tesh!P26/SER_summary!P$26)</f>
        <v>25.842365326759005</v>
      </c>
      <c r="Q26" s="65">
        <f>IF(SER_hh_tesh!Q26=0,0,SER_hh_tesh!Q26/SER_summary!Q$26)</f>
        <v>26.05051647703851</v>
      </c>
      <c r="R26" s="65">
        <f>IF(SER_hh_tesh!R26=0,0,SER_hh_tesh!R26/SER_summary!R$26)</f>
        <v>26.021619586528246</v>
      </c>
      <c r="S26" s="65">
        <f>IF(SER_hh_tesh!S26=0,0,SER_hh_tesh!S26/SER_summary!S$26)</f>
        <v>26.083438057446187</v>
      </c>
      <c r="T26" s="65">
        <f>IF(SER_hh_tesh!T26=0,0,SER_hh_tesh!T26/SER_summary!T$26)</f>
        <v>25.96387778746486</v>
      </c>
      <c r="U26" s="65">
        <f>IF(SER_hh_tesh!U26=0,0,SER_hh_tesh!U26/SER_summary!U$26)</f>
        <v>25.47570385783645</v>
      </c>
      <c r="V26" s="65">
        <f>IF(SER_hh_tesh!V26=0,0,SER_hh_tesh!V26/SER_summary!V$26)</f>
        <v>23.063135594263795</v>
      </c>
      <c r="W26" s="65">
        <f>IF(SER_hh_tesh!W26=0,0,SER_hh_tesh!W26/SER_summary!W$26)</f>
        <v>23.231020499082838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0.90731217304121581</v>
      </c>
      <c r="C27" s="146">
        <f>IF(SER_hh_tesh!C27=0,0,SER_hh_tesh!C27/SER_summary!C$26)</f>
        <v>0.88269589397568504</v>
      </c>
      <c r="D27" s="146">
        <f>IF(SER_hh_tesh!D27=0,0,SER_hh_tesh!D27/SER_summary!D$26)</f>
        <v>0.87090071956387094</v>
      </c>
      <c r="E27" s="146">
        <f>IF(SER_hh_tesh!E27=0,0,SER_hh_tesh!E27/SER_summary!E$26)</f>
        <v>0.85760591343800918</v>
      </c>
      <c r="F27" s="146">
        <f>IF(SER_hh_tesh!F27=0,0,SER_hh_tesh!F27/SER_summary!F$26)</f>
        <v>0.85200562524986556</v>
      </c>
      <c r="G27" s="146">
        <f>IF(SER_hh_tesh!G27=0,0,SER_hh_tesh!G27/SER_summary!G$26)</f>
        <v>0.77850546804935217</v>
      </c>
      <c r="H27" s="146">
        <f>IF(SER_hh_tesh!H27=0,0,SER_hh_tesh!H27/SER_summary!H$26)</f>
        <v>0.80633787749984798</v>
      </c>
      <c r="I27" s="146">
        <f>IF(SER_hh_tesh!I27=0,0,SER_hh_tesh!I27/SER_summary!I$26)</f>
        <v>0.84897666310894315</v>
      </c>
      <c r="J27" s="146">
        <f>IF(SER_hh_tesh!J27=0,0,SER_hh_tesh!J27/SER_summary!J$26)</f>
        <v>0.96393440390194252</v>
      </c>
      <c r="K27" s="146">
        <f>IF(SER_hh_tesh!K27=0,0,SER_hh_tesh!K27/SER_summary!K$26)</f>
        <v>1.0584918051316592</v>
      </c>
      <c r="L27" s="146">
        <f>IF(SER_hh_tesh!L27=0,0,SER_hh_tesh!L27/SER_summary!L$26)</f>
        <v>1.0979854143314218</v>
      </c>
      <c r="M27" s="146">
        <f>IF(SER_hh_tesh!M27=0,0,SER_hh_tesh!M27/SER_summary!M$26)</f>
        <v>1.1242225941570787</v>
      </c>
      <c r="N27" s="146">
        <f>IF(SER_hh_tesh!N27=0,0,SER_hh_tesh!N27/SER_summary!N$26)</f>
        <v>1.1314410230604088</v>
      </c>
      <c r="O27" s="146">
        <f>IF(SER_hh_tesh!O27=0,0,SER_hh_tesh!O27/SER_summary!O$26)</f>
        <v>1.1483857189558022</v>
      </c>
      <c r="P27" s="146">
        <f>IF(SER_hh_tesh!P27=0,0,SER_hh_tesh!P27/SER_summary!P$26)</f>
        <v>1.1770258034158885</v>
      </c>
      <c r="Q27" s="146">
        <f>IF(SER_hh_tesh!Q27=0,0,SER_hh_tesh!Q27/SER_summary!Q$26)</f>
        <v>1.2003080256023906</v>
      </c>
      <c r="R27" s="146">
        <f>IF(SER_hh_tesh!R27=0,0,SER_hh_tesh!R27/SER_summary!R$26)</f>
        <v>1.2237672218012161</v>
      </c>
      <c r="S27" s="146">
        <f>IF(SER_hh_tesh!S27=0,0,SER_hh_tesh!S27/SER_summary!S$26)</f>
        <v>1.2483418107406021</v>
      </c>
      <c r="T27" s="146">
        <f>IF(SER_hh_tesh!T27=0,0,SER_hh_tesh!T27/SER_summary!T$26)</f>
        <v>1.2662624204325961</v>
      </c>
      <c r="U27" s="146">
        <f>IF(SER_hh_tesh!U27=0,0,SER_hh_tesh!U27/SER_summary!U$26)</f>
        <v>1.2796286507723038</v>
      </c>
      <c r="V27" s="146">
        <f>IF(SER_hh_tesh!V27=0,0,SER_hh_tesh!V27/SER_summary!V$26)</f>
        <v>1.3015980550923596</v>
      </c>
      <c r="W27" s="146">
        <f>IF(SER_hh_tesh!W27=0,0,SER_hh_tesh!W27/SER_summary!W$26)</f>
        <v>1.3401022627927992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16.134898085529375</v>
      </c>
      <c r="C28" s="147">
        <f>IF(SER_hh_tesh!C28=0,0,SER_hh_tesh!C28/SER_summary!C$26)</f>
        <v>16.825514864364305</v>
      </c>
      <c r="D28" s="147">
        <f>IF(SER_hh_tesh!D28=0,0,SER_hh_tesh!D28/SER_summary!D$26)</f>
        <v>17.503304242704232</v>
      </c>
      <c r="E28" s="147">
        <f>IF(SER_hh_tesh!E28=0,0,SER_hh_tesh!E28/SER_summary!E$26)</f>
        <v>17.798229118693012</v>
      </c>
      <c r="F28" s="147">
        <f>IF(SER_hh_tesh!F28=0,0,SER_hh_tesh!F28/SER_summary!F$26)</f>
        <v>18.003029583601769</v>
      </c>
      <c r="G28" s="147">
        <f>IF(SER_hh_tesh!G28=0,0,SER_hh_tesh!G28/SER_summary!G$26)</f>
        <v>18.388715550616855</v>
      </c>
      <c r="H28" s="147">
        <f>IF(SER_hh_tesh!H28=0,0,SER_hh_tesh!H28/SER_summary!H$26)</f>
        <v>18.711284711811231</v>
      </c>
      <c r="I28" s="147">
        <f>IF(SER_hh_tesh!I28=0,0,SER_hh_tesh!I28/SER_summary!I$26)</f>
        <v>18.299355732048248</v>
      </c>
      <c r="J28" s="147">
        <f>IF(SER_hh_tesh!J28=0,0,SER_hh_tesh!J28/SER_summary!J$26)</f>
        <v>18.6315151405168</v>
      </c>
      <c r="K28" s="147">
        <f>IF(SER_hh_tesh!K28=0,0,SER_hh_tesh!K28/SER_summary!K$26)</f>
        <v>19.021828299161637</v>
      </c>
      <c r="L28" s="147">
        <f>IF(SER_hh_tesh!L28=0,0,SER_hh_tesh!L28/SER_summary!L$26)</f>
        <v>19.993212296830212</v>
      </c>
      <c r="M28" s="147">
        <f>IF(SER_hh_tesh!M28=0,0,SER_hh_tesh!M28/SER_summary!M$26)</f>
        <v>20.759923116467917</v>
      </c>
      <c r="N28" s="147">
        <f>IF(SER_hh_tesh!N28=0,0,SER_hh_tesh!N28/SER_summary!N$26)</f>
        <v>21.60185793237147</v>
      </c>
      <c r="O28" s="147">
        <f>IF(SER_hh_tesh!O28=0,0,SER_hh_tesh!O28/SER_summary!O$26)</f>
        <v>21.595770790437768</v>
      </c>
      <c r="P28" s="147">
        <f>IF(SER_hh_tesh!P28=0,0,SER_hh_tesh!P28/SER_summary!P$26)</f>
        <v>22.229621413580361</v>
      </c>
      <c r="Q28" s="147">
        <f>IF(SER_hh_tesh!Q28=0,0,SER_hh_tesh!Q28/SER_summary!Q$26)</f>
        <v>22.730369904468979</v>
      </c>
      <c r="R28" s="147">
        <f>IF(SER_hh_tesh!R28=0,0,SER_hh_tesh!R28/SER_summary!R$26)</f>
        <v>21.913733641069861</v>
      </c>
      <c r="S28" s="147">
        <f>IF(SER_hh_tesh!S28=0,0,SER_hh_tesh!S28/SER_summary!S$26)</f>
        <v>21.896973230576574</v>
      </c>
      <c r="T28" s="147">
        <f>IF(SER_hh_tesh!T28=0,0,SER_hh_tesh!T28/SER_summary!T$26)</f>
        <v>21.956687434583188</v>
      </c>
      <c r="U28" s="147">
        <f>IF(SER_hh_tesh!U28=0,0,SER_hh_tesh!U28/SER_summary!U$26)</f>
        <v>21.845141889517556</v>
      </c>
      <c r="V28" s="147">
        <f>IF(SER_hh_tesh!V28=0,0,SER_hh_tesh!V28/SER_summary!V$26)</f>
        <v>19.640812512486907</v>
      </c>
      <c r="W28" s="147">
        <f>IF(SER_hh_tesh!W28=0,0,SER_hh_tesh!W28/SER_summary!W$26)</f>
        <v>19.877110409513246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27.156443441905729</v>
      </c>
      <c r="C29" s="131">
        <f>IF(SER_hh_tesh!C29=0,0,SER_hh_tesh!C29/SER_summary!C$26)</f>
        <v>27.672165599176267</v>
      </c>
      <c r="D29" s="131">
        <f>IF(SER_hh_tesh!D29=0,0,SER_hh_tesh!D29/SER_summary!D$26)</f>
        <v>28.660464207492215</v>
      </c>
      <c r="E29" s="131">
        <f>IF(SER_hh_tesh!E29=0,0,SER_hh_tesh!E29/SER_summary!E$26)</f>
        <v>28.149267700918866</v>
      </c>
      <c r="F29" s="131">
        <f>IF(SER_hh_tesh!F29=0,0,SER_hh_tesh!F29/SER_summary!F$26)</f>
        <v>28.827566582591921</v>
      </c>
      <c r="G29" s="131">
        <f>IF(SER_hh_tesh!G29=0,0,SER_hh_tesh!G29/SER_summary!G$26)</f>
        <v>29.193968508530695</v>
      </c>
      <c r="H29" s="131">
        <f>IF(SER_hh_tesh!H29=0,0,SER_hh_tesh!H29/SER_summary!H$26)</f>
        <v>28.570893762740631</v>
      </c>
      <c r="I29" s="131">
        <f>IF(SER_hh_tesh!I29=0,0,SER_hh_tesh!I29/SER_summary!I$26)</f>
        <v>27.776191697491008</v>
      </c>
      <c r="J29" s="131">
        <f>IF(SER_hh_tesh!J29=0,0,SER_hh_tesh!J29/SER_summary!J$26)</f>
        <v>27.552809968146928</v>
      </c>
      <c r="K29" s="131">
        <f>IF(SER_hh_tesh!K29=0,0,SER_hh_tesh!K29/SER_summary!K$26)</f>
        <v>28.320839993341732</v>
      </c>
      <c r="L29" s="131">
        <f>IF(SER_hh_tesh!L29=0,0,SER_hh_tesh!L29/SER_summary!L$26)</f>
        <v>29.606282182460088</v>
      </c>
      <c r="M29" s="131">
        <f>IF(SER_hh_tesh!M29=0,0,SER_hh_tesh!M29/SER_summary!M$26)</f>
        <v>30.537946260400577</v>
      </c>
      <c r="N29" s="131">
        <f>IF(SER_hh_tesh!N29=0,0,SER_hh_tesh!N29/SER_summary!N$26)</f>
        <v>30.526080518391254</v>
      </c>
      <c r="O29" s="131">
        <f>IF(SER_hh_tesh!O29=0,0,SER_hh_tesh!O29/SER_summary!O$26)</f>
        <v>31.126693551341585</v>
      </c>
      <c r="P29" s="131">
        <f>IF(SER_hh_tesh!P29=0,0,SER_hh_tesh!P29/SER_summary!P$26)</f>
        <v>31.155001875056001</v>
      </c>
      <c r="Q29" s="131">
        <f>IF(SER_hh_tesh!Q29=0,0,SER_hh_tesh!Q29/SER_summary!Q$26)</f>
        <v>30.6626884280318</v>
      </c>
      <c r="R29" s="131">
        <f>IF(SER_hh_tesh!R29=0,0,SER_hh_tesh!R29/SER_summary!R$26)</f>
        <v>30.737500876423965</v>
      </c>
      <c r="S29" s="131">
        <f>IF(SER_hh_tesh!S29=0,0,SER_hh_tesh!S29/SER_summary!S$26)</f>
        <v>30.784428748492829</v>
      </c>
      <c r="T29" s="131">
        <f>IF(SER_hh_tesh!T29=0,0,SER_hh_tesh!T29/SER_summary!T$26)</f>
        <v>30.481518702455098</v>
      </c>
      <c r="U29" s="131">
        <f>IF(SER_hh_tesh!U29=0,0,SER_hh_tesh!U29/SER_summary!U$26)</f>
        <v>29.798697603597887</v>
      </c>
      <c r="V29" s="131">
        <f>IF(SER_hh_tesh!V29=0,0,SER_hh_tesh!V29/SER_summary!V$26)</f>
        <v>25.560405552036755</v>
      </c>
      <c r="W29" s="131">
        <f>IF(SER_hh_tesh!W29=0,0,SER_hh_tesh!W29/SER_summary!W$26)</f>
        <v>28.82943005171807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27.084708948607684</v>
      </c>
      <c r="C30" s="133">
        <f>IF(SER_hh_tesh!C30=0,0,SER_hh_tesh!C30/SER_summary!C$26)</f>
        <v>30.96313050367667</v>
      </c>
      <c r="D30" s="133">
        <f>IF(SER_hh_tesh!D30=0,0,SER_hh_tesh!D30/SER_summary!D$26)</f>
        <v>18.945632167422424</v>
      </c>
      <c r="E30" s="133">
        <f>IF(SER_hh_tesh!E30=0,0,SER_hh_tesh!E30/SER_summary!E$26)</f>
        <v>19.094490854773618</v>
      </c>
      <c r="F30" s="133">
        <f>IF(SER_hh_tesh!F30=0,0,SER_hh_tesh!F30/SER_summary!F$26)</f>
        <v>38.105015453136247</v>
      </c>
      <c r="G30" s="133">
        <f>IF(SER_hh_tesh!G30=0,0,SER_hh_tesh!G30/SER_summary!G$26)</f>
        <v>30.280558461411612</v>
      </c>
      <c r="H30" s="133">
        <f>IF(SER_hh_tesh!H30=0,0,SER_hh_tesh!H30/SER_summary!H$26)</f>
        <v>28.533545804544591</v>
      </c>
      <c r="I30" s="133">
        <f>IF(SER_hh_tesh!I30=0,0,SER_hh_tesh!I30/SER_summary!I$26)</f>
        <v>27.64749316056767</v>
      </c>
      <c r="J30" s="133">
        <f>IF(SER_hh_tesh!J30=0,0,SER_hh_tesh!J30/SER_summary!J$26)</f>
        <v>26.252326622009143</v>
      </c>
      <c r="K30" s="133">
        <f>IF(SER_hh_tesh!K30=0,0,SER_hh_tesh!K30/SER_summary!K$26)</f>
        <v>24.582622424901583</v>
      </c>
      <c r="L30" s="133">
        <f>IF(SER_hh_tesh!L30=0,0,SER_hh_tesh!L30/SER_summary!L$26)</f>
        <v>26.152122535055479</v>
      </c>
      <c r="M30" s="133">
        <f>IF(SER_hh_tesh!M30=0,0,SER_hh_tesh!M30/SER_summary!M$26)</f>
        <v>18.820723166363571</v>
      </c>
      <c r="N30" s="133">
        <f>IF(SER_hh_tesh!N30=0,0,SER_hh_tesh!N30/SER_summary!N$26)</f>
        <v>51.664152247621239</v>
      </c>
      <c r="O30" s="133">
        <f>IF(SER_hh_tesh!O30=0,0,SER_hh_tesh!O30/SER_summary!O$26)</f>
        <v>35.553410920889654</v>
      </c>
      <c r="P30" s="133">
        <f>IF(SER_hh_tesh!P30=0,0,SER_hh_tesh!P30/SER_summary!P$26)</f>
        <v>21.074914818070678</v>
      </c>
      <c r="Q30" s="133">
        <f>IF(SER_hh_tesh!Q30=0,0,SER_hh_tesh!Q30/SER_summary!Q$26)</f>
        <v>24.944057859307215</v>
      </c>
      <c r="R30" s="133">
        <f>IF(SER_hh_tesh!R30=0,0,SER_hh_tesh!R30/SER_summary!R$26)</f>
        <v>28.120188928999365</v>
      </c>
      <c r="S30" s="133">
        <f>IF(SER_hh_tesh!S30=0,0,SER_hh_tesh!S30/SER_summary!S$26)</f>
        <v>30.624902648970277</v>
      </c>
      <c r="T30" s="133">
        <f>IF(SER_hh_tesh!T30=0,0,SER_hh_tesh!T30/SER_summary!T$26)</f>
        <v>31.028707177782884</v>
      </c>
      <c r="U30" s="133">
        <f>IF(SER_hh_tesh!U30=0,0,SER_hh_tesh!U30/SER_summary!U$26)</f>
        <v>33.359610903083301</v>
      </c>
      <c r="V30" s="133">
        <f>IF(SER_hh_tesh!V30=0,0,SER_hh_tesh!V30/SER_summary!V$26)</f>
        <v>21.74275685830694</v>
      </c>
      <c r="W30" s="133">
        <f>IF(SER_hh_tesh!W30=0,0,SER_hh_tesh!W30/SER_summary!W$26)</f>
        <v>31.513414450395047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24.317368993234197</v>
      </c>
      <c r="C31" s="133">
        <f>IF(SER_hh_tesh!C31=0,0,SER_hh_tesh!C31/SER_summary!C$26)</f>
        <v>26.432654768390385</v>
      </c>
      <c r="D31" s="133">
        <f>IF(SER_hh_tesh!D31=0,0,SER_hh_tesh!D31/SER_summary!D$26)</f>
        <v>25.367463786469422</v>
      </c>
      <c r="E31" s="133">
        <f>IF(SER_hh_tesh!E31=0,0,SER_hh_tesh!E31/SER_summary!E$26)</f>
        <v>26.628153542476184</v>
      </c>
      <c r="F31" s="133">
        <f>IF(SER_hh_tesh!F31=0,0,SER_hh_tesh!F31/SER_summary!F$26)</f>
        <v>27.230509892472195</v>
      </c>
      <c r="G31" s="133">
        <f>IF(SER_hh_tesh!G31=0,0,SER_hh_tesh!G31/SER_summary!G$26)</f>
        <v>30.460950370381838</v>
      </c>
      <c r="H31" s="133">
        <f>IF(SER_hh_tesh!H31=0,0,SER_hh_tesh!H31/SER_summary!H$26)</f>
        <v>28.360393169645832</v>
      </c>
      <c r="I31" s="133">
        <f>IF(SER_hh_tesh!I31=0,0,SER_hh_tesh!I31/SER_summary!I$26)</f>
        <v>27.175383471092765</v>
      </c>
      <c r="J31" s="133">
        <f>IF(SER_hh_tesh!J31=0,0,SER_hh_tesh!J31/SER_summary!J$26)</f>
        <v>26.986924196854439</v>
      </c>
      <c r="K31" s="133">
        <f>IF(SER_hh_tesh!K31=0,0,SER_hh_tesh!K31/SER_summary!K$26)</f>
        <v>28.818091491727227</v>
      </c>
      <c r="L31" s="133">
        <f>IF(SER_hh_tesh!L31=0,0,SER_hh_tesh!L31/SER_summary!L$26)</f>
        <v>30.11224987053939</v>
      </c>
      <c r="M31" s="133">
        <f>IF(SER_hh_tesh!M31=0,0,SER_hh_tesh!M31/SER_summary!M$26)</f>
        <v>31.378649496154161</v>
      </c>
      <c r="N31" s="133">
        <f>IF(SER_hh_tesh!N31=0,0,SER_hh_tesh!N31/SER_summary!N$26)</f>
        <v>31.008748518163802</v>
      </c>
      <c r="O31" s="133">
        <f>IF(SER_hh_tesh!O31=0,0,SER_hh_tesh!O31/SER_summary!O$26)</f>
        <v>30.584690825536704</v>
      </c>
      <c r="P31" s="133">
        <f>IF(SER_hh_tesh!P31=0,0,SER_hh_tesh!P31/SER_summary!P$26)</f>
        <v>31.570372033256184</v>
      </c>
      <c r="Q31" s="133">
        <f>IF(SER_hh_tesh!Q31=0,0,SER_hh_tesh!Q31/SER_summary!Q$26)</f>
        <v>31.451163564520098</v>
      </c>
      <c r="R31" s="133">
        <f>IF(SER_hh_tesh!R31=0,0,SER_hh_tesh!R31/SER_summary!R$26)</f>
        <v>30.761199715553818</v>
      </c>
      <c r="S31" s="133">
        <f>IF(SER_hh_tesh!S31=0,0,SER_hh_tesh!S31/SER_summary!S$26)</f>
        <v>30.279554375598817</v>
      </c>
      <c r="T31" s="133">
        <f>IF(SER_hh_tesh!T31=0,0,SER_hh_tesh!T31/SER_summary!T$26)</f>
        <v>29.63789139489678</v>
      </c>
      <c r="U31" s="133">
        <f>IF(SER_hh_tesh!U31=0,0,SER_hh_tesh!U31/SER_summary!U$26)</f>
        <v>29.390961194633419</v>
      </c>
      <c r="V31" s="133">
        <f>IF(SER_hh_tesh!V31=0,0,SER_hh_tesh!V31/SER_summary!V$26)</f>
        <v>26.456631914788122</v>
      </c>
      <c r="W31" s="133">
        <f>IF(SER_hh_tesh!W31=0,0,SER_hh_tesh!W31/SER_summary!W$26)</f>
        <v>28.413396507096927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27.17982061627152</v>
      </c>
      <c r="C33" s="68">
        <f>IF(SER_hh_tesh!C33=0,0,SER_hh_tesh!C33/SER_summary!C$26)</f>
        <v>27.479754600056339</v>
      </c>
      <c r="D33" s="68">
        <f>IF(SER_hh_tesh!D33=0,0,SER_hh_tesh!D33/SER_summary!D$26)</f>
        <v>29.268086805203225</v>
      </c>
      <c r="E33" s="68">
        <f>IF(SER_hh_tesh!E33=0,0,SER_hh_tesh!E33/SER_summary!E$26)</f>
        <v>28.811834207997499</v>
      </c>
      <c r="F33" s="68">
        <f>IF(SER_hh_tesh!F33=0,0,SER_hh_tesh!F33/SER_summary!F$26)</f>
        <v>27.958264150297008</v>
      </c>
      <c r="G33" s="68">
        <f>IF(SER_hh_tesh!G33=0,0,SER_hh_tesh!G33/SER_summary!G$26)</f>
        <v>29.040937716962606</v>
      </c>
      <c r="H33" s="68">
        <f>IF(SER_hh_tesh!H33=0,0,SER_hh_tesh!H33/SER_summary!H$26)</f>
        <v>28.582466630457787</v>
      </c>
      <c r="I33" s="68">
        <f>IF(SER_hh_tesh!I33=0,0,SER_hh_tesh!I33/SER_summary!I$26)</f>
        <v>27.814027554704658</v>
      </c>
      <c r="J33" s="68">
        <f>IF(SER_hh_tesh!J33=0,0,SER_hh_tesh!J33/SER_summary!J$26)</f>
        <v>27.702313151477803</v>
      </c>
      <c r="K33" s="68">
        <f>IF(SER_hh_tesh!K33=0,0,SER_hh_tesh!K33/SER_summary!K$26)</f>
        <v>28.639827164453113</v>
      </c>
      <c r="L33" s="68">
        <f>IF(SER_hh_tesh!L33=0,0,SER_hh_tesh!L33/SER_summary!L$26)</f>
        <v>29.90783850264949</v>
      </c>
      <c r="M33" s="68">
        <f>IF(SER_hh_tesh!M33=0,0,SER_hh_tesh!M33/SER_summary!M$26)</f>
        <v>31.879739482202496</v>
      </c>
      <c r="N33" s="68">
        <f>IF(SER_hh_tesh!N33=0,0,SER_hh_tesh!N33/SER_summary!N$26)</f>
        <v>27.423791430906572</v>
      </c>
      <c r="O33" s="68">
        <f>IF(SER_hh_tesh!O33=0,0,SER_hh_tesh!O33/SER_summary!O$26)</f>
        <v>30.552122663831408</v>
      </c>
      <c r="P33" s="68">
        <f>IF(SER_hh_tesh!P33=0,0,SER_hh_tesh!P33/SER_summary!P$26)</f>
        <v>32.300807774464005</v>
      </c>
      <c r="Q33" s="68">
        <f>IF(SER_hh_tesh!Q33=0,0,SER_hh_tesh!Q33/SER_summary!Q$26)</f>
        <v>31.252209516969206</v>
      </c>
      <c r="R33" s="68">
        <f>IF(SER_hh_tesh!R33=0,0,SER_hh_tesh!R33/SER_summary!R$26)</f>
        <v>31.055574625135296</v>
      </c>
      <c r="S33" s="68">
        <f>IF(SER_hh_tesh!S33=0,0,SER_hh_tesh!S33/SER_summary!S$26)</f>
        <v>30.848992114069965</v>
      </c>
      <c r="T33" s="68">
        <f>IF(SER_hh_tesh!T33=0,0,SER_hh_tesh!T33/SER_summary!T$26)</f>
        <v>30.482297199591969</v>
      </c>
      <c r="U33" s="68">
        <f>IF(SER_hh_tesh!U33=0,0,SER_hh_tesh!U33/SER_summary!U$26)</f>
        <v>29.318010743756599</v>
      </c>
      <c r="V33" s="68">
        <f>IF(SER_hh_tesh!V33=0,0,SER_hh_tesh!V33/SER_summary!V$26)</f>
        <v>26.007502741739629</v>
      </c>
      <c r="W33" s="68">
        <f>IF(SER_hh_tesh!W33=0,0,SER_hh_tesh!W33/SER_summary!W$26)</f>
        <v>28.478511265604212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10.518361395115026</v>
      </c>
      <c r="C3" s="126">
        <f>IF(SER_hh_emih!C3=0,0,SER_hh_emih!C3/SER_summary!C$26)</f>
        <v>13.092932920040337</v>
      </c>
      <c r="D3" s="126">
        <f>IF(SER_hh_emih!D3=0,0,SER_hh_emih!D3/SER_summary!D$26)</f>
        <v>12.895166930972776</v>
      </c>
      <c r="E3" s="126">
        <f>IF(SER_hh_emih!E3=0,0,SER_hh_emih!E3/SER_summary!E$26)</f>
        <v>13.566722837689486</v>
      </c>
      <c r="F3" s="126">
        <f>IF(SER_hh_emih!F3=0,0,SER_hh_emih!F3/SER_summary!F$26)</f>
        <v>14.077792088689993</v>
      </c>
      <c r="G3" s="126">
        <f>IF(SER_hh_emih!G3=0,0,SER_hh_emih!G3/SER_summary!G$26)</f>
        <v>17.192843690761833</v>
      </c>
      <c r="H3" s="126">
        <f>IF(SER_hh_emih!H3=0,0,SER_hh_emih!H3/SER_summary!H$26)</f>
        <v>17.230441144913019</v>
      </c>
      <c r="I3" s="126">
        <f>IF(SER_hh_emih!I3=0,0,SER_hh_emih!I3/SER_summary!I$26)</f>
        <v>15.743705418176226</v>
      </c>
      <c r="J3" s="126">
        <f>IF(SER_hh_emih!J3=0,0,SER_hh_emih!J3/SER_summary!J$26)</f>
        <v>15.417133656997978</v>
      </c>
      <c r="K3" s="126">
        <f>IF(SER_hh_emih!K3=0,0,SER_hh_emih!K3/SER_summary!K$26)</f>
        <v>12.590117722213703</v>
      </c>
      <c r="L3" s="126">
        <f>IF(SER_hh_emih!L3=0,0,SER_hh_emih!L3/SER_summary!L$26)</f>
        <v>11.582344371478484</v>
      </c>
      <c r="M3" s="126">
        <f>IF(SER_hh_emih!M3=0,0,SER_hh_emih!M3/SER_summary!M$26)</f>
        <v>11.675661591867716</v>
      </c>
      <c r="N3" s="126">
        <f>IF(SER_hh_emih!N3=0,0,SER_hh_emih!N3/SER_summary!N$26)</f>
        <v>8.6812199962142387</v>
      </c>
      <c r="O3" s="126">
        <f>IF(SER_hh_emih!O3=0,0,SER_hh_emih!O3/SER_summary!O$26)</f>
        <v>9.2887206537871609</v>
      </c>
      <c r="P3" s="126">
        <f>IF(SER_hh_emih!P3=0,0,SER_hh_emih!P3/SER_summary!P$26)</f>
        <v>6.6438219063413673</v>
      </c>
      <c r="Q3" s="126">
        <f>IF(SER_hh_emih!Q3=0,0,SER_hh_emih!Q3/SER_summary!Q$26)</f>
        <v>7.8975741765303118</v>
      </c>
      <c r="R3" s="126">
        <f>IF(SER_hh_emih!R3=0,0,SER_hh_emih!R3/SER_summary!R$26)</f>
        <v>9.340639025950729</v>
      </c>
      <c r="S3" s="126">
        <f>IF(SER_hh_emih!S3=0,0,SER_hh_emih!S3/SER_summary!S$26)</f>
        <v>7.5779625827556902</v>
      </c>
      <c r="T3" s="126">
        <f>IF(SER_hh_emih!T3=0,0,SER_hh_emih!T3/SER_summary!T$26)</f>
        <v>7.2334715112159182</v>
      </c>
      <c r="U3" s="126">
        <f>IF(SER_hh_emih!U3=0,0,SER_hh_emih!U3/SER_summary!U$26)</f>
        <v>7.536369151986599</v>
      </c>
      <c r="V3" s="126">
        <f>IF(SER_hh_emih!V3=0,0,SER_hh_emih!V3/SER_summary!V$26)</f>
        <v>5.9679655152100324</v>
      </c>
      <c r="W3" s="126">
        <f>IF(SER_hh_emih!W3=0,0,SER_hh_emih!W3/SER_summary!W$26)</f>
        <v>6.3527322755173232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8.9172990672499566</v>
      </c>
      <c r="C4" s="131">
        <f>IF(SER_hh_emih!C4=0,0,SER_hh_emih!C4/SER_summary!C$26)</f>
        <v>11.391490986084792</v>
      </c>
      <c r="D4" s="131">
        <f>IF(SER_hh_emih!D4=0,0,SER_hh_emih!D4/SER_summary!D$26)</f>
        <v>11.440311296527625</v>
      </c>
      <c r="E4" s="131">
        <f>IF(SER_hh_emih!E4=0,0,SER_hh_emih!E4/SER_summary!E$26)</f>
        <v>11.969026365414024</v>
      </c>
      <c r="F4" s="131">
        <f>IF(SER_hh_emih!F4=0,0,SER_hh_emih!F4/SER_summary!F$26)</f>
        <v>11.463526405298262</v>
      </c>
      <c r="G4" s="131">
        <f>IF(SER_hh_emih!G4=0,0,SER_hh_emih!G4/SER_summary!G$26)</f>
        <v>14.501611820949527</v>
      </c>
      <c r="H4" s="131">
        <f>IF(SER_hh_emih!H4=0,0,SER_hh_emih!H4/SER_summary!H$26)</f>
        <v>14.542447004031082</v>
      </c>
      <c r="I4" s="131">
        <f>IF(SER_hh_emih!I4=0,0,SER_hh_emih!I4/SER_summary!I$26)</f>
        <v>13.00586603142224</v>
      </c>
      <c r="J4" s="131">
        <f>IF(SER_hh_emih!J4=0,0,SER_hh_emih!J4/SER_summary!J$26)</f>
        <v>12.621871995888577</v>
      </c>
      <c r="K4" s="131">
        <f>IF(SER_hh_emih!K4=0,0,SER_hh_emih!K4/SER_summary!K$26)</f>
        <v>9.6938294638145202</v>
      </c>
      <c r="L4" s="131">
        <f>IF(SER_hh_emih!L4=0,0,SER_hh_emih!L4/SER_summary!L$26)</f>
        <v>8.2994057629110731</v>
      </c>
      <c r="M4" s="131">
        <f>IF(SER_hh_emih!M4=0,0,SER_hh_emih!M4/SER_summary!M$26)</f>
        <v>8.4500260991131455</v>
      </c>
      <c r="N4" s="131">
        <f>IF(SER_hh_emih!N4=0,0,SER_hh_emih!N4/SER_summary!N$26)</f>
        <v>3.6041415282549392</v>
      </c>
      <c r="O4" s="131">
        <f>IF(SER_hh_emih!O4=0,0,SER_hh_emih!O4/SER_summary!O$26)</f>
        <v>5.03126425275532</v>
      </c>
      <c r="P4" s="131">
        <f>IF(SER_hh_emih!P4=0,0,SER_hh_emih!P4/SER_summary!P$26)</f>
        <v>3.2039768828992945</v>
      </c>
      <c r="Q4" s="131">
        <f>IF(SER_hh_emih!Q4=0,0,SER_hh_emih!Q4/SER_summary!Q$26)</f>
        <v>4.237648087303663</v>
      </c>
      <c r="R4" s="131">
        <f>IF(SER_hh_emih!R4=0,0,SER_hh_emih!R4/SER_summary!R$26)</f>
        <v>5.491849394148371</v>
      </c>
      <c r="S4" s="131">
        <f>IF(SER_hh_emih!S4=0,0,SER_hh_emih!S4/SER_summary!S$26)</f>
        <v>3.5563649150929333</v>
      </c>
      <c r="T4" s="131">
        <f>IF(SER_hh_emih!T4=0,0,SER_hh_emih!T4/SER_summary!T$26)</f>
        <v>3.2579911845098635</v>
      </c>
      <c r="U4" s="131">
        <f>IF(SER_hh_emih!U4=0,0,SER_hh_emih!U4/SER_summary!U$26)</f>
        <v>3.4516365673837219</v>
      </c>
      <c r="V4" s="131">
        <f>IF(SER_hh_emih!V4=0,0,SER_hh_emih!V4/SER_summary!V$26)</f>
        <v>2.9560819698886216</v>
      </c>
      <c r="W4" s="131">
        <f>IF(SER_hh_emih!W4=0,0,SER_hh_emih!W4/SER_summary!W$26)</f>
        <v>2.6889986086971183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18.923320272670271</v>
      </c>
      <c r="C7" s="133">
        <f>IF(SER_hh_emih!C7=0,0,SER_hh_emih!C7/SER_summary!C$26)</f>
        <v>23.024759095370964</v>
      </c>
      <c r="D7" s="133">
        <f>IF(SER_hh_emih!D7=0,0,SER_hh_emih!D7/SER_summary!D$26)</f>
        <v>23.897365774728478</v>
      </c>
      <c r="E7" s="133">
        <f>IF(SER_hh_emih!E7=0,0,SER_hh_emih!E7/SER_summary!E$26)</f>
        <v>25.658740425753884</v>
      </c>
      <c r="F7" s="133">
        <f>IF(SER_hh_emih!F7=0,0,SER_hh_emih!F7/SER_summary!F$26)</f>
        <v>26.213654489331489</v>
      </c>
      <c r="G7" s="133">
        <f>IF(SER_hh_emih!G7=0,0,SER_hh_emih!G7/SER_summary!G$26)</f>
        <v>33.490887972383341</v>
      </c>
      <c r="H7" s="133">
        <f>IF(SER_hh_emih!H7=0,0,SER_hh_emih!H7/SER_summary!H$26)</f>
        <v>36.399004884280622</v>
      </c>
      <c r="I7" s="133">
        <f>IF(SER_hh_emih!I7=0,0,SER_hh_emih!I7/SER_summary!I$26)</f>
        <v>36.282344302102956</v>
      </c>
      <c r="J7" s="133">
        <f>IF(SER_hh_emih!J7=0,0,SER_hh_emih!J7/SER_summary!J$26)</f>
        <v>39.84562781565073</v>
      </c>
      <c r="K7" s="133">
        <f>IF(SER_hh_emih!K7=0,0,SER_hh_emih!K7/SER_summary!K$26)</f>
        <v>33.259119392445832</v>
      </c>
      <c r="L7" s="133">
        <f>IF(SER_hh_emih!L7=0,0,SER_hh_emih!L7/SER_summary!L$26)</f>
        <v>32.00072339583474</v>
      </c>
      <c r="M7" s="133">
        <f>IF(SER_hh_emih!M7=0,0,SER_hh_emih!M7/SER_summary!M$26)</f>
        <v>32.271281547569544</v>
      </c>
      <c r="N7" s="133">
        <f>IF(SER_hh_emih!N7=0,0,SER_hh_emih!N7/SER_summary!N$26)</f>
        <v>14.797349286682833</v>
      </c>
      <c r="O7" s="133">
        <f>IF(SER_hh_emih!O7=0,0,SER_hh_emih!O7/SER_summary!O$26)</f>
        <v>35.689696841736222</v>
      </c>
      <c r="P7" s="133">
        <f>IF(SER_hh_emih!P7=0,0,SER_hh_emih!P7/SER_summary!P$26)</f>
        <v>23.479634563198339</v>
      </c>
      <c r="Q7" s="133">
        <f>IF(SER_hh_emih!Q7=0,0,SER_hh_emih!Q7/SER_summary!Q$26)</f>
        <v>27.978837930398871</v>
      </c>
      <c r="R7" s="133">
        <f>IF(SER_hh_emih!R7=0,0,SER_hh_emih!R7/SER_summary!R$26)</f>
        <v>58.872081026208782</v>
      </c>
      <c r="S7" s="133">
        <f>IF(SER_hh_emih!S7=0,0,SER_hh_emih!S7/SER_summary!S$26)</f>
        <v>31.739490753416369</v>
      </c>
      <c r="T7" s="133">
        <f>IF(SER_hh_emih!T7=0,0,SER_hh_emih!T7/SER_summary!T$26)</f>
        <v>32.142546996324356</v>
      </c>
      <c r="U7" s="133">
        <f>IF(SER_hh_emih!U7=0,0,SER_hh_emih!U7/SER_summary!U$26)</f>
        <v>37.62089108269965</v>
      </c>
      <c r="V7" s="133">
        <f>IF(SER_hh_emih!V7=0,0,SER_hh_emih!V7/SER_summary!V$26)</f>
        <v>37.88660101538396</v>
      </c>
      <c r="W7" s="133">
        <f>IF(SER_hh_emih!W7=0,0,SER_hh_emih!W7/SER_summary!W$26)</f>
        <v>31.725192627057957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4.915630300186379</v>
      </c>
      <c r="C8" s="133">
        <f>IF(SER_hh_emih!C8=0,0,SER_hh_emih!C8/SER_summary!C$26)</f>
        <v>5.1130018408494351</v>
      </c>
      <c r="D8" s="133">
        <f>IF(SER_hh_emih!D8=0,0,SER_hh_emih!D8/SER_summary!D$26)</f>
        <v>5.2402067965172749</v>
      </c>
      <c r="E8" s="133">
        <f>IF(SER_hh_emih!E8=0,0,SER_hh_emih!E8/SER_summary!E$26)</f>
        <v>5.3706355695872139</v>
      </c>
      <c r="F8" s="133">
        <f>IF(SER_hh_emih!F8=0,0,SER_hh_emih!F8/SER_summary!F$26)</f>
        <v>6.2869459042577036</v>
      </c>
      <c r="G8" s="133">
        <f>IF(SER_hh_emih!G8=0,0,SER_hh_emih!G8/SER_summary!G$26)</f>
        <v>7.5672435909965312</v>
      </c>
      <c r="H8" s="133">
        <f>IF(SER_hh_emih!H8=0,0,SER_hh_emih!H8/SER_summary!H$26)</f>
        <v>7.5273330035815391</v>
      </c>
      <c r="I8" s="133">
        <f>IF(SER_hh_emih!I8=0,0,SER_hh_emih!I8/SER_summary!I$26)</f>
        <v>7.5845550006238671</v>
      </c>
      <c r="J8" s="133">
        <f>IF(SER_hh_emih!J8=0,0,SER_hh_emih!J8/SER_summary!J$26)</f>
        <v>7.3899940520785501</v>
      </c>
      <c r="K8" s="133">
        <f>IF(SER_hh_emih!K8=0,0,SER_hh_emih!K8/SER_summary!K$26)</f>
        <v>6.4257871272826899</v>
      </c>
      <c r="L8" s="133">
        <f>IF(SER_hh_emih!L8=0,0,SER_hh_emih!L8/SER_summary!L$26)</f>
        <v>4.9579487902284027</v>
      </c>
      <c r="M8" s="133">
        <f>IF(SER_hh_emih!M8=0,0,SER_hh_emih!M8/SER_summary!M$26)</f>
        <v>3.4049290580143992</v>
      </c>
      <c r="N8" s="133">
        <f>IF(SER_hh_emih!N8=0,0,SER_hh_emih!N8/SER_summary!N$26)</f>
        <v>2.1796225775784381</v>
      </c>
      <c r="O8" s="133">
        <f>IF(SER_hh_emih!O8=0,0,SER_hh_emih!O8/SER_summary!O$26)</f>
        <v>2.5648568288410152</v>
      </c>
      <c r="P8" s="133">
        <f>IF(SER_hh_emih!P8=0,0,SER_hh_emih!P8/SER_summary!P$26)</f>
        <v>3.8912070579420552</v>
      </c>
      <c r="Q8" s="133">
        <f>IF(SER_hh_emih!Q8=0,0,SER_hh_emih!Q8/SER_summary!Q$26)</f>
        <v>6.3255540603518527</v>
      </c>
      <c r="R8" s="133">
        <f>IF(SER_hh_emih!R8=0,0,SER_hh_emih!R8/SER_summary!R$26)</f>
        <v>5.667179807632273</v>
      </c>
      <c r="S8" s="133">
        <f>IF(SER_hh_emih!S8=0,0,SER_hh_emih!S8/SER_summary!S$26)</f>
        <v>5.4007557217093902</v>
      </c>
      <c r="T8" s="133">
        <f>IF(SER_hh_emih!T8=0,0,SER_hh_emih!T8/SER_summary!T$26)</f>
        <v>5.2468650851865704</v>
      </c>
      <c r="U8" s="133">
        <f>IF(SER_hh_emih!U8=0,0,SER_hh_emih!U8/SER_summary!U$26)</f>
        <v>4.9698816169260365</v>
      </c>
      <c r="V8" s="133">
        <f>IF(SER_hh_emih!V8=0,0,SER_hh_emih!V8/SER_summary!V$26)</f>
        <v>5.3068923870171227</v>
      </c>
      <c r="W8" s="133">
        <f>IF(SER_hh_emih!W8=0,0,SER_hh_emih!W8/SER_summary!W$26)</f>
        <v>5.5780882290208531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10.985550669737473</v>
      </c>
      <c r="C9" s="133">
        <f>IF(SER_hh_emih!C9=0,0,SER_hh_emih!C9/SER_summary!C$26)</f>
        <v>11.87017373029221</v>
      </c>
      <c r="D9" s="133">
        <f>IF(SER_hh_emih!D9=0,0,SER_hh_emih!D9/SER_summary!D$26)</f>
        <v>11.287153585020894</v>
      </c>
      <c r="E9" s="133">
        <f>IF(SER_hh_emih!E9=0,0,SER_hh_emih!E9/SER_summary!E$26)</f>
        <v>12.492141337776669</v>
      </c>
      <c r="F9" s="133">
        <f>IF(SER_hh_emih!F9=0,0,SER_hh_emih!F9/SER_summary!F$26)</f>
        <v>15.27945172860427</v>
      </c>
      <c r="G9" s="133">
        <f>IF(SER_hh_emih!G9=0,0,SER_hh_emih!G9/SER_summary!G$26)</f>
        <v>19.53890902120779</v>
      </c>
      <c r="H9" s="133">
        <f>IF(SER_hh_emih!H9=0,0,SER_hh_emih!H9/SER_summary!H$26)</f>
        <v>20.294678683941896</v>
      </c>
      <c r="I9" s="133">
        <f>IF(SER_hh_emih!I9=0,0,SER_hh_emih!I9/SER_summary!I$26)</f>
        <v>20.435836739937649</v>
      </c>
      <c r="J9" s="133">
        <f>IF(SER_hh_emih!J9=0,0,SER_hh_emih!J9/SER_summary!J$26)</f>
        <v>23.269723449678022</v>
      </c>
      <c r="K9" s="133">
        <f>IF(SER_hh_emih!K9=0,0,SER_hh_emih!K9/SER_summary!K$26)</f>
        <v>22.104278926545007</v>
      </c>
      <c r="L9" s="133">
        <f>IF(SER_hh_emih!L9=0,0,SER_hh_emih!L9/SER_summary!L$26)</f>
        <v>16.915331956846092</v>
      </c>
      <c r="M9" s="133">
        <f>IF(SER_hh_emih!M9=0,0,SER_hh_emih!M9/SER_summary!M$26)</f>
        <v>22.111464953213488</v>
      </c>
      <c r="N9" s="133">
        <f>IF(SER_hh_emih!N9=0,0,SER_hh_emih!N9/SER_summary!N$26)</f>
        <v>16.849487412509202</v>
      </c>
      <c r="O9" s="133">
        <f>IF(SER_hh_emih!O9=0,0,SER_hh_emih!O9/SER_summary!O$26)</f>
        <v>15.135360284695784</v>
      </c>
      <c r="P9" s="133">
        <f>IF(SER_hh_emih!P9=0,0,SER_hh_emih!P9/SER_summary!P$26)</f>
        <v>16.45586358449173</v>
      </c>
      <c r="Q9" s="133">
        <f>IF(SER_hh_emih!Q9=0,0,SER_hh_emih!Q9/SER_summary!Q$26)</f>
        <v>26.291242910647096</v>
      </c>
      <c r="R9" s="133">
        <f>IF(SER_hh_emih!R9=0,0,SER_hh_emih!R9/SER_summary!R$26)</f>
        <v>23.982022049895406</v>
      </c>
      <c r="S9" s="133">
        <f>IF(SER_hh_emih!S9=0,0,SER_hh_emih!S9/SER_summary!S$26)</f>
        <v>24.593499549194441</v>
      </c>
      <c r="T9" s="133">
        <f>IF(SER_hh_emih!T9=0,0,SER_hh_emih!T9/SER_summary!T$26)</f>
        <v>22.789785255439625</v>
      </c>
      <c r="U9" s="133">
        <f>IF(SER_hh_emih!U9=0,0,SER_hh_emih!U9/SER_summary!U$26)</f>
        <v>25.05233400549589</v>
      </c>
      <c r="V9" s="133">
        <f>IF(SER_hh_emih!V9=0,0,SER_hh_emih!V9/SER_summary!V$26)</f>
        <v>21.787775993318764</v>
      </c>
      <c r="W9" s="133">
        <f>IF(SER_hh_emih!W9=0,0,SER_hh_emih!W9/SER_summary!W$26)</f>
        <v>23.425010551465856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4.2217252850235924E-3</v>
      </c>
      <c r="C16" s="131">
        <f>IF(SER_hh_emih!C16=0,0,SER_hh_emih!C16/SER_summary!C$26)</f>
        <v>5.2323439677882996E-3</v>
      </c>
      <c r="D16" s="131">
        <f>IF(SER_hh_emih!D16=0,0,SER_hh_emih!D16/SER_summary!D$26)</f>
        <v>5.6088099222421873E-3</v>
      </c>
      <c r="E16" s="131">
        <f>IF(SER_hh_emih!E16=0,0,SER_hh_emih!E16/SER_summary!E$26)</f>
        <v>6.2737326329309747E-3</v>
      </c>
      <c r="F16" s="131">
        <f>IF(SER_hh_emih!F16=0,0,SER_hh_emih!F16/SER_summary!F$26)</f>
        <v>8.0240775184755933E-3</v>
      </c>
      <c r="G16" s="131">
        <f>IF(SER_hh_emih!G16=0,0,SER_hh_emih!G16/SER_summary!G$26)</f>
        <v>1.2273854666535626E-2</v>
      </c>
      <c r="H16" s="131">
        <f>IF(SER_hh_emih!H16=0,0,SER_hh_emih!H16/SER_summary!H$26)</f>
        <v>1.8684896493242741E-2</v>
      </c>
      <c r="I16" s="131">
        <f>IF(SER_hh_emih!I16=0,0,SER_hh_emih!I16/SER_summary!I$26)</f>
        <v>2.5380269547550259E-2</v>
      </c>
      <c r="J16" s="131">
        <f>IF(SER_hh_emih!J16=0,0,SER_hh_emih!J16/SER_summary!J$26)</f>
        <v>3.2335384101479445E-2</v>
      </c>
      <c r="K16" s="131">
        <f>IF(SER_hh_emih!K16=0,0,SER_hh_emih!K16/SER_summary!K$26)</f>
        <v>3.637028119205863E-2</v>
      </c>
      <c r="L16" s="131">
        <f>IF(SER_hh_emih!L16=0,0,SER_hh_emih!L16/SER_summary!L$26)</f>
        <v>4.910100024805953E-2</v>
      </c>
      <c r="M16" s="131">
        <f>IF(SER_hh_emih!M16=0,0,SER_hh_emih!M16/SER_summary!M$26)</f>
        <v>5.6516218370800043E-2</v>
      </c>
      <c r="N16" s="131">
        <f>IF(SER_hh_emih!N16=0,0,SER_hh_emih!N16/SER_summary!N$26)</f>
        <v>0.10088129421908688</v>
      </c>
      <c r="O16" s="131">
        <f>IF(SER_hh_emih!O16=0,0,SER_hh_emih!O16/SER_summary!O$26)</f>
        <v>9.716573557772161E-2</v>
      </c>
      <c r="P16" s="131">
        <f>IF(SER_hh_emih!P16=0,0,SER_hh_emih!P16/SER_summary!P$26)</f>
        <v>0.11017958732514078</v>
      </c>
      <c r="Q16" s="131">
        <f>IF(SER_hh_emih!Q16=0,0,SER_hh_emih!Q16/SER_summary!Q$26)</f>
        <v>0.15353469378690762</v>
      </c>
      <c r="R16" s="131">
        <f>IF(SER_hh_emih!R16=0,0,SER_hh_emih!R16/SER_summary!R$26)</f>
        <v>0.17721440152415996</v>
      </c>
      <c r="S16" s="131">
        <f>IF(SER_hh_emih!S16=0,0,SER_hh_emih!S16/SER_summary!S$26)</f>
        <v>0.19153638297085121</v>
      </c>
      <c r="T16" s="131">
        <f>IF(SER_hh_emih!T16=0,0,SER_hh_emih!T16/SER_summary!T$26)</f>
        <v>0.18008228680477026</v>
      </c>
      <c r="U16" s="131">
        <f>IF(SER_hh_emih!U16=0,0,SER_hh_emih!U16/SER_summary!U$26)</f>
        <v>0.2198626197954</v>
      </c>
      <c r="V16" s="131">
        <f>IF(SER_hh_emih!V16=0,0,SER_hh_emih!V16/SER_summary!V$26)</f>
        <v>0.19264101407697801</v>
      </c>
      <c r="W16" s="131">
        <f>IF(SER_hh_emih!W16=0,0,SER_hh_emih!W16/SER_summary!W$26)</f>
        <v>0.2500460159828844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5.2720346409889647</v>
      </c>
      <c r="C17" s="133">
        <f>IF(SER_hh_emih!C17=0,0,SER_hh_emih!C17/SER_summary!C$26)</f>
        <v>6.6439303019881528</v>
      </c>
      <c r="D17" s="133">
        <f>IF(SER_hh_emih!D17=0,0,SER_hh_emih!D17/SER_summary!D$26)</f>
        <v>5.4507177980834731</v>
      </c>
      <c r="E17" s="133">
        <f>IF(SER_hh_emih!E17=0,0,SER_hh_emih!E17/SER_summary!E$26)</f>
        <v>6.99524898270045</v>
      </c>
      <c r="F17" s="133">
        <f>IF(SER_hh_emih!F17=0,0,SER_hh_emih!F17/SER_summary!F$26)</f>
        <v>4.4761671829167602</v>
      </c>
      <c r="G17" s="133">
        <f>IF(SER_hh_emih!G17=0,0,SER_hh_emih!G17/SER_summary!G$26)</f>
        <v>4.6920041225082905</v>
      </c>
      <c r="H17" s="133">
        <f>IF(SER_hh_emih!H17=0,0,SER_hh_emih!H17/SER_summary!H$26)</f>
        <v>5.5850260434092451</v>
      </c>
      <c r="I17" s="133">
        <f>IF(SER_hh_emih!I17=0,0,SER_hh_emih!I17/SER_summary!I$26)</f>
        <v>8.6045400085385708</v>
      </c>
      <c r="J17" s="133">
        <f>IF(SER_hh_emih!J17=0,0,SER_hh_emih!J17/SER_summary!J$26)</f>
        <v>8.3539104079618447</v>
      </c>
      <c r="K17" s="133">
        <f>IF(SER_hh_emih!K17=0,0,SER_hh_emih!K17/SER_summary!K$26)</f>
        <v>7.2176217165330652</v>
      </c>
      <c r="L17" s="133">
        <f>IF(SER_hh_emih!L17=0,0,SER_hh_emih!L17/SER_summary!L$26)</f>
        <v>7.6041211877598016</v>
      </c>
      <c r="M17" s="133">
        <f>IF(SER_hh_emih!M17=0,0,SER_hh_emih!M17/SER_summary!M$26)</f>
        <v>6.2908518443065704</v>
      </c>
      <c r="N17" s="133">
        <f>IF(SER_hh_emih!N17=0,0,SER_hh_emih!N17/SER_summary!N$26)</f>
        <v>10.073908751125058</v>
      </c>
      <c r="O17" s="133">
        <f>IF(SER_hh_emih!O17=0,0,SER_hh_emih!O17/SER_summary!O$26)</f>
        <v>6.2255381997504067</v>
      </c>
      <c r="P17" s="133">
        <f>IF(SER_hh_emih!P17=0,0,SER_hh_emih!P17/SER_summary!P$26)</f>
        <v>5.3588988617415367</v>
      </c>
      <c r="Q17" s="133">
        <f>IF(SER_hh_emih!Q17=0,0,SER_hh_emih!Q17/SER_summary!Q$26)</f>
        <v>6.6513259670232676</v>
      </c>
      <c r="R17" s="133">
        <f>IF(SER_hh_emih!R17=0,0,SER_hh_emih!R17/SER_summary!R$26)</f>
        <v>7.2257744116363298</v>
      </c>
      <c r="S17" s="133">
        <f>IF(SER_hh_emih!S17=0,0,SER_hh_emih!S17/SER_summary!S$26)</f>
        <v>7.2742798879208799</v>
      </c>
      <c r="T17" s="133">
        <f>IF(SER_hh_emih!T17=0,0,SER_hh_emih!T17/SER_summary!T$26)</f>
        <v>6.0197203586123536</v>
      </c>
      <c r="U17" s="133">
        <f>IF(SER_hh_emih!U17=0,0,SER_hh_emih!U17/SER_summary!U$26)</f>
        <v>7.2725938075048342</v>
      </c>
      <c r="V17" s="133">
        <f>IF(SER_hh_emih!V17=0,0,SER_hh_emih!V17/SER_summary!V$26)</f>
        <v>5.9277073877304298</v>
      </c>
      <c r="W17" s="133">
        <f>IF(SER_hh_emih!W17=0,0,SER_hh_emih!W17/SER_summary!W$26)</f>
        <v>7.7728582158074584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0.73623170296421026</v>
      </c>
      <c r="C19" s="131">
        <f>IF(SER_hh_emih!C19=0,0,SER_hh_emih!C19/SER_summary!C$26)</f>
        <v>0.83259043312818104</v>
      </c>
      <c r="D19" s="131">
        <f>IF(SER_hh_emih!D19=0,0,SER_hh_emih!D19/SER_summary!D$26)</f>
        <v>0.88669064951162446</v>
      </c>
      <c r="E19" s="131">
        <f>IF(SER_hh_emih!E19=0,0,SER_hh_emih!E19/SER_summary!E$26)</f>
        <v>0.90013966267462076</v>
      </c>
      <c r="F19" s="131">
        <f>IF(SER_hh_emih!F19=0,0,SER_hh_emih!F19/SER_summary!F$26)</f>
        <v>0.93231948862933134</v>
      </c>
      <c r="G19" s="131">
        <f>IF(SER_hh_emih!G19=0,0,SER_hh_emih!G19/SER_summary!G$26)</f>
        <v>1.1465752456979348</v>
      </c>
      <c r="H19" s="131">
        <f>IF(SER_hh_emih!H19=0,0,SER_hh_emih!H19/SER_summary!H$26)</f>
        <v>1.2107450536146305</v>
      </c>
      <c r="I19" s="131">
        <f>IF(SER_hh_emih!I19=0,0,SER_hh_emih!I19/SER_summary!I$26)</f>
        <v>1.3361997784030495</v>
      </c>
      <c r="J19" s="131">
        <f>IF(SER_hh_emih!J19=0,0,SER_hh_emih!J19/SER_summary!J$26)</f>
        <v>1.3807083090201218</v>
      </c>
      <c r="K19" s="131">
        <f>IF(SER_hh_emih!K19=0,0,SER_hh_emih!K19/SER_summary!K$26)</f>
        <v>1.430622900898703</v>
      </c>
      <c r="L19" s="131">
        <f>IF(SER_hh_emih!L19=0,0,SER_hh_emih!L19/SER_summary!L$26)</f>
        <v>1.6012748241654156</v>
      </c>
      <c r="M19" s="131">
        <f>IF(SER_hh_emih!M19=0,0,SER_hh_emih!M19/SER_summary!M$26)</f>
        <v>1.618919217140411</v>
      </c>
      <c r="N19" s="131">
        <f>IF(SER_hh_emih!N19=0,0,SER_hh_emih!N19/SER_summary!N$26)</f>
        <v>1.6047318502480568</v>
      </c>
      <c r="O19" s="131">
        <f>IF(SER_hh_emih!O19=0,0,SER_hh_emih!O19/SER_summary!O$26)</f>
        <v>1.6641292129586083</v>
      </c>
      <c r="P19" s="131">
        <f>IF(SER_hh_emih!P19=0,0,SER_hh_emih!P19/SER_summary!P$26)</f>
        <v>1.6675083246757854</v>
      </c>
      <c r="Q19" s="131">
        <f>IF(SER_hh_emih!Q19=0,0,SER_hh_emih!Q19/SER_summary!Q$26)</f>
        <v>1.6982351489255423</v>
      </c>
      <c r="R19" s="131">
        <f>IF(SER_hh_emih!R19=0,0,SER_hh_emih!R19/SER_summary!R$26)</f>
        <v>1.7046147271443803</v>
      </c>
      <c r="S19" s="131">
        <f>IF(SER_hh_emih!S19=0,0,SER_hh_emih!S19/SER_summary!S$26)</f>
        <v>1.7470061888835833</v>
      </c>
      <c r="T19" s="131">
        <f>IF(SER_hh_emih!T19=0,0,SER_hh_emih!T19/SER_summary!T$26)</f>
        <v>1.6208731397707832</v>
      </c>
      <c r="U19" s="131">
        <f>IF(SER_hh_emih!U19=0,0,SER_hh_emih!U19/SER_summary!U$26)</f>
        <v>1.5254027679570463</v>
      </c>
      <c r="V19" s="131">
        <f>IF(SER_hh_emih!V19=0,0,SER_hh_emih!V19/SER_summary!V$26)</f>
        <v>1.1415675207949858</v>
      </c>
      <c r="W19" s="131">
        <f>IF(SER_hh_emih!W19=0,0,SER_hh_emih!W19/SER_summary!W$26)</f>
        <v>1.1804178150270699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9.9630255384621798</v>
      </c>
      <c r="C21" s="133">
        <f>IF(SER_hh_emih!C21=0,0,SER_hh_emih!C21/SER_summary!C$26)</f>
        <v>10.774286793487294</v>
      </c>
      <c r="D21" s="133">
        <f>IF(SER_hh_emih!D21=0,0,SER_hh_emih!D21/SER_summary!D$26)</f>
        <v>11.066001667110752</v>
      </c>
      <c r="E21" s="133">
        <f>IF(SER_hh_emih!E21=0,0,SER_hh_emih!E21/SER_summary!E$26)</f>
        <v>10.731400862159219</v>
      </c>
      <c r="F21" s="133">
        <f>IF(SER_hh_emih!F21=0,0,SER_hh_emih!F21/SER_summary!F$26)</f>
        <v>10.933106749066768</v>
      </c>
      <c r="G21" s="133">
        <f>IF(SER_hh_emih!G21=0,0,SER_hh_emih!G21/SER_summary!G$26)</f>
        <v>11.506745839349724</v>
      </c>
      <c r="H21" s="133">
        <f>IF(SER_hh_emih!H21=0,0,SER_hh_emih!H21/SER_summary!H$26)</f>
        <v>11.242151855877323</v>
      </c>
      <c r="I21" s="133">
        <f>IF(SER_hh_emih!I21=0,0,SER_hh_emih!I21/SER_summary!I$26)</f>
        <v>11.92693654522038</v>
      </c>
      <c r="J21" s="133">
        <f>IF(SER_hh_emih!J21=0,0,SER_hh_emih!J21/SER_summary!J$26)</f>
        <v>11.721955224059238</v>
      </c>
      <c r="K21" s="133">
        <f>IF(SER_hh_emih!K21=0,0,SER_hh_emih!K21/SER_summary!K$26)</f>
        <v>11.723612331307613</v>
      </c>
      <c r="L21" s="133">
        <f>IF(SER_hh_emih!L21=0,0,SER_hh_emih!L21/SER_summary!L$26)</f>
        <v>12.03432899103694</v>
      </c>
      <c r="M21" s="133">
        <f>IF(SER_hh_emih!M21=0,0,SER_hh_emih!M21/SER_summary!M$26)</f>
        <v>12.000247575041408</v>
      </c>
      <c r="N21" s="133">
        <f>IF(SER_hh_emih!N21=0,0,SER_hh_emih!N21/SER_summary!N$26)</f>
        <v>12.570419201224976</v>
      </c>
      <c r="O21" s="133">
        <f>IF(SER_hh_emih!O21=0,0,SER_hh_emih!O21/SER_summary!O$26)</f>
        <v>12.438665823501035</v>
      </c>
      <c r="P21" s="133">
        <f>IF(SER_hh_emih!P21=0,0,SER_hh_emih!P21/SER_summary!P$26)</f>
        <v>12.062400722625952</v>
      </c>
      <c r="Q21" s="133">
        <f>IF(SER_hh_emih!Q21=0,0,SER_hh_emih!Q21/SER_summary!Q$26)</f>
        <v>11.444782101670409</v>
      </c>
      <c r="R21" s="133">
        <f>IF(SER_hh_emih!R21=0,0,SER_hh_emih!R21/SER_summary!R$26)</f>
        <v>12.086288697031707</v>
      </c>
      <c r="S21" s="133">
        <f>IF(SER_hh_emih!S21=0,0,SER_hh_emih!S21/SER_summary!S$26)</f>
        <v>11.909160409175026</v>
      </c>
      <c r="T21" s="133">
        <f>IF(SER_hh_emih!T21=0,0,SER_hh_emih!T21/SER_summary!T$26)</f>
        <v>11.525257191676257</v>
      </c>
      <c r="U21" s="133">
        <f>IF(SER_hh_emih!U21=0,0,SER_hh_emih!U21/SER_summary!U$26)</f>
        <v>12.019974376942832</v>
      </c>
      <c r="V21" s="133">
        <f>IF(SER_hh_emih!V21=0,0,SER_hh_emih!V21/SER_summary!V$26)</f>
        <v>6.8585792478994456</v>
      </c>
      <c r="W21" s="133">
        <f>IF(SER_hh_emih!W21=0,0,SER_hh_emih!W21/SER_summary!W$26)</f>
        <v>9.2933916859574719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12.33877778116941</v>
      </c>
      <c r="C22" s="133">
        <f>IF(SER_hh_emih!C22=0,0,SER_hh_emih!C22/SER_summary!C$26)</f>
        <v>13.430633222297518</v>
      </c>
      <c r="D22" s="133">
        <f>IF(SER_hh_emih!D22=0,0,SER_hh_emih!D22/SER_summary!D$26)</f>
        <v>13.842527438400795</v>
      </c>
      <c r="E22" s="133">
        <f>IF(SER_hh_emih!E22=0,0,SER_hh_emih!E22/SER_summary!E$26)</f>
        <v>13.804422479367853</v>
      </c>
      <c r="F22" s="133">
        <f>IF(SER_hh_emih!F22=0,0,SER_hh_emih!F22/SER_summary!F$26)</f>
        <v>14.02968971328689</v>
      </c>
      <c r="G22" s="133">
        <f>IF(SER_hh_emih!G22=0,0,SER_hh_emih!G22/SER_summary!G$26)</f>
        <v>14.647824249298028</v>
      </c>
      <c r="H22" s="133">
        <f>IF(SER_hh_emih!H22=0,0,SER_hh_emih!H22/SER_summary!H$26)</f>
        <v>14.564128108470152</v>
      </c>
      <c r="I22" s="133">
        <f>IF(SER_hh_emih!I22=0,0,SER_hh_emih!I22/SER_summary!I$26)</f>
        <v>14.50526398990287</v>
      </c>
      <c r="J22" s="133">
        <f>IF(SER_hh_emih!J22=0,0,SER_hh_emih!J22/SER_summary!J$26)</f>
        <v>14.569328950733071</v>
      </c>
      <c r="K22" s="133">
        <f>IF(SER_hh_emih!K22=0,0,SER_hh_emih!K22/SER_summary!K$26)</f>
        <v>14.575268801314243</v>
      </c>
      <c r="L22" s="133">
        <f>IF(SER_hh_emih!L22=0,0,SER_hh_emih!L22/SER_summary!L$26)</f>
        <v>14.9611542185612</v>
      </c>
      <c r="M22" s="133">
        <f>IF(SER_hh_emih!M22=0,0,SER_hh_emih!M22/SER_summary!M$26)</f>
        <v>15.279331215490156</v>
      </c>
      <c r="N22" s="133">
        <f>IF(SER_hh_emih!N22=0,0,SER_hh_emih!N22/SER_summary!N$26)</f>
        <v>13.463177799747491</v>
      </c>
      <c r="O22" s="133">
        <f>IF(SER_hh_emih!O22=0,0,SER_hh_emih!O22/SER_summary!O$26)</f>
        <v>14.457532960889496</v>
      </c>
      <c r="P22" s="133">
        <f>IF(SER_hh_emih!P22=0,0,SER_hh_emih!P22/SER_summary!P$26)</f>
        <v>15.506624510940524</v>
      </c>
      <c r="Q22" s="133">
        <f>IF(SER_hh_emih!Q22=0,0,SER_hh_emih!Q22/SER_summary!Q$26)</f>
        <v>14.762368429227003</v>
      </c>
      <c r="R22" s="133">
        <f>IF(SER_hh_emih!R22=0,0,SER_hh_emih!R22/SER_summary!R$26)</f>
        <v>14.983803121708979</v>
      </c>
      <c r="S22" s="133">
        <f>IF(SER_hh_emih!S22=0,0,SER_hh_emih!S22/SER_summary!S$26)</f>
        <v>15.413751106958983</v>
      </c>
      <c r="T22" s="133">
        <f>IF(SER_hh_emih!T22=0,0,SER_hh_emih!T22/SER_summary!T$26)</f>
        <v>14.042199362855609</v>
      </c>
      <c r="U22" s="133">
        <f>IF(SER_hh_emih!U22=0,0,SER_hh_emih!U22/SER_summary!U$26)</f>
        <v>14.36350164966847</v>
      </c>
      <c r="V22" s="133">
        <f>IF(SER_hh_emih!V22=0,0,SER_hh_emih!V22/SER_summary!V$26)</f>
        <v>11.51699233225734</v>
      </c>
      <c r="W22" s="133">
        <f>IF(SER_hh_emih!W22=0,0,SER_hh_emih!W22/SER_summary!W$26)</f>
        <v>11.037972642619499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7.627306491574763</v>
      </c>
      <c r="C23" s="133">
        <f>IF(SER_hh_emih!C23=0,0,SER_hh_emih!C23/SER_summary!C$26)</f>
        <v>9.0510830101035111</v>
      </c>
      <c r="D23" s="133">
        <f>IF(SER_hh_emih!D23=0,0,SER_hh_emih!D23/SER_summary!D$26)</f>
        <v>9.0922853609268799</v>
      </c>
      <c r="E23" s="133">
        <f>IF(SER_hh_emih!E23=0,0,SER_hh_emih!E23/SER_summary!E$26)</f>
        <v>8.4063311896331676</v>
      </c>
      <c r="F23" s="133">
        <f>IF(SER_hh_emih!F23=0,0,SER_hh_emih!F23/SER_summary!F$26)</f>
        <v>7.458201144914252</v>
      </c>
      <c r="G23" s="133">
        <f>IF(SER_hh_emih!G23=0,0,SER_hh_emih!G23/SER_summary!G$26)</f>
        <v>9.6674288415052825</v>
      </c>
      <c r="H23" s="133">
        <f>IF(SER_hh_emih!H23=0,0,SER_hh_emih!H23/SER_summary!H$26)</f>
        <v>9.2099230435547934</v>
      </c>
      <c r="I23" s="133">
        <f>IF(SER_hh_emih!I23=0,0,SER_hh_emih!I23/SER_summary!I$26)</f>
        <v>9.627082594832272</v>
      </c>
      <c r="J23" s="133">
        <f>IF(SER_hh_emih!J23=0,0,SER_hh_emih!J23/SER_summary!J$26)</f>
        <v>9.4481762418425763</v>
      </c>
      <c r="K23" s="133">
        <f>IF(SER_hh_emih!K23=0,0,SER_hh_emih!K23/SER_summary!K$26)</f>
        <v>9.4290910888796979</v>
      </c>
      <c r="L23" s="133">
        <f>IF(SER_hh_emih!L23=0,0,SER_hh_emih!L23/SER_summary!L$26)</f>
        <v>10.220220027832786</v>
      </c>
      <c r="M23" s="133">
        <f>IF(SER_hh_emih!M23=0,0,SER_hh_emih!M23/SER_summary!M$26)</f>
        <v>9.3881881288287801</v>
      </c>
      <c r="N23" s="133">
        <f>IF(SER_hh_emih!N23=0,0,SER_hh_emih!N23/SER_summary!N$26)</f>
        <v>9.4667664906195697</v>
      </c>
      <c r="O23" s="133">
        <f>IF(SER_hh_emih!O23=0,0,SER_hh_emih!O23/SER_summary!O$26)</f>
        <v>9.4730895069484493</v>
      </c>
      <c r="P23" s="133">
        <f>IF(SER_hh_emih!P23=0,0,SER_hh_emih!P23/SER_summary!P$26)</f>
        <v>9.1057543673986601</v>
      </c>
      <c r="Q23" s="133">
        <f>IF(SER_hh_emih!Q23=0,0,SER_hh_emih!Q23/SER_summary!Q$26)</f>
        <v>9.7946341484595454</v>
      </c>
      <c r="R23" s="133">
        <f>IF(SER_hh_emih!R23=0,0,SER_hh_emih!R23/SER_summary!R$26)</f>
        <v>9.2184063952283797</v>
      </c>
      <c r="S23" s="133">
        <f>IF(SER_hh_emih!S23=0,0,SER_hh_emih!S23/SER_summary!S$26)</f>
        <v>9.3541636475058905</v>
      </c>
      <c r="T23" s="133">
        <f>IF(SER_hh_emih!T23=0,0,SER_hh_emih!T23/SER_summary!T$26)</f>
        <v>8.9689467492690635</v>
      </c>
      <c r="U23" s="133">
        <f>IF(SER_hh_emih!U23=0,0,SER_hh_emih!U23/SER_summary!U$26)</f>
        <v>8.1192328906906841</v>
      </c>
      <c r="V23" s="133">
        <f>IF(SER_hh_emih!V23=0,0,SER_hh_emih!V23/SER_summary!V$26)</f>
        <v>7.2810651302942233</v>
      </c>
      <c r="W23" s="133">
        <f>IF(SER_hh_emih!W23=0,0,SER_hh_emih!W23/SER_summary!W$26)</f>
        <v>7.2897073350517649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0.86360768480805217</v>
      </c>
      <c r="C29" s="131">
        <f>IF(SER_hh_emih!C29=0,0,SER_hh_emih!C29/SER_summary!C$26)</f>
        <v>0.86731639041140274</v>
      </c>
      <c r="D29" s="131">
        <f>IF(SER_hh_emih!D29=0,0,SER_hh_emih!D29/SER_summary!D$26)</f>
        <v>0.5664829009386545</v>
      </c>
      <c r="E29" s="131">
        <f>IF(SER_hh_emih!E29=0,0,SER_hh_emih!E29/SER_summary!E$26)</f>
        <v>0.69561189373455068</v>
      </c>
      <c r="F29" s="131">
        <f>IF(SER_hh_emih!F29=0,0,SER_hh_emih!F29/SER_summary!F$26)</f>
        <v>1.6794205152338282</v>
      </c>
      <c r="G29" s="131">
        <f>IF(SER_hh_emih!G29=0,0,SER_hh_emih!G29/SER_summary!G$26)</f>
        <v>1.5407566260519094</v>
      </c>
      <c r="H29" s="131">
        <f>IF(SER_hh_emih!H29=0,0,SER_hh_emih!H29/SER_summary!H$26)</f>
        <v>1.4710125099421285</v>
      </c>
      <c r="I29" s="131">
        <f>IF(SER_hh_emih!I29=0,0,SER_hh_emih!I29/SER_summary!I$26)</f>
        <v>1.3926389717613115</v>
      </c>
      <c r="J29" s="131">
        <f>IF(SER_hh_emih!J29=0,0,SER_hh_emih!J29/SER_summary!J$26)</f>
        <v>1.4026973370382232</v>
      </c>
      <c r="K29" s="131">
        <f>IF(SER_hh_emih!K29=0,0,SER_hh_emih!K29/SER_summary!K$26)</f>
        <v>1.4516898965291132</v>
      </c>
      <c r="L29" s="131">
        <f>IF(SER_hh_emih!L29=0,0,SER_hh_emih!L29/SER_summary!L$26)</f>
        <v>1.6621430561617068</v>
      </c>
      <c r="M29" s="131">
        <f>IF(SER_hh_emih!M29=0,0,SER_hh_emih!M29/SER_summary!M$26)</f>
        <v>1.583510140392451</v>
      </c>
      <c r="N29" s="131">
        <f>IF(SER_hh_emih!N29=0,0,SER_hh_emih!N29/SER_summary!N$26)</f>
        <v>3.4280076841241116</v>
      </c>
      <c r="O29" s="131">
        <f>IF(SER_hh_emih!O29=0,0,SER_hh_emih!O29/SER_summary!O$26)</f>
        <v>2.5481454304493689</v>
      </c>
      <c r="P29" s="131">
        <f>IF(SER_hh_emih!P29=0,0,SER_hh_emih!P29/SER_summary!P$26)</f>
        <v>1.7174418450461637</v>
      </c>
      <c r="Q29" s="131">
        <f>IF(SER_hh_emih!Q29=0,0,SER_hh_emih!Q29/SER_summary!Q$26)</f>
        <v>1.8811296811599332</v>
      </c>
      <c r="R29" s="131">
        <f>IF(SER_hh_emih!R29=0,0,SER_hh_emih!R29/SER_summary!R$26)</f>
        <v>2.0472220075252134</v>
      </c>
      <c r="S29" s="131">
        <f>IF(SER_hh_emih!S29=0,0,SER_hh_emih!S29/SER_summary!S$26)</f>
        <v>2.1647066018250292</v>
      </c>
      <c r="T29" s="131">
        <f>IF(SER_hh_emih!T29=0,0,SER_hh_emih!T29/SER_summary!T$26)</f>
        <v>2.2467301382571216</v>
      </c>
      <c r="U29" s="131">
        <f>IF(SER_hh_emih!U29=0,0,SER_hh_emih!U29/SER_summary!U$26)</f>
        <v>2.4225192916495795</v>
      </c>
      <c r="V29" s="131">
        <f>IF(SER_hh_emih!V29=0,0,SER_hh_emih!V29/SER_summary!V$26)</f>
        <v>1.7540571477180626</v>
      </c>
      <c r="W29" s="131">
        <f>IF(SER_hh_emih!W29=0,0,SER_hh_emih!W29/SER_summary!W$26)</f>
        <v>2.32783876582692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12.159836292131665</v>
      </c>
      <c r="C30" s="133">
        <f>IF(SER_hh_emih!C30=0,0,SER_hh_emih!C30/SER_summary!C$26)</f>
        <v>13.900581952983465</v>
      </c>
      <c r="D30" s="133">
        <f>IF(SER_hh_emih!D30=0,0,SER_hh_emih!D30/SER_summary!D$26)</f>
        <v>8.4926166821695919</v>
      </c>
      <c r="E30" s="133">
        <f>IF(SER_hh_emih!E30=0,0,SER_hh_emih!E30/SER_summary!E$26)</f>
        <v>8.5209649951804014</v>
      </c>
      <c r="F30" s="133">
        <f>IF(SER_hh_emih!F30=0,0,SER_hh_emih!F30/SER_summary!F$26)</f>
        <v>16.918749137729652</v>
      </c>
      <c r="G30" s="133">
        <f>IF(SER_hh_emih!G30=0,0,SER_hh_emih!G30/SER_summary!G$26)</f>
        <v>13.4154350850668</v>
      </c>
      <c r="H30" s="133">
        <f>IF(SER_hh_emih!H30=0,0,SER_hh_emih!H30/SER_summary!H$26)</f>
        <v>12.620675076954624</v>
      </c>
      <c r="I30" s="133">
        <f>IF(SER_hh_emih!I30=0,0,SER_hh_emih!I30/SER_summary!I$26)</f>
        <v>12.21581263301152</v>
      </c>
      <c r="J30" s="133">
        <f>IF(SER_hh_emih!J30=0,0,SER_hh_emih!J30/SER_summary!J$26)</f>
        <v>11.574760414286864</v>
      </c>
      <c r="K30" s="133">
        <f>IF(SER_hh_emih!K30=0,0,SER_hh_emih!K30/SER_summary!K$26)</f>
        <v>10.814393939462519</v>
      </c>
      <c r="L30" s="133">
        <f>IF(SER_hh_emih!L30=0,0,SER_hh_emih!L30/SER_summary!L$26)</f>
        <v>11.483723553789158</v>
      </c>
      <c r="M30" s="133">
        <f>IF(SER_hh_emih!M30=0,0,SER_hh_emih!M30/SER_summary!M$26)</f>
        <v>8.2454760051167515</v>
      </c>
      <c r="N30" s="133">
        <f>IF(SER_hh_emih!N30=0,0,SER_hh_emih!N30/SER_summary!N$26)</f>
        <v>22.587120918367422</v>
      </c>
      <c r="O30" s="133">
        <f>IF(SER_hh_emih!O30=0,0,SER_hh_emih!O30/SER_summary!O$26)</f>
        <v>15.528639596879387</v>
      </c>
      <c r="P30" s="133">
        <f>IF(SER_hh_emih!P30=0,0,SER_hh_emih!P30/SER_summary!P$26)</f>
        <v>9.1960852094227139</v>
      </c>
      <c r="Q30" s="133">
        <f>IF(SER_hh_emih!Q30=0,0,SER_hh_emih!Q30/SER_summary!Q$26)</f>
        <v>10.867463922902518</v>
      </c>
      <c r="R30" s="133">
        <f>IF(SER_hh_emih!R30=0,0,SER_hh_emih!R30/SER_summary!R$26)</f>
        <v>12.219350991754341</v>
      </c>
      <c r="S30" s="133">
        <f>IF(SER_hh_emih!S30=0,0,SER_hh_emih!S30/SER_summary!S$26)</f>
        <v>13.275657785256586</v>
      </c>
      <c r="T30" s="133">
        <f>IF(SER_hh_emih!T30=0,0,SER_hh_emih!T30/SER_summary!T$26)</f>
        <v>13.393463161924551</v>
      </c>
      <c r="U30" s="133">
        <f>IF(SER_hh_emih!U30=0,0,SER_hh_emih!U30/SER_summary!U$26)</f>
        <v>14.325840145860084</v>
      </c>
      <c r="V30" s="133">
        <f>IF(SER_hh_emih!V30=0,0,SER_hh_emih!V30/SER_summary!V$26)</f>
        <v>9.3036133321768268</v>
      </c>
      <c r="W30" s="133">
        <f>IF(SER_hh_emih!W30=0,0,SER_hh_emih!W30/SER_summary!W$26)</f>
        <v>13.377778025233788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8.7116510071589772</v>
      </c>
      <c r="C31" s="133">
        <f>IF(SER_hh_emih!C31=0,0,SER_hh_emih!C31/SER_summary!C$26)</f>
        <v>9.6276487607812111</v>
      </c>
      <c r="D31" s="133">
        <f>IF(SER_hh_emih!D31=0,0,SER_hh_emih!D31/SER_summary!D$26)</f>
        <v>9.3270405206855251</v>
      </c>
      <c r="E31" s="133">
        <f>IF(SER_hh_emih!E31=0,0,SER_hh_emih!E31/SER_summary!E$26)</f>
        <v>9.3092769820822419</v>
      </c>
      <c r="F31" s="133">
        <f>IF(SER_hh_emih!F31=0,0,SER_hh_emih!F31/SER_summary!F$26)</f>
        <v>9.8036266918187316</v>
      </c>
      <c r="G31" s="133">
        <f>IF(SER_hh_emih!G31=0,0,SER_hh_emih!G31/SER_summary!G$26)</f>
        <v>11.130826927736317</v>
      </c>
      <c r="H31" s="133">
        <f>IF(SER_hh_emih!H31=0,0,SER_hh_emih!H31/SER_summary!H$26)</f>
        <v>10.390892434925068</v>
      </c>
      <c r="I31" s="133">
        <f>IF(SER_hh_emih!I31=0,0,SER_hh_emih!I31/SER_summary!I$26)</f>
        <v>10.357141134646829</v>
      </c>
      <c r="J31" s="133">
        <f>IF(SER_hh_emih!J31=0,0,SER_hh_emih!J31/SER_summary!J$26)</f>
        <v>10.447178955441871</v>
      </c>
      <c r="K31" s="133">
        <f>IF(SER_hh_emih!K31=0,0,SER_hh_emih!K31/SER_summary!K$26)</f>
        <v>11.096231065641568</v>
      </c>
      <c r="L31" s="133">
        <f>IF(SER_hh_emih!L31=0,0,SER_hh_emih!L31/SER_summary!L$26)</f>
        <v>11.552201396084316</v>
      </c>
      <c r="M31" s="133">
        <f>IF(SER_hh_emih!M31=0,0,SER_hh_emih!M31/SER_summary!M$26)</f>
        <v>11.197556963002427</v>
      </c>
      <c r="N31" s="133">
        <f>IF(SER_hh_emih!N31=0,0,SER_hh_emih!N31/SER_summary!N$26)</f>
        <v>10.919366649795668</v>
      </c>
      <c r="O31" s="133">
        <f>IF(SER_hh_emih!O31=0,0,SER_hh_emih!O31/SER_summary!O$26)</f>
        <v>10.573797323656185</v>
      </c>
      <c r="P31" s="133">
        <f>IF(SER_hh_emih!P31=0,0,SER_hh_emih!P31/SER_summary!P$26)</f>
        <v>11.018497177743749</v>
      </c>
      <c r="Q31" s="133">
        <f>IF(SER_hh_emih!Q31=0,0,SER_hh_emih!Q31/SER_summary!Q$26)</f>
        <v>11.176176050767053</v>
      </c>
      <c r="R31" s="133">
        <f>IF(SER_hh_emih!R31=0,0,SER_hh_emih!R31/SER_summary!R$26)</f>
        <v>10.964303035904541</v>
      </c>
      <c r="S31" s="133">
        <f>IF(SER_hh_emih!S31=0,0,SER_hh_emih!S31/SER_summary!S$26)</f>
        <v>10.90509772361851</v>
      </c>
      <c r="T31" s="133">
        <f>IF(SER_hh_emih!T31=0,0,SER_hh_emih!T31/SER_summary!T$26)</f>
        <v>10.436999079538428</v>
      </c>
      <c r="U31" s="133">
        <f>IF(SER_hh_emih!U31=0,0,SER_hh_emih!U31/SER_summary!U$26)</f>
        <v>9.9266960037376535</v>
      </c>
      <c r="V31" s="133">
        <f>IF(SER_hh_emih!V31=0,0,SER_hh_emih!V31/SER_summary!V$26)</f>
        <v>9.0628630283672234</v>
      </c>
      <c r="W31" s="133">
        <f>IF(SER_hh_emih!W31=0,0,SER_hh_emih!W31/SER_summary!W$26)</f>
        <v>9.7953986182577513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4023.6967024973296</v>
      </c>
      <c r="D3" s="125">
        <f t="shared" si="0"/>
        <v>3281.1194586577076</v>
      </c>
      <c r="E3" s="125">
        <f t="shared" si="0"/>
        <v>4254.5352447404821</v>
      </c>
      <c r="F3" s="125">
        <f t="shared" si="0"/>
        <v>4241.9426557344887</v>
      </c>
      <c r="G3" s="125">
        <f t="shared" si="0"/>
        <v>3174.6993667920738</v>
      </c>
      <c r="H3" s="125">
        <f t="shared" si="0"/>
        <v>4619.1231463454724</v>
      </c>
      <c r="I3" s="125">
        <f t="shared" si="0"/>
        <v>3567.038570857846</v>
      </c>
      <c r="J3" s="125">
        <f t="shared" si="0"/>
        <v>2408.5329325555667</v>
      </c>
      <c r="K3" s="125">
        <f t="shared" si="0"/>
        <v>435.28989012621867</v>
      </c>
      <c r="L3" s="125">
        <f t="shared" si="0"/>
        <v>434.91592973951214</v>
      </c>
      <c r="M3" s="125">
        <f t="shared" si="0"/>
        <v>420.70543504467003</v>
      </c>
      <c r="N3" s="125">
        <f t="shared" si="0"/>
        <v>573.57434857483224</v>
      </c>
      <c r="O3" s="125">
        <f t="shared" si="0"/>
        <v>411.35642537701068</v>
      </c>
      <c r="P3" s="125">
        <f t="shared" si="0"/>
        <v>534.88805731556499</v>
      </c>
      <c r="Q3" s="125">
        <f t="shared" si="0"/>
        <v>731.37733565008079</v>
      </c>
      <c r="R3" s="125">
        <f t="shared" si="0"/>
        <v>569.61480206735928</v>
      </c>
      <c r="S3" s="125">
        <f t="shared" si="0"/>
        <v>1218.4043651598679</v>
      </c>
      <c r="T3" s="125">
        <f t="shared" si="0"/>
        <v>1256.5978436087378</v>
      </c>
      <c r="U3" s="125">
        <f t="shared" si="0"/>
        <v>1373.382534069862</v>
      </c>
      <c r="V3" s="125">
        <f t="shared" si="0"/>
        <v>1346.3097591159101</v>
      </c>
      <c r="W3" s="125">
        <f t="shared" si="0"/>
        <v>1292.9152736423951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4023.6967024973296</v>
      </c>
      <c r="D4" s="140">
        <f t="shared" si="1"/>
        <v>3281.1194586577076</v>
      </c>
      <c r="E4" s="140">
        <f t="shared" si="1"/>
        <v>4254.5352447404821</v>
      </c>
      <c r="F4" s="140">
        <f t="shared" si="1"/>
        <v>4241.9426557344887</v>
      </c>
      <c r="G4" s="140">
        <f t="shared" si="1"/>
        <v>3174.6993667920738</v>
      </c>
      <c r="H4" s="140">
        <f t="shared" si="1"/>
        <v>4619.1231463454724</v>
      </c>
      <c r="I4" s="140">
        <f t="shared" si="1"/>
        <v>3567.038570857846</v>
      </c>
      <c r="J4" s="140">
        <f t="shared" si="1"/>
        <v>2408.5329325555667</v>
      </c>
      <c r="K4" s="140">
        <f t="shared" si="1"/>
        <v>435.28989012621867</v>
      </c>
      <c r="L4" s="140">
        <f t="shared" si="1"/>
        <v>434.91592973951214</v>
      </c>
      <c r="M4" s="140">
        <f t="shared" si="1"/>
        <v>420.70543504467003</v>
      </c>
      <c r="N4" s="140">
        <f t="shared" si="1"/>
        <v>573.57434857483224</v>
      </c>
      <c r="O4" s="140">
        <f t="shared" si="1"/>
        <v>411.35642537701068</v>
      </c>
      <c r="P4" s="140">
        <f t="shared" si="1"/>
        <v>534.88805731556499</v>
      </c>
      <c r="Q4" s="140">
        <f t="shared" si="1"/>
        <v>731.37733565008079</v>
      </c>
      <c r="R4" s="140">
        <f t="shared" ref="R4:W4" si="2">SUM(R5:R14)</f>
        <v>569.61480206735928</v>
      </c>
      <c r="S4" s="140">
        <f t="shared" si="2"/>
        <v>1218.4043651598679</v>
      </c>
      <c r="T4" s="140">
        <f t="shared" si="2"/>
        <v>1256.5978436087378</v>
      </c>
      <c r="U4" s="140">
        <f t="shared" si="2"/>
        <v>1373.382534069862</v>
      </c>
      <c r="V4" s="140">
        <f t="shared" si="2"/>
        <v>1346.3097591159101</v>
      </c>
      <c r="W4" s="140">
        <f t="shared" si="2"/>
        <v>1292.9152736423951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2654.1664283874038</v>
      </c>
      <c r="D7" s="141">
        <v>926.92735159680126</v>
      </c>
      <c r="E7" s="141">
        <v>1276.066351896173</v>
      </c>
      <c r="F7" s="141">
        <v>329.51927260912765</v>
      </c>
      <c r="G7" s="141">
        <v>981.75440520367715</v>
      </c>
      <c r="H7" s="141">
        <v>417.7577328337228</v>
      </c>
      <c r="I7" s="141">
        <v>0</v>
      </c>
      <c r="J7" s="141">
        <v>0</v>
      </c>
      <c r="K7" s="141">
        <v>0</v>
      </c>
      <c r="L7" s="141">
        <v>0</v>
      </c>
      <c r="M7" s="141">
        <v>3.4939262388986125</v>
      </c>
      <c r="N7" s="141">
        <v>0</v>
      </c>
      <c r="O7" s="141">
        <v>0</v>
      </c>
      <c r="P7" s="141">
        <v>0</v>
      </c>
      <c r="Q7" s="141">
        <v>0</v>
      </c>
      <c r="R7" s="141">
        <v>58.758594969198633</v>
      </c>
      <c r="S7" s="141">
        <v>95.61373328303678</v>
      </c>
      <c r="T7" s="141">
        <v>66.381258497035731</v>
      </c>
      <c r="U7" s="141">
        <v>39.737610774766026</v>
      </c>
      <c r="V7" s="141">
        <v>23.333986301003613</v>
      </c>
      <c r="W7" s="141">
        <v>50.718941031897799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0.31206321203699405</v>
      </c>
      <c r="D8" s="141">
        <v>0.83476894723429296</v>
      </c>
      <c r="E8" s="141">
        <v>1.2585238103719401</v>
      </c>
      <c r="F8" s="141">
        <v>1.5358445431868204</v>
      </c>
      <c r="G8" s="141">
        <v>1.3539011738476281</v>
      </c>
      <c r="H8" s="141">
        <v>1.3088559992385496</v>
      </c>
      <c r="I8" s="141">
        <v>1.1879839646474104</v>
      </c>
      <c r="J8" s="141">
        <v>1.2626200870297248</v>
      </c>
      <c r="K8" s="141">
        <v>0.55300021602045546</v>
      </c>
      <c r="L8" s="141">
        <v>0.89432107864803789</v>
      </c>
      <c r="M8" s="141">
        <v>2.6357384073622447</v>
      </c>
      <c r="N8" s="141">
        <v>7.3565692256547877</v>
      </c>
      <c r="O8" s="141">
        <v>12.628901705808769</v>
      </c>
      <c r="P8" s="141">
        <v>26.532755769688428</v>
      </c>
      <c r="Q8" s="141">
        <v>100.98138411810949</v>
      </c>
      <c r="R8" s="141">
        <v>22.717901610773449</v>
      </c>
      <c r="S8" s="141">
        <v>21.949075528374298</v>
      </c>
      <c r="T8" s="141">
        <v>21.403204549248631</v>
      </c>
      <c r="U8" s="141">
        <v>24.258008984386453</v>
      </c>
      <c r="V8" s="141">
        <v>30.747220955058118</v>
      </c>
      <c r="W8" s="141">
        <v>21.769240636797438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122.97106708484064</v>
      </c>
      <c r="D9" s="141">
        <v>332.88246682886489</v>
      </c>
      <c r="E9" s="141">
        <v>535.15612720089246</v>
      </c>
      <c r="F9" s="141">
        <v>664.91142758915441</v>
      </c>
      <c r="G9" s="141">
        <v>582.11884441122356</v>
      </c>
      <c r="H9" s="141">
        <v>536.94914416619554</v>
      </c>
      <c r="I9" s="141">
        <v>364.06668066906724</v>
      </c>
      <c r="J9" s="141">
        <v>262.24897225022357</v>
      </c>
      <c r="K9" s="141">
        <v>86.354477004912852</v>
      </c>
      <c r="L9" s="141">
        <v>63.518227874552522</v>
      </c>
      <c r="M9" s="141">
        <v>22.07398432862016</v>
      </c>
      <c r="N9" s="141">
        <v>0</v>
      </c>
      <c r="O9" s="141">
        <v>0</v>
      </c>
      <c r="P9" s="141">
        <v>0</v>
      </c>
      <c r="Q9" s="141">
        <v>18.439042312938433</v>
      </c>
      <c r="R9" s="141">
        <v>0</v>
      </c>
      <c r="S9" s="141">
        <v>119.78062617263626</v>
      </c>
      <c r="T9" s="141">
        <v>147.8592743865143</v>
      </c>
      <c r="U9" s="141">
        <v>208.9213438973369</v>
      </c>
      <c r="V9" s="141">
        <v>118.8391775668255</v>
      </c>
      <c r="W9" s="141">
        <v>76.591031434969111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38.004164262543739</v>
      </c>
      <c r="O10" s="141">
        <v>7.3017091494750099</v>
      </c>
      <c r="P10" s="141">
        <v>3.6856668926158731</v>
      </c>
      <c r="Q10" s="141">
        <v>0.55927807137067642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352.39796319505859</v>
      </c>
      <c r="G11" s="141">
        <v>50.305380950077939</v>
      </c>
      <c r="H11" s="141">
        <v>9.7021663320685878</v>
      </c>
      <c r="I11" s="141">
        <v>0</v>
      </c>
      <c r="J11" s="141">
        <v>6.2958692497239621</v>
      </c>
      <c r="K11" s="141">
        <v>7.7493253891708713</v>
      </c>
      <c r="L11" s="141">
        <v>7.2038285423853035</v>
      </c>
      <c r="M11" s="141">
        <v>5.109926992165069</v>
      </c>
      <c r="N11" s="141">
        <v>0.52030441863055865</v>
      </c>
      <c r="O11" s="141">
        <v>1.0487586589818996</v>
      </c>
      <c r="P11" s="141">
        <v>1.3181747801465089</v>
      </c>
      <c r="Q11" s="141">
        <v>0</v>
      </c>
      <c r="R11" s="141">
        <v>0</v>
      </c>
      <c r="S11" s="141">
        <v>8.4586265367086462</v>
      </c>
      <c r="T11" s="141">
        <v>16.385846012499883</v>
      </c>
      <c r="U11" s="141">
        <v>17.180326934688665</v>
      </c>
      <c r="V11" s="141">
        <v>14.266108966331485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321.8973346962905</v>
      </c>
      <c r="D13" s="141">
        <v>529.11140655711756</v>
      </c>
      <c r="E13" s="141">
        <v>637.79601772516673</v>
      </c>
      <c r="F13" s="141">
        <v>761.12466382678235</v>
      </c>
      <c r="G13" s="141">
        <v>608.19328525102935</v>
      </c>
      <c r="H13" s="141">
        <v>1035.2648987342764</v>
      </c>
      <c r="I13" s="141">
        <v>1140.323144862461</v>
      </c>
      <c r="J13" s="141">
        <v>1013.3762497058052</v>
      </c>
      <c r="K13" s="141">
        <v>300.51716282963088</v>
      </c>
      <c r="L13" s="141">
        <v>363.29955224392626</v>
      </c>
      <c r="M13" s="141">
        <v>387.39185907762396</v>
      </c>
      <c r="N13" s="141">
        <v>527.69331066800316</v>
      </c>
      <c r="O13" s="141">
        <v>390.37705586274501</v>
      </c>
      <c r="P13" s="141">
        <v>503.35145987311415</v>
      </c>
      <c r="Q13" s="141">
        <v>611.3976311476622</v>
      </c>
      <c r="R13" s="141">
        <v>71.555994962402693</v>
      </c>
      <c r="S13" s="141">
        <v>533.89648011531017</v>
      </c>
      <c r="T13" s="141">
        <v>1004.5682601634392</v>
      </c>
      <c r="U13" s="141">
        <v>1083.2852434786839</v>
      </c>
      <c r="V13" s="141">
        <v>1159.1232653266914</v>
      </c>
      <c r="W13" s="141">
        <v>1118.7329387623688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924.34980911675723</v>
      </c>
      <c r="D14" s="142">
        <v>1491.3634647276895</v>
      </c>
      <c r="E14" s="142">
        <v>1804.258224107878</v>
      </c>
      <c r="F14" s="142">
        <v>2132.4534839711791</v>
      </c>
      <c r="G14" s="142">
        <v>950.97354980221826</v>
      </c>
      <c r="H14" s="142">
        <v>2618.1403482799706</v>
      </c>
      <c r="I14" s="142">
        <v>2061.4607613616704</v>
      </c>
      <c r="J14" s="142">
        <v>1125.3492212627846</v>
      </c>
      <c r="K14" s="142">
        <v>40.115924686483567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416.58231052498445</v>
      </c>
      <c r="S14" s="142">
        <v>438.70582352380177</v>
      </c>
      <c r="T14" s="142">
        <v>0</v>
      </c>
      <c r="U14" s="142">
        <v>0</v>
      </c>
      <c r="V14" s="142">
        <v>0</v>
      </c>
      <c r="W14" s="142">
        <v>25.103121776361725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2777.4495586842818</v>
      </c>
      <c r="D15" s="144">
        <f t="shared" si="3"/>
        <v>1260.6445873729003</v>
      </c>
      <c r="E15" s="144">
        <f t="shared" si="3"/>
        <v>1812.4810029074374</v>
      </c>
      <c r="F15" s="144">
        <f t="shared" si="3"/>
        <v>1348.3645079365274</v>
      </c>
      <c r="G15" s="144">
        <f t="shared" si="3"/>
        <v>1615.5325317388263</v>
      </c>
      <c r="H15" s="144">
        <f t="shared" si="3"/>
        <v>965.71789933122545</v>
      </c>
      <c r="I15" s="144">
        <f t="shared" si="3"/>
        <v>365.25466463371464</v>
      </c>
      <c r="J15" s="144">
        <f t="shared" si="3"/>
        <v>269.8074615869773</v>
      </c>
      <c r="K15" s="144">
        <f t="shared" si="3"/>
        <v>94.65680261010418</v>
      </c>
      <c r="L15" s="144">
        <f t="shared" si="3"/>
        <v>71.616377495585866</v>
      </c>
      <c r="M15" s="144">
        <f t="shared" si="3"/>
        <v>33.313575967046084</v>
      </c>
      <c r="N15" s="144">
        <f t="shared" si="3"/>
        <v>45.881037906829086</v>
      </c>
      <c r="O15" s="144">
        <f t="shared" si="3"/>
        <v>20.979369514265677</v>
      </c>
      <c r="P15" s="144">
        <f t="shared" si="3"/>
        <v>31.536597442450812</v>
      </c>
      <c r="Q15" s="144">
        <f t="shared" si="3"/>
        <v>119.9797045024186</v>
      </c>
      <c r="R15" s="144">
        <f t="shared" ref="R15:W15" si="4">SUM(R5:R12)</f>
        <v>81.476496579972078</v>
      </c>
      <c r="S15" s="144">
        <f t="shared" si="4"/>
        <v>245.80206152075598</v>
      </c>
      <c r="T15" s="144">
        <f t="shared" si="4"/>
        <v>252.02958344529856</v>
      </c>
      <c r="U15" s="144">
        <f t="shared" si="4"/>
        <v>290.09729059117802</v>
      </c>
      <c r="V15" s="144">
        <f t="shared" si="4"/>
        <v>187.1864937892187</v>
      </c>
      <c r="W15" s="144">
        <f t="shared" si="4"/>
        <v>149.07921310366436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4023.6967024973301</v>
      </c>
      <c r="D16" s="140">
        <f t="shared" si="5"/>
        <v>3281.1194586577076</v>
      </c>
      <c r="E16" s="140">
        <f t="shared" si="5"/>
        <v>4254.5352447404812</v>
      </c>
      <c r="F16" s="140">
        <f t="shared" si="5"/>
        <v>4241.9426557344887</v>
      </c>
      <c r="G16" s="140">
        <f t="shared" si="5"/>
        <v>3174.6993667920738</v>
      </c>
      <c r="H16" s="140">
        <f t="shared" si="5"/>
        <v>4619.1231463454724</v>
      </c>
      <c r="I16" s="140">
        <f t="shared" si="5"/>
        <v>3567.0385708578465</v>
      </c>
      <c r="J16" s="140">
        <f t="shared" si="5"/>
        <v>2408.5329325555667</v>
      </c>
      <c r="K16" s="140">
        <f t="shared" si="5"/>
        <v>435.28989012621861</v>
      </c>
      <c r="L16" s="140">
        <f t="shared" si="5"/>
        <v>434.91592973951214</v>
      </c>
      <c r="M16" s="140">
        <f t="shared" si="5"/>
        <v>420.70543504467003</v>
      </c>
      <c r="N16" s="140">
        <f t="shared" si="5"/>
        <v>573.57434857483236</v>
      </c>
      <c r="O16" s="140">
        <f t="shared" si="5"/>
        <v>411.35642537701074</v>
      </c>
      <c r="P16" s="140">
        <f t="shared" si="5"/>
        <v>534.88805731556499</v>
      </c>
      <c r="Q16" s="140">
        <f t="shared" si="5"/>
        <v>731.37733565008068</v>
      </c>
      <c r="R16" s="140">
        <f t="shared" ref="R16:W16" si="6">SUM(R17:R18)</f>
        <v>569.61480206735928</v>
      </c>
      <c r="S16" s="140">
        <f t="shared" si="6"/>
        <v>1218.4043651598677</v>
      </c>
      <c r="T16" s="140">
        <f t="shared" si="6"/>
        <v>1256.5978436087375</v>
      </c>
      <c r="U16" s="140">
        <f t="shared" si="6"/>
        <v>1373.3825340698618</v>
      </c>
      <c r="V16" s="140">
        <f t="shared" si="6"/>
        <v>1346.3097591159101</v>
      </c>
      <c r="W16" s="140">
        <f t="shared" si="6"/>
        <v>1292.9152736423946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2.9144548947166911</v>
      </c>
      <c r="D17" s="141">
        <v>7.3882348232778989</v>
      </c>
      <c r="E17" s="141">
        <v>0.65125755179921752</v>
      </c>
      <c r="F17" s="141">
        <v>27.875353797290046</v>
      </c>
      <c r="G17" s="141">
        <v>22.061807833547011</v>
      </c>
      <c r="H17" s="141">
        <v>25.621859570053505</v>
      </c>
      <c r="I17" s="141">
        <v>6.3748624653180347E-2</v>
      </c>
      <c r="J17" s="141">
        <v>17.740369624985888</v>
      </c>
      <c r="K17" s="141">
        <v>6.2810153206107069</v>
      </c>
      <c r="L17" s="141">
        <v>8.5146622740188977</v>
      </c>
      <c r="M17" s="141">
        <v>9.8887579939721775</v>
      </c>
      <c r="N17" s="141">
        <v>6.5639592365068644</v>
      </c>
      <c r="O17" s="141">
        <v>16.551070427877704</v>
      </c>
      <c r="P17" s="141">
        <v>20.608432677239602</v>
      </c>
      <c r="Q17" s="141">
        <v>20.182816402228074</v>
      </c>
      <c r="R17" s="141">
        <v>12.537854383679623</v>
      </c>
      <c r="S17" s="141">
        <v>33.272451717664637</v>
      </c>
      <c r="T17" s="141">
        <v>57.845486136261663</v>
      </c>
      <c r="U17" s="141">
        <v>37.938797533251304</v>
      </c>
      <c r="V17" s="141">
        <v>72.651878024448834</v>
      </c>
      <c r="W17" s="141">
        <v>33.737369055655407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4020.7822476026136</v>
      </c>
      <c r="D18" s="141">
        <v>3273.7312238344298</v>
      </c>
      <c r="E18" s="141">
        <v>4253.8839871886821</v>
      </c>
      <c r="F18" s="141">
        <v>4214.0673019371989</v>
      </c>
      <c r="G18" s="141">
        <v>3152.6375589585268</v>
      </c>
      <c r="H18" s="141">
        <v>4593.5012867754185</v>
      </c>
      <c r="I18" s="141">
        <v>3566.9748222331932</v>
      </c>
      <c r="J18" s="141">
        <v>2390.792562930581</v>
      </c>
      <c r="K18" s="141">
        <v>429.00887480560789</v>
      </c>
      <c r="L18" s="141">
        <v>426.40126746549322</v>
      </c>
      <c r="M18" s="141">
        <v>410.81667705069788</v>
      </c>
      <c r="N18" s="141">
        <v>567.01038933832547</v>
      </c>
      <c r="O18" s="141">
        <v>394.80535494913306</v>
      </c>
      <c r="P18" s="141">
        <v>514.27962463832534</v>
      </c>
      <c r="Q18" s="141">
        <v>711.19451924785255</v>
      </c>
      <c r="R18" s="141">
        <v>557.07694768367969</v>
      </c>
      <c r="S18" s="141">
        <v>1185.1319134422031</v>
      </c>
      <c r="T18" s="141">
        <v>1198.752357472476</v>
      </c>
      <c r="U18" s="141">
        <v>1335.4437365366105</v>
      </c>
      <c r="V18" s="141">
        <v>1273.6578810914611</v>
      </c>
      <c r="W18" s="141">
        <v>1259.1779045867393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4023.6967024973301</v>
      </c>
      <c r="D19" s="140">
        <f t="shared" si="7"/>
        <v>3281.119458657708</v>
      </c>
      <c r="E19" s="140">
        <f t="shared" si="7"/>
        <v>4254.5352447404812</v>
      </c>
      <c r="F19" s="140">
        <f t="shared" si="7"/>
        <v>4241.9426557344887</v>
      </c>
      <c r="G19" s="140">
        <f t="shared" si="7"/>
        <v>3174.6993667920742</v>
      </c>
      <c r="H19" s="140">
        <f t="shared" si="7"/>
        <v>4619.1231463454715</v>
      </c>
      <c r="I19" s="140">
        <f t="shared" si="7"/>
        <v>3567.0385708578465</v>
      </c>
      <c r="J19" s="140">
        <f t="shared" si="7"/>
        <v>2408.5329325555667</v>
      </c>
      <c r="K19" s="140">
        <f t="shared" si="7"/>
        <v>435.28989012621861</v>
      </c>
      <c r="L19" s="140">
        <f t="shared" si="7"/>
        <v>434.91592973951208</v>
      </c>
      <c r="M19" s="140">
        <f t="shared" si="7"/>
        <v>420.70543504467014</v>
      </c>
      <c r="N19" s="140">
        <f t="shared" si="7"/>
        <v>573.57434857483236</v>
      </c>
      <c r="O19" s="140">
        <f t="shared" si="7"/>
        <v>411.35642537701074</v>
      </c>
      <c r="P19" s="140">
        <f t="shared" si="7"/>
        <v>534.88805731556488</v>
      </c>
      <c r="Q19" s="140">
        <f t="shared" si="7"/>
        <v>731.37733565008079</v>
      </c>
      <c r="R19" s="140">
        <f t="shared" ref="R19:W19" si="8">SUM(R20:R26)</f>
        <v>569.61480206735928</v>
      </c>
      <c r="S19" s="140">
        <f t="shared" si="8"/>
        <v>1218.4043651598679</v>
      </c>
      <c r="T19" s="140">
        <f t="shared" si="8"/>
        <v>1256.5978436087375</v>
      </c>
      <c r="U19" s="140">
        <f t="shared" si="8"/>
        <v>1373.382534069862</v>
      </c>
      <c r="V19" s="140">
        <f t="shared" si="8"/>
        <v>1346.3097591159103</v>
      </c>
      <c r="W19" s="140">
        <f t="shared" si="8"/>
        <v>1292.9152736423948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57.078914894919691</v>
      </c>
      <c r="D21" s="141">
        <v>46.333807180826931</v>
      </c>
      <c r="E21" s="141">
        <v>63.271802431377793</v>
      </c>
      <c r="F21" s="141">
        <v>83.03611154910827</v>
      </c>
      <c r="G21" s="141">
        <v>94.662597128341616</v>
      </c>
      <c r="H21" s="141">
        <v>138.11195492600237</v>
      </c>
      <c r="I21" s="141">
        <v>125.12316331474116</v>
      </c>
      <c r="J21" s="141">
        <v>64.495833394980295</v>
      </c>
      <c r="K21" s="141">
        <v>9.4675634502054198</v>
      </c>
      <c r="L21" s="141">
        <v>12.15058414806402</v>
      </c>
      <c r="M21" s="141">
        <v>10.022670587461498</v>
      </c>
      <c r="N21" s="141">
        <v>13.198245125902668</v>
      </c>
      <c r="O21" s="141">
        <v>9.2167424936354898</v>
      </c>
      <c r="P21" s="141">
        <v>19.73303971715044</v>
      </c>
      <c r="Q21" s="141">
        <v>34.695410586266313</v>
      </c>
      <c r="R21" s="141">
        <v>36.512275130081264</v>
      </c>
      <c r="S21" s="141">
        <v>65.297059642947843</v>
      </c>
      <c r="T21" s="141">
        <v>41.879372418871668</v>
      </c>
      <c r="U21" s="141">
        <v>35.675539571401067</v>
      </c>
      <c r="V21" s="141">
        <v>41.407489460096848</v>
      </c>
      <c r="W21" s="141">
        <v>39.874291857475903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159.12399024740961</v>
      </c>
      <c r="D22" s="141">
        <v>139.07983389170153</v>
      </c>
      <c r="E22" s="141">
        <v>162.7424195742874</v>
      </c>
      <c r="F22" s="141">
        <v>162.19420024514679</v>
      </c>
      <c r="G22" s="141">
        <v>139.7133322079311</v>
      </c>
      <c r="H22" s="141">
        <v>179.27958604427002</v>
      </c>
      <c r="I22" s="141">
        <v>136.80051728465708</v>
      </c>
      <c r="J22" s="141">
        <v>75.061483195725714</v>
      </c>
      <c r="K22" s="141">
        <v>11.725957006703297</v>
      </c>
      <c r="L22" s="141">
        <v>18.681056393654835</v>
      </c>
      <c r="M22" s="141">
        <v>18.161671984934145</v>
      </c>
      <c r="N22" s="141">
        <v>22.529623466335586</v>
      </c>
      <c r="O22" s="141">
        <v>19.336450055686555</v>
      </c>
      <c r="P22" s="141">
        <v>29.338736477632278</v>
      </c>
      <c r="Q22" s="141">
        <v>34.923656933881716</v>
      </c>
      <c r="R22" s="141">
        <v>21.137365384637285</v>
      </c>
      <c r="S22" s="141">
        <v>26.30411054737548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134.3667703011144</v>
      </c>
      <c r="D23" s="141">
        <v>149.04331501355293</v>
      </c>
      <c r="E23" s="141">
        <v>230.30748774833978</v>
      </c>
      <c r="F23" s="141">
        <v>286.14661358828454</v>
      </c>
      <c r="G23" s="141">
        <v>381.7916351981433</v>
      </c>
      <c r="H23" s="141">
        <v>462.11722008630164</v>
      </c>
      <c r="I23" s="141">
        <v>386.4171759112441</v>
      </c>
      <c r="J23" s="141">
        <v>228.61397055576208</v>
      </c>
      <c r="K23" s="141">
        <v>47.045821321537048</v>
      </c>
      <c r="L23" s="141">
        <v>79.274137771404654</v>
      </c>
      <c r="M23" s="141">
        <v>44.905340136797378</v>
      </c>
      <c r="N23" s="141">
        <v>35.574412570670376</v>
      </c>
      <c r="O23" s="141">
        <v>18.626033139110316</v>
      </c>
      <c r="P23" s="141">
        <v>12.972134142866349</v>
      </c>
      <c r="Q23" s="141">
        <v>39.785037756572898</v>
      </c>
      <c r="R23" s="141">
        <v>31.351152171346033</v>
      </c>
      <c r="S23" s="141">
        <v>99.048244854280881</v>
      </c>
      <c r="T23" s="141">
        <v>123.46095434940661</v>
      </c>
      <c r="U23" s="141">
        <v>149.93181701726496</v>
      </c>
      <c r="V23" s="141">
        <v>162.08155501920965</v>
      </c>
      <c r="W23" s="141">
        <v>152.23380016509407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3673.1270270538862</v>
      </c>
      <c r="D26" s="142">
        <v>2946.6625025716266</v>
      </c>
      <c r="E26" s="142">
        <v>3798.2135349864766</v>
      </c>
      <c r="F26" s="142">
        <v>3710.5657303519492</v>
      </c>
      <c r="G26" s="142">
        <v>2558.531802257658</v>
      </c>
      <c r="H26" s="142">
        <v>3839.6143852888977</v>
      </c>
      <c r="I26" s="142">
        <v>2918.6977143472041</v>
      </c>
      <c r="J26" s="142">
        <v>2040.3616454090989</v>
      </c>
      <c r="K26" s="142">
        <v>367.05054834777286</v>
      </c>
      <c r="L26" s="142">
        <v>324.81015142638859</v>
      </c>
      <c r="M26" s="142">
        <v>347.61575233547711</v>
      </c>
      <c r="N26" s="142">
        <v>502.27206741192367</v>
      </c>
      <c r="O26" s="142">
        <v>364.17719968857836</v>
      </c>
      <c r="P26" s="142">
        <v>472.84414697791578</v>
      </c>
      <c r="Q26" s="142">
        <v>621.97323037335991</v>
      </c>
      <c r="R26" s="142">
        <v>480.61400938129469</v>
      </c>
      <c r="S26" s="142">
        <v>1027.7549501152637</v>
      </c>
      <c r="T26" s="142">
        <v>1091.2575168404592</v>
      </c>
      <c r="U26" s="142">
        <v>1187.7751774811959</v>
      </c>
      <c r="V26" s="142">
        <v>1142.8207146366037</v>
      </c>
      <c r="W26" s="142">
        <v>1100.8071816198249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237.80069787082499</v>
      </c>
      <c r="D27" s="151">
        <v>265.29846856388895</v>
      </c>
      <c r="E27" s="151">
        <v>398.79531950607895</v>
      </c>
      <c r="F27" s="151">
        <v>453.65732729677524</v>
      </c>
      <c r="G27" s="151">
        <v>1.3166385385131156</v>
      </c>
      <c r="H27" s="151">
        <v>611.0228528486158</v>
      </c>
      <c r="I27" s="151">
        <v>835.14860990189698</v>
      </c>
      <c r="J27" s="151">
        <v>1003.5592218876808</v>
      </c>
      <c r="K27" s="151">
        <v>378.82508322563075</v>
      </c>
      <c r="L27" s="151">
        <v>119.44032687677894</v>
      </c>
      <c r="M27" s="151">
        <v>182.25293322725366</v>
      </c>
      <c r="N27" s="151">
        <v>232.40920239718793</v>
      </c>
      <c r="O27" s="151">
        <v>364.19457267741484</v>
      </c>
      <c r="P27" s="151">
        <v>163.85556051549906</v>
      </c>
      <c r="Q27" s="151">
        <v>231.99812427927893</v>
      </c>
      <c r="R27" s="151">
        <v>488.68270728602158</v>
      </c>
      <c r="S27" s="151">
        <v>497.65884156402086</v>
      </c>
      <c r="T27" s="151">
        <v>491.26364960674817</v>
      </c>
      <c r="U27" s="151">
        <v>558.75894378946566</v>
      </c>
      <c r="V27" s="151">
        <v>1159.8984815791814</v>
      </c>
      <c r="W27" s="151">
        <v>603.95094483388414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4023.6967024973301</v>
      </c>
      <c r="D29" s="140">
        <f t="shared" si="9"/>
        <v>3281.1194586577076</v>
      </c>
      <c r="E29" s="140">
        <f t="shared" si="9"/>
        <v>4254.5352447404821</v>
      </c>
      <c r="F29" s="140">
        <f t="shared" si="9"/>
        <v>4241.9426557344887</v>
      </c>
      <c r="G29" s="140">
        <f t="shared" si="9"/>
        <v>3174.6993667920738</v>
      </c>
      <c r="H29" s="140">
        <f t="shared" si="9"/>
        <v>4619.1231463454724</v>
      </c>
      <c r="I29" s="140">
        <f t="shared" si="9"/>
        <v>3567.038570857846</v>
      </c>
      <c r="J29" s="140">
        <f t="shared" si="9"/>
        <v>2408.5329325555676</v>
      </c>
      <c r="K29" s="140">
        <f t="shared" si="9"/>
        <v>435.28989012621861</v>
      </c>
      <c r="L29" s="140">
        <f t="shared" si="9"/>
        <v>434.91592973951214</v>
      </c>
      <c r="M29" s="140">
        <f t="shared" si="9"/>
        <v>420.70543504467003</v>
      </c>
      <c r="N29" s="140">
        <f t="shared" si="9"/>
        <v>573.57434857483224</v>
      </c>
      <c r="O29" s="140">
        <f t="shared" si="9"/>
        <v>411.35642537701074</v>
      </c>
      <c r="P29" s="140">
        <f t="shared" si="9"/>
        <v>534.88805731556488</v>
      </c>
      <c r="Q29" s="140">
        <f t="shared" si="9"/>
        <v>731.37733565008079</v>
      </c>
      <c r="R29" s="140">
        <f t="shared" ref="R29:W29" si="10">SUM(R30:R33)</f>
        <v>569.61480206735928</v>
      </c>
      <c r="S29" s="140">
        <f t="shared" si="10"/>
        <v>1218.4043651598681</v>
      </c>
      <c r="T29" s="140">
        <f t="shared" si="10"/>
        <v>1256.5978436087375</v>
      </c>
      <c r="U29" s="140">
        <f t="shared" si="10"/>
        <v>1373.382534069862</v>
      </c>
      <c r="V29" s="140">
        <f t="shared" si="10"/>
        <v>1346.3097591159101</v>
      </c>
      <c r="W29" s="140">
        <f t="shared" si="10"/>
        <v>1292.9152736423948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4.6889511508031951</v>
      </c>
      <c r="D30" s="141">
        <v>143.9208002545812</v>
      </c>
      <c r="E30" s="141">
        <v>580.61343944927216</v>
      </c>
      <c r="F30" s="141">
        <v>1007.0149554870462</v>
      </c>
      <c r="G30" s="141">
        <v>359.15080506794078</v>
      </c>
      <c r="H30" s="141">
        <v>259.33992670455746</v>
      </c>
      <c r="I30" s="141">
        <v>22.912310879876962</v>
      </c>
      <c r="J30" s="141">
        <v>156.57293809341422</v>
      </c>
      <c r="K30" s="141">
        <v>28.542209250458832</v>
      </c>
      <c r="L30" s="141">
        <v>47.915029395397937</v>
      </c>
      <c r="M30" s="141">
        <v>186.17315735844971</v>
      </c>
      <c r="N30" s="141">
        <v>152.71227808834368</v>
      </c>
      <c r="O30" s="141">
        <v>22.615875152579022</v>
      </c>
      <c r="P30" s="141">
        <v>0</v>
      </c>
      <c r="Q30" s="141">
        <v>63.888652781554882</v>
      </c>
      <c r="R30" s="141">
        <v>85.898716183921778</v>
      </c>
      <c r="S30" s="141">
        <v>117.72759884599243</v>
      </c>
      <c r="T30" s="141">
        <v>173.29552348444051</v>
      </c>
      <c r="U30" s="141">
        <v>192.62875395058393</v>
      </c>
      <c r="V30" s="141">
        <v>87.639836919603155</v>
      </c>
      <c r="W30" s="141">
        <v>217.53844953656238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59.41255971106068</v>
      </c>
      <c r="D31" s="141">
        <v>113.70934850073994</v>
      </c>
      <c r="E31" s="141">
        <v>177.67737402209471</v>
      </c>
      <c r="F31" s="141">
        <v>212.98526183991339</v>
      </c>
      <c r="G31" s="141">
        <v>202.36635749193704</v>
      </c>
      <c r="H31" s="141">
        <v>241.4974922956564</v>
      </c>
      <c r="I31" s="141">
        <v>214.58992058585585</v>
      </c>
      <c r="J31" s="141">
        <v>164.99722617560474</v>
      </c>
      <c r="K31" s="141">
        <v>36.689474842004977</v>
      </c>
      <c r="L31" s="141">
        <v>62.186176532992945</v>
      </c>
      <c r="M31" s="141">
        <v>75.122879916296213</v>
      </c>
      <c r="N31" s="141">
        <v>43.122379063382688</v>
      </c>
      <c r="O31" s="141">
        <v>24.382968693117924</v>
      </c>
      <c r="P31" s="141">
        <v>34.43204983565591</v>
      </c>
      <c r="Q31" s="141">
        <v>46.160913352313884</v>
      </c>
      <c r="R31" s="141">
        <v>32.478605124720325</v>
      </c>
      <c r="S31" s="141">
        <v>69.338094184284884</v>
      </c>
      <c r="T31" s="141">
        <v>90.581136227155255</v>
      </c>
      <c r="U31" s="141">
        <v>126.52429642230354</v>
      </c>
      <c r="V31" s="141">
        <v>154.33393299935435</v>
      </c>
      <c r="W31" s="141">
        <v>113.66953806032242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3959.5951916354661</v>
      </c>
      <c r="D33" s="153">
        <v>3023.4893099023866</v>
      </c>
      <c r="E33" s="153">
        <v>3496.244431269115</v>
      </c>
      <c r="F33" s="153">
        <v>3021.9424384075292</v>
      </c>
      <c r="G33" s="153">
        <v>2613.182204232196</v>
      </c>
      <c r="H33" s="153">
        <v>4118.2857273452582</v>
      </c>
      <c r="I33" s="153">
        <v>3329.5363393921134</v>
      </c>
      <c r="J33" s="153">
        <v>2086.9627682865485</v>
      </c>
      <c r="K33" s="153">
        <v>370.0582060337548</v>
      </c>
      <c r="L33" s="153">
        <v>324.81472381112127</v>
      </c>
      <c r="M33" s="153">
        <v>159.40939776992414</v>
      </c>
      <c r="N33" s="153">
        <v>377.73969142310585</v>
      </c>
      <c r="O33" s="153">
        <v>364.35758153131377</v>
      </c>
      <c r="P33" s="153">
        <v>500.45600747990892</v>
      </c>
      <c r="Q33" s="153">
        <v>621.32776951621202</v>
      </c>
      <c r="R33" s="153">
        <v>451.2374807587172</v>
      </c>
      <c r="S33" s="153">
        <v>1031.3386721295908</v>
      </c>
      <c r="T33" s="153">
        <v>992.72118389714183</v>
      </c>
      <c r="U33" s="153">
        <v>1054.2294836969745</v>
      </c>
      <c r="V33" s="153">
        <v>1104.3359891969526</v>
      </c>
      <c r="W33" s="153">
        <v>961.70728604551005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51.322547691084836</v>
      </c>
      <c r="D3" s="126">
        <f t="shared" si="0"/>
        <v>38.909577479847137</v>
      </c>
      <c r="E3" s="126">
        <f t="shared" si="0"/>
        <v>53.647446074060468</v>
      </c>
      <c r="F3" s="126">
        <f t="shared" si="0"/>
        <v>54.353896227538911</v>
      </c>
      <c r="G3" s="126">
        <f t="shared" si="0"/>
        <v>43.37379630123813</v>
      </c>
      <c r="H3" s="126">
        <f t="shared" si="0"/>
        <v>60.19732415576371</v>
      </c>
      <c r="I3" s="126">
        <f t="shared" si="0"/>
        <v>44.934490080587693</v>
      </c>
      <c r="J3" s="126">
        <f t="shared" si="0"/>
        <v>29.252343062272907</v>
      </c>
      <c r="K3" s="126">
        <f t="shared" si="0"/>
        <v>4.2607747488390793</v>
      </c>
      <c r="L3" s="126">
        <f t="shared" si="0"/>
        <v>4.2345462094018504</v>
      </c>
      <c r="M3" s="126">
        <f t="shared" si="0"/>
        <v>3.7023952421964359</v>
      </c>
      <c r="N3" s="126">
        <f t="shared" si="0"/>
        <v>6.0350601794231542</v>
      </c>
      <c r="O3" s="126">
        <f t="shared" si="0"/>
        <v>3.2225703303422204</v>
      </c>
      <c r="P3" s="126">
        <f t="shared" si="0"/>
        <v>4.3577949944259711</v>
      </c>
      <c r="Q3" s="126">
        <f t="shared" si="0"/>
        <v>6.1314269594593505</v>
      </c>
      <c r="R3" s="126">
        <f t="shared" ref="R3:W3" si="1">SUM(R4,R16,R19,R29)</f>
        <v>7.1516072353769502</v>
      </c>
      <c r="S3" s="126">
        <f t="shared" si="1"/>
        <v>12.462839264738516</v>
      </c>
      <c r="T3" s="126">
        <f t="shared" si="1"/>
        <v>10.19378188681115</v>
      </c>
      <c r="U3" s="126">
        <f t="shared" si="1"/>
        <v>11.131320472624008</v>
      </c>
      <c r="V3" s="126">
        <f t="shared" si="1"/>
        <v>8.67567988615491</v>
      </c>
      <c r="W3" s="126">
        <f t="shared" si="1"/>
        <v>8.9745521176099139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20.682779911966112</v>
      </c>
      <c r="D4" s="131">
        <f t="shared" si="2"/>
        <v>14.084116487081637</v>
      </c>
      <c r="E4" s="131">
        <f t="shared" si="2"/>
        <v>20.355342211234721</v>
      </c>
      <c r="F4" s="131">
        <f t="shared" si="2"/>
        <v>21.31803388783533</v>
      </c>
      <c r="G4" s="131">
        <f t="shared" si="2"/>
        <v>18.601623295855315</v>
      </c>
      <c r="H4" s="131">
        <f t="shared" si="2"/>
        <v>25.406269721528787</v>
      </c>
      <c r="I4" s="131">
        <f t="shared" si="2"/>
        <v>17.620962680421041</v>
      </c>
      <c r="J4" s="131">
        <f t="shared" si="2"/>
        <v>11.439416881091887</v>
      </c>
      <c r="K4" s="131">
        <f t="shared" si="2"/>
        <v>1.4084950873976076</v>
      </c>
      <c r="L4" s="131">
        <f t="shared" si="2"/>
        <v>0.83315161348198929</v>
      </c>
      <c r="M4" s="131">
        <f t="shared" si="2"/>
        <v>0.62366989792814931</v>
      </c>
      <c r="N4" s="131">
        <f t="shared" si="2"/>
        <v>1.0334985843873075</v>
      </c>
      <c r="O4" s="131">
        <f t="shared" si="2"/>
        <v>0.43170991158330063</v>
      </c>
      <c r="P4" s="131">
        <f t="shared" si="2"/>
        <v>0.54815864633477107</v>
      </c>
      <c r="Q4" s="131">
        <f t="shared" si="2"/>
        <v>0.98920654007711439</v>
      </c>
      <c r="R4" s="131">
        <f t="shared" ref="R4:W4" si="3">SUM(R5:R15)</f>
        <v>3.3754595567012649</v>
      </c>
      <c r="S4" s="131">
        <f t="shared" si="3"/>
        <v>4.2673190635202962</v>
      </c>
      <c r="T4" s="131">
        <f t="shared" si="3"/>
        <v>2.0501703777950269</v>
      </c>
      <c r="U4" s="131">
        <f t="shared" si="3"/>
        <v>2.343912558033066</v>
      </c>
      <c r="V4" s="131">
        <f t="shared" si="3"/>
        <v>1.5825127850169272</v>
      </c>
      <c r="W4" s="131">
        <f t="shared" si="3"/>
        <v>1.3546083947642369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15.639093650612264</v>
      </c>
      <c r="D7" s="133">
        <v>5.5831558142660089</v>
      </c>
      <c r="E7" s="133">
        <v>8.1373222523701454</v>
      </c>
      <c r="F7" s="133">
        <v>2.098600445928744</v>
      </c>
      <c r="G7" s="133">
        <v>7.8716454931497672</v>
      </c>
      <c r="H7" s="133">
        <v>3.5570240690570043</v>
      </c>
      <c r="I7" s="133">
        <v>0</v>
      </c>
      <c r="J7" s="133">
        <v>0</v>
      </c>
      <c r="K7" s="133">
        <v>0</v>
      </c>
      <c r="L7" s="133">
        <v>0</v>
      </c>
      <c r="M7" s="133">
        <v>2.2340467121052497E-2</v>
      </c>
      <c r="N7" s="133">
        <v>0</v>
      </c>
      <c r="O7" s="133">
        <v>0</v>
      </c>
      <c r="P7" s="133">
        <v>0</v>
      </c>
      <c r="Q7" s="133">
        <v>0</v>
      </c>
      <c r="R7" s="133">
        <v>0.50555253439897641</v>
      </c>
      <c r="S7" s="133">
        <v>0.42685251290086978</v>
      </c>
      <c r="T7" s="133">
        <v>0.30716987903634607</v>
      </c>
      <c r="U7" s="133">
        <v>0.20856822794413679</v>
      </c>
      <c r="V7" s="133">
        <v>0.11756223307345155</v>
      </c>
      <c r="W7" s="133">
        <v>0.19417882766398867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6.0710270313107191E-4</v>
      </c>
      <c r="D8" s="133">
        <v>1.6007261180795219E-3</v>
      </c>
      <c r="E8" s="133">
        <v>2.5314370445004273E-3</v>
      </c>
      <c r="F8" s="133">
        <v>3.4161971719981251E-3</v>
      </c>
      <c r="G8" s="133">
        <v>3.4527772521823334E-3</v>
      </c>
      <c r="H8" s="133">
        <v>3.1670374649294367E-3</v>
      </c>
      <c r="I8" s="133">
        <v>2.6705588067826363E-3</v>
      </c>
      <c r="J8" s="133">
        <v>2.6419376234492042E-3</v>
      </c>
      <c r="K8" s="133">
        <v>9.9880355930627007E-4</v>
      </c>
      <c r="L8" s="133">
        <v>1.2439902724759033E-3</v>
      </c>
      <c r="M8" s="133">
        <v>2.7430992145181109E-3</v>
      </c>
      <c r="N8" s="133">
        <v>4.9820780444248649E-3</v>
      </c>
      <c r="O8" s="133">
        <v>1.0030503747473395E-2</v>
      </c>
      <c r="P8" s="133">
        <v>3.0275912436922743E-2</v>
      </c>
      <c r="Q8" s="133">
        <v>0.17589359195165447</v>
      </c>
      <c r="R8" s="133">
        <v>3.3265887008191539E-2</v>
      </c>
      <c r="S8" s="133">
        <v>2.8396474690956866E-2</v>
      </c>
      <c r="T8" s="133">
        <v>2.5605644007913816E-2</v>
      </c>
      <c r="U8" s="133">
        <v>2.6367211765580861E-2</v>
      </c>
      <c r="V8" s="133">
        <v>3.1923262461497397E-2</v>
      </c>
      <c r="W8" s="133">
        <v>1.9260658502613458E-2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0.53350093929577247</v>
      </c>
      <c r="D9" s="133">
        <v>1.416923693124934</v>
      </c>
      <c r="E9" s="133">
        <v>2.6768308976645319</v>
      </c>
      <c r="F9" s="133">
        <v>3.9335595866691651</v>
      </c>
      <c r="G9" s="133">
        <v>4.2793685002814508</v>
      </c>
      <c r="H9" s="133">
        <v>4.0089344918026812</v>
      </c>
      <c r="I9" s="133">
        <v>2.5675235586689493</v>
      </c>
      <c r="J9" s="133">
        <v>2.0167370242930023</v>
      </c>
      <c r="K9" s="133">
        <v>0.61508759046582706</v>
      </c>
      <c r="L9" s="133">
        <v>0.33587365321090945</v>
      </c>
      <c r="M9" s="133">
        <v>0.15697497237096045</v>
      </c>
      <c r="N9" s="133">
        <v>0</v>
      </c>
      <c r="O9" s="133">
        <v>0</v>
      </c>
      <c r="P9" s="133">
        <v>0</v>
      </c>
      <c r="Q9" s="133">
        <v>0.12130473073959518</v>
      </c>
      <c r="R9" s="133">
        <v>0</v>
      </c>
      <c r="S9" s="133">
        <v>0.64624268839232013</v>
      </c>
      <c r="T9" s="133">
        <v>0.71774993552863631</v>
      </c>
      <c r="U9" s="133">
        <v>1.098769287314735</v>
      </c>
      <c r="V9" s="133">
        <v>0.4947885211399205</v>
      </c>
      <c r="W9" s="133">
        <v>0.28328286501497513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0.42833317729086329</v>
      </c>
      <c r="O10" s="133">
        <v>4.3596230285793465E-2</v>
      </c>
      <c r="P10" s="133">
        <v>1.5968082939478757E-2</v>
      </c>
      <c r="Q10" s="133">
        <v>7.0075289850465164E-3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2.0118009145973041</v>
      </c>
      <c r="G11" s="133">
        <v>0.22185142467403804</v>
      </c>
      <c r="H11" s="133">
        <v>4.0935220244325353E-2</v>
      </c>
      <c r="I11" s="133">
        <v>0</v>
      </c>
      <c r="J11" s="133">
        <v>2.5199792690669374E-2</v>
      </c>
      <c r="K11" s="133">
        <v>3.3797402137980423E-2</v>
      </c>
      <c r="L11" s="133">
        <v>2.6988839772099902E-2</v>
      </c>
      <c r="M11" s="133">
        <v>1.7497555416757571E-2</v>
      </c>
      <c r="N11" s="133">
        <v>1.7515042233051206E-3</v>
      </c>
      <c r="O11" s="133">
        <v>3.3118184136162799E-3</v>
      </c>
      <c r="P11" s="133">
        <v>4.6229598672931672E-3</v>
      </c>
      <c r="Q11" s="133">
        <v>0</v>
      </c>
      <c r="R11" s="133">
        <v>0</v>
      </c>
      <c r="S11" s="133">
        <v>3.0190864319166975E-2</v>
      </c>
      <c r="T11" s="133">
        <v>5.5963100790088566E-2</v>
      </c>
      <c r="U11" s="133">
        <v>7.6586939448205452E-2</v>
      </c>
      <c r="V11" s="133">
        <v>2.1381587397315275E-2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0.57903798082424762</v>
      </c>
      <c r="D13" s="133">
        <v>0.90965579852794798</v>
      </c>
      <c r="E13" s="133">
        <v>1.1025783764261576</v>
      </c>
      <c r="F13" s="133">
        <v>1.5096931999672607</v>
      </c>
      <c r="G13" s="133">
        <v>1.0907378961629817</v>
      </c>
      <c r="H13" s="133">
        <v>1.9016570244465834</v>
      </c>
      <c r="I13" s="133">
        <v>2.152669952874481</v>
      </c>
      <c r="J13" s="133">
        <v>1.784365906408012</v>
      </c>
      <c r="K13" s="133">
        <v>0.47497532722015268</v>
      </c>
      <c r="L13" s="133">
        <v>0.46580172347317667</v>
      </c>
      <c r="M13" s="133">
        <v>0.42236583614095341</v>
      </c>
      <c r="N13" s="133">
        <v>0.59667513083871093</v>
      </c>
      <c r="O13" s="133">
        <v>0.37448689567214444</v>
      </c>
      <c r="P13" s="133">
        <v>0.49689920938622667</v>
      </c>
      <c r="Q13" s="133">
        <v>0.68189064338553507</v>
      </c>
      <c r="R13" s="133">
        <v>7.645187953297844E-2</v>
      </c>
      <c r="S13" s="133">
        <v>0.52268011883822163</v>
      </c>
      <c r="T13" s="133">
        <v>0.93292032795070523</v>
      </c>
      <c r="U13" s="133">
        <v>0.91987557753702487</v>
      </c>
      <c r="V13" s="133">
        <v>0.91023889182765694</v>
      </c>
      <c r="W13" s="133">
        <v>0.76835022013119636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3.7937415150949287</v>
      </c>
      <c r="D14" s="65">
        <v>6.1125654602375317</v>
      </c>
      <c r="E14" s="65">
        <v>8.3430102096343663</v>
      </c>
      <c r="F14" s="65">
        <v>11.69828455334579</v>
      </c>
      <c r="G14" s="65">
        <v>5.0285529824009787</v>
      </c>
      <c r="H14" s="65">
        <v>15.827589322064325</v>
      </c>
      <c r="I14" s="65">
        <v>12.874112673169396</v>
      </c>
      <c r="J14" s="65">
        <v>7.5915620662218002</v>
      </c>
      <c r="K14" s="65">
        <v>0.27776958876054175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2.7548810746002528</v>
      </c>
      <c r="S14" s="65">
        <v>2.6018386415353878</v>
      </c>
      <c r="T14" s="65">
        <v>0</v>
      </c>
      <c r="U14" s="65">
        <v>0</v>
      </c>
      <c r="V14" s="65">
        <v>0</v>
      </c>
      <c r="W14" s="65">
        <v>8.4494813228933804E-2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0.13679872343576616</v>
      </c>
      <c r="D15" s="135">
        <v>6.0214994807136997E-2</v>
      </c>
      <c r="E15" s="135">
        <v>9.3069038095021997E-2</v>
      </c>
      <c r="F15" s="135">
        <v>6.2678990155065784E-2</v>
      </c>
      <c r="G15" s="135">
        <v>0.10601422193391978</v>
      </c>
      <c r="H15" s="135">
        <v>6.6962556448940322E-2</v>
      </c>
      <c r="I15" s="135">
        <v>2.3985936901431353E-2</v>
      </c>
      <c r="J15" s="135">
        <v>1.8910153854954054E-2</v>
      </c>
      <c r="K15" s="135">
        <v>5.8663752537993826E-3</v>
      </c>
      <c r="L15" s="135">
        <v>3.2434067533273878E-3</v>
      </c>
      <c r="M15" s="135">
        <v>1.7479676639072768E-3</v>
      </c>
      <c r="N15" s="135">
        <v>1.7566939900034153E-3</v>
      </c>
      <c r="O15" s="135">
        <v>2.8446346427309159E-4</v>
      </c>
      <c r="P15" s="135">
        <v>3.9248170484969811E-4</v>
      </c>
      <c r="Q15" s="135">
        <v>3.1100450152831967E-3</v>
      </c>
      <c r="R15" s="135">
        <v>5.3081811608658592E-3</v>
      </c>
      <c r="S15" s="135">
        <v>1.1117762843372734E-2</v>
      </c>
      <c r="T15" s="135">
        <v>1.076149048133704E-2</v>
      </c>
      <c r="U15" s="135">
        <v>1.3745314023382801E-2</v>
      </c>
      <c r="V15" s="135">
        <v>6.6182891170853738E-3</v>
      </c>
      <c r="W15" s="135">
        <v>5.0410102225296226E-3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6.115717085505489</v>
      </c>
      <c r="D16" s="131">
        <f t="shared" si="4"/>
        <v>3.9274964458468022</v>
      </c>
      <c r="E16" s="131">
        <f t="shared" si="4"/>
        <v>6.6005585204999546</v>
      </c>
      <c r="F16" s="131">
        <f t="shared" si="4"/>
        <v>4.0030060062159709</v>
      </c>
      <c r="G16" s="131">
        <f t="shared" si="4"/>
        <v>2.9878600289116068</v>
      </c>
      <c r="H16" s="131">
        <f t="shared" si="4"/>
        <v>4.9770644697434552</v>
      </c>
      <c r="I16" s="131">
        <f t="shared" si="4"/>
        <v>5.439587872335486</v>
      </c>
      <c r="J16" s="131">
        <f t="shared" si="4"/>
        <v>3.4818356415647083</v>
      </c>
      <c r="K16" s="131">
        <f t="shared" si="4"/>
        <v>0.41728423164653433</v>
      </c>
      <c r="L16" s="131">
        <f t="shared" si="4"/>
        <v>0.51953115429507779</v>
      </c>
      <c r="M16" s="131">
        <f t="shared" si="4"/>
        <v>0.42617829637750637</v>
      </c>
      <c r="N16" s="131">
        <f t="shared" si="4"/>
        <v>0.87291745483906391</v>
      </c>
      <c r="O16" s="131">
        <f t="shared" si="4"/>
        <v>0.38601140721321564</v>
      </c>
      <c r="P16" s="131">
        <f t="shared" si="4"/>
        <v>0.38429434494780784</v>
      </c>
      <c r="Q16" s="131">
        <f t="shared" si="4"/>
        <v>0.61845888047776743</v>
      </c>
      <c r="R16" s="131">
        <f t="shared" ref="R16:W16" si="5">SUM(R17:R18)</f>
        <v>0.4903183561545626</v>
      </c>
      <c r="S16" s="131">
        <f t="shared" si="5"/>
        <v>1.0034598547267215</v>
      </c>
      <c r="T16" s="131">
        <f t="shared" si="5"/>
        <v>0.85974567859448814</v>
      </c>
      <c r="U16" s="131">
        <f t="shared" si="5"/>
        <v>1.0876938880099571</v>
      </c>
      <c r="V16" s="131">
        <f t="shared" si="5"/>
        <v>0.91678503510131559</v>
      </c>
      <c r="W16" s="131">
        <f t="shared" si="5"/>
        <v>0.98029834471627053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7.799887529368341E-3</v>
      </c>
      <c r="D17" s="133">
        <v>1.6042705506424417E-2</v>
      </c>
      <c r="E17" s="133">
        <v>1.8843025566133733E-3</v>
      </c>
      <c r="F17" s="133">
        <v>5.0749771570523287E-2</v>
      </c>
      <c r="G17" s="133">
        <v>4.1232887444134989E-2</v>
      </c>
      <c r="H17" s="133">
        <v>5.6386016722452595E-2</v>
      </c>
      <c r="I17" s="133">
        <v>2.0434166668730879E-4</v>
      </c>
      <c r="J17" s="133">
        <v>5.3464696996998386E-2</v>
      </c>
      <c r="K17" s="133">
        <v>1.6023961305550449E-2</v>
      </c>
      <c r="L17" s="133">
        <v>2.2460717944444594E-2</v>
      </c>
      <c r="M17" s="133">
        <v>2.2575714291153379E-2</v>
      </c>
      <c r="N17" s="133">
        <v>2.3474976606444122E-2</v>
      </c>
      <c r="O17" s="133">
        <v>3.5965905221518428E-2</v>
      </c>
      <c r="P17" s="133">
        <v>3.6592974173254543E-2</v>
      </c>
      <c r="Q17" s="133">
        <v>4.1606906567782535E-2</v>
      </c>
      <c r="R17" s="133">
        <v>2.6603929622516596E-2</v>
      </c>
      <c r="S17" s="133">
        <v>6.6923220226900046E-2</v>
      </c>
      <c r="T17" s="133">
        <v>9.3574972318508337E-2</v>
      </c>
      <c r="U17" s="133">
        <v>7.2223511978782046E-2</v>
      </c>
      <c r="V17" s="133">
        <v>0.10425134304603331</v>
      </c>
      <c r="W17" s="133">
        <v>5.5535354710422161E-2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6.1079171979761204</v>
      </c>
      <c r="D18" s="133">
        <v>3.9114537403403777</v>
      </c>
      <c r="E18" s="133">
        <v>6.5986742179433415</v>
      </c>
      <c r="F18" s="133">
        <v>3.9522562346454473</v>
      </c>
      <c r="G18" s="133">
        <v>2.9466271414674718</v>
      </c>
      <c r="H18" s="133">
        <v>4.9206784530210026</v>
      </c>
      <c r="I18" s="133">
        <v>5.439383530668799</v>
      </c>
      <c r="J18" s="133">
        <v>3.42837094456771</v>
      </c>
      <c r="K18" s="133">
        <v>0.40126027034098388</v>
      </c>
      <c r="L18" s="133">
        <v>0.49707043635063325</v>
      </c>
      <c r="M18" s="133">
        <v>0.40360258208635297</v>
      </c>
      <c r="N18" s="133">
        <v>0.84944247823261976</v>
      </c>
      <c r="O18" s="133">
        <v>0.35004550199169721</v>
      </c>
      <c r="P18" s="133">
        <v>0.34770137077455332</v>
      </c>
      <c r="Q18" s="133">
        <v>0.57685197390998488</v>
      </c>
      <c r="R18" s="133">
        <v>0.46371442653204598</v>
      </c>
      <c r="S18" s="133">
        <v>0.9365366344998215</v>
      </c>
      <c r="T18" s="133">
        <v>0.76617070627597983</v>
      </c>
      <c r="U18" s="133">
        <v>1.0154703760311752</v>
      </c>
      <c r="V18" s="133">
        <v>0.81253369205528225</v>
      </c>
      <c r="W18" s="133">
        <v>0.92476299000584838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11.82752895775198</v>
      </c>
      <c r="D19" s="131">
        <f t="shared" si="6"/>
        <v>9.9659056339543302</v>
      </c>
      <c r="E19" s="131">
        <f t="shared" si="6"/>
        <v>12.864537584814526</v>
      </c>
      <c r="F19" s="131">
        <f t="shared" si="6"/>
        <v>12.831394814219639</v>
      </c>
      <c r="G19" s="131">
        <f t="shared" si="6"/>
        <v>10.659537954590993</v>
      </c>
      <c r="H19" s="131">
        <f t="shared" si="6"/>
        <v>14.424214215596315</v>
      </c>
      <c r="I19" s="131">
        <f t="shared" si="6"/>
        <v>10.509327940196114</v>
      </c>
      <c r="J19" s="131">
        <f t="shared" si="6"/>
        <v>6.5856740664647724</v>
      </c>
      <c r="K19" s="131">
        <f t="shared" si="6"/>
        <v>0.99176483395168935</v>
      </c>
      <c r="L19" s="131">
        <f t="shared" si="6"/>
        <v>1.3398620201962972</v>
      </c>
      <c r="M19" s="131">
        <f t="shared" si="6"/>
        <v>1.2243771170253264</v>
      </c>
      <c r="N19" s="131">
        <f t="shared" si="6"/>
        <v>1.6252905513897407</v>
      </c>
      <c r="O19" s="131">
        <f t="shared" si="6"/>
        <v>0.9634163785486376</v>
      </c>
      <c r="P19" s="131">
        <f t="shared" si="6"/>
        <v>1.5246125850359631</v>
      </c>
      <c r="Q19" s="131">
        <f t="shared" si="6"/>
        <v>2.0136304618061582</v>
      </c>
      <c r="R19" s="131">
        <f t="shared" ref="R19:W19" si="7">SUM(R20:R27)</f>
        <v>1.3263220316969777</v>
      </c>
      <c r="S19" s="131">
        <f t="shared" si="7"/>
        <v>3.1313282374568967</v>
      </c>
      <c r="T19" s="131">
        <f t="shared" si="7"/>
        <v>3.1288035503458427</v>
      </c>
      <c r="U19" s="131">
        <f t="shared" si="7"/>
        <v>3.2703184374039522</v>
      </c>
      <c r="V19" s="131">
        <f t="shared" si="7"/>
        <v>2.6110939354157874</v>
      </c>
      <c r="W19" s="131">
        <f t="shared" si="7"/>
        <v>2.6760814101943451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0.20177248545316162</v>
      </c>
      <c r="D21" s="133">
        <v>0.1685984300542884</v>
      </c>
      <c r="E21" s="133">
        <v>0.22250184687085817</v>
      </c>
      <c r="F21" s="133">
        <v>0.29559357152645888</v>
      </c>
      <c r="G21" s="133">
        <v>0.35728459649532623</v>
      </c>
      <c r="H21" s="133">
        <v>0.50233203579847374</v>
      </c>
      <c r="I21" s="133">
        <v>0.47743507267410989</v>
      </c>
      <c r="J21" s="133">
        <v>0.23859729907926694</v>
      </c>
      <c r="K21" s="133">
        <v>3.0739279461937601E-2</v>
      </c>
      <c r="L21" s="133">
        <v>4.6800567966526492E-2</v>
      </c>
      <c r="M21" s="133">
        <v>3.7699123073946385E-2</v>
      </c>
      <c r="N21" s="133">
        <v>5.0458912016528384E-2</v>
      </c>
      <c r="O21" s="133">
        <v>3.3385741319117833E-2</v>
      </c>
      <c r="P21" s="133">
        <v>6.5923786969974224E-2</v>
      </c>
      <c r="Q21" s="133">
        <v>0.10652806465344962</v>
      </c>
      <c r="R21" s="133">
        <v>0.10590457510378612</v>
      </c>
      <c r="S21" s="133">
        <v>0.20181231521352117</v>
      </c>
      <c r="T21" s="133">
        <v>0.12265772928511313</v>
      </c>
      <c r="U21" s="133">
        <v>0.10276750188866347</v>
      </c>
      <c r="V21" s="133">
        <v>7.4607271585504314E-2</v>
      </c>
      <c r="W21" s="133">
        <v>9.1303249282021617E-2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0.59516996156704571</v>
      </c>
      <c r="D22" s="133">
        <v>0.53697267098487655</v>
      </c>
      <c r="E22" s="133">
        <v>0.62387401454449232</v>
      </c>
      <c r="F22" s="133">
        <v>0.6282099261240206</v>
      </c>
      <c r="G22" s="133">
        <v>0.56825445987397216</v>
      </c>
      <c r="H22" s="133">
        <v>0.71188386225921108</v>
      </c>
      <c r="I22" s="133">
        <v>0.53217277608470592</v>
      </c>
      <c r="J22" s="133">
        <v>0.28580888332676763</v>
      </c>
      <c r="K22" s="133">
        <v>3.8691867743171252E-2</v>
      </c>
      <c r="L22" s="133">
        <v>7.5187116723389083E-2</v>
      </c>
      <c r="M22" s="133">
        <v>7.3061813376640292E-2</v>
      </c>
      <c r="N22" s="133">
        <v>8.7199164454593109E-2</v>
      </c>
      <c r="O22" s="133">
        <v>7.2203116088275038E-2</v>
      </c>
      <c r="P22" s="133">
        <v>0.10242238815240522</v>
      </c>
      <c r="Q22" s="133">
        <v>0.11426385221300435</v>
      </c>
      <c r="R22" s="133">
        <v>6.2167950546126956E-2</v>
      </c>
      <c r="S22" s="133">
        <v>8.3405910732339952E-2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0.46132993244882992</v>
      </c>
      <c r="D23" s="133">
        <v>0.51369387835555347</v>
      </c>
      <c r="E23" s="133">
        <v>0.77427304313774825</v>
      </c>
      <c r="F23" s="133">
        <v>0.83429038071156603</v>
      </c>
      <c r="G23" s="133">
        <v>1.4279125237927559</v>
      </c>
      <c r="H23" s="133">
        <v>1.6130396637553521</v>
      </c>
      <c r="I23" s="133">
        <v>1.3494450198526575</v>
      </c>
      <c r="J23" s="133">
        <v>0.75843651417309321</v>
      </c>
      <c r="K23" s="133">
        <v>0.13943863562379175</v>
      </c>
      <c r="L23" s="133">
        <v>0.28819049132685287</v>
      </c>
      <c r="M23" s="133">
        <v>0.15780620109863741</v>
      </c>
      <c r="N23" s="133">
        <v>0.1240199740934262</v>
      </c>
      <c r="O23" s="133">
        <v>6.3501281503512808E-2</v>
      </c>
      <c r="P23" s="133">
        <v>4.0021342978608168E-2</v>
      </c>
      <c r="Q23" s="133">
        <v>0.12489672778019888</v>
      </c>
      <c r="R23" s="133">
        <v>9.0223232623979979E-2</v>
      </c>
      <c r="S23" s="133">
        <v>0.28212360645643059</v>
      </c>
      <c r="T23" s="133">
        <v>0.3323138786942168</v>
      </c>
      <c r="U23" s="133">
        <v>0.38567750233125259</v>
      </c>
      <c r="V23" s="133">
        <v>0.35564900465747473</v>
      </c>
      <c r="W23" s="133">
        <v>0.354597897529491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10.260125547380248</v>
      </c>
      <c r="D26" s="65">
        <v>8.3887063776916069</v>
      </c>
      <c r="E26" s="65">
        <v>10.697862338206843</v>
      </c>
      <c r="F26" s="65">
        <v>10.446188011637576</v>
      </c>
      <c r="G26" s="65">
        <v>8.304022790139566</v>
      </c>
      <c r="H26" s="65">
        <v>10.722812113326556</v>
      </c>
      <c r="I26" s="65">
        <v>6.9824662578378742</v>
      </c>
      <c r="J26" s="65">
        <v>3.8755915272441959</v>
      </c>
      <c r="K26" s="65">
        <v>0.23490283901841241</v>
      </c>
      <c r="L26" s="65">
        <v>0.74870638224625019</v>
      </c>
      <c r="M26" s="65">
        <v>0.66994947201844857</v>
      </c>
      <c r="N26" s="65">
        <v>0.98595925415959818</v>
      </c>
      <c r="O26" s="65">
        <v>0.20479121631844743</v>
      </c>
      <c r="P26" s="65">
        <v>1.0444023627575389</v>
      </c>
      <c r="Q26" s="65">
        <v>1.2766416390147337</v>
      </c>
      <c r="R26" s="65">
        <v>0.2760996392460815</v>
      </c>
      <c r="S26" s="65">
        <v>1.7612668216141498</v>
      </c>
      <c r="T26" s="65">
        <v>1.8822496447253587</v>
      </c>
      <c r="U26" s="65">
        <v>1.8889025030349451</v>
      </c>
      <c r="V26" s="65">
        <v>0.5112838355005791</v>
      </c>
      <c r="W26" s="65">
        <v>1.3612200053709742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0.30913103090269389</v>
      </c>
      <c r="D27" s="148">
        <v>0.35793427686800461</v>
      </c>
      <c r="E27" s="148">
        <v>0.54602634205458578</v>
      </c>
      <c r="F27" s="148">
        <v>0.62711292422001763</v>
      </c>
      <c r="G27" s="148">
        <v>2.0635842893723284E-3</v>
      </c>
      <c r="H27" s="148">
        <v>0.87414654045672036</v>
      </c>
      <c r="I27" s="148">
        <v>1.1678088137467646</v>
      </c>
      <c r="J27" s="148">
        <v>1.4272398426414481</v>
      </c>
      <c r="K27" s="148">
        <v>0.54799221210437632</v>
      </c>
      <c r="L27" s="148">
        <v>0.18097746193327857</v>
      </c>
      <c r="M27" s="148">
        <v>0.28586050745765357</v>
      </c>
      <c r="N27" s="148">
        <v>0.3776532466655948</v>
      </c>
      <c r="O27" s="148">
        <v>0.58953502331928442</v>
      </c>
      <c r="P27" s="148">
        <v>0.27184270417743656</v>
      </c>
      <c r="Q27" s="148">
        <v>0.39130017814477169</v>
      </c>
      <c r="R27" s="148">
        <v>0.79192663417700326</v>
      </c>
      <c r="S27" s="148">
        <v>0.80271958344045524</v>
      </c>
      <c r="T27" s="148">
        <v>0.79158229764115395</v>
      </c>
      <c r="U27" s="148">
        <v>0.89297093014909101</v>
      </c>
      <c r="V27" s="148">
        <v>1.6695538236722292</v>
      </c>
      <c r="W27" s="148">
        <v>0.86896025801185817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12.696521735861253</v>
      </c>
      <c r="D29" s="131">
        <f t="shared" si="8"/>
        <v>10.932058912964363</v>
      </c>
      <c r="E29" s="131">
        <f t="shared" si="8"/>
        <v>13.827007757511268</v>
      </c>
      <c r="F29" s="131">
        <f t="shared" si="8"/>
        <v>16.201461519267969</v>
      </c>
      <c r="G29" s="131">
        <f t="shared" si="8"/>
        <v>11.124775021880211</v>
      </c>
      <c r="H29" s="131">
        <f t="shared" si="8"/>
        <v>15.389775748895152</v>
      </c>
      <c r="I29" s="131">
        <f t="shared" si="8"/>
        <v>11.364611587635052</v>
      </c>
      <c r="J29" s="131">
        <f t="shared" si="8"/>
        <v>7.7454164731515398</v>
      </c>
      <c r="K29" s="131">
        <f t="shared" si="8"/>
        <v>1.4432305958432479</v>
      </c>
      <c r="L29" s="131">
        <f t="shared" si="8"/>
        <v>1.5420014214284863</v>
      </c>
      <c r="M29" s="131">
        <f t="shared" si="8"/>
        <v>1.4281699308654541</v>
      </c>
      <c r="N29" s="131">
        <f t="shared" si="8"/>
        <v>2.503353588807042</v>
      </c>
      <c r="O29" s="131">
        <f t="shared" si="8"/>
        <v>1.4414326329970666</v>
      </c>
      <c r="P29" s="131">
        <f t="shared" si="8"/>
        <v>1.9007294181074283</v>
      </c>
      <c r="Q29" s="131">
        <f t="shared" si="8"/>
        <v>2.5101310770983103</v>
      </c>
      <c r="R29" s="131">
        <f t="shared" ref="R29:W29" si="9">SUM(R30:R33)</f>
        <v>1.9595072908241453</v>
      </c>
      <c r="S29" s="131">
        <f t="shared" si="9"/>
        <v>4.0607321090346016</v>
      </c>
      <c r="T29" s="131">
        <f t="shared" si="9"/>
        <v>4.1550622800757928</v>
      </c>
      <c r="U29" s="131">
        <f t="shared" si="9"/>
        <v>4.4293955891770329</v>
      </c>
      <c r="V29" s="131">
        <f t="shared" si="9"/>
        <v>3.5652881306208792</v>
      </c>
      <c r="W29" s="131">
        <f t="shared" si="9"/>
        <v>3.9635639679350612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2.1932679008547035E-2</v>
      </c>
      <c r="D30" s="133">
        <v>0.41096751555090938</v>
      </c>
      <c r="E30" s="133">
        <v>1.6672088072919502</v>
      </c>
      <c r="F30" s="133">
        <v>5.7575405266556272</v>
      </c>
      <c r="G30" s="133">
        <v>1.6281664602965518</v>
      </c>
      <c r="H30" s="133">
        <v>1.1054419491028908</v>
      </c>
      <c r="I30" s="133">
        <v>9.4428783557051213E-2</v>
      </c>
      <c r="J30" s="133">
        <v>0.61144899701333155</v>
      </c>
      <c r="K30" s="133">
        <v>0.10416546015931417</v>
      </c>
      <c r="L30" s="133">
        <v>0.18567666505299169</v>
      </c>
      <c r="M30" s="133">
        <v>0.51866431656464707</v>
      </c>
      <c r="N30" s="133">
        <v>1.1678747329860055</v>
      </c>
      <c r="O30" s="133">
        <v>0.11902211674513921</v>
      </c>
      <c r="P30" s="133">
        <v>0</v>
      </c>
      <c r="Q30" s="133">
        <v>0.23589776965196049</v>
      </c>
      <c r="R30" s="133">
        <v>0.35524918758338958</v>
      </c>
      <c r="S30" s="133">
        <v>0.52472693567519579</v>
      </c>
      <c r="T30" s="133">
        <v>0.77318795040213939</v>
      </c>
      <c r="U30" s="133">
        <v>0.91265884806054853</v>
      </c>
      <c r="V30" s="133">
        <v>0.26757405381964761</v>
      </c>
      <c r="W30" s="133">
        <v>0.95265604120056213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0.2360083978899814</v>
      </c>
      <c r="D31" s="133">
        <v>0.43252085701464016</v>
      </c>
      <c r="E31" s="133">
        <v>0.70786154551845815</v>
      </c>
      <c r="F31" s="133">
        <v>0.86581628041296854</v>
      </c>
      <c r="G31" s="133">
        <v>0.91825250576751083</v>
      </c>
      <c r="H31" s="133">
        <v>1.0180718402858422</v>
      </c>
      <c r="I31" s="133">
        <v>0.86502278904396268</v>
      </c>
      <c r="J31" s="133">
        <v>0.65915571151153485</v>
      </c>
      <c r="K31" s="133">
        <v>0.15621240901958347</v>
      </c>
      <c r="L31" s="133">
        <v>0.27614318701616919</v>
      </c>
      <c r="M31" s="133">
        <v>0.34727031096925698</v>
      </c>
      <c r="N31" s="133">
        <v>0.19699179200772016</v>
      </c>
      <c r="O31" s="133">
        <v>0.10986310139931692</v>
      </c>
      <c r="P31" s="133">
        <v>0.16014145023247212</v>
      </c>
      <c r="Q31" s="133">
        <v>0.2138810412060243</v>
      </c>
      <c r="R31" s="133">
        <v>0.14625704390093169</v>
      </c>
      <c r="S31" s="133">
        <v>0.30421865572254736</v>
      </c>
      <c r="T31" s="133">
        <v>0.38442614419783755</v>
      </c>
      <c r="U31" s="133">
        <v>0.52608847347966914</v>
      </c>
      <c r="V31" s="133">
        <v>0.57125411898729228</v>
      </c>
      <c r="W31" s="133">
        <v>0.44726900741364117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12.438580658962724</v>
      </c>
      <c r="D33" s="68">
        <v>10.088570540398814</v>
      </c>
      <c r="E33" s="68">
        <v>11.45193740470086</v>
      </c>
      <c r="F33" s="68">
        <v>9.578104712199373</v>
      </c>
      <c r="G33" s="68">
        <v>8.5783560558161476</v>
      </c>
      <c r="H33" s="68">
        <v>13.266261959506419</v>
      </c>
      <c r="I33" s="68">
        <v>10.405160015034038</v>
      </c>
      <c r="J33" s="68">
        <v>6.474811764626673</v>
      </c>
      <c r="K33" s="68">
        <v>1.1828527266643503</v>
      </c>
      <c r="L33" s="68">
        <v>1.0801815693593253</v>
      </c>
      <c r="M33" s="68">
        <v>0.56223530333154992</v>
      </c>
      <c r="N33" s="68">
        <v>1.1384870638133164</v>
      </c>
      <c r="O33" s="68">
        <v>1.2125474148526105</v>
      </c>
      <c r="P33" s="68">
        <v>1.7405879678749563</v>
      </c>
      <c r="Q33" s="68">
        <v>2.0603522662403257</v>
      </c>
      <c r="R33" s="68">
        <v>1.458001059339824</v>
      </c>
      <c r="S33" s="68">
        <v>3.2317865176368588</v>
      </c>
      <c r="T33" s="68">
        <v>2.9974481854758164</v>
      </c>
      <c r="U33" s="68">
        <v>2.9906482676368151</v>
      </c>
      <c r="V33" s="68">
        <v>2.7264599578139395</v>
      </c>
      <c r="W33" s="68">
        <v>2.5636389193208577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38.627300517118258</v>
      </c>
      <c r="D3" s="126">
        <f t="shared" si="0"/>
        <v>29.912562709827267</v>
      </c>
      <c r="E3" s="126">
        <f t="shared" si="0"/>
        <v>43.493700317222455</v>
      </c>
      <c r="F3" s="126">
        <f t="shared" si="0"/>
        <v>41.314118270401089</v>
      </c>
      <c r="G3" s="126">
        <f t="shared" si="0"/>
        <v>31.500479973719173</v>
      </c>
      <c r="H3" s="126">
        <f t="shared" si="0"/>
        <v>48.498882873028514</v>
      </c>
      <c r="I3" s="126">
        <f t="shared" si="0"/>
        <v>42.143987685803779</v>
      </c>
      <c r="J3" s="126">
        <f t="shared" si="0"/>
        <v>28.602162169542787</v>
      </c>
      <c r="K3" s="126">
        <f t="shared" si="0"/>
        <v>4.5508740280795319</v>
      </c>
      <c r="L3" s="126">
        <f t="shared" si="0"/>
        <v>4.6495764614915487</v>
      </c>
      <c r="M3" s="126">
        <f t="shared" si="0"/>
        <v>4.1328662639094613</v>
      </c>
      <c r="N3" s="126">
        <f t="shared" si="0"/>
        <v>7.1685680399962042</v>
      </c>
      <c r="O3" s="126">
        <f t="shared" si="0"/>
        <v>4.1414343070885504</v>
      </c>
      <c r="P3" s="126">
        <f t="shared" si="0"/>
        <v>5.3065393917299382</v>
      </c>
      <c r="Q3" s="126">
        <f t="shared" si="0"/>
        <v>8.1116646618095931</v>
      </c>
      <c r="R3" s="126">
        <f t="shared" ref="R3:W3" si="1">SUM(R4,R16,R19,R29)</f>
        <v>6.7886700568475735</v>
      </c>
      <c r="S3" s="126">
        <f t="shared" si="1"/>
        <v>13.294516234611885</v>
      </c>
      <c r="T3" s="126">
        <f t="shared" si="1"/>
        <v>12.429896548686287</v>
      </c>
      <c r="U3" s="126">
        <f t="shared" si="1"/>
        <v>13.921301156326063</v>
      </c>
      <c r="V3" s="126">
        <f t="shared" si="1"/>
        <v>11.993375732434854</v>
      </c>
      <c r="W3" s="126">
        <f t="shared" si="1"/>
        <v>11.916577246397271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10.187180846328253</v>
      </c>
      <c r="D4" s="131">
        <f t="shared" si="2"/>
        <v>8.2346008526920116</v>
      </c>
      <c r="E4" s="131">
        <f t="shared" si="2"/>
        <v>11.872643885374776</v>
      </c>
      <c r="F4" s="131">
        <f t="shared" si="2"/>
        <v>14.538779339268844</v>
      </c>
      <c r="G4" s="131">
        <f t="shared" si="2"/>
        <v>11.19181455100418</v>
      </c>
      <c r="H4" s="131">
        <f t="shared" si="2"/>
        <v>17.416963598039654</v>
      </c>
      <c r="I4" s="131">
        <f t="shared" si="2"/>
        <v>13.959227032103398</v>
      </c>
      <c r="J4" s="131">
        <f t="shared" si="2"/>
        <v>9.8948468657626183</v>
      </c>
      <c r="K4" s="131">
        <f t="shared" si="2"/>
        <v>1.6744390987052884</v>
      </c>
      <c r="L4" s="131">
        <f t="shared" si="2"/>
        <v>1.3862430710877196</v>
      </c>
      <c r="M4" s="131">
        <f t="shared" si="2"/>
        <v>1.2516105157852448</v>
      </c>
      <c r="N4" s="131">
        <f t="shared" si="2"/>
        <v>1.920065468587141</v>
      </c>
      <c r="O4" s="131">
        <f t="shared" si="2"/>
        <v>1.1870453617166612</v>
      </c>
      <c r="P4" s="131">
        <f t="shared" si="2"/>
        <v>1.6950363980540197</v>
      </c>
      <c r="Q4" s="131">
        <f t="shared" si="2"/>
        <v>2.8558092236435706</v>
      </c>
      <c r="R4" s="131">
        <f t="shared" ref="R4:W4" si="3">SUM(R5:R15)</f>
        <v>2.6145524234076793</v>
      </c>
      <c r="S4" s="131">
        <f t="shared" si="3"/>
        <v>4.4915181877152079</v>
      </c>
      <c r="T4" s="131">
        <f t="shared" si="3"/>
        <v>4.0508974637754633</v>
      </c>
      <c r="U4" s="131">
        <f t="shared" si="3"/>
        <v>4.2316533565285184</v>
      </c>
      <c r="V4" s="131">
        <f t="shared" si="3"/>
        <v>3.7373102109964913</v>
      </c>
      <c r="W4" s="131">
        <f t="shared" si="3"/>
        <v>3.1773001894034412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6.7232512617543874</v>
      </c>
      <c r="D7" s="133">
        <v>2.4318836836890103</v>
      </c>
      <c r="E7" s="133">
        <v>3.5922318202132804</v>
      </c>
      <c r="F7" s="133">
        <v>0.93870307809618947</v>
      </c>
      <c r="G7" s="133">
        <v>3.5683704993122594</v>
      </c>
      <c r="H7" s="133">
        <v>1.6343839414778334</v>
      </c>
      <c r="I7" s="133">
        <v>0</v>
      </c>
      <c r="J7" s="133">
        <v>0</v>
      </c>
      <c r="K7" s="133">
        <v>0</v>
      </c>
      <c r="L7" s="133">
        <v>0</v>
      </c>
      <c r="M7" s="133">
        <v>1.1172952623708637E-2</v>
      </c>
      <c r="N7" s="133">
        <v>0</v>
      </c>
      <c r="O7" s="133">
        <v>0</v>
      </c>
      <c r="P7" s="133">
        <v>0</v>
      </c>
      <c r="Q7" s="133">
        <v>0</v>
      </c>
      <c r="R7" s="133">
        <v>0.30721032599301623</v>
      </c>
      <c r="S7" s="133">
        <v>0.2629350810652355</v>
      </c>
      <c r="T7" s="133">
        <v>0.19108303537214258</v>
      </c>
      <c r="U7" s="133">
        <v>0.13073476981947069</v>
      </c>
      <c r="V7" s="133">
        <v>7.4174260959973981E-2</v>
      </c>
      <c r="W7" s="133">
        <v>0.12303095466681827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6.791157316903177E-4</v>
      </c>
      <c r="D8" s="133">
        <v>1.9333937538952768E-3</v>
      </c>
      <c r="E8" s="133">
        <v>3.2884017061058555E-3</v>
      </c>
      <c r="F8" s="133">
        <v>4.7548007200905826E-3</v>
      </c>
      <c r="G8" s="133">
        <v>5.1329007603821896E-3</v>
      </c>
      <c r="H8" s="133">
        <v>5.0142142724919408E-3</v>
      </c>
      <c r="I8" s="133">
        <v>4.4914881534352793E-3</v>
      </c>
      <c r="J8" s="133">
        <v>4.7097831573944902E-3</v>
      </c>
      <c r="K8" s="133">
        <v>1.8837540145004296E-3</v>
      </c>
      <c r="L8" s="133">
        <v>2.4777692932972189E-3</v>
      </c>
      <c r="M8" s="133">
        <v>5.7828462849844721E-3</v>
      </c>
      <c r="N8" s="133">
        <v>1.1145673074127803E-2</v>
      </c>
      <c r="O8" s="133">
        <v>2.3849415543235143E-2</v>
      </c>
      <c r="P8" s="133">
        <v>7.6265893358977599E-2</v>
      </c>
      <c r="Q8" s="133">
        <v>0.46345538740848741</v>
      </c>
      <c r="R8" s="133">
        <v>8.9126740353364153E-2</v>
      </c>
      <c r="S8" s="133">
        <v>7.6890535108925032E-2</v>
      </c>
      <c r="T8" s="133">
        <v>6.9812115178158163E-2</v>
      </c>
      <c r="U8" s="133">
        <v>7.2282521310979439E-2</v>
      </c>
      <c r="V8" s="133">
        <v>8.8071656367624609E-2</v>
      </c>
      <c r="W8" s="133">
        <v>5.3509602981915885E-2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0.26177068474189624</v>
      </c>
      <c r="D9" s="133">
        <v>0.70446840745244732</v>
      </c>
      <c r="E9" s="133">
        <v>1.3483184043697423</v>
      </c>
      <c r="F9" s="133">
        <v>2.0066541674772966</v>
      </c>
      <c r="G9" s="133">
        <v>2.210593967835758</v>
      </c>
      <c r="H9" s="133">
        <v>2.0966345638537316</v>
      </c>
      <c r="I9" s="133">
        <v>1.3592920388597203</v>
      </c>
      <c r="J9" s="133">
        <v>1.0808291847564846</v>
      </c>
      <c r="K9" s="133">
        <v>0.33374305967863749</v>
      </c>
      <c r="L9" s="133">
        <v>0.18453956156364312</v>
      </c>
      <c r="M9" s="133">
        <v>8.7618877189627284E-2</v>
      </c>
      <c r="N9" s="133">
        <v>0</v>
      </c>
      <c r="O9" s="133">
        <v>0</v>
      </c>
      <c r="P9" s="133">
        <v>0</v>
      </c>
      <c r="Q9" s="133">
        <v>7.4260646644866382E-2</v>
      </c>
      <c r="R9" s="133">
        <v>0</v>
      </c>
      <c r="S9" s="133">
        <v>0.40421231123616341</v>
      </c>
      <c r="T9" s="133">
        <v>0.45225227170839782</v>
      </c>
      <c r="U9" s="133">
        <v>0.69655514420403941</v>
      </c>
      <c r="V9" s="133">
        <v>0.31531797797138905</v>
      </c>
      <c r="W9" s="133">
        <v>0.18118402902731323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0.20522196287965472</v>
      </c>
      <c r="O10" s="133">
        <v>2.1123969090029282E-2</v>
      </c>
      <c r="P10" s="133">
        <v>7.812913836473246E-3</v>
      </c>
      <c r="Q10" s="133">
        <v>3.4682644448072934E-3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1.7670816295055358</v>
      </c>
      <c r="G11" s="133">
        <v>0.19590985518467241</v>
      </c>
      <c r="H11" s="133">
        <v>3.6341393777827122E-2</v>
      </c>
      <c r="I11" s="133">
        <v>0</v>
      </c>
      <c r="J11" s="133">
        <v>2.2609292629428991E-2</v>
      </c>
      <c r="K11" s="133">
        <v>3.0482406165214644E-2</v>
      </c>
      <c r="L11" s="133">
        <v>2.4468937448374063E-2</v>
      </c>
      <c r="M11" s="133">
        <v>1.5947239142284936E-2</v>
      </c>
      <c r="N11" s="133">
        <v>1.6047861136388223E-3</v>
      </c>
      <c r="O11" s="133">
        <v>3.0505641547870629E-3</v>
      </c>
      <c r="P11" s="133">
        <v>4.2805858292102083E-3</v>
      </c>
      <c r="Q11" s="133">
        <v>0</v>
      </c>
      <c r="R11" s="133">
        <v>0</v>
      </c>
      <c r="S11" s="133">
        <v>2.8317396723023806E-2</v>
      </c>
      <c r="T11" s="133">
        <v>5.2678286519760711E-2</v>
      </c>
      <c r="U11" s="133">
        <v>7.2334732571070523E-2</v>
      </c>
      <c r="V11" s="133">
        <v>2.0259768034006805E-2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0.77794285214321646</v>
      </c>
      <c r="D13" s="133">
        <v>1.328616805069369</v>
      </c>
      <c r="E13" s="133">
        <v>1.7431602139149844</v>
      </c>
      <c r="F13" s="133">
        <v>2.5728973842818532</v>
      </c>
      <c r="G13" s="133">
        <v>1.9969079999397477</v>
      </c>
      <c r="H13" s="133">
        <v>3.7282181610916307</v>
      </c>
      <c r="I13" s="133">
        <v>4.5066092155329374</v>
      </c>
      <c r="J13" s="133">
        <v>3.9793395367298809</v>
      </c>
      <c r="K13" s="133">
        <v>1.1259911819872384</v>
      </c>
      <c r="L13" s="133">
        <v>1.1715133960290778</v>
      </c>
      <c r="M13" s="133">
        <v>1.1293406328807323</v>
      </c>
      <c r="N13" s="133">
        <v>1.7003363525297164</v>
      </c>
      <c r="O13" s="133">
        <v>1.1387369494643367</v>
      </c>
      <c r="P13" s="133">
        <v>1.6062845233245089</v>
      </c>
      <c r="Q13" s="133">
        <v>2.3115148801301264</v>
      </c>
      <c r="R13" s="133">
        <v>0.26365637993938879</v>
      </c>
      <c r="S13" s="133">
        <v>1.8219968850524602</v>
      </c>
      <c r="T13" s="133">
        <v>3.274310264515667</v>
      </c>
      <c r="U13" s="133">
        <v>3.2460008745995754</v>
      </c>
      <c r="V13" s="133">
        <v>3.2328682585464117</v>
      </c>
      <c r="W13" s="133">
        <v>2.7490687137371461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2.2867382085212964</v>
      </c>
      <c r="D14" s="65">
        <v>3.7074835679201534</v>
      </c>
      <c r="E14" s="65">
        <v>5.0925760070756416</v>
      </c>
      <c r="F14" s="65">
        <v>7.1860092890328113</v>
      </c>
      <c r="G14" s="65">
        <v>3.1088851060374387</v>
      </c>
      <c r="H14" s="65">
        <v>9.8494087671172021</v>
      </c>
      <c r="I14" s="65">
        <v>8.0648483526558739</v>
      </c>
      <c r="J14" s="65">
        <v>4.7884489146344755</v>
      </c>
      <c r="K14" s="65">
        <v>0.17647232160589837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1.9492507959610443</v>
      </c>
      <c r="S14" s="65">
        <v>1.8860482156860265</v>
      </c>
      <c r="T14" s="65">
        <v>0</v>
      </c>
      <c r="U14" s="65">
        <v>0</v>
      </c>
      <c r="V14" s="65">
        <v>0</v>
      </c>
      <c r="W14" s="65">
        <v>6.5465878767717617E-2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0.13679872343576616</v>
      </c>
      <c r="D15" s="135">
        <v>6.0214994807136997E-2</v>
      </c>
      <c r="E15" s="135">
        <v>9.3069038095021997E-2</v>
      </c>
      <c r="F15" s="135">
        <v>6.2678990155065784E-2</v>
      </c>
      <c r="G15" s="135">
        <v>0.10601422193391978</v>
      </c>
      <c r="H15" s="135">
        <v>6.6962556448940322E-2</v>
      </c>
      <c r="I15" s="135">
        <v>2.3985936901431353E-2</v>
      </c>
      <c r="J15" s="135">
        <v>1.8910153854954054E-2</v>
      </c>
      <c r="K15" s="135">
        <v>5.8663752537993826E-3</v>
      </c>
      <c r="L15" s="135">
        <v>3.2434067533273878E-3</v>
      </c>
      <c r="M15" s="135">
        <v>1.7479676639072768E-3</v>
      </c>
      <c r="N15" s="135">
        <v>1.7566939900034153E-3</v>
      </c>
      <c r="O15" s="135">
        <v>2.8446346427309159E-4</v>
      </c>
      <c r="P15" s="135">
        <v>3.9248170484969811E-4</v>
      </c>
      <c r="Q15" s="135">
        <v>3.1100450152831967E-3</v>
      </c>
      <c r="R15" s="135">
        <v>5.3081811608658592E-3</v>
      </c>
      <c r="S15" s="135">
        <v>1.1117762843372734E-2</v>
      </c>
      <c r="T15" s="135">
        <v>1.076149048133704E-2</v>
      </c>
      <c r="U15" s="135">
        <v>1.3745314023382801E-2</v>
      </c>
      <c r="V15" s="135">
        <v>6.6182891170853738E-3</v>
      </c>
      <c r="W15" s="135">
        <v>5.0410102225296226E-3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13.381423537330617</v>
      </c>
      <c r="D16" s="131">
        <f t="shared" si="4"/>
        <v>8.8577488678543421</v>
      </c>
      <c r="E16" s="131">
        <f t="shared" si="4"/>
        <v>15.379963240709227</v>
      </c>
      <c r="F16" s="131">
        <f t="shared" si="4"/>
        <v>9.5545714543009534</v>
      </c>
      <c r="G16" s="131">
        <f t="shared" si="4"/>
        <v>7.3390600396112653</v>
      </c>
      <c r="H16" s="131">
        <f t="shared" si="4"/>
        <v>12.595983632109082</v>
      </c>
      <c r="I16" s="131">
        <f t="shared" si="4"/>
        <v>14.243199658466482</v>
      </c>
      <c r="J16" s="131">
        <f t="shared" si="4"/>
        <v>9.2992624202327576</v>
      </c>
      <c r="K16" s="131">
        <f t="shared" si="4"/>
        <v>1.1312614469841209</v>
      </c>
      <c r="L16" s="131">
        <f t="shared" si="4"/>
        <v>1.4435612906686093</v>
      </c>
      <c r="M16" s="131">
        <f t="shared" si="4"/>
        <v>1.2153872295387154</v>
      </c>
      <c r="N16" s="131">
        <f t="shared" si="4"/>
        <v>2.6238008906001515</v>
      </c>
      <c r="O16" s="131">
        <f t="shared" si="4"/>
        <v>1.1627899200812539</v>
      </c>
      <c r="P16" s="131">
        <f t="shared" si="4"/>
        <v>1.2080903693633038</v>
      </c>
      <c r="Q16" s="131">
        <f t="shared" si="4"/>
        <v>2.0527425038773117</v>
      </c>
      <c r="R16" s="131">
        <f t="shared" ref="R16:W16" si="5">SUM(R17:R18)</f>
        <v>1.6781032438175203</v>
      </c>
      <c r="S16" s="131">
        <f t="shared" si="5"/>
        <v>3.4680616322476565</v>
      </c>
      <c r="T16" s="131">
        <f t="shared" si="5"/>
        <v>2.9352818105802916</v>
      </c>
      <c r="U16" s="131">
        <f t="shared" si="5"/>
        <v>3.8662950276486545</v>
      </c>
      <c r="V16" s="131">
        <f t="shared" si="5"/>
        <v>3.2053642393840653</v>
      </c>
      <c r="W16" s="131">
        <f t="shared" si="5"/>
        <v>3.5981159099419866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9.6915182841621952E-3</v>
      </c>
      <c r="D17" s="133">
        <v>1.9988194513627617E-2</v>
      </c>
      <c r="E17" s="133">
        <v>2.3527944054313886E-3</v>
      </c>
      <c r="F17" s="133">
        <v>6.34746445913969E-2</v>
      </c>
      <c r="G17" s="133">
        <v>5.1635383291574466E-2</v>
      </c>
      <c r="H17" s="133">
        <v>7.068039115016421E-2</v>
      </c>
      <c r="I17" s="133">
        <v>2.5634157525394137E-4</v>
      </c>
      <c r="J17" s="133">
        <v>6.7120751456779343E-2</v>
      </c>
      <c r="K17" s="133">
        <v>2.0137250603480969E-2</v>
      </c>
      <c r="L17" s="133">
        <v>2.8267271022312943E-2</v>
      </c>
      <c r="M17" s="133">
        <v>2.8531419247876465E-2</v>
      </c>
      <c r="N17" s="133">
        <v>2.996905315755365E-2</v>
      </c>
      <c r="O17" s="133">
        <v>4.6701191726506823E-2</v>
      </c>
      <c r="P17" s="133">
        <v>4.8630684339595665E-2</v>
      </c>
      <c r="Q17" s="133">
        <v>5.6654985735815351E-2</v>
      </c>
      <c r="R17" s="133">
        <v>3.6947808460687057E-2</v>
      </c>
      <c r="S17" s="133">
        <v>9.4746956153115555E-2</v>
      </c>
      <c r="T17" s="133">
        <v>0.13543686065183969</v>
      </c>
      <c r="U17" s="133">
        <v>0.10695427391386637</v>
      </c>
      <c r="V17" s="133">
        <v>0.15776401159523476</v>
      </c>
      <c r="W17" s="133">
        <v>8.551060921205092E-2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13.371732019046455</v>
      </c>
      <c r="D18" s="133">
        <v>8.8377606733407141</v>
      </c>
      <c r="E18" s="133">
        <v>15.377610446303795</v>
      </c>
      <c r="F18" s="133">
        <v>9.4910968097095569</v>
      </c>
      <c r="G18" s="133">
        <v>7.2874246563196907</v>
      </c>
      <c r="H18" s="133">
        <v>12.525303240958918</v>
      </c>
      <c r="I18" s="133">
        <v>14.242943316891228</v>
      </c>
      <c r="J18" s="133">
        <v>9.232141668775979</v>
      </c>
      <c r="K18" s="133">
        <v>1.11112419638064</v>
      </c>
      <c r="L18" s="133">
        <v>1.4152940196462964</v>
      </c>
      <c r="M18" s="133">
        <v>1.1868558102908389</v>
      </c>
      <c r="N18" s="133">
        <v>2.5938318374425977</v>
      </c>
      <c r="O18" s="133">
        <v>1.1160887283547472</v>
      </c>
      <c r="P18" s="133">
        <v>1.1594596850237082</v>
      </c>
      <c r="Q18" s="133">
        <v>1.9960875181414965</v>
      </c>
      <c r="R18" s="133">
        <v>1.6411554353568332</v>
      </c>
      <c r="S18" s="133">
        <v>3.3733146760945409</v>
      </c>
      <c r="T18" s="133">
        <v>2.7998449499284521</v>
      </c>
      <c r="U18" s="133">
        <v>3.7593407537347883</v>
      </c>
      <c r="V18" s="133">
        <v>3.0476002277888306</v>
      </c>
      <c r="W18" s="133">
        <v>3.5126053007299358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6.5056532769610191</v>
      </c>
      <c r="D19" s="131">
        <f t="shared" si="6"/>
        <v>5.5379565567813174</v>
      </c>
      <c r="E19" s="131">
        <f t="shared" si="6"/>
        <v>7.2216729005528446</v>
      </c>
      <c r="F19" s="131">
        <f t="shared" si="6"/>
        <v>7.2642537714261763</v>
      </c>
      <c r="G19" s="131">
        <f t="shared" si="6"/>
        <v>5.7782091542187928</v>
      </c>
      <c r="H19" s="131">
        <f t="shared" si="6"/>
        <v>8.2740995038783396</v>
      </c>
      <c r="I19" s="131">
        <f t="shared" si="6"/>
        <v>6.2747026852781822</v>
      </c>
      <c r="J19" s="131">
        <f t="shared" si="6"/>
        <v>4.2714079205092794</v>
      </c>
      <c r="K19" s="131">
        <f t="shared" si="6"/>
        <v>0.7888854813758428</v>
      </c>
      <c r="L19" s="131">
        <f t="shared" si="6"/>
        <v>0.82612321423479795</v>
      </c>
      <c r="M19" s="131">
        <f t="shared" si="6"/>
        <v>0.81902516165981776</v>
      </c>
      <c r="N19" s="131">
        <f t="shared" si="6"/>
        <v>1.1090199684019633</v>
      </c>
      <c r="O19" s="131">
        <f t="shared" si="6"/>
        <v>0.81021096618761546</v>
      </c>
      <c r="P19" s="131">
        <f t="shared" si="6"/>
        <v>1.0683352959955743</v>
      </c>
      <c r="Q19" s="131">
        <f t="shared" si="6"/>
        <v>1.4647646894590109</v>
      </c>
      <c r="R19" s="131">
        <f t="shared" ref="R19:W19" si="7">SUM(R20:R27)</f>
        <v>1.1473293148552708</v>
      </c>
      <c r="S19" s="131">
        <f t="shared" si="7"/>
        <v>2.4313583175438525</v>
      </c>
      <c r="T19" s="131">
        <f t="shared" si="7"/>
        <v>2.4781134148544708</v>
      </c>
      <c r="U19" s="131">
        <f t="shared" si="7"/>
        <v>2.6464531963407483</v>
      </c>
      <c r="V19" s="131">
        <f t="shared" si="7"/>
        <v>2.3646532949115295</v>
      </c>
      <c r="W19" s="131">
        <f t="shared" si="7"/>
        <v>2.2412645108334162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9.2883535776275339E-2</v>
      </c>
      <c r="D21" s="133">
        <v>7.792035723131395E-2</v>
      </c>
      <c r="E21" s="133">
        <v>0.10330656321438006</v>
      </c>
      <c r="F21" s="133">
        <v>0.13788449491165819</v>
      </c>
      <c r="G21" s="133">
        <v>0.16753655951777896</v>
      </c>
      <c r="H21" s="133">
        <v>0.23690762461924081</v>
      </c>
      <c r="I21" s="133">
        <v>0.22660165086601006</v>
      </c>
      <c r="J21" s="133">
        <v>0.1140919675666153</v>
      </c>
      <c r="K21" s="133">
        <v>1.4831218481039797E-2</v>
      </c>
      <c r="L21" s="133">
        <v>2.2819788107853702E-2</v>
      </c>
      <c r="M21" s="133">
        <v>1.8787297911515104E-2</v>
      </c>
      <c r="N21" s="133">
        <v>2.605065599606907E-2</v>
      </c>
      <c r="O21" s="133">
        <v>1.8116968478250301E-2</v>
      </c>
      <c r="P21" s="133">
        <v>3.7893007269492622E-2</v>
      </c>
      <c r="Q21" s="133">
        <v>6.434143266575576E-2</v>
      </c>
      <c r="R21" s="133">
        <v>6.6050820265077137E-2</v>
      </c>
      <c r="S21" s="133">
        <v>0.12969727247253768</v>
      </c>
      <c r="T21" s="133">
        <v>8.0936026067422201E-2</v>
      </c>
      <c r="U21" s="133">
        <v>6.9283535467385304E-2</v>
      </c>
      <c r="V21" s="133">
        <v>5.1073377044716685E-2</v>
      </c>
      <c r="W21" s="133">
        <v>6.2948862067275596E-2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0.25833587381139134</v>
      </c>
      <c r="D22" s="133">
        <v>0.23412689787941143</v>
      </c>
      <c r="E22" s="133">
        <v>0.27344128667251438</v>
      </c>
      <c r="F22" s="133">
        <v>0.27680367468347739</v>
      </c>
      <c r="G22" s="133">
        <v>0.25187806447815558</v>
      </c>
      <c r="H22" s="133">
        <v>0.31760132004565828</v>
      </c>
      <c r="I22" s="133">
        <v>0.23914010200593849</v>
      </c>
      <c r="J22" s="133">
        <v>0.12952172371200654</v>
      </c>
      <c r="K22" s="133">
        <v>1.7712818525097949E-2</v>
      </c>
      <c r="L22" s="133">
        <v>3.4832031786399729E-2</v>
      </c>
      <c r="M22" s="133">
        <v>3.4689455118266689E-2</v>
      </c>
      <c r="N22" s="133">
        <v>4.3077298515933414E-2</v>
      </c>
      <c r="O22" s="133">
        <v>3.7710789115710242E-2</v>
      </c>
      <c r="P22" s="133">
        <v>5.7022838394062907E-2</v>
      </c>
      <c r="Q22" s="133">
        <v>6.7189984749945447E-2</v>
      </c>
      <c r="R22" s="133">
        <v>3.7868798557307591E-2</v>
      </c>
      <c r="S22" s="133">
        <v>5.25024713969078E-2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0.21889501531521863</v>
      </c>
      <c r="D23" s="133">
        <v>0.24679750798841171</v>
      </c>
      <c r="E23" s="133">
        <v>0.37679548479859332</v>
      </c>
      <c r="F23" s="133">
        <v>0.41122310065232598</v>
      </c>
      <c r="G23" s="133">
        <v>0.71309081683355757</v>
      </c>
      <c r="H23" s="133">
        <v>0.81635291132890597</v>
      </c>
      <c r="I23" s="133">
        <v>0.69233408011314157</v>
      </c>
      <c r="J23" s="133">
        <v>0.39472135300286659</v>
      </c>
      <c r="K23" s="133">
        <v>7.3681805994057895E-2</v>
      </c>
      <c r="L23" s="133">
        <v>0.15476292703054365</v>
      </c>
      <c r="M23" s="133">
        <v>8.6796477242215772E-2</v>
      </c>
      <c r="N23" s="133">
        <v>7.0516744773317333E-2</v>
      </c>
      <c r="O23" s="133">
        <v>3.7693916503569666E-2</v>
      </c>
      <c r="P23" s="133">
        <v>2.4920724261762246E-2</v>
      </c>
      <c r="Q23" s="133">
        <v>8.1000337372253803E-2</v>
      </c>
      <c r="R23" s="133">
        <v>6.0046924669439734E-2</v>
      </c>
      <c r="S23" s="133">
        <v>0.19213959438998682</v>
      </c>
      <c r="T23" s="133">
        <v>0.23084738997365578</v>
      </c>
      <c r="U23" s="133">
        <v>0.27226753455339464</v>
      </c>
      <c r="V23" s="133">
        <v>0.25407333002418259</v>
      </c>
      <c r="W23" s="133">
        <v>0.25486840534465799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5.62640782115544</v>
      </c>
      <c r="D26" s="65">
        <v>4.6211775168141758</v>
      </c>
      <c r="E26" s="65">
        <v>5.9221032238127709</v>
      </c>
      <c r="F26" s="65">
        <v>5.8112295769586977</v>
      </c>
      <c r="G26" s="65">
        <v>4.6436401290999285</v>
      </c>
      <c r="H26" s="65">
        <v>6.0290911074278144</v>
      </c>
      <c r="I26" s="65">
        <v>3.9488180385463272</v>
      </c>
      <c r="J26" s="65">
        <v>2.2058330335863428</v>
      </c>
      <c r="K26" s="65">
        <v>0.13466742627127087</v>
      </c>
      <c r="L26" s="65">
        <v>0.43273100537672238</v>
      </c>
      <c r="M26" s="65">
        <v>0.39289142393016657</v>
      </c>
      <c r="N26" s="65">
        <v>0.59172202245104855</v>
      </c>
      <c r="O26" s="65">
        <v>0.1271542687708008</v>
      </c>
      <c r="P26" s="65">
        <v>0.67665602189282004</v>
      </c>
      <c r="Q26" s="65">
        <v>0.86093275652628432</v>
      </c>
      <c r="R26" s="65">
        <v>0.19143613718644303</v>
      </c>
      <c r="S26" s="65">
        <v>1.2542993958439648</v>
      </c>
      <c r="T26" s="65">
        <v>1.3747477011722389</v>
      </c>
      <c r="U26" s="65">
        <v>1.4119311961708774</v>
      </c>
      <c r="V26" s="65">
        <v>0.38995276417040114</v>
      </c>
      <c r="W26" s="65">
        <v>1.0544869854096246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0.30913103090269389</v>
      </c>
      <c r="D27" s="148">
        <v>0.35793427686800461</v>
      </c>
      <c r="E27" s="148">
        <v>0.54602634205458578</v>
      </c>
      <c r="F27" s="148">
        <v>0.62711292422001763</v>
      </c>
      <c r="G27" s="148">
        <v>2.0635842893723284E-3</v>
      </c>
      <c r="H27" s="148">
        <v>0.87414654045672036</v>
      </c>
      <c r="I27" s="148">
        <v>1.1678088137467646</v>
      </c>
      <c r="J27" s="148">
        <v>1.4272398426414481</v>
      </c>
      <c r="K27" s="148">
        <v>0.54799221210437632</v>
      </c>
      <c r="L27" s="148">
        <v>0.18097746193327857</v>
      </c>
      <c r="M27" s="148">
        <v>0.28586050745765357</v>
      </c>
      <c r="N27" s="148">
        <v>0.3776532466655948</v>
      </c>
      <c r="O27" s="148">
        <v>0.58953502331928442</v>
      </c>
      <c r="P27" s="148">
        <v>0.27184270417743656</v>
      </c>
      <c r="Q27" s="148">
        <v>0.39130017814477169</v>
      </c>
      <c r="R27" s="148">
        <v>0.79192663417700326</v>
      </c>
      <c r="S27" s="148">
        <v>0.80271958344045524</v>
      </c>
      <c r="T27" s="148">
        <v>0.79158229764115395</v>
      </c>
      <c r="U27" s="148">
        <v>0.89297093014909101</v>
      </c>
      <c r="V27" s="148">
        <v>1.6695538236722292</v>
      </c>
      <c r="W27" s="148">
        <v>0.86896025801185817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8.5530428564983616</v>
      </c>
      <c r="D29" s="131">
        <f t="shared" si="8"/>
        <v>7.2822564324995964</v>
      </c>
      <c r="E29" s="131">
        <f t="shared" si="8"/>
        <v>9.0194202905856056</v>
      </c>
      <c r="F29" s="131">
        <f t="shared" si="8"/>
        <v>9.9565137054051167</v>
      </c>
      <c r="G29" s="131">
        <f t="shared" si="8"/>
        <v>7.1913962288849334</v>
      </c>
      <c r="H29" s="131">
        <f t="shared" si="8"/>
        <v>10.211836139001443</v>
      </c>
      <c r="I29" s="131">
        <f t="shared" si="8"/>
        <v>7.6668583099557175</v>
      </c>
      <c r="J29" s="131">
        <f t="shared" si="8"/>
        <v>5.1366449630381341</v>
      </c>
      <c r="K29" s="131">
        <f t="shared" si="8"/>
        <v>0.95628800101427958</v>
      </c>
      <c r="L29" s="131">
        <f t="shared" si="8"/>
        <v>0.99364888550042219</v>
      </c>
      <c r="M29" s="131">
        <f t="shared" si="8"/>
        <v>0.8468433569256838</v>
      </c>
      <c r="N29" s="131">
        <f t="shared" si="8"/>
        <v>1.5156817124069484</v>
      </c>
      <c r="O29" s="131">
        <f t="shared" si="8"/>
        <v>0.98138805910302018</v>
      </c>
      <c r="P29" s="131">
        <f t="shared" si="8"/>
        <v>1.3350773283170405</v>
      </c>
      <c r="Q29" s="131">
        <f t="shared" si="8"/>
        <v>1.7383482448296996</v>
      </c>
      <c r="R29" s="131">
        <f t="shared" ref="R29:W29" si="9">SUM(R30:R33)</f>
        <v>1.3486850747671038</v>
      </c>
      <c r="S29" s="131">
        <f t="shared" si="9"/>
        <v>2.9035780971051679</v>
      </c>
      <c r="T29" s="131">
        <f t="shared" si="9"/>
        <v>2.9656038594760608</v>
      </c>
      <c r="U29" s="131">
        <f t="shared" si="9"/>
        <v>3.1768995758081431</v>
      </c>
      <c r="V29" s="131">
        <f t="shared" si="9"/>
        <v>2.6860479871427696</v>
      </c>
      <c r="W29" s="131">
        <f t="shared" si="9"/>
        <v>2.8998966362184269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1.1235266188040912E-2</v>
      </c>
      <c r="D30" s="133">
        <v>0.21100631888030383</v>
      </c>
      <c r="E30" s="133">
        <v>0.85794206438095466</v>
      </c>
      <c r="F30" s="133">
        <v>2.9694830951277642</v>
      </c>
      <c r="G30" s="133">
        <v>0.84159572264751004</v>
      </c>
      <c r="H30" s="133">
        <v>0.57264822956273054</v>
      </c>
      <c r="I30" s="133">
        <v>4.9021596088545033E-2</v>
      </c>
      <c r="J30" s="133">
        <v>0.31808800686984845</v>
      </c>
      <c r="K30" s="133">
        <v>5.4297344613835417E-2</v>
      </c>
      <c r="L30" s="133">
        <v>9.697091556468683E-2</v>
      </c>
      <c r="M30" s="133">
        <v>0.27115409373053329</v>
      </c>
      <c r="N30" s="133">
        <v>0.61055677959703669</v>
      </c>
      <c r="O30" s="133">
        <v>6.2223933995843646E-2</v>
      </c>
      <c r="P30" s="133">
        <v>0</v>
      </c>
      <c r="Q30" s="133">
        <v>0.12332571164081384</v>
      </c>
      <c r="R30" s="133">
        <v>0.1869251345713962</v>
      </c>
      <c r="S30" s="133">
        <v>0.27900744869991295</v>
      </c>
      <c r="T30" s="133">
        <v>0.41611542975729809</v>
      </c>
      <c r="U30" s="133">
        <v>0.49728445851105196</v>
      </c>
      <c r="V30" s="133">
        <v>0.14746160780052819</v>
      </c>
      <c r="W30" s="133">
        <v>0.53051086734547181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0.12152953669595544</v>
      </c>
      <c r="D31" s="133">
        <v>0.22322149632398933</v>
      </c>
      <c r="E31" s="133">
        <v>0.36613055518795157</v>
      </c>
      <c r="F31" s="133">
        <v>0.44881578259108246</v>
      </c>
      <c r="G31" s="133">
        <v>0.4770287545122236</v>
      </c>
      <c r="H31" s="133">
        <v>0.53001439792686988</v>
      </c>
      <c r="I31" s="133">
        <v>0.45128177496618888</v>
      </c>
      <c r="J31" s="133">
        <v>0.34458219019286884</v>
      </c>
      <c r="K31" s="133">
        <v>8.1821889811031126E-2</v>
      </c>
      <c r="L31" s="133">
        <v>0.14491050022609286</v>
      </c>
      <c r="M31" s="133">
        <v>0.1824186643363391</v>
      </c>
      <c r="N31" s="133">
        <v>0.10347840989623633</v>
      </c>
      <c r="O31" s="133">
        <v>5.7710318400599953E-2</v>
      </c>
      <c r="P31" s="133">
        <v>8.4121183221096102E-2</v>
      </c>
      <c r="Q31" s="133">
        <v>0.11235021431798252</v>
      </c>
      <c r="R31" s="133">
        <v>7.7314941775728244E-2</v>
      </c>
      <c r="S31" s="133">
        <v>0.16247411296974215</v>
      </c>
      <c r="T31" s="133">
        <v>0.20775326656355111</v>
      </c>
      <c r="U31" s="133">
        <v>0.28777331192550287</v>
      </c>
      <c r="V31" s="133">
        <v>0.31597940254453488</v>
      </c>
      <c r="W31" s="133">
        <v>0.24993670594306455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8.420278053614366</v>
      </c>
      <c r="D33" s="68">
        <v>6.8480286172953031</v>
      </c>
      <c r="E33" s="68">
        <v>7.7953476710166996</v>
      </c>
      <c r="F33" s="68">
        <v>6.5382148276862697</v>
      </c>
      <c r="G33" s="68">
        <v>5.8727717517251996</v>
      </c>
      <c r="H33" s="68">
        <v>9.1091735115118428</v>
      </c>
      <c r="I33" s="68">
        <v>7.1665549389009833</v>
      </c>
      <c r="J33" s="68">
        <v>4.4739747659754165</v>
      </c>
      <c r="K33" s="68">
        <v>0.82016876658941307</v>
      </c>
      <c r="L33" s="68">
        <v>0.75176746970964248</v>
      </c>
      <c r="M33" s="68">
        <v>0.39327059885881144</v>
      </c>
      <c r="N33" s="68">
        <v>0.80164652291367522</v>
      </c>
      <c r="O33" s="68">
        <v>0.86145380670657656</v>
      </c>
      <c r="P33" s="68">
        <v>1.2509561450959443</v>
      </c>
      <c r="Q33" s="68">
        <v>1.5026723188709032</v>
      </c>
      <c r="R33" s="68">
        <v>1.0844449984199793</v>
      </c>
      <c r="S33" s="68">
        <v>2.4620965354355127</v>
      </c>
      <c r="T33" s="68">
        <v>2.3417351631552115</v>
      </c>
      <c r="U33" s="68">
        <v>2.391841805371588</v>
      </c>
      <c r="V33" s="68">
        <v>2.2226069767977066</v>
      </c>
      <c r="W33" s="68">
        <v>2.1194490629298905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0.75263801691255772</v>
      </c>
      <c r="D3" s="127">
        <f>IF(SER_hh_tes_in!D3=0,"",SER_hh_tes_in!D3/SER_hh_fec_in!D3)</f>
        <v>0.76877120357629702</v>
      </c>
      <c r="E3" s="127">
        <f>IF(SER_hh_tes_in!E3=0,"",SER_hh_tes_in!E3/SER_hh_fec_in!E3)</f>
        <v>0.81073198260322155</v>
      </c>
      <c r="F3" s="127">
        <f>IF(SER_hh_tes_in!F3=0,"",SER_hh_tes_in!F3/SER_hh_fec_in!F3)</f>
        <v>0.76009488073219122</v>
      </c>
      <c r="G3" s="127">
        <f>IF(SER_hh_tes_in!G3=0,"",SER_hh_tes_in!G3/SER_hh_fec_in!G3)</f>
        <v>0.72625600385410516</v>
      </c>
      <c r="H3" s="127">
        <f>IF(SER_hh_tes_in!H3=0,"",SER_hh_tes_in!H3/SER_hh_fec_in!H3)</f>
        <v>0.8056650948061268</v>
      </c>
      <c r="I3" s="127">
        <f>IF(SER_hh_tes_in!I3=0,"",SER_hh_tes_in!I3/SER_hh_fec_in!I3)</f>
        <v>0.9378984296966697</v>
      </c>
      <c r="J3" s="127">
        <f>IF(SER_hh_tes_in!J3=0,"",SER_hh_tes_in!J3/SER_hh_fec_in!J3)</f>
        <v>0.97777337386800078</v>
      </c>
      <c r="K3" s="127">
        <f>IF(SER_hh_tes_in!K3=0,"",SER_hh_tes_in!K3/SER_hh_fec_in!K3)</f>
        <v>1.0680860398263239</v>
      </c>
      <c r="L3" s="127">
        <f>IF(SER_hh_tes_in!L3=0,"",SER_hh_tes_in!L3/SER_hh_fec_in!L3)</f>
        <v>1.0980105615964746</v>
      </c>
      <c r="M3" s="127">
        <f>IF(SER_hh_tes_in!M3=0,"",SER_hh_tes_in!M3/SER_hh_fec_in!M3)</f>
        <v>1.1162682516461018</v>
      </c>
      <c r="N3" s="127">
        <f>IF(SER_hh_tes_in!N3=0,"",SER_hh_tes_in!N3/SER_hh_fec_in!N3)</f>
        <v>1.1878204735120625</v>
      </c>
      <c r="O3" s="127">
        <f>IF(SER_hh_tes_in!O3=0,"",SER_hh_tes_in!O3/SER_hh_fec_in!O3)</f>
        <v>1.285133878412128</v>
      </c>
      <c r="P3" s="127">
        <f>IF(SER_hh_tes_in!P3=0,"",SER_hh_tes_in!P3/SER_hh_fec_in!P3)</f>
        <v>1.2177120306295961</v>
      </c>
      <c r="Q3" s="127">
        <f>IF(SER_hh_tes_in!Q3=0,"",SER_hh_tes_in!Q3/SER_hh_fec_in!Q3)</f>
        <v>1.3229652274166295</v>
      </c>
      <c r="R3" s="127">
        <f>IF(SER_hh_tes_in!R3=0,"",SER_hh_tes_in!R3/SER_hh_fec_in!R3)</f>
        <v>0.9492509632332673</v>
      </c>
      <c r="S3" s="127">
        <f>IF(SER_hh_tes_in!S3=0,"",SER_hh_tes_in!S3/SER_hh_fec_in!S3)</f>
        <v>1.0667325440220077</v>
      </c>
      <c r="T3" s="127">
        <f>IF(SER_hh_tes_in!T3=0,"",SER_hh_tes_in!T3/SER_hh_fec_in!T3)</f>
        <v>1.2193606540442317</v>
      </c>
      <c r="U3" s="127">
        <f>IF(SER_hh_tes_in!U3=0,"",SER_hh_tes_in!U3/SER_hh_fec_in!U3)</f>
        <v>1.2506423825065174</v>
      </c>
      <c r="V3" s="127">
        <f>IF(SER_hh_tes_in!V3=0,"",SER_hh_tes_in!V3/SER_hh_fec_in!V3)</f>
        <v>1.3824133543210246</v>
      </c>
      <c r="W3" s="127">
        <f>IF(SER_hh_tes_in!W3=0,"",SER_hh_tes_in!W3/SER_hh_fec_in!W3)</f>
        <v>1.3278186020018201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0.49254408206676398</v>
      </c>
      <c r="D4" s="136">
        <f>IF(SER_hh_tes_in!D4=0,"",SER_hh_tes_in!D4/SER_hh_fec_in!D4)</f>
        <v>0.58467287317916095</v>
      </c>
      <c r="E4" s="136">
        <f>IF(SER_hh_tes_in!E4=0,"",SER_hh_tes_in!E4/SER_hh_fec_in!E4)</f>
        <v>0.58326918615113776</v>
      </c>
      <c r="F4" s="136">
        <f>IF(SER_hh_tes_in!F4=0,"",SER_hh_tes_in!F4/SER_hh_fec_in!F4)</f>
        <v>0.68199438164722503</v>
      </c>
      <c r="G4" s="136">
        <f>IF(SER_hh_tes_in!G4=0,"",SER_hh_tes_in!G4/SER_hh_fec_in!G4)</f>
        <v>0.60165795065304128</v>
      </c>
      <c r="H4" s="136">
        <f>IF(SER_hh_tes_in!H4=0,"",SER_hh_tes_in!H4/SER_hh_fec_in!H4)</f>
        <v>0.68553801045734997</v>
      </c>
      <c r="I4" s="136">
        <f>IF(SER_hh_tes_in!I4=0,"",SER_hh_tes_in!I4/SER_hh_fec_in!I4)</f>
        <v>0.79219434745263595</v>
      </c>
      <c r="J4" s="136">
        <f>IF(SER_hh_tes_in!J4=0,"",SER_hh_tes_in!J4/SER_hh_fec_in!J4)</f>
        <v>0.86497825620095414</v>
      </c>
      <c r="K4" s="136">
        <f>IF(SER_hh_tes_in!K4=0,"",SER_hh_tes_in!K4/SER_hh_fec_in!K4)</f>
        <v>1.1888142981024163</v>
      </c>
      <c r="L4" s="136">
        <f>IF(SER_hh_tes_in!L4=0,"",SER_hh_tes_in!L4/SER_hh_fec_in!L4)</f>
        <v>1.6638545117787098</v>
      </c>
      <c r="M4" s="136">
        <f>IF(SER_hh_tes_in!M4=0,"",SER_hh_tes_in!M4/SER_hh_fec_in!M4)</f>
        <v>2.006847724963372</v>
      </c>
      <c r="N4" s="136">
        <f>IF(SER_hh_tes_in!N4=0,"",SER_hh_tes_in!N4/SER_hh_fec_in!N4)</f>
        <v>1.8578307678335331</v>
      </c>
      <c r="O4" s="136">
        <f>IF(SER_hh_tes_in!O4=0,"",SER_hh_tes_in!O4/SER_hh_fec_in!O4)</f>
        <v>2.7496365727698024</v>
      </c>
      <c r="P4" s="136">
        <f>IF(SER_hh_tes_in!P4=0,"",SER_hh_tes_in!P4/SER_hh_fec_in!P4)</f>
        <v>3.0922369087631401</v>
      </c>
      <c r="Q4" s="136">
        <f>IF(SER_hh_tes_in!Q4=0,"",SER_hh_tes_in!Q4/SER_hh_fec_in!Q4)</f>
        <v>2.8869696144760058</v>
      </c>
      <c r="R4" s="136">
        <f>IF(SER_hh_tes_in!R4=0,"",SER_hh_tes_in!R4/SER_hh_fec_in!R4)</f>
        <v>0.77457672932772537</v>
      </c>
      <c r="S4" s="136">
        <f>IF(SER_hh_tes_in!S4=0,"",SER_hh_tes_in!S4/SER_hh_fec_in!S4)</f>
        <v>1.0525386362860714</v>
      </c>
      <c r="T4" s="136">
        <f>IF(SER_hh_tes_in!T4=0,"",SER_hh_tes_in!T4/SER_hh_fec_in!T4)</f>
        <v>1.9758833254298762</v>
      </c>
      <c r="U4" s="136">
        <f>IF(SER_hh_tes_in!U4=0,"",SER_hh_tes_in!U4/SER_hh_fec_in!U4)</f>
        <v>1.805380214388024</v>
      </c>
      <c r="V4" s="136">
        <f>IF(SER_hh_tes_in!V4=0,"",SER_hh_tes_in!V4/SER_hh_fec_in!V4)</f>
        <v>2.3616303428199577</v>
      </c>
      <c r="W4" s="136">
        <f>IF(SER_hh_tes_in!W4=0,"",SER_hh_tes_in!W4/SER_hh_fec_in!W4)</f>
        <v>2.3455488698314433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0.42990031340410673</v>
      </c>
      <c r="D7" s="137">
        <f>IF(SER_hh_tes_in!D7=0,"",SER_hh_tes_in!D7/SER_hh_fec_in!D7)</f>
        <v>0.43557510565531632</v>
      </c>
      <c r="E7" s="137">
        <f>IF(SER_hh_tes_in!E7=0,"",SER_hh_tes_in!E7/SER_hh_fec_in!E7)</f>
        <v>0.44145134096993349</v>
      </c>
      <c r="F7" s="137">
        <f>IF(SER_hh_tes_in!F7=0,"",SER_hh_tes_in!F7/SER_hh_fec_in!F7)</f>
        <v>0.44729957049101965</v>
      </c>
      <c r="G7" s="137">
        <f>IF(SER_hh_tes_in!G7=0,"",SER_hh_tes_in!G7/SER_hh_fec_in!G7)</f>
        <v>0.45331951272673593</v>
      </c>
      <c r="H7" s="137">
        <f>IF(SER_hh_tes_in!H7=0,"",SER_hh_tes_in!H7/SER_hh_fec_in!H7)</f>
        <v>0.45948070908362498</v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>
        <f>IF(SER_hh_tes_in!M7=0,"",SER_hh_tes_in!M7/SER_hh_fec_in!M7)</f>
        <v>0.50012171022063479</v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0.60767240808760203</v>
      </c>
      <c r="S7" s="137">
        <f>IF(SER_hh_tes_in!S7=0,"",SER_hh_tes_in!S7/SER_hh_fec_in!S7)</f>
        <v>0.61598578693689987</v>
      </c>
      <c r="T7" s="137">
        <f>IF(SER_hh_tes_in!T7=0,"",SER_hh_tes_in!T7/SER_hh_fec_in!T7)</f>
        <v>0.62207608366942957</v>
      </c>
      <c r="U7" s="137">
        <f>IF(SER_hh_tes_in!U7=0,"",SER_hh_tes_in!U7/SER_hh_fec_in!U7)</f>
        <v>0.62682015908236455</v>
      </c>
      <c r="V7" s="137">
        <f>IF(SER_hh_tes_in!V7=0,"",SER_hh_tes_in!V7/SER_hh_fec_in!V7)</f>
        <v>0.63093613502246715</v>
      </c>
      <c r="W7" s="137">
        <f>IF(SER_hh_tes_in!W7=0,"",SER_hh_tes_in!W7/SER_hh_fec_in!W7)</f>
        <v>0.63359613479443677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1.1186175389894424</v>
      </c>
      <c r="D8" s="137">
        <f>IF(SER_hh_tes_in!D8=0,"",SER_hh_tes_in!D8/SER_hh_fec_in!D8)</f>
        <v>1.2078229573806631</v>
      </c>
      <c r="E8" s="137">
        <f>IF(SER_hh_tes_in!E8=0,"",SER_hh_tes_in!E8/SER_hh_fec_in!E8)</f>
        <v>1.2990256713079007</v>
      </c>
      <c r="F8" s="137">
        <f>IF(SER_hh_tes_in!F8=0,"",SER_hh_tes_in!F8/SER_hh_fec_in!F8)</f>
        <v>1.3918402482926686</v>
      </c>
      <c r="G8" s="137">
        <f>IF(SER_hh_tes_in!G8=0,"",SER_hh_tes_in!G8/SER_hh_fec_in!G8)</f>
        <v>1.4866006074205718</v>
      </c>
      <c r="H8" s="137">
        <f>IF(SER_hh_tes_in!H8=0,"",SER_hh_tes_in!H8/SER_hh_fec_in!H8)</f>
        <v>1.5832506965949833</v>
      </c>
      <c r="I8" s="137">
        <f>IF(SER_hh_tes_in!I8=0,"",SER_hh_tes_in!I8/SER_hh_fec_in!I8)</f>
        <v>1.6818533042702075</v>
      </c>
      <c r="J8" s="137">
        <f>IF(SER_hh_tes_in!J8=0,"",SER_hh_tes_in!J8/SER_hh_fec_in!J8)</f>
        <v>1.7827003618827277</v>
      </c>
      <c r="K8" s="137">
        <f>IF(SER_hh_tes_in!K8=0,"",SER_hh_tes_in!K8/SER_hh_fec_in!K8)</f>
        <v>1.8860105142284551</v>
      </c>
      <c r="L8" s="137">
        <f>IF(SER_hh_tes_in!L8=0,"",SER_hh_tes_in!L8/SER_hh_fec_in!L8)</f>
        <v>1.9917915341618673</v>
      </c>
      <c r="M8" s="137">
        <f>IF(SER_hh_tes_in!M8=0,"",SER_hh_tes_in!M8/SER_hh_fec_in!M8)</f>
        <v>2.1081433199274069</v>
      </c>
      <c r="N8" s="137">
        <f>IF(SER_hh_tes_in!N8=0,"",SER_hh_tes_in!N8/SER_hh_fec_in!N8)</f>
        <v>2.2371534477666875</v>
      </c>
      <c r="O8" s="137">
        <f>IF(SER_hh_tes_in!O8=0,"",SER_hh_tes_in!O8/SER_hh_fec_in!O8)</f>
        <v>2.3776887127172075</v>
      </c>
      <c r="P8" s="137">
        <f>IF(SER_hh_tes_in!P8=0,"",SER_hh_tes_in!P8/SER_hh_fec_in!P8)</f>
        <v>2.5190287334154182</v>
      </c>
      <c r="Q8" s="137">
        <f>IF(SER_hh_tes_in!Q8=0,"",SER_hh_tes_in!Q8/SER_hh_fec_in!Q8)</f>
        <v>2.6348622611326924</v>
      </c>
      <c r="R8" s="137">
        <f>IF(SER_hh_tes_in!R8=0,"",SER_hh_tes_in!R8/SER_hh_fec_in!R8)</f>
        <v>2.6792233236233018</v>
      </c>
      <c r="S8" s="137">
        <f>IF(SER_hh_tes_in!S8=0,"",SER_hh_tes_in!S8/SER_hh_fec_in!S8)</f>
        <v>2.7077493226091045</v>
      </c>
      <c r="T8" s="137">
        <f>IF(SER_hh_tes_in!T8=0,"",SER_hh_tes_in!T8/SER_hh_fec_in!T8)</f>
        <v>2.7264346546637008</v>
      </c>
      <c r="U8" s="137">
        <f>IF(SER_hh_tes_in!U8=0,"",SER_hh_tes_in!U8/SER_hh_fec_in!U8)</f>
        <v>2.7413790261029929</v>
      </c>
      <c r="V8" s="137">
        <f>IF(SER_hh_tes_in!V8=0,"",SER_hh_tes_in!V8/SER_hh_fec_in!V8)</f>
        <v>2.7588551287277645</v>
      </c>
      <c r="W8" s="137">
        <f>IF(SER_hh_tes_in!W8=0,"",SER_hh_tes_in!W8/SER_hh_fec_in!W8)</f>
        <v>2.7781813884844708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0.49066583666644831</v>
      </c>
      <c r="D9" s="137">
        <f>IF(SER_hh_tes_in!D9=0,"",SER_hh_tes_in!D9/SER_hh_fec_in!D9)</f>
        <v>0.49718161314586218</v>
      </c>
      <c r="E9" s="137">
        <f>IF(SER_hh_tes_in!E9=0,"",SER_hh_tes_in!E9/SER_hh_fec_in!E9)</f>
        <v>0.50369950733388369</v>
      </c>
      <c r="F9" s="137">
        <f>IF(SER_hh_tes_in!F9=0,"",SER_hh_tes_in!F9/SER_hh_fec_in!F9)</f>
        <v>0.51013696964902944</v>
      </c>
      <c r="G9" s="137">
        <f>IF(SER_hh_tes_in!G9=0,"",SER_hh_tes_in!G9/SER_hh_fec_in!G9)</f>
        <v>0.51657013591850498</v>
      </c>
      <c r="H9" s="137">
        <f>IF(SER_hh_tes_in!H9=0,"",SER_hh_tes_in!H9/SER_hh_fec_in!H9)</f>
        <v>0.52299047743006311</v>
      </c>
      <c r="I9" s="137">
        <f>IF(SER_hh_tes_in!I9=0,"",SER_hh_tes_in!I9/SER_hh_fec_in!I9)</f>
        <v>0.52941755267258461</v>
      </c>
      <c r="J9" s="137">
        <f>IF(SER_hh_tes_in!J9=0,"",SER_hh_tes_in!J9/SER_hh_fec_in!J9)</f>
        <v>0.53592965852123708</v>
      </c>
      <c r="K9" s="137">
        <f>IF(SER_hh_tes_in!K9=0,"",SER_hh_tes_in!K9/SER_hh_fec_in!K9)</f>
        <v>0.54259436355378643</v>
      </c>
      <c r="L9" s="137">
        <f>IF(SER_hh_tes_in!L9=0,"",SER_hh_tes_in!L9/SER_hh_fec_in!L9)</f>
        <v>0.549431489488587</v>
      </c>
      <c r="M9" s="137">
        <f>IF(SER_hh_tes_in!M9=0,"",SER_hh_tes_in!M9/SER_hh_fec_in!M9)</f>
        <v>0.55817099927603697</v>
      </c>
      <c r="N9" s="137" t="str">
        <f>IF(SER_hh_tes_in!N9=0,"",SER_hh_tes_in!N9/SER_hh_fec_in!N9)</f>
        <v/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>
        <f>IF(SER_hh_tes_in!Q9=0,"",SER_hh_tes_in!Q9/SER_hh_fec_in!Q9)</f>
        <v>0.61218260979682393</v>
      </c>
      <c r="R9" s="137" t="str">
        <f>IF(SER_hh_tes_in!R9=0,"",SER_hh_tes_in!R9/SER_hh_fec_in!R9)</f>
        <v/>
      </c>
      <c r="S9" s="137">
        <f>IF(SER_hh_tes_in!S9=0,"",SER_hh_tes_in!S9/SER_hh_fec_in!S9)</f>
        <v>0.62548067234886029</v>
      </c>
      <c r="T9" s="137">
        <f>IF(SER_hh_tes_in!T9=0,"",SER_hh_tes_in!T9/SER_hh_fec_in!T9)</f>
        <v>0.63009726552647549</v>
      </c>
      <c r="U9" s="137">
        <f>IF(SER_hh_tes_in!U9=0,"",SER_hh_tes_in!U9/SER_hh_fec_in!U9)</f>
        <v>0.63394122155192345</v>
      </c>
      <c r="V9" s="137">
        <f>IF(SER_hh_tes_in!V9=0,"",SER_hh_tes_in!V9/SER_hh_fec_in!V9)</f>
        <v>0.63727828051657798</v>
      </c>
      <c r="W9" s="137">
        <f>IF(SER_hh_tes_in!W9=0,"",SER_hh_tes_in!W9/SER_hh_fec_in!W9)</f>
        <v>0.63958696908030543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>
        <f>IF(SER_hh_tes_in!N10=0,"",SER_hh_tes_in!N10/SER_hh_fec_in!N10)</f>
        <v>0.47911759760859479</v>
      </c>
      <c r="O10" s="137">
        <f>IF(SER_hh_tes_in!O10=0,"",SER_hh_tes_in!O10/SER_hh_fec_in!O10)</f>
        <v>0.48453659758084333</v>
      </c>
      <c r="P10" s="137">
        <f>IF(SER_hh_tes_in!P10=0,"",SER_hh_tes_in!P10/SER_hh_fec_in!P10)</f>
        <v>0.48928314476354301</v>
      </c>
      <c r="Q10" s="137">
        <f>IF(SER_hh_tes_in!Q10=0,"",SER_hh_tes_in!Q10/SER_hh_fec_in!Q10)</f>
        <v>0.49493401343159349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>
        <f>IF(SER_hh_tes_in!F11=0,"",SER_hh_tes_in!F11/SER_hh_fec_in!F11)</f>
        <v>0.87835810028908701</v>
      </c>
      <c r="G11" s="137">
        <f>IF(SER_hh_tes_in!G11=0,"",SER_hh_tes_in!G11/SER_hh_fec_in!G11)</f>
        <v>0.8830678255617197</v>
      </c>
      <c r="H11" s="137">
        <f>IF(SER_hh_tes_in!H11=0,"",SER_hh_tes_in!H11/SER_hh_fec_in!H11)</f>
        <v>0.8877781421700045</v>
      </c>
      <c r="I11" s="137" t="str">
        <f>IF(SER_hh_tes_in!I11=0,"",SER_hh_tes_in!I11/SER_hh_fec_in!I11)</f>
        <v/>
      </c>
      <c r="J11" s="137">
        <f>IF(SER_hh_tes_in!J11=0,"",SER_hh_tes_in!J11/SER_hh_fec_in!J11)</f>
        <v>0.8972015328443731</v>
      </c>
      <c r="K11" s="137">
        <f>IF(SER_hh_tes_in!K11=0,"",SER_hh_tes_in!K11/SER_hh_fec_in!K11)</f>
        <v>0.90191565732679513</v>
      </c>
      <c r="L11" s="137">
        <f>IF(SER_hh_tes_in!L11=0,"",SER_hh_tes_in!L11/SER_hh_fec_in!L11)</f>
        <v>0.90663169128408316</v>
      </c>
      <c r="M11" s="137">
        <f>IF(SER_hh_tes_in!M11=0,"",SER_hh_tes_in!M11/SER_hh_fec_in!M11)</f>
        <v>0.91139812176346169</v>
      </c>
      <c r="N11" s="137">
        <f>IF(SER_hh_tes_in!N11=0,"",SER_hh_tes_in!N11/SER_hh_fec_in!N11)</f>
        <v>0.91623308256177738</v>
      </c>
      <c r="O11" s="137">
        <f>IF(SER_hh_tes_in!O11=0,"",SER_hh_tes_in!O11/SER_hh_fec_in!O11)</f>
        <v>0.92111455816686971</v>
      </c>
      <c r="P11" s="137">
        <f>IF(SER_hh_tes_in!P11=0,"",SER_hh_tes_in!P11/SER_hh_fec_in!P11)</f>
        <v>0.9259405125912491</v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>
        <f>IF(SER_hh_tes_in!S11=0,"",SER_hh_tes_in!S11/SER_hh_fec_in!S11)</f>
        <v>0.93794587739067214</v>
      </c>
      <c r="T11" s="137">
        <f>IF(SER_hh_tes_in!T11=0,"",SER_hh_tes_in!T11/SER_hh_fec_in!T11)</f>
        <v>0.94130392662392259</v>
      </c>
      <c r="U11" s="137">
        <f>IF(SER_hh_tes_in!U11=0,"",SER_hh_tes_in!U11/SER_hh_fec_in!U11)</f>
        <v>0.94447869430778564</v>
      </c>
      <c r="V11" s="137">
        <f>IF(SER_hh_tes_in!V11=0,"",SER_hh_tes_in!V11/SER_hh_fec_in!V11)</f>
        <v>0.94753339205070775</v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1.3435091961253254</v>
      </c>
      <c r="D13" s="137">
        <f>IF(SER_hh_tes_in!D13=0,"",SER_hh_tes_in!D13/SER_hh_fec_in!D13)</f>
        <v>1.4605709183840803</v>
      </c>
      <c r="E13" s="137">
        <f>IF(SER_hh_tes_in!E13=0,"",SER_hh_tes_in!E13/SER_hh_fec_in!E13)</f>
        <v>1.5809853078791338</v>
      </c>
      <c r="F13" s="137">
        <f>IF(SER_hh_tes_in!F13=0,"",SER_hh_tes_in!F13/SER_hh_fec_in!F13)</f>
        <v>1.7042518203947989</v>
      </c>
      <c r="G13" s="137">
        <f>IF(SER_hh_tes_in!G13=0,"",SER_hh_tes_in!G13/SER_hh_fec_in!G13)</f>
        <v>1.8307863025246562</v>
      </c>
      <c r="H13" s="137">
        <f>IF(SER_hh_tes_in!H13=0,"",SER_hh_tes_in!H13/SER_hh_fec_in!H13)</f>
        <v>1.9605102882190912</v>
      </c>
      <c r="I13" s="137">
        <f>IF(SER_hh_tes_in!I13=0,"",SER_hh_tes_in!I13/SER_hh_fec_in!I13)</f>
        <v>2.09349752362884</v>
      </c>
      <c r="J13" s="137">
        <f>IF(SER_hh_tes_in!J13=0,"",SER_hh_tes_in!J13/SER_hh_fec_in!J13)</f>
        <v>2.2301140827894566</v>
      </c>
      <c r="K13" s="137">
        <f>IF(SER_hh_tes_in!K13=0,"",SER_hh_tes_in!K13/SER_hh_fec_in!K13)</f>
        <v>2.3706308885078942</v>
      </c>
      <c r="L13" s="137">
        <f>IF(SER_hh_tes_in!L13=0,"",SER_hh_tes_in!L13/SER_hh_fec_in!L13)</f>
        <v>2.5150473624139345</v>
      </c>
      <c r="M13" s="137">
        <f>IF(SER_hh_tes_in!M13=0,"",SER_hh_tes_in!M13/SER_hh_fec_in!M13)</f>
        <v>2.6738446537229983</v>
      </c>
      <c r="N13" s="137">
        <f>IF(SER_hh_tes_in!N13=0,"",SER_hh_tes_in!N13/SER_hh_fec_in!N13)</f>
        <v>2.8496853055357847</v>
      </c>
      <c r="O13" s="137">
        <f>IF(SER_hh_tes_in!O13=0,"",SER_hh_tes_in!O13/SER_hh_fec_in!O13)</f>
        <v>3.0407925153708915</v>
      </c>
      <c r="P13" s="137">
        <f>IF(SER_hh_tes_in!P13=0,"",SER_hh_tes_in!P13/SER_hh_fec_in!P13)</f>
        <v>3.2326163797052576</v>
      </c>
      <c r="Q13" s="137">
        <f>IF(SER_hh_tes_in!Q13=0,"",SER_hh_tes_in!Q13/SER_hh_fec_in!Q13)</f>
        <v>3.3898615599909556</v>
      </c>
      <c r="R13" s="137">
        <f>IF(SER_hh_tes_in!R13=0,"",SER_hh_tes_in!R13/SER_hh_fec_in!R13)</f>
        <v>3.4486579211653972</v>
      </c>
      <c r="S13" s="137">
        <f>IF(SER_hh_tes_in!S13=0,"",SER_hh_tes_in!S13/SER_hh_fec_in!S13)</f>
        <v>3.4858737101045145</v>
      </c>
      <c r="T13" s="137">
        <f>IF(SER_hh_tes_in!T13=0,"",SER_hh_tes_in!T13/SER_hh_fec_in!T13)</f>
        <v>3.5097426504878122</v>
      </c>
      <c r="U13" s="137">
        <f>IF(SER_hh_tes_in!U13=0,"",SER_hh_tes_in!U13/SER_hh_fec_in!U13)</f>
        <v>3.5287390532649772</v>
      </c>
      <c r="V13" s="137">
        <f>IF(SER_hh_tes_in!V13=0,"",SER_hh_tes_in!V13/SER_hh_fec_in!V13)</f>
        <v>3.5516701028399007</v>
      </c>
      <c r="W13" s="137">
        <f>IF(SER_hh_tes_in!W13=0,"",SER_hh_tes_in!W13/SER_hh_fec_in!W13)</f>
        <v>3.5778849822776659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0.60276595003180566</v>
      </c>
      <c r="D14" s="138">
        <f>IF(SER_hh_tes_in!D14=0,"",SER_hh_tes_in!D14/SER_hh_fec_in!D14)</f>
        <v>0.60653478347798051</v>
      </c>
      <c r="E14" s="138">
        <f>IF(SER_hh_tes_in!E14=0,"",SER_hh_tes_in!E14/SER_hh_fec_in!E14)</f>
        <v>0.61040030865536055</v>
      </c>
      <c r="F14" s="138">
        <f>IF(SER_hh_tes_in!F14=0,"",SER_hh_tes_in!F14/SER_hh_fec_in!F14)</f>
        <v>0.61427889330812724</v>
      </c>
      <c r="G14" s="138">
        <f>IF(SER_hh_tes_in!G14=0,"",SER_hh_tes_in!G14/SER_hh_fec_in!G14)</f>
        <v>0.61824646511988068</v>
      </c>
      <c r="H14" s="138">
        <f>IF(SER_hh_tes_in!H14=0,"",SER_hh_tes_in!H14/SER_hh_fec_in!H14)</f>
        <v>0.62229367762194288</v>
      </c>
      <c r="I14" s="138">
        <f>IF(SER_hh_tes_in!I14=0,"",SER_hh_tes_in!I14/SER_hh_fec_in!I14)</f>
        <v>0.62643916185879089</v>
      </c>
      <c r="J14" s="138">
        <f>IF(SER_hh_tes_in!J14=0,"",SER_hh_tes_in!J14/SER_hh_fec_in!J14)</f>
        <v>0.63075937111024771</v>
      </c>
      <c r="K14" s="138">
        <f>IF(SER_hh_tes_in!K14=0,"",SER_hh_tes_in!K14/SER_hh_fec_in!K14)</f>
        <v>0.63531908728147624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0.70756259278593014</v>
      </c>
      <c r="S14" s="138">
        <f>IF(SER_hh_tes_in!S14=0,"",SER_hh_tes_in!S14/SER_hh_fec_in!S14)</f>
        <v>0.72489053916619461</v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0.77479168561911138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2.1880383526970473</v>
      </c>
      <c r="D16" s="136">
        <f>IF(SER_hh_tes_in!D16=0,"",SER_hh_tes_in!D16/SER_hh_fec_in!D16)</f>
        <v>2.2553168385985733</v>
      </c>
      <c r="E16" s="136">
        <f>IF(SER_hh_tes_in!E16=0,"",SER_hh_tes_in!E16/SER_hh_fec_in!E16)</f>
        <v>2.3301002775662507</v>
      </c>
      <c r="F16" s="136">
        <f>IF(SER_hh_tes_in!F16=0,"",SER_hh_tes_in!F16/SER_hh_fec_in!F16)</f>
        <v>2.3868491427353264</v>
      </c>
      <c r="G16" s="136">
        <f>IF(SER_hh_tes_in!G16=0,"",SER_hh_tes_in!G16/SER_hh_fec_in!G16)</f>
        <v>2.4562931223671405</v>
      </c>
      <c r="H16" s="136">
        <f>IF(SER_hh_tes_in!H16=0,"",SER_hh_tes_in!H16/SER_hh_fec_in!H16)</f>
        <v>2.5308058010263923</v>
      </c>
      <c r="I16" s="136">
        <f>IF(SER_hh_tes_in!I16=0,"",SER_hh_tes_in!I16/SER_hh_fec_in!I16)</f>
        <v>2.618433600623344</v>
      </c>
      <c r="J16" s="136">
        <f>IF(SER_hh_tes_in!J16=0,"",SER_hh_tes_in!J16/SER_hh_fec_in!J16)</f>
        <v>2.6707930464097798</v>
      </c>
      <c r="K16" s="136">
        <f>IF(SER_hh_tes_in!K16=0,"",SER_hh_tes_in!K16/SER_hh_fec_in!K16)</f>
        <v>2.7110093341422248</v>
      </c>
      <c r="L16" s="136">
        <f>IF(SER_hh_tes_in!L16=0,"",SER_hh_tes_in!L16/SER_hh_fec_in!L16)</f>
        <v>2.7785846502839573</v>
      </c>
      <c r="M16" s="136">
        <f>IF(SER_hh_tes_in!M16=0,"",SER_hh_tes_in!M16/SER_hh_fec_in!M16)</f>
        <v>2.8518280725917871</v>
      </c>
      <c r="N16" s="136">
        <f>IF(SER_hh_tes_in!N16=0,"",SER_hh_tes_in!N16/SER_hh_fec_in!N16)</f>
        <v>3.0057835091450777</v>
      </c>
      <c r="O16" s="136">
        <f>IF(SER_hh_tes_in!O16=0,"",SER_hh_tes_in!O16/SER_hh_fec_in!O16)</f>
        <v>3.0123200981959068</v>
      </c>
      <c r="P16" s="136">
        <f>IF(SER_hh_tes_in!P16=0,"",SER_hh_tes_in!P16/SER_hh_fec_in!P16)</f>
        <v>3.1436589823547316</v>
      </c>
      <c r="Q16" s="136">
        <f>IF(SER_hh_tes_in!Q16=0,"",SER_hh_tes_in!Q16/SER_hh_fec_in!Q16)</f>
        <v>3.3191252784526948</v>
      </c>
      <c r="R16" s="136">
        <f>IF(SER_hh_tes_in!R16=0,"",SER_hh_tes_in!R16/SER_hh_fec_in!R16)</f>
        <v>3.4224768923163329</v>
      </c>
      <c r="S16" s="136">
        <f>IF(SER_hh_tes_in!S16=0,"",SER_hh_tes_in!S16/SER_hh_fec_in!S16)</f>
        <v>3.4561040144372646</v>
      </c>
      <c r="T16" s="136">
        <f>IF(SER_hh_tes_in!T16=0,"",SER_hh_tes_in!T16/SER_hh_fec_in!T16)</f>
        <v>3.4141280190891905</v>
      </c>
      <c r="U16" s="136">
        <f>IF(SER_hh_tes_in!U16=0,"",SER_hh_tes_in!U16/SER_hh_fec_in!U16)</f>
        <v>3.5545800801753344</v>
      </c>
      <c r="V16" s="136">
        <f>IF(SER_hh_tes_in!V16=0,"",SER_hh_tes_in!V16/SER_hh_fec_in!V16)</f>
        <v>3.4963095127636268</v>
      </c>
      <c r="W16" s="136">
        <f>IF(SER_hh_tes_in!W16=0,"",SER_hh_tes_in!W16/SER_hh_fec_in!W16)</f>
        <v>3.6704294456228994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1.2425202604103502</v>
      </c>
      <c r="D17" s="137">
        <f>IF(SER_hh_tes_in!D17=0,"",SER_hh_tes_in!D17/SER_hh_fec_in!D17)</f>
        <v>1.2459366349162988</v>
      </c>
      <c r="E17" s="137">
        <f>IF(SER_hh_tes_in!E17=0,"",SER_hh_tes_in!E17/SER_hh_fec_in!E17)</f>
        <v>1.2486287816007786</v>
      </c>
      <c r="F17" s="137">
        <f>IF(SER_hh_tes_in!F17=0,"",SER_hh_tes_in!F17/SER_hh_fec_in!F17)</f>
        <v>1.2507375427924987</v>
      </c>
      <c r="G17" s="137">
        <f>IF(SER_hh_tes_in!G17=0,"",SER_hh_tes_in!G17/SER_hh_fec_in!G17)</f>
        <v>1.2522863784772158</v>
      </c>
      <c r="H17" s="137">
        <f>IF(SER_hh_tes_in!H17=0,"",SER_hh_tes_in!H17/SER_hh_fec_in!H17)</f>
        <v>1.2535092077539798</v>
      </c>
      <c r="I17" s="137">
        <f>IF(SER_hh_tes_in!I17=0,"",SER_hh_tes_in!I17/SER_hh_fec_in!I17)</f>
        <v>1.2544753079958224</v>
      </c>
      <c r="J17" s="137">
        <f>IF(SER_hh_tes_in!J17=0,"",SER_hh_tes_in!J17/SER_hh_fec_in!J17)</f>
        <v>1.2554218994366999</v>
      </c>
      <c r="K17" s="137">
        <f>IF(SER_hh_tes_in!K17=0,"",SER_hh_tes_in!K17/SER_hh_fec_in!K17)</f>
        <v>1.2566961576789217</v>
      </c>
      <c r="L17" s="137">
        <f>IF(SER_hh_tes_in!L17=0,"",SER_hh_tes_in!L17/SER_hh_fec_in!L17)</f>
        <v>1.2585203684152284</v>
      </c>
      <c r="M17" s="137">
        <f>IF(SER_hh_tes_in!M17=0,"",SER_hh_tes_in!M17/SER_hh_fec_in!M17)</f>
        <v>1.2638102555655089</v>
      </c>
      <c r="N17" s="137">
        <f>IF(SER_hh_tes_in!N17=0,"",SER_hh_tes_in!N17/SER_hh_fec_in!N17)</f>
        <v>1.2766382544264958</v>
      </c>
      <c r="O17" s="137">
        <f>IF(SER_hh_tes_in!O17=0,"",SER_hh_tes_in!O17/SER_hh_fec_in!O17)</f>
        <v>1.2984850913349308</v>
      </c>
      <c r="P17" s="137">
        <f>IF(SER_hh_tes_in!P17=0,"",SER_hh_tes_in!P17/SER_hh_fec_in!P17)</f>
        <v>1.328962333297832</v>
      </c>
      <c r="Q17" s="137">
        <f>IF(SER_hh_tes_in!Q17=0,"",SER_hh_tes_in!Q17/SER_hh_fec_in!Q17)</f>
        <v>1.3616726262385723</v>
      </c>
      <c r="R17" s="137">
        <f>IF(SER_hh_tes_in!R17=0,"",SER_hh_tes_in!R17/SER_hh_fec_in!R17)</f>
        <v>1.3888101865002598</v>
      </c>
      <c r="S17" s="137">
        <f>IF(SER_hh_tes_in!S17=0,"",SER_hh_tes_in!S17/SER_hh_fec_in!S17)</f>
        <v>1.415756083342679</v>
      </c>
      <c r="T17" s="137">
        <f>IF(SER_hh_tes_in!T17=0,"",SER_hh_tes_in!T17/SER_hh_fec_in!T17)</f>
        <v>1.4473620167457044</v>
      </c>
      <c r="U17" s="137">
        <f>IF(SER_hh_tes_in!U17=0,"",SER_hh_tes_in!U17/SER_hh_fec_in!U17)</f>
        <v>1.4808788853315191</v>
      </c>
      <c r="V17" s="137">
        <f>IF(SER_hh_tes_in!V17=0,"",SER_hh_tes_in!V17/SER_hh_fec_in!V17)</f>
        <v>1.513304356429944</v>
      </c>
      <c r="W17" s="137">
        <f>IF(SER_hh_tes_in!W17=0,"",SER_hh_tes_in!W17/SER_hh_fec_in!W17)</f>
        <v>1.5397508426466102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2.1892457912620729</v>
      </c>
      <c r="D18" s="137">
        <f>IF(SER_hh_tes_in!D18=0,"",SER_hh_tes_in!D18/SER_hh_fec_in!D18)</f>
        <v>2.259456780018481</v>
      </c>
      <c r="E18" s="137">
        <f>IF(SER_hh_tes_in!E18=0,"",SER_hh_tes_in!E18/SER_hh_fec_in!E18)</f>
        <v>2.330409100132337</v>
      </c>
      <c r="F18" s="137">
        <f>IF(SER_hh_tes_in!F18=0,"",SER_hh_tes_in!F18/SER_hh_fec_in!F18)</f>
        <v>2.4014376210000448</v>
      </c>
      <c r="G18" s="137">
        <f>IF(SER_hh_tes_in!G18=0,"",SER_hh_tes_in!G18/SER_hh_fec_in!G18)</f>
        <v>2.4731410885906744</v>
      </c>
      <c r="H18" s="137">
        <f>IF(SER_hh_tes_in!H18=0,"",SER_hh_tes_in!H18/SER_hh_fec_in!H18)</f>
        <v>2.5454423329102371</v>
      </c>
      <c r="I18" s="137">
        <f>IF(SER_hh_tes_in!I18=0,"",SER_hh_tes_in!I18/SER_hh_fec_in!I18)</f>
        <v>2.618484840531182</v>
      </c>
      <c r="J18" s="137">
        <f>IF(SER_hh_tes_in!J18=0,"",SER_hh_tes_in!J18/SER_hh_fec_in!J18)</f>
        <v>2.6928654506900442</v>
      </c>
      <c r="K18" s="137">
        <f>IF(SER_hh_tes_in!K18=0,"",SER_hh_tes_in!K18/SER_hh_fec_in!K18)</f>
        <v>2.7690859985625447</v>
      </c>
      <c r="L18" s="137">
        <f>IF(SER_hh_tes_in!L18=0,"",SER_hh_tes_in!L18/SER_hh_fec_in!L18)</f>
        <v>2.8472705599573191</v>
      </c>
      <c r="M18" s="137">
        <f>IF(SER_hh_tes_in!M18=0,"",SER_hh_tes_in!M18/SER_hh_fec_in!M18)</f>
        <v>2.9406546513047447</v>
      </c>
      <c r="N18" s="137">
        <f>IF(SER_hh_tes_in!N18=0,"",SER_hh_tes_in!N18/SER_hh_fec_in!N18)</f>
        <v>3.0535697282756762</v>
      </c>
      <c r="O18" s="137">
        <f>IF(SER_hh_tes_in!O18=0,"",SER_hh_tes_in!O18/SER_hh_fec_in!O18)</f>
        <v>3.1884104266571032</v>
      </c>
      <c r="P18" s="137">
        <f>IF(SER_hh_tes_in!P18=0,"",SER_hh_tes_in!P18/SER_hh_fec_in!P18)</f>
        <v>3.3346422605146766</v>
      </c>
      <c r="Q18" s="137">
        <f>IF(SER_hh_tes_in!Q18=0,"",SER_hh_tes_in!Q18/SER_hh_fec_in!Q18)</f>
        <v>3.460311498306456</v>
      </c>
      <c r="R18" s="137">
        <f>IF(SER_hh_tes_in!R18=0,"",SER_hh_tes_in!R18/SER_hh_fec_in!R18)</f>
        <v>3.5391511271936191</v>
      </c>
      <c r="S18" s="137">
        <f>IF(SER_hh_tes_in!S18=0,"",SER_hh_tes_in!S18/SER_hh_fec_in!S18)</f>
        <v>3.6019036008090977</v>
      </c>
      <c r="T18" s="137">
        <f>IF(SER_hh_tes_in!T18=0,"",SER_hh_tes_in!T18/SER_hh_fec_in!T18)</f>
        <v>3.6543356813226024</v>
      </c>
      <c r="U18" s="137">
        <f>IF(SER_hh_tes_in!U18=0,"",SER_hh_tes_in!U18/SER_hh_fec_in!U18)</f>
        <v>3.7020683640498202</v>
      </c>
      <c r="V18" s="137">
        <f>IF(SER_hh_tes_in!V18=0,"",SER_hh_tes_in!V18/SER_hh_fec_in!V18)</f>
        <v>3.7507370556905859</v>
      </c>
      <c r="W18" s="137">
        <f>IF(SER_hh_tes_in!W18=0,"",SER_hh_tes_in!W18/SER_hh_fec_in!W18)</f>
        <v>3.7983843846386214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0.5500433184479413</v>
      </c>
      <c r="D19" s="136">
        <f>IF(SER_hh_tes_in!D19=0,"",SER_hh_tes_in!D19/SER_hh_fec_in!D19)</f>
        <v>0.55569024634482056</v>
      </c>
      <c r="E19" s="136">
        <f>IF(SER_hh_tes_in!E19=0,"",SER_hh_tes_in!E19/SER_hh_fec_in!E19)</f>
        <v>0.56136280476007194</v>
      </c>
      <c r="F19" s="136">
        <f>IF(SER_hh_tes_in!F19=0,"",SER_hh_tes_in!F19/SER_hh_fec_in!F19)</f>
        <v>0.56613126449635809</v>
      </c>
      <c r="G19" s="136">
        <f>IF(SER_hh_tes_in!G19=0,"",SER_hh_tes_in!G19/SER_hh_fec_in!G19)</f>
        <v>0.54206938225968382</v>
      </c>
      <c r="H19" s="136">
        <f>IF(SER_hh_tes_in!H19=0,"",SER_hh_tes_in!H19/SER_hh_fec_in!H19)</f>
        <v>0.57362566724306496</v>
      </c>
      <c r="I19" s="136">
        <f>IF(SER_hh_tes_in!I19=0,"",SER_hh_tes_in!I19/SER_hh_fec_in!I19)</f>
        <v>0.59706031831766115</v>
      </c>
      <c r="J19" s="136">
        <f>IF(SER_hh_tes_in!J19=0,"",SER_hh_tes_in!J19/SER_hh_fec_in!J19)</f>
        <v>0.64859084695064417</v>
      </c>
      <c r="K19" s="136">
        <f>IF(SER_hh_tes_in!K19=0,"",SER_hh_tes_in!K19/SER_hh_fec_in!K19)</f>
        <v>0.7954360291567576</v>
      </c>
      <c r="L19" s="136">
        <f>IF(SER_hh_tes_in!L19=0,"",SER_hh_tes_in!L19/SER_hh_fec_in!L19)</f>
        <v>0.6165733499287982</v>
      </c>
      <c r="M19" s="136">
        <f>IF(SER_hh_tes_in!M19=0,"",SER_hh_tes_in!M19/SER_hh_fec_in!M19)</f>
        <v>0.66893210455425078</v>
      </c>
      <c r="N19" s="136">
        <f>IF(SER_hh_tes_in!N19=0,"",SER_hh_tes_in!N19/SER_hh_fec_in!N19)</f>
        <v>0.68235182161963048</v>
      </c>
      <c r="O19" s="136">
        <f>IF(SER_hh_tes_in!O19=0,"",SER_hh_tes_in!O19/SER_hh_fec_in!O19)</f>
        <v>0.8409769485216535</v>
      </c>
      <c r="P19" s="136">
        <f>IF(SER_hh_tes_in!P19=0,"",SER_hh_tes_in!P19/SER_hh_fec_in!P19)</f>
        <v>0.70072574926985409</v>
      </c>
      <c r="Q19" s="136">
        <f>IF(SER_hh_tes_in!Q19=0,"",SER_hh_tes_in!Q19/SER_hh_fec_in!Q19)</f>
        <v>0.72742477691024132</v>
      </c>
      <c r="R19" s="136">
        <f>IF(SER_hh_tes_in!R19=0,"",SER_hh_tes_in!R19/SER_hh_fec_in!R19)</f>
        <v>0.86504580896338379</v>
      </c>
      <c r="S19" s="136">
        <f>IF(SER_hh_tes_in!S19=0,"",SER_hh_tes_in!S19/SER_hh_fec_in!S19)</f>
        <v>0.77646229751962259</v>
      </c>
      <c r="T19" s="136">
        <f>IF(SER_hh_tes_in!T19=0,"",SER_hh_tes_in!T19/SER_hh_fec_in!T19)</f>
        <v>0.79203228166260298</v>
      </c>
      <c r="U19" s="136">
        <f>IF(SER_hh_tes_in!U19=0,"",SER_hh_tes_in!U19/SER_hh_fec_in!U19)</f>
        <v>0.80923409967426863</v>
      </c>
      <c r="V19" s="136">
        <f>IF(SER_hh_tes_in!V19=0,"",SER_hh_tes_in!V19/SER_hh_fec_in!V19)</f>
        <v>0.90561785726601407</v>
      </c>
      <c r="W19" s="136">
        <f>IF(SER_hh_tes_in!W19=0,"",SER_hh_tes_in!W19/SER_hh_fec_in!W19)</f>
        <v>0.83751731255090955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0.46033796712999714</v>
      </c>
      <c r="D21" s="137">
        <f>IF(SER_hh_tes_in!D21=0,"",SER_hh_tes_in!D21/SER_hh_fec_in!D21)</f>
        <v>0.46216537844524253</v>
      </c>
      <c r="E21" s="137">
        <f>IF(SER_hh_tes_in!E21=0,"",SER_hh_tes_in!E21/SER_hh_fec_in!E21)</f>
        <v>0.46429530661082558</v>
      </c>
      <c r="F21" s="137">
        <f>IF(SER_hh_tes_in!F21=0,"",SER_hh_tes_in!F21/SER_hh_fec_in!F21)</f>
        <v>0.46646648707418187</v>
      </c>
      <c r="G21" s="137">
        <f>IF(SER_hh_tes_in!G21=0,"",SER_hh_tes_in!G21/SER_hh_fec_in!G21)</f>
        <v>0.46891626776294726</v>
      </c>
      <c r="H21" s="137">
        <f>IF(SER_hh_tes_in!H21=0,"",SER_hh_tes_in!H21/SER_hh_fec_in!H21)</f>
        <v>0.47161560031238725</v>
      </c>
      <c r="I21" s="137">
        <f>IF(SER_hh_tes_in!I21=0,"",SER_hh_tes_in!I21/SER_hh_fec_in!I21)</f>
        <v>0.47462296725880671</v>
      </c>
      <c r="J21" s="137">
        <f>IF(SER_hh_tes_in!J21=0,"",SER_hh_tes_in!J21/SER_hh_fec_in!J21)</f>
        <v>0.47817795091096815</v>
      </c>
      <c r="K21" s="137">
        <f>IF(SER_hh_tes_in!K21=0,"",SER_hh_tes_in!K21/SER_hh_fec_in!K21)</f>
        <v>0.4824842592489621</v>
      </c>
      <c r="L21" s="137">
        <f>IF(SER_hh_tes_in!L21=0,"",SER_hh_tes_in!L21/SER_hh_fec_in!L21)</f>
        <v>0.48759639250906667</v>
      </c>
      <c r="M21" s="137">
        <f>IF(SER_hh_tes_in!M21=0,"",SER_hh_tes_in!M21/SER_hh_fec_in!M21)</f>
        <v>0.49834840653094348</v>
      </c>
      <c r="N21" s="137">
        <f>IF(SER_hh_tes_in!N21=0,"",SER_hh_tes_in!N21/SER_hh_fec_in!N21)</f>
        <v>0.51627462731530727</v>
      </c>
      <c r="O21" s="137">
        <f>IF(SER_hh_tes_in!O21=0,"",SER_hh_tes_in!O21/SER_hh_fec_in!O21)</f>
        <v>0.54265586931496101</v>
      </c>
      <c r="P21" s="137">
        <f>IF(SER_hh_tes_in!P21=0,"",SER_hh_tes_in!P21/SER_hh_fec_in!P21)</f>
        <v>0.57480022024146527</v>
      </c>
      <c r="Q21" s="137">
        <f>IF(SER_hh_tes_in!Q21=0,"",SER_hh_tes_in!Q21/SER_hh_fec_in!Q21)</f>
        <v>0.60398574662054783</v>
      </c>
      <c r="R21" s="137">
        <f>IF(SER_hh_tes_in!R21=0,"",SER_hh_tes_in!R21/SER_hh_fec_in!R21)</f>
        <v>0.62368240654709728</v>
      </c>
      <c r="S21" s="137">
        <f>IF(SER_hh_tes_in!S21=0,"",SER_hh_tes_in!S21/SER_hh_fec_in!S21)</f>
        <v>0.64266282429452115</v>
      </c>
      <c r="T21" s="137">
        <f>IF(SER_hh_tes_in!T21=0,"",SER_hh_tes_in!T21/SER_hh_fec_in!T21)</f>
        <v>0.65985263659405879</v>
      </c>
      <c r="U21" s="137">
        <f>IF(SER_hh_tes_in!U21=0,"",SER_hh_tes_in!U21/SER_hh_fec_in!U21)</f>
        <v>0.67417748017701051</v>
      </c>
      <c r="V21" s="137">
        <f>IF(SER_hh_tes_in!V21=0,"",SER_hh_tes_in!V21/SER_hh_fec_in!V21)</f>
        <v>0.68456299177465019</v>
      </c>
      <c r="W21" s="137">
        <f>IF(SER_hh_tes_in!W21=0,"",SER_hh_tes_in!W21/SER_hh_fec_in!W21)</f>
        <v>0.6894482130952021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0.43405395180094264</v>
      </c>
      <c r="D22" s="137">
        <f>IF(SER_hh_tes_in!D22=0,"",SER_hh_tes_in!D22/SER_hh_fec_in!D22)</f>
        <v>0.43601268841111179</v>
      </c>
      <c r="E22" s="137">
        <f>IF(SER_hh_tes_in!E22=0,"",SER_hh_tes_in!E22/SER_hh_fec_in!E22)</f>
        <v>0.43829568197701169</v>
      </c>
      <c r="F22" s="137">
        <f>IF(SER_hh_tes_in!F22=0,"",SER_hh_tes_in!F22/SER_hh_fec_in!F22)</f>
        <v>0.44062289240051117</v>
      </c>
      <c r="G22" s="137">
        <f>IF(SER_hh_tes_in!G22=0,"",SER_hh_tes_in!G22/SER_hh_fec_in!G22)</f>
        <v>0.44324872440775431</v>
      </c>
      <c r="H22" s="137">
        <f>IF(SER_hh_tes_in!H22=0,"",SER_hh_tes_in!H22/SER_hh_fec_in!H22)</f>
        <v>0.44614204209901492</v>
      </c>
      <c r="I22" s="137">
        <f>IF(SER_hh_tes_in!I22=0,"",SER_hh_tes_in!I22/SER_hh_fec_in!I22)</f>
        <v>0.44936553080624808</v>
      </c>
      <c r="J22" s="137">
        <f>IF(SER_hh_tes_in!J22=0,"",SER_hh_tes_in!J22/SER_hh_fec_in!J22)</f>
        <v>0.45317599020854543</v>
      </c>
      <c r="K22" s="137">
        <f>IF(SER_hh_tes_in!K22=0,"",SER_hh_tes_in!K22/SER_hh_fec_in!K22)</f>
        <v>0.45779176757948303</v>
      </c>
      <c r="L22" s="137">
        <f>IF(SER_hh_tes_in!L22=0,"",SER_hh_tes_in!L22/SER_hh_fec_in!L22)</f>
        <v>0.46327127976652732</v>
      </c>
      <c r="M22" s="137">
        <f>IF(SER_hh_tes_in!M22=0,"",SER_hh_tes_in!M22/SER_hh_fec_in!M22)</f>
        <v>0.47479597774886034</v>
      </c>
      <c r="N22" s="137">
        <f>IF(SER_hh_tes_in!N22=0,"",SER_hh_tes_in!N22/SER_hh_fec_in!N22)</f>
        <v>0.49401045050569142</v>
      </c>
      <c r="O22" s="137">
        <f>IF(SER_hh_tes_in!O22=0,"",SER_hh_tes_in!O22/SER_hh_fec_in!O22)</f>
        <v>0.52228755708555963</v>
      </c>
      <c r="P22" s="137">
        <f>IF(SER_hh_tes_in!P22=0,"",SER_hh_tes_in!P22/SER_hh_fec_in!P22)</f>
        <v>0.55674193330868771</v>
      </c>
      <c r="Q22" s="137">
        <f>IF(SER_hh_tes_in!Q22=0,"",SER_hh_tes_in!Q22/SER_hh_fec_in!Q22)</f>
        <v>0.58802485168007113</v>
      </c>
      <c r="R22" s="137">
        <f>IF(SER_hh_tes_in!R22=0,"",SER_hh_tes_in!R22/SER_hh_fec_in!R22)</f>
        <v>0.60913699461927662</v>
      </c>
      <c r="S22" s="137">
        <f>IF(SER_hh_tes_in!S22=0,"",SER_hh_tes_in!S22/SER_hh_fec_in!S22)</f>
        <v>0.62948142326980672</v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0.47448691255145936</v>
      </c>
      <c r="D23" s="137">
        <f>IF(SER_hh_tes_in!D23=0,"",SER_hh_tes_in!D23/SER_hh_fec_in!D23)</f>
        <v>0.4804369263236396</v>
      </c>
      <c r="E23" s="137">
        <f>IF(SER_hh_tes_in!E23=0,"",SER_hh_tes_in!E23/SER_hh_fec_in!E23)</f>
        <v>0.48664419888832283</v>
      </c>
      <c r="F23" s="137">
        <f>IF(SER_hh_tes_in!F23=0,"",SER_hh_tes_in!F23/SER_hh_fec_in!F23)</f>
        <v>0.49290164451086432</v>
      </c>
      <c r="G23" s="137">
        <f>IF(SER_hh_tes_in!G23=0,"",SER_hh_tes_in!G23/SER_hh_fec_in!G23)</f>
        <v>0.49939390890660329</v>
      </c>
      <c r="H23" s="137">
        <f>IF(SER_hh_tes_in!H23=0,"",SER_hh_tes_in!H23/SER_hh_fec_in!H23)</f>
        <v>0.50609599359034807</v>
      </c>
      <c r="I23" s="137">
        <f>IF(SER_hh_tes_in!I23=0,"",SER_hh_tes_in!I23/SER_hh_fec_in!I23)</f>
        <v>0.51305097275377387</v>
      </c>
      <c r="J23" s="137">
        <f>IF(SER_hh_tes_in!J23=0,"",SER_hh_tes_in!J23/SER_hh_fec_in!J23)</f>
        <v>0.52044086172884574</v>
      </c>
      <c r="K23" s="137">
        <f>IF(SER_hh_tes_in!K23=0,"",SER_hh_tes_in!K23/SER_hh_fec_in!K23)</f>
        <v>0.52841743369357752</v>
      </c>
      <c r="L23" s="137">
        <f>IF(SER_hh_tes_in!L23=0,"",SER_hh_tes_in!L23/SER_hh_fec_in!L23)</f>
        <v>0.53701607682474994</v>
      </c>
      <c r="M23" s="137">
        <f>IF(SER_hh_tes_in!M23=0,"",SER_hh_tes_in!M23/SER_hh_fec_in!M23)</f>
        <v>0.55001943293700661</v>
      </c>
      <c r="N23" s="137">
        <f>IF(SER_hh_tes_in!N23=0,"",SER_hh_tes_in!N23/SER_hh_fec_in!N23)</f>
        <v>0.5685918360230906</v>
      </c>
      <c r="O23" s="137">
        <f>IF(SER_hh_tes_in!O23=0,"",SER_hh_tes_in!O23/SER_hh_fec_in!O23)</f>
        <v>0.59359300491415257</v>
      </c>
      <c r="P23" s="137">
        <f>IF(SER_hh_tes_in!P23=0,"",SER_hh_tes_in!P23/SER_hh_fec_in!P23)</f>
        <v>0.62268585727077264</v>
      </c>
      <c r="Q23" s="137">
        <f>IF(SER_hh_tes_in!Q23=0,"",SER_hh_tes_in!Q23/SER_hh_fec_in!Q23)</f>
        <v>0.64853850706804184</v>
      </c>
      <c r="R23" s="137">
        <f>IF(SER_hh_tes_in!R23=0,"",SER_hh_tes_in!R23/SER_hh_fec_in!R23)</f>
        <v>0.66553727818304931</v>
      </c>
      <c r="S23" s="137">
        <f>IF(SER_hh_tes_in!S23=0,"",SER_hh_tes_in!S23/SER_hh_fec_in!S23)</f>
        <v>0.68104756210700024</v>
      </c>
      <c r="T23" s="137">
        <f>IF(SER_hh_tes_in!T23=0,"",SER_hh_tes_in!T23/SER_hh_fec_in!T23)</f>
        <v>0.69466671353221809</v>
      </c>
      <c r="U23" s="137">
        <f>IF(SER_hh_tes_in!U23=0,"",SER_hh_tes_in!U23/SER_hh_fec_in!U23)</f>
        <v>0.70594611536233232</v>
      </c>
      <c r="V23" s="137">
        <f>IF(SER_hh_tes_in!V23=0,"",SER_hh_tes_in!V23/SER_hh_fec_in!V23)</f>
        <v>0.71439347979865819</v>
      </c>
      <c r="W23" s="137">
        <f>IF(SER_hh_tes_in!W23=0,"",SER_hh_tes_in!W23/SER_hh_fec_in!W23)</f>
        <v>0.71875328962846219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0.54837611832070121</v>
      </c>
      <c r="D26" s="138">
        <f>IF(SER_hh_tes_in!D26=0,"",SER_hh_tes_in!D26/SER_hh_fec_in!D26)</f>
        <v>0.55088082819341988</v>
      </c>
      <c r="E26" s="138">
        <f>IF(SER_hh_tes_in!E26=0,"",SER_hh_tes_in!E26/SER_hh_fec_in!E26)</f>
        <v>0.55357818567755324</v>
      </c>
      <c r="F26" s="138">
        <f>IF(SER_hh_tes_in!F26=0,"",SER_hh_tes_in!F26/SER_hh_fec_in!F26)</f>
        <v>0.5563014537441503</v>
      </c>
      <c r="G26" s="138">
        <f>IF(SER_hh_tes_in!G26=0,"",SER_hh_tes_in!G26/SER_hh_fec_in!G26)</f>
        <v>0.55920368313703561</v>
      </c>
      <c r="H26" s="138">
        <f>IF(SER_hh_tes_in!H26=0,"",SER_hh_tes_in!H26/SER_hh_fec_in!H26)</f>
        <v>0.56226771892559058</v>
      </c>
      <c r="I26" s="138">
        <f>IF(SER_hh_tes_in!I26=0,"",SER_hh_tes_in!I26/SER_hh_fec_in!I26)</f>
        <v>0.56553342225087699</v>
      </c>
      <c r="J26" s="138">
        <f>IF(SER_hh_tes_in!J26=0,"",SER_hh_tes_in!J26/SER_hh_fec_in!J26)</f>
        <v>0.56916035089870198</v>
      </c>
      <c r="K26" s="138">
        <f>IF(SER_hh_tes_in!K26=0,"",SER_hh_tes_in!K26/SER_hh_fec_in!K26)</f>
        <v>0.57328990502628718</v>
      </c>
      <c r="L26" s="138">
        <f>IF(SER_hh_tes_in!L26=0,"",SER_hh_tes_in!L26/SER_hh_fec_in!L26)</f>
        <v>0.57797157288609402</v>
      </c>
      <c r="M26" s="138">
        <f>IF(SER_hh_tes_in!M26=0,"",SER_hh_tes_in!M26/SER_hh_fec_in!M26)</f>
        <v>0.58644933736039639</v>
      </c>
      <c r="N26" s="138">
        <f>IF(SER_hh_tes_in!N26=0,"",SER_hh_tes_in!N26/SER_hh_fec_in!N26)</f>
        <v>0.60014855578937132</v>
      </c>
      <c r="O26" s="138">
        <f>IF(SER_hh_tes_in!O26=0,"",SER_hh_tes_in!O26/SER_hh_fec_in!O26)</f>
        <v>0.62089708268091792</v>
      </c>
      <c r="P26" s="138">
        <f>IF(SER_hh_tes_in!P26=0,"",SER_hh_tes_in!P26/SER_hh_fec_in!P26)</f>
        <v>0.6478882526713583</v>
      </c>
      <c r="Q26" s="138">
        <f>IF(SER_hh_tes_in!Q26=0,"",SER_hh_tes_in!Q26/SER_hh_fec_in!Q26)</f>
        <v>0.67437308185460831</v>
      </c>
      <c r="R26" s="138">
        <f>IF(SER_hh_tes_in!R26=0,"",SER_hh_tes_in!R26/SER_hh_fec_in!R26)</f>
        <v>0.69335888199339601</v>
      </c>
      <c r="S26" s="138">
        <f>IF(SER_hh_tes_in!S26=0,"",SER_hh_tes_in!S26/SER_hh_fec_in!S26)</f>
        <v>0.71215751097521718</v>
      </c>
      <c r="T26" s="138">
        <f>IF(SER_hh_tes_in!T26=0,"",SER_hh_tes_in!T26/SER_hh_fec_in!T26)</f>
        <v>0.7303747964701196</v>
      </c>
      <c r="U26" s="138">
        <f>IF(SER_hh_tes_in!U26=0,"",SER_hh_tes_in!U26/SER_hh_fec_in!U26)</f>
        <v>0.74748759869940007</v>
      </c>
      <c r="V26" s="138">
        <f>IF(SER_hh_tes_in!V26=0,"",SER_hh_tes_in!V26/SER_hh_fec_in!V26)</f>
        <v>0.76269331649926464</v>
      </c>
      <c r="W26" s="138">
        <f>IF(SER_hh_tes_in!W26=0,"",SER_hh_tes_in!W26/SER_hh_fec_in!W26)</f>
        <v>0.77466315602836333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0.67365244075787634</v>
      </c>
      <c r="D29" s="136">
        <f>IF(SER_hh_tes_in!D29=0,"",SER_hh_tes_in!D29/SER_hh_fec_in!D29)</f>
        <v>0.66613768645753868</v>
      </c>
      <c r="E29" s="136">
        <f>IF(SER_hh_tes_in!E29=0,"",SER_hh_tes_in!E29/SER_hh_fec_in!E29)</f>
        <v>0.65230456572832762</v>
      </c>
      <c r="F29" s="136">
        <f>IF(SER_hh_tes_in!F29=0,"",SER_hh_tes_in!F29/SER_hh_fec_in!F29)</f>
        <v>0.61454416896673791</v>
      </c>
      <c r="G29" s="136">
        <f>IF(SER_hh_tes_in!G29=0,"",SER_hh_tes_in!G29/SER_hh_fec_in!G29)</f>
        <v>0.6464307111596318</v>
      </c>
      <c r="H29" s="136">
        <f>IF(SER_hh_tes_in!H29=0,"",SER_hh_tes_in!H29/SER_hh_fec_in!H29)</f>
        <v>0.66354677973358778</v>
      </c>
      <c r="I29" s="136">
        <f>IF(SER_hh_tes_in!I29=0,"",SER_hh_tes_in!I29/SER_hh_fec_in!I29)</f>
        <v>0.67462563509846907</v>
      </c>
      <c r="J29" s="136">
        <f>IF(SER_hh_tes_in!J29=0,"",SER_hh_tes_in!J29/SER_hh_fec_in!J29)</f>
        <v>0.66318512127057772</v>
      </c>
      <c r="K29" s="136">
        <f>IF(SER_hh_tes_in!K29=0,"",SER_hh_tes_in!K29/SER_hh_fec_in!K29)</f>
        <v>0.66260236151350549</v>
      </c>
      <c r="L29" s="136">
        <f>IF(SER_hh_tes_in!L29=0,"",SER_hh_tes_in!L29/SER_hh_fec_in!L29)</f>
        <v>0.64438908530961092</v>
      </c>
      <c r="M29" s="136">
        <f>IF(SER_hh_tes_in!M29=0,"",SER_hh_tes_in!M29/SER_hh_fec_in!M29)</f>
        <v>0.59295699946049607</v>
      </c>
      <c r="N29" s="136">
        <f>IF(SER_hh_tes_in!N29=0,"",SER_hh_tes_in!N29/SER_hh_fec_in!N29)</f>
        <v>0.60546049874210428</v>
      </c>
      <c r="O29" s="136">
        <f>IF(SER_hh_tes_in!O29=0,"",SER_hh_tes_in!O29/SER_hh_fec_in!O29)</f>
        <v>0.68084212653247</v>
      </c>
      <c r="P29" s="136">
        <f>IF(SER_hh_tes_in!P29=0,"",SER_hh_tes_in!P29/SER_hh_fec_in!P29)</f>
        <v>0.70240262269754727</v>
      </c>
      <c r="Q29" s="136">
        <f>IF(SER_hh_tes_in!Q29=0,"",SER_hh_tes_in!Q29/SER_hh_fec_in!Q29)</f>
        <v>0.69253285642724882</v>
      </c>
      <c r="R29" s="136">
        <f>IF(SER_hh_tes_in!R29=0,"",SER_hh_tes_in!R29/SER_hh_fec_in!R29)</f>
        <v>0.68827765075569736</v>
      </c>
      <c r="S29" s="136">
        <f>IF(SER_hh_tes_in!S29=0,"",SER_hh_tes_in!S29/SER_hh_fec_in!S29)</f>
        <v>0.71503808159249993</v>
      </c>
      <c r="T29" s="136">
        <f>IF(SER_hh_tes_in!T29=0,"",SER_hh_tes_in!T29/SER_hh_fec_in!T29)</f>
        <v>0.71373270954243428</v>
      </c>
      <c r="U29" s="136">
        <f>IF(SER_hh_tes_in!U29=0,"",SER_hh_tes_in!U29/SER_hh_fec_in!U29)</f>
        <v>0.71723094310445201</v>
      </c>
      <c r="V29" s="136">
        <f>IF(SER_hh_tes_in!V29=0,"",SER_hh_tes_in!V29/SER_hh_fec_in!V29)</f>
        <v>0.75338875533602556</v>
      </c>
      <c r="W29" s="136">
        <f>IF(SER_hh_tes_in!W29=0,"",SER_hh_tes_in!W29/SER_hh_fec_in!W29)</f>
        <v>0.73163866148707979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0.51226146079384993</v>
      </c>
      <c r="D30" s="137">
        <f>IF(SER_hh_tes_in!D30=0,"",SER_hh_tes_in!D30/SER_hh_fec_in!D30)</f>
        <v>0.51343795043617024</v>
      </c>
      <c r="E30" s="137">
        <f>IF(SER_hh_tes_in!E30=0,"",SER_hh_tes_in!E30/SER_hh_fec_in!E30)</f>
        <v>0.51459784798912578</v>
      </c>
      <c r="F30" s="137">
        <f>IF(SER_hh_tes_in!F30=0,"",SER_hh_tes_in!F30/SER_hh_fec_in!F30)</f>
        <v>0.51575548298444074</v>
      </c>
      <c r="G30" s="137">
        <f>IF(SER_hh_tes_in!G30=0,"",SER_hh_tes_in!G30/SER_hh_fec_in!G30)</f>
        <v>0.51689783764138164</v>
      </c>
      <c r="H30" s="137">
        <f>IF(SER_hh_tes_in!H30=0,"",SER_hh_tes_in!H30/SER_hh_fec_in!H30)</f>
        <v>0.51802650517058524</v>
      </c>
      <c r="I30" s="137">
        <f>IF(SER_hh_tes_in!I30=0,"",SER_hh_tes_in!I30/SER_hh_fec_in!I30)</f>
        <v>0.51913827799049816</v>
      </c>
      <c r="J30" s="137">
        <f>IF(SER_hh_tes_in!J30=0,"",SER_hh_tes_in!J30/SER_hh_fec_in!J30)</f>
        <v>0.5202200157716721</v>
      </c>
      <c r="K30" s="137">
        <f>IF(SER_hh_tes_in!K30=0,"",SER_hh_tes_in!K30/SER_hh_fec_in!K30)</f>
        <v>0.52126054577775804</v>
      </c>
      <c r="L30" s="137">
        <f>IF(SER_hh_tes_in!L30=0,"",SER_hh_tes_in!L30/SER_hh_fec_in!L30)</f>
        <v>0.52225687884372307</v>
      </c>
      <c r="M30" s="137">
        <f>IF(SER_hh_tes_in!M30=0,"",SER_hh_tes_in!M30/SER_hh_fec_in!M30)</f>
        <v>0.52279303794506604</v>
      </c>
      <c r="N30" s="137">
        <f>IF(SER_hh_tes_in!N30=0,"",SER_hh_tes_in!N30/SER_hh_fec_in!N30)</f>
        <v>0.52279303794506604</v>
      </c>
      <c r="O30" s="137">
        <f>IF(SER_hh_tes_in!O30=0,"",SER_hh_tes_in!O30/SER_hh_fec_in!O30)</f>
        <v>0.52279303794506604</v>
      </c>
      <c r="P30" s="137" t="str">
        <f>IF(SER_hh_tes_in!P30=0,"",SER_hh_tes_in!P30/SER_hh_fec_in!P30)</f>
        <v/>
      </c>
      <c r="Q30" s="137">
        <f>IF(SER_hh_tes_in!Q30=0,"",SER_hh_tes_in!Q30/SER_hh_fec_in!Q30)</f>
        <v>0.52279303794506604</v>
      </c>
      <c r="R30" s="137">
        <f>IF(SER_hh_tes_in!R30=0,"",SER_hh_tes_in!R30/SER_hh_fec_in!R30)</f>
        <v>0.52618032948356352</v>
      </c>
      <c r="S30" s="137">
        <f>IF(SER_hh_tes_in!S30=0,"",SER_hh_tes_in!S30/SER_hh_fec_in!S30)</f>
        <v>0.53171931862216737</v>
      </c>
      <c r="T30" s="137">
        <f>IF(SER_hh_tes_in!T30=0,"",SER_hh_tes_in!T30/SER_hh_fec_in!T30)</f>
        <v>0.53818147261720017</v>
      </c>
      <c r="U30" s="137">
        <f>IF(SER_hh_tes_in!U30=0,"",SER_hh_tes_in!U30/SER_hh_fec_in!U30)</f>
        <v>0.54487441782634272</v>
      </c>
      <c r="V30" s="137">
        <f>IF(SER_hh_tes_in!V30=0,"",SER_hh_tes_in!V30/SER_hh_fec_in!V30)</f>
        <v>0.55110578060726856</v>
      </c>
      <c r="W30" s="137">
        <f>IF(SER_hh_tes_in!W30=0,"",SER_hh_tes_in!W30/SER_hh_fec_in!W30)</f>
        <v>0.5568755609599747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0.51493734029162863</v>
      </c>
      <c r="D31" s="137">
        <f>IF(SER_hh_tes_in!D31=0,"",SER_hh_tes_in!D31/SER_hh_fec_in!D31)</f>
        <v>0.51609417835874127</v>
      </c>
      <c r="E31" s="137">
        <f>IF(SER_hh_tes_in!E31=0,"",SER_hh_tes_in!E31/SER_hh_fec_in!E31)</f>
        <v>0.51723470148358885</v>
      </c>
      <c r="F31" s="137">
        <f>IF(SER_hh_tes_in!F31=0,"",SER_hh_tes_in!F31/SER_hh_fec_in!F31)</f>
        <v>0.51837299984358198</v>
      </c>
      <c r="G31" s="137">
        <f>IF(SER_hh_tes_in!G31=0,"",SER_hh_tes_in!G31/SER_hh_fec_in!G31)</f>
        <v>0.51949627310137814</v>
      </c>
      <c r="H31" s="137">
        <f>IF(SER_hh_tes_in!H31=0,"",SER_hh_tes_in!H31/SER_hh_fec_in!H31)</f>
        <v>0.52060608785531159</v>
      </c>
      <c r="I31" s="137">
        <f>IF(SER_hh_tes_in!I31=0,"",SER_hh_tes_in!I31/SER_hh_fec_in!I31)</f>
        <v>0.52169929010188609</v>
      </c>
      <c r="J31" s="137">
        <f>IF(SER_hh_tes_in!J31=0,"",SER_hh_tes_in!J31/SER_hh_fec_in!J31)</f>
        <v>0.52276295900204583</v>
      </c>
      <c r="K31" s="137">
        <f>IF(SER_hh_tes_in!K31=0,"",SER_hh_tes_in!K31/SER_hh_fec_in!K31)</f>
        <v>0.52378610844400697</v>
      </c>
      <c r="L31" s="137">
        <f>IF(SER_hh_tes_in!L31=0,"",SER_hh_tes_in!L31/SER_hh_fec_in!L31)</f>
        <v>0.52476579919245958</v>
      </c>
      <c r="M31" s="137">
        <f>IF(SER_hh_tes_in!M31=0,"",SER_hh_tes_in!M31/SER_hh_fec_in!M31)</f>
        <v>0.52529300252358224</v>
      </c>
      <c r="N31" s="137">
        <f>IF(SER_hh_tes_in!N31=0,"",SER_hh_tes_in!N31/SER_hh_fec_in!N31)</f>
        <v>0.52529300252358224</v>
      </c>
      <c r="O31" s="137">
        <f>IF(SER_hh_tes_in!O31=0,"",SER_hh_tes_in!O31/SER_hh_fec_in!O31)</f>
        <v>0.52529300252358224</v>
      </c>
      <c r="P31" s="137">
        <f>IF(SER_hh_tes_in!P31=0,"",SER_hh_tes_in!P31/SER_hh_fec_in!P31)</f>
        <v>0.52529300252358224</v>
      </c>
      <c r="Q31" s="137">
        <f>IF(SER_hh_tes_in!Q31=0,"",SER_hh_tes_in!Q31/SER_hh_fec_in!Q31)</f>
        <v>0.52529300252358224</v>
      </c>
      <c r="R31" s="137">
        <f>IF(SER_hh_tes_in!R31=0,"",SER_hh_tes_in!R31/SER_hh_fec_in!R31)</f>
        <v>0.52862371420618959</v>
      </c>
      <c r="S31" s="137">
        <f>IF(SER_hh_tes_in!S31=0,"",SER_hh_tes_in!S31/SER_hh_fec_in!S31)</f>
        <v>0.53407018246087223</v>
      </c>
      <c r="T31" s="137">
        <f>IF(SER_hh_tes_in!T31=0,"",SER_hh_tes_in!T31/SER_hh_fec_in!T31)</f>
        <v>0.54042439542466414</v>
      </c>
      <c r="U31" s="137">
        <f>IF(SER_hh_tes_in!U31=0,"",SER_hh_tes_in!U31/SER_hh_fec_in!U31)</f>
        <v>0.54700554456573547</v>
      </c>
      <c r="V31" s="137">
        <f>IF(SER_hh_tes_in!V31=0,"",SER_hh_tes_in!V31/SER_hh_fec_in!V31)</f>
        <v>0.55313282135224995</v>
      </c>
      <c r="W31" s="137">
        <f>IF(SER_hh_tes_in!W31=0,"",SER_hh_tes_in!W31/SER_hh_fec_in!W31)</f>
        <v>0.55880622578420525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0.67694846256811969</v>
      </c>
      <c r="D33" s="150">
        <f>IF(SER_hh_tes_in!D33=0,"",SER_hh_tes_in!D33/SER_hh_fec_in!D33)</f>
        <v>0.67879077515223396</v>
      </c>
      <c r="E33" s="150">
        <f>IF(SER_hh_tes_in!E33=0,"",SER_hh_tes_in!E33/SER_hh_fec_in!E33)</f>
        <v>0.68070121199028022</v>
      </c>
      <c r="F33" s="150">
        <f>IF(SER_hh_tes_in!F33=0,"",SER_hh_tes_in!F33/SER_hh_fec_in!F33)</f>
        <v>0.68262093849931738</v>
      </c>
      <c r="G33" s="150">
        <f>IF(SER_hh_tes_in!G33=0,"",SER_hh_tes_in!G33/SER_hh_fec_in!G33)</f>
        <v>0.68460340343922255</v>
      </c>
      <c r="H33" s="150">
        <f>IF(SER_hh_tes_in!H33=0,"",SER_hh_tes_in!H33/SER_hh_fec_in!H33)</f>
        <v>0.68664206536222783</v>
      </c>
      <c r="I33" s="150">
        <f>IF(SER_hh_tes_in!I33=0,"",SER_hh_tes_in!I33/SER_hh_fec_in!I33)</f>
        <v>0.68875009404432874</v>
      </c>
      <c r="J33" s="150">
        <f>IF(SER_hh_tes_in!J33=0,"",SER_hh_tes_in!J33/SER_hh_fec_in!J33)</f>
        <v>0.69098144140926676</v>
      </c>
      <c r="K33" s="150">
        <f>IF(SER_hh_tes_in!K33=0,"",SER_hh_tes_in!K33/SER_hh_fec_in!K33)</f>
        <v>0.69338198078326496</v>
      </c>
      <c r="L33" s="150">
        <f>IF(SER_hh_tes_in!L33=0,"",SER_hh_tes_in!L33/SER_hh_fec_in!L33)</f>
        <v>0.69596398516179925</v>
      </c>
      <c r="M33" s="150">
        <f>IF(SER_hh_tes_in!M33=0,"",SER_hh_tes_in!M33/SER_hh_fec_in!M33)</f>
        <v>0.69947688544008046</v>
      </c>
      <c r="N33" s="150">
        <f>IF(SER_hh_tes_in!N33=0,"",SER_hh_tes_in!N33/SER_hh_fec_in!N33)</f>
        <v>0.70413318551779813</v>
      </c>
      <c r="O33" s="150">
        <f>IF(SER_hh_tes_in!O33=0,"",SER_hh_tes_in!O33/SER_hh_fec_in!O33)</f>
        <v>0.71044958420144699</v>
      </c>
      <c r="P33" s="150">
        <f>IF(SER_hh_tes_in!P33=0,"",SER_hh_tes_in!P33/SER_hh_fec_in!P33)</f>
        <v>0.71869745636769389</v>
      </c>
      <c r="Q33" s="150">
        <f>IF(SER_hh_tes_in!Q33=0,"",SER_hh_tes_in!Q33/SER_hh_fec_in!Q33)</f>
        <v>0.72932786470196109</v>
      </c>
      <c r="R33" s="150">
        <f>IF(SER_hh_tes_in!R33=0,"",SER_hh_tes_in!R33/SER_hh_fec_in!R33)</f>
        <v>0.74378889608695542</v>
      </c>
      <c r="S33" s="150">
        <f>IF(SER_hh_tes_in!S33=0,"",SER_hh_tes_in!S33/SER_hh_fec_in!S33)</f>
        <v>0.76183761581994669</v>
      </c>
      <c r="T33" s="150">
        <f>IF(SER_hh_tes_in!T33=0,"",SER_hh_tes_in!T33/SER_hh_fec_in!T33)</f>
        <v>0.78124291672567592</v>
      </c>
      <c r="U33" s="150">
        <f>IF(SER_hh_tes_in!U33=0,"",SER_hh_tes_in!U33/SER_hh_fec_in!U33)</f>
        <v>0.79977369162893941</v>
      </c>
      <c r="V33" s="150">
        <f>IF(SER_hh_tes_in!V33=0,"",SER_hh_tes_in!V33/SER_hh_fec_in!V33)</f>
        <v>0.81519883335450871</v>
      </c>
      <c r="W33" s="150">
        <f>IF(SER_hh_tes_in!W33=0,"",SER_hh_tes_in!W33/SER_hh_fec_in!W33)</f>
        <v>0.82673462590876912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53.754466901395197</v>
      </c>
      <c r="D3" s="126">
        <f t="shared" si="0"/>
        <v>25.785513809371004</v>
      </c>
      <c r="E3" s="126">
        <f t="shared" si="0"/>
        <v>40.945485870463393</v>
      </c>
      <c r="F3" s="126">
        <f t="shared" si="0"/>
        <v>36.764920264585697</v>
      </c>
      <c r="G3" s="126">
        <f t="shared" si="0"/>
        <v>46.15410816639173</v>
      </c>
      <c r="H3" s="126">
        <f t="shared" si="0"/>
        <v>32.317875597620038</v>
      </c>
      <c r="I3" s="126">
        <f t="shared" si="0"/>
        <v>14.170704170383353</v>
      </c>
      <c r="J3" s="126">
        <f t="shared" si="0"/>
        <v>11.301318837079451</v>
      </c>
      <c r="K3" s="126">
        <f t="shared" si="0"/>
        <v>2.6394570687051493</v>
      </c>
      <c r="L3" s="126">
        <f t="shared" si="0"/>
        <v>2.9964609146279422</v>
      </c>
      <c r="M3" s="126">
        <f t="shared" si="0"/>
        <v>3.2547139583747846</v>
      </c>
      <c r="N3" s="126">
        <f t="shared" si="0"/>
        <v>4.2065101567478962</v>
      </c>
      <c r="O3" s="126">
        <f t="shared" si="0"/>
        <v>1.0758848622159969</v>
      </c>
      <c r="P3" s="126">
        <f t="shared" si="0"/>
        <v>1.0606382076874818</v>
      </c>
      <c r="Q3" s="126">
        <f t="shared" si="0"/>
        <v>2.7114672351007894</v>
      </c>
      <c r="R3" s="126">
        <f t="shared" ref="R3:W3" si="1">SUM(R4,R16,R19,R29)</f>
        <v>3.579256390405646</v>
      </c>
      <c r="S3" s="126">
        <f t="shared" si="1"/>
        <v>6.4289431276685143</v>
      </c>
      <c r="T3" s="126">
        <f t="shared" si="1"/>
        <v>6.6370696695629459</v>
      </c>
      <c r="U3" s="126">
        <f t="shared" si="1"/>
        <v>7.7016580981362619</v>
      </c>
      <c r="V3" s="126">
        <f t="shared" si="1"/>
        <v>4.5752864075794806</v>
      </c>
      <c r="W3" s="126">
        <f t="shared" si="1"/>
        <v>5.8362645496565557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49.787906370538195</v>
      </c>
      <c r="D4" s="131">
        <f t="shared" si="2"/>
        <v>20.474128378428198</v>
      </c>
      <c r="E4" s="131">
        <f t="shared" si="2"/>
        <v>30.908232161293551</v>
      </c>
      <c r="F4" s="131">
        <f t="shared" si="2"/>
        <v>15.035970854149387</v>
      </c>
      <c r="G4" s="131">
        <f t="shared" si="2"/>
        <v>33.89530644943946</v>
      </c>
      <c r="H4" s="131">
        <f t="shared" si="2"/>
        <v>19.923731683003467</v>
      </c>
      <c r="I4" s="131">
        <f t="shared" si="2"/>
        <v>5.9104376705107411</v>
      </c>
      <c r="J4" s="131">
        <f t="shared" si="2"/>
        <v>4.7247095651135087</v>
      </c>
      <c r="K4" s="131">
        <f t="shared" si="2"/>
        <v>1.436164618117872</v>
      </c>
      <c r="L4" s="131">
        <f t="shared" si="2"/>
        <v>0.78413737998992283</v>
      </c>
      <c r="M4" s="131">
        <f t="shared" si="2"/>
        <v>0.41527085039711792</v>
      </c>
      <c r="N4" s="131">
        <f t="shared" si="2"/>
        <v>1.0659385646238547E-2</v>
      </c>
      <c r="O4" s="131">
        <f t="shared" si="2"/>
        <v>2.1090542267268649E-2</v>
      </c>
      <c r="P4" s="131">
        <f t="shared" si="2"/>
        <v>6.4330722329134352E-2</v>
      </c>
      <c r="Q4" s="131">
        <f t="shared" si="2"/>
        <v>0.64352626634144583</v>
      </c>
      <c r="R4" s="131">
        <f t="shared" ref="R4:W4" si="3">SUM(R5:R15)</f>
        <v>1.6008470197325091</v>
      </c>
      <c r="S4" s="131">
        <f t="shared" si="3"/>
        <v>2.8117951015924856</v>
      </c>
      <c r="T4" s="131">
        <f t="shared" si="3"/>
        <v>2.5189637552101383</v>
      </c>
      <c r="U4" s="131">
        <f t="shared" si="3"/>
        <v>2.9675020385531199</v>
      </c>
      <c r="V4" s="131">
        <f t="shared" si="3"/>
        <v>1.4742715913159956</v>
      </c>
      <c r="W4" s="131">
        <f t="shared" si="3"/>
        <v>1.2275156273025098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48.632976775083321</v>
      </c>
      <c r="D7" s="133">
        <v>17.363198950441667</v>
      </c>
      <c r="E7" s="133">
        <v>25.302213321932626</v>
      </c>
      <c r="F7" s="133">
        <v>6.5311727820196026</v>
      </c>
      <c r="G7" s="133">
        <v>24.484419863282493</v>
      </c>
      <c r="H7" s="133">
        <v>11.069001720396072</v>
      </c>
      <c r="I7" s="133">
        <v>0</v>
      </c>
      <c r="J7" s="133">
        <v>0</v>
      </c>
      <c r="K7" s="133">
        <v>0</v>
      </c>
      <c r="L7" s="133">
        <v>0</v>
      </c>
      <c r="M7" s="133">
        <v>6.9309485197135146E-2</v>
      </c>
      <c r="N7" s="133">
        <v>0</v>
      </c>
      <c r="O7" s="133">
        <v>0</v>
      </c>
      <c r="P7" s="133">
        <v>0</v>
      </c>
      <c r="Q7" s="133">
        <v>0</v>
      </c>
      <c r="R7" s="133">
        <v>1.5285022928654859</v>
      </c>
      <c r="S7" s="133">
        <v>1.3261223215376954</v>
      </c>
      <c r="T7" s="133">
        <v>0.91229102168258702</v>
      </c>
      <c r="U7" s="133">
        <v>0.62169219878363613</v>
      </c>
      <c r="V7" s="133">
        <v>0.35203992324402689</v>
      </c>
      <c r="W7" s="133">
        <v>0.57446111306529613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1.312769747301744E-3</v>
      </c>
      <c r="D8" s="133">
        <v>3.5105112885808736E-3</v>
      </c>
      <c r="E8" s="133">
        <v>5.2965153604977618E-3</v>
      </c>
      <c r="F8" s="133">
        <v>7.3797932010843826E-3</v>
      </c>
      <c r="G8" s="133">
        <v>7.5869836777926235E-3</v>
      </c>
      <c r="H8" s="133">
        <v>6.9896689624726442E-3</v>
      </c>
      <c r="I8" s="133">
        <v>6.141237062834942E-3</v>
      </c>
      <c r="J8" s="133">
        <v>6.1813003875694252E-3</v>
      </c>
      <c r="K8" s="133">
        <v>2.32832009639762E-3</v>
      </c>
      <c r="L8" s="133">
        <v>2.8935277991176396E-3</v>
      </c>
      <c r="M8" s="133">
        <v>5.9417593745851923E-3</v>
      </c>
      <c r="N8" s="133">
        <v>1.0659385646238547E-2</v>
      </c>
      <c r="O8" s="133">
        <v>2.1090542267268649E-2</v>
      </c>
      <c r="P8" s="133">
        <v>6.4330722329134352E-2</v>
      </c>
      <c r="Q8" s="133">
        <v>0.38086401523748131</v>
      </c>
      <c r="R8" s="133">
        <v>7.2344726867023257E-2</v>
      </c>
      <c r="S8" s="133">
        <v>6.253397639274276E-2</v>
      </c>
      <c r="T8" s="133">
        <v>5.5343487268336877E-2</v>
      </c>
      <c r="U8" s="133">
        <v>5.4973298668688962E-2</v>
      </c>
      <c r="V8" s="133">
        <v>6.8016887409482765E-2</v>
      </c>
      <c r="W8" s="133">
        <v>4.1575042942810989E-2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1.1536168257075732</v>
      </c>
      <c r="D9" s="133">
        <v>3.10741891669795</v>
      </c>
      <c r="E9" s="133">
        <v>5.6007223240004267</v>
      </c>
      <c r="F9" s="133">
        <v>8.4974182789287003</v>
      </c>
      <c r="G9" s="133">
        <v>9.4032996024791728</v>
      </c>
      <c r="H9" s="133">
        <v>8.8477402936449216</v>
      </c>
      <c r="I9" s="133">
        <v>5.9042964334479064</v>
      </c>
      <c r="J9" s="133">
        <v>4.718528264725939</v>
      </c>
      <c r="K9" s="133">
        <v>1.4338362980214743</v>
      </c>
      <c r="L9" s="133">
        <v>0.78124385219080517</v>
      </c>
      <c r="M9" s="133">
        <v>0.34001960582539759</v>
      </c>
      <c r="N9" s="133">
        <v>0</v>
      </c>
      <c r="O9" s="133">
        <v>0</v>
      </c>
      <c r="P9" s="133">
        <v>0</v>
      </c>
      <c r="Q9" s="133">
        <v>0.26266225110396457</v>
      </c>
      <c r="R9" s="133">
        <v>0</v>
      </c>
      <c r="S9" s="133">
        <v>1.4231388036620474</v>
      </c>
      <c r="T9" s="133">
        <v>1.5513292462592141</v>
      </c>
      <c r="U9" s="133">
        <v>2.2908365411007949</v>
      </c>
      <c r="V9" s="133">
        <v>1.054214780662486</v>
      </c>
      <c r="W9" s="133">
        <v>0.61147947129440272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1.6866102437202012E-2</v>
      </c>
      <c r="D16" s="131">
        <f t="shared" si="4"/>
        <v>3.5182844924932781E-2</v>
      </c>
      <c r="E16" s="131">
        <f t="shared" si="4"/>
        <v>3.9425185218846751E-3</v>
      </c>
      <c r="F16" s="131">
        <f t="shared" si="4"/>
        <v>0.1096314996870265</v>
      </c>
      <c r="G16" s="131">
        <f t="shared" si="4"/>
        <v>9.060336684887095E-2</v>
      </c>
      <c r="H16" s="131">
        <f t="shared" si="4"/>
        <v>0.12444424651325418</v>
      </c>
      <c r="I16" s="131">
        <f t="shared" si="4"/>
        <v>4.6990562939650156E-4</v>
      </c>
      <c r="J16" s="131">
        <f t="shared" si="4"/>
        <v>0.12509052043301661</v>
      </c>
      <c r="K16" s="131">
        <f t="shared" si="4"/>
        <v>3.7353602501701402E-2</v>
      </c>
      <c r="L16" s="131">
        <f t="shared" si="4"/>
        <v>5.2243745950714203E-2</v>
      </c>
      <c r="M16" s="131">
        <f t="shared" si="4"/>
        <v>4.8900696452199674E-2</v>
      </c>
      <c r="N16" s="131">
        <f t="shared" si="4"/>
        <v>5.0225794628916291E-2</v>
      </c>
      <c r="O16" s="131">
        <f t="shared" si="4"/>
        <v>7.5623364823135919E-2</v>
      </c>
      <c r="P16" s="131">
        <f t="shared" si="4"/>
        <v>7.7753311833005462E-2</v>
      </c>
      <c r="Q16" s="131">
        <f t="shared" si="4"/>
        <v>9.0091818133840401E-2</v>
      </c>
      <c r="R16" s="131">
        <f t="shared" ref="R16:W16" si="5">SUM(R17:R18)</f>
        <v>5.7856687292196264E-2</v>
      </c>
      <c r="S16" s="131">
        <f t="shared" si="5"/>
        <v>0.14737657118853695</v>
      </c>
      <c r="T16" s="131">
        <f t="shared" si="5"/>
        <v>0.20225092903516761</v>
      </c>
      <c r="U16" s="131">
        <f t="shared" si="5"/>
        <v>0.15057961874050108</v>
      </c>
      <c r="V16" s="131">
        <f t="shared" si="5"/>
        <v>0.22212177940151567</v>
      </c>
      <c r="W16" s="131">
        <f t="shared" si="5"/>
        <v>0.1198756915095479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1.6866102437202012E-2</v>
      </c>
      <c r="D17" s="133">
        <v>3.5182844924932781E-2</v>
      </c>
      <c r="E17" s="133">
        <v>3.9425185218846751E-3</v>
      </c>
      <c r="F17" s="133">
        <v>0.1096314996870265</v>
      </c>
      <c r="G17" s="133">
        <v>9.060336684887095E-2</v>
      </c>
      <c r="H17" s="133">
        <v>0.12444424651325418</v>
      </c>
      <c r="I17" s="133">
        <v>4.6990562939650156E-4</v>
      </c>
      <c r="J17" s="133">
        <v>0.12509052043301661</v>
      </c>
      <c r="K17" s="133">
        <v>3.7353602501701402E-2</v>
      </c>
      <c r="L17" s="133">
        <v>5.2243745950714203E-2</v>
      </c>
      <c r="M17" s="133">
        <v>4.8900696452199674E-2</v>
      </c>
      <c r="N17" s="133">
        <v>5.0225794628916291E-2</v>
      </c>
      <c r="O17" s="133">
        <v>7.5623364823135919E-2</v>
      </c>
      <c r="P17" s="133">
        <v>7.7753311833005462E-2</v>
      </c>
      <c r="Q17" s="133">
        <v>9.0091818133840401E-2</v>
      </c>
      <c r="R17" s="133">
        <v>5.7856687292196264E-2</v>
      </c>
      <c r="S17" s="133">
        <v>0.14737657118853695</v>
      </c>
      <c r="T17" s="133">
        <v>0.20225092903516761</v>
      </c>
      <c r="U17" s="133">
        <v>0.15057961874050108</v>
      </c>
      <c r="V17" s="133">
        <v>0.22212177940151567</v>
      </c>
      <c r="W17" s="133">
        <v>0.1198756915095479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3.3814178918283577</v>
      </c>
      <c r="D19" s="131">
        <f t="shared" si="6"/>
        <v>3.2419291372330101</v>
      </c>
      <c r="E19" s="131">
        <f t="shared" si="6"/>
        <v>4.1477051125779605</v>
      </c>
      <c r="F19" s="131">
        <f t="shared" si="6"/>
        <v>4.5382719397237494</v>
      </c>
      <c r="G19" s="131">
        <f t="shared" si="6"/>
        <v>5.8490645058295936</v>
      </c>
      <c r="H19" s="131">
        <f t="shared" si="6"/>
        <v>7.1023747561999553</v>
      </c>
      <c r="I19" s="131">
        <f t="shared" si="6"/>
        <v>6.0211150544204859</v>
      </c>
      <c r="J19" s="131">
        <f t="shared" si="6"/>
        <v>3.2939331292591461</v>
      </c>
      <c r="K19" s="131">
        <f t="shared" si="6"/>
        <v>0.52659898760251123</v>
      </c>
      <c r="L19" s="131">
        <f t="shared" si="6"/>
        <v>1.0272355497346348</v>
      </c>
      <c r="M19" s="131">
        <f t="shared" si="6"/>
        <v>0.66808466563344471</v>
      </c>
      <c r="N19" s="131">
        <f t="shared" si="6"/>
        <v>0.63877780115968019</v>
      </c>
      <c r="O19" s="131">
        <f t="shared" si="6"/>
        <v>0.43372730645383406</v>
      </c>
      <c r="P19" s="131">
        <f t="shared" si="6"/>
        <v>0.57828316799401713</v>
      </c>
      <c r="Q19" s="131">
        <f t="shared" si="6"/>
        <v>0.89151913209391576</v>
      </c>
      <c r="R19" s="131">
        <f t="shared" ref="R19:W19" si="7">SUM(R20:R27)</f>
        <v>0.6639588688497402</v>
      </c>
      <c r="S19" s="131">
        <f t="shared" si="7"/>
        <v>1.4135682915690087</v>
      </c>
      <c r="T19" s="131">
        <f t="shared" si="7"/>
        <v>1.0423019308821928</v>
      </c>
      <c r="U19" s="131">
        <f t="shared" si="7"/>
        <v>1.0756018584928972</v>
      </c>
      <c r="V19" s="131">
        <f t="shared" si="7"/>
        <v>0.95486173679435093</v>
      </c>
      <c r="W19" s="131">
        <f t="shared" si="7"/>
        <v>1.0066277323850834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0.53305683756213262</v>
      </c>
      <c r="D21" s="133">
        <v>0.44541526928626707</v>
      </c>
      <c r="E21" s="133">
        <v>0.58782113219419174</v>
      </c>
      <c r="F21" s="133">
        <v>0.78092002528346327</v>
      </c>
      <c r="G21" s="133">
        <v>0.94389974277078481</v>
      </c>
      <c r="H21" s="133">
        <v>1.3270963372805427</v>
      </c>
      <c r="I21" s="133">
        <v>1.2613217773936092</v>
      </c>
      <c r="J21" s="133">
        <v>0.63034323739638232</v>
      </c>
      <c r="K21" s="133">
        <v>8.1209204823532666E-2</v>
      </c>
      <c r="L21" s="133">
        <v>0.12364105393418173</v>
      </c>
      <c r="M21" s="133">
        <v>9.959621243466521E-2</v>
      </c>
      <c r="N21" s="133">
        <v>0.13330592625623547</v>
      </c>
      <c r="O21" s="133">
        <v>8.8200815127330884E-2</v>
      </c>
      <c r="P21" s="133">
        <v>0.1741621278213954</v>
      </c>
      <c r="Q21" s="133">
        <v>0.28143338338846069</v>
      </c>
      <c r="R21" s="133">
        <v>0.27978620455309949</v>
      </c>
      <c r="S21" s="133">
        <v>0.53316206264299748</v>
      </c>
      <c r="T21" s="133">
        <v>0.32404587339264529</v>
      </c>
      <c r="U21" s="133">
        <v>0.27149846242860493</v>
      </c>
      <c r="V21" s="133">
        <v>0.19710277226941356</v>
      </c>
      <c r="W21" s="133">
        <v>0.24121138822329391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1.8508033499105103</v>
      </c>
      <c r="D22" s="133">
        <v>1.6699450324200189</v>
      </c>
      <c r="E22" s="133">
        <v>1.939875663326158</v>
      </c>
      <c r="F22" s="133">
        <v>1.9550875341017919</v>
      </c>
      <c r="G22" s="133">
        <v>1.7675314261605339</v>
      </c>
      <c r="H22" s="133">
        <v>2.2152910812769449</v>
      </c>
      <c r="I22" s="133">
        <v>1.6565993877444771</v>
      </c>
      <c r="J22" s="133">
        <v>0.88908776986174365</v>
      </c>
      <c r="K22" s="133">
        <v>0.12034310617058323</v>
      </c>
      <c r="L22" s="133">
        <v>0.2332619244404367</v>
      </c>
      <c r="M22" s="133">
        <v>0.22666834338178032</v>
      </c>
      <c r="N22" s="133">
        <v>0.24012542309952603</v>
      </c>
      <c r="O22" s="133">
        <v>0.21200613230037599</v>
      </c>
      <c r="P22" s="133">
        <v>0.31908307780700013</v>
      </c>
      <c r="Q22" s="133">
        <v>0.33964571331483218</v>
      </c>
      <c r="R22" s="133">
        <v>0.18796039676761156</v>
      </c>
      <c r="S22" s="133">
        <v>0.25912097651401939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0.99755770435571478</v>
      </c>
      <c r="D23" s="133">
        <v>1.126568835526724</v>
      </c>
      <c r="E23" s="133">
        <v>1.6200083170576107</v>
      </c>
      <c r="F23" s="133">
        <v>1.8022643803384937</v>
      </c>
      <c r="G23" s="133">
        <v>3.1376333368982747</v>
      </c>
      <c r="H23" s="133">
        <v>3.5599873376424678</v>
      </c>
      <c r="I23" s="133">
        <v>3.1031938892824003</v>
      </c>
      <c r="J23" s="133">
        <v>1.77450212200102</v>
      </c>
      <c r="K23" s="133">
        <v>0.32504667660839531</v>
      </c>
      <c r="L23" s="133">
        <v>0.67033257136001645</v>
      </c>
      <c r="M23" s="133">
        <v>0.34182010981699917</v>
      </c>
      <c r="N23" s="133">
        <v>0.26534645180391869</v>
      </c>
      <c r="O23" s="133">
        <v>0.13352035902612716</v>
      </c>
      <c r="P23" s="133">
        <v>8.5037962365621639E-2</v>
      </c>
      <c r="Q23" s="133">
        <v>0.27044003539062289</v>
      </c>
      <c r="R23" s="133">
        <v>0.19621226752902915</v>
      </c>
      <c r="S23" s="133">
        <v>0.62128525241199195</v>
      </c>
      <c r="T23" s="133">
        <v>0.71825605748954746</v>
      </c>
      <c r="U23" s="133">
        <v>0.80410339606429226</v>
      </c>
      <c r="V23" s="133">
        <v>0.75775896452493741</v>
      </c>
      <c r="W23" s="133">
        <v>0.7654163441617895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0.56827653659144783</v>
      </c>
      <c r="D29" s="131">
        <f t="shared" si="8"/>
        <v>2.0342734487848624</v>
      </c>
      <c r="E29" s="131">
        <f t="shared" si="8"/>
        <v>5.8856060780700004</v>
      </c>
      <c r="F29" s="131">
        <f t="shared" si="8"/>
        <v>17.081045971025535</v>
      </c>
      <c r="G29" s="131">
        <f t="shared" si="8"/>
        <v>6.3191338442738054</v>
      </c>
      <c r="H29" s="131">
        <f t="shared" si="8"/>
        <v>5.167324911903366</v>
      </c>
      <c r="I29" s="131">
        <f t="shared" si="8"/>
        <v>2.2386815398227276</v>
      </c>
      <c r="J29" s="131">
        <f t="shared" si="8"/>
        <v>3.1575856222737806</v>
      </c>
      <c r="K29" s="131">
        <f t="shared" si="8"/>
        <v>0.6393398604830649</v>
      </c>
      <c r="L29" s="131">
        <f t="shared" si="8"/>
        <v>1.1328442389526701</v>
      </c>
      <c r="M29" s="131">
        <f t="shared" si="8"/>
        <v>2.1224577458920222</v>
      </c>
      <c r="N29" s="131">
        <f t="shared" si="8"/>
        <v>3.506847175313061</v>
      </c>
      <c r="O29" s="131">
        <f t="shared" si="8"/>
        <v>0.54544364867175821</v>
      </c>
      <c r="P29" s="131">
        <f t="shared" si="8"/>
        <v>0.340271005531325</v>
      </c>
      <c r="Q29" s="131">
        <f t="shared" si="8"/>
        <v>1.0863300185315872</v>
      </c>
      <c r="R29" s="131">
        <f t="shared" ref="R29:W29" si="9">SUM(R30:R33)</f>
        <v>1.2565938145312008</v>
      </c>
      <c r="S29" s="131">
        <f t="shared" si="9"/>
        <v>2.0562031633184827</v>
      </c>
      <c r="T29" s="131">
        <f t="shared" si="9"/>
        <v>2.8735530544354475</v>
      </c>
      <c r="U29" s="131">
        <f t="shared" si="9"/>
        <v>3.5079745823497439</v>
      </c>
      <c r="V29" s="131">
        <f t="shared" si="9"/>
        <v>1.9240313000676184</v>
      </c>
      <c r="W29" s="131">
        <f t="shared" si="9"/>
        <v>3.4822454984594149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5.7943304238453369E-2</v>
      </c>
      <c r="D30" s="133">
        <v>1.0857230790824937</v>
      </c>
      <c r="E30" s="133">
        <v>4.4045502654874307</v>
      </c>
      <c r="F30" s="133">
        <v>15.210678197188125</v>
      </c>
      <c r="G30" s="133">
        <v>4.3014054289968202</v>
      </c>
      <c r="H30" s="133">
        <v>2.9204348064300141</v>
      </c>
      <c r="I30" s="133">
        <v>0.24946864595889376</v>
      </c>
      <c r="J30" s="133">
        <v>1.615369250898808</v>
      </c>
      <c r="K30" s="133">
        <v>0.27519168756345552</v>
      </c>
      <c r="L30" s="133">
        <v>0.49053375964487927</v>
      </c>
      <c r="M30" s="133">
        <v>1.3702441129340976</v>
      </c>
      <c r="N30" s="133">
        <v>3.0853741551335254</v>
      </c>
      <c r="O30" s="133">
        <v>0.31444105478317436</v>
      </c>
      <c r="P30" s="133">
        <v>0</v>
      </c>
      <c r="Q30" s="133">
        <v>0.62321142942864072</v>
      </c>
      <c r="R30" s="133">
        <v>0.93852245540027968</v>
      </c>
      <c r="S30" s="133">
        <v>1.3862607693337783</v>
      </c>
      <c r="T30" s="133">
        <v>2.0426626690792604</v>
      </c>
      <c r="U30" s="133">
        <v>2.4111267610528002</v>
      </c>
      <c r="V30" s="133">
        <v>0.70689607962375556</v>
      </c>
      <c r="W30" s="133">
        <v>2.5167941776913625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0.51033323235299444</v>
      </c>
      <c r="D31" s="133">
        <v>0.94855036970236883</v>
      </c>
      <c r="E31" s="133">
        <v>1.4810558125825697</v>
      </c>
      <c r="F31" s="133">
        <v>1.8703677738374116</v>
      </c>
      <c r="G31" s="133">
        <v>2.0177284152769848</v>
      </c>
      <c r="H31" s="133">
        <v>2.2468901054733514</v>
      </c>
      <c r="I31" s="133">
        <v>1.9892128938638338</v>
      </c>
      <c r="J31" s="133">
        <v>1.5422163713749726</v>
      </c>
      <c r="K31" s="133">
        <v>0.36414817291960944</v>
      </c>
      <c r="L31" s="133">
        <v>0.64231047930779084</v>
      </c>
      <c r="M31" s="133">
        <v>0.75221363295792465</v>
      </c>
      <c r="N31" s="133">
        <v>0.42147302017953547</v>
      </c>
      <c r="O31" s="133">
        <v>0.2310025938885838</v>
      </c>
      <c r="P31" s="133">
        <v>0.340271005531325</v>
      </c>
      <c r="Q31" s="133">
        <v>0.46311858910294651</v>
      </c>
      <c r="R31" s="133">
        <v>0.31807135913092105</v>
      </c>
      <c r="S31" s="133">
        <v>0.66994239398470445</v>
      </c>
      <c r="T31" s="133">
        <v>0.83089038535618731</v>
      </c>
      <c r="U31" s="133">
        <v>1.0968478212969437</v>
      </c>
      <c r="V31" s="133">
        <v>1.2171352204438628</v>
      </c>
      <c r="W31" s="133">
        <v>0.96545132076805218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148341.50627627055</v>
      </c>
      <c r="D3" s="126">
        <f>IF(SER_hh_fec_in!D3=0,0,11630*1000*SER_hh_fec_in!D3/SER_hh_num_in!D3)</f>
        <v>137915.85213290149</v>
      </c>
      <c r="E3" s="126">
        <f>IF(SER_hh_fec_in!E3=0,0,11630*1000*SER_hh_fec_in!E3/SER_hh_num_in!E3)</f>
        <v>146648.1676494799</v>
      </c>
      <c r="F3" s="126">
        <f>IF(SER_hh_fec_in!F3=0,0,11630*1000*SER_hh_fec_in!F3/SER_hh_num_in!F3)</f>
        <v>149020.3579889799</v>
      </c>
      <c r="G3" s="126">
        <f>IF(SER_hh_fec_in!G3=0,0,11630*1000*SER_hh_fec_in!G3/SER_hh_num_in!G3)</f>
        <v>158892.91951858616</v>
      </c>
      <c r="H3" s="126">
        <f>IF(SER_hh_fec_in!H3=0,0,11630*1000*SER_hh_fec_in!H3/SER_hh_num_in!H3)</f>
        <v>151564.45449726284</v>
      </c>
      <c r="I3" s="126">
        <f>IF(SER_hh_fec_in!I3=0,0,11630*1000*SER_hh_fec_in!I3/SER_hh_num_in!I3)</f>
        <v>146504.75716935025</v>
      </c>
      <c r="J3" s="126">
        <f>IF(SER_hh_fec_in!J3=0,0,11630*1000*SER_hh_fec_in!J3/SER_hh_num_in!J3)</f>
        <v>141249.78123228758</v>
      </c>
      <c r="K3" s="126">
        <f>IF(SER_hh_fec_in!K3=0,0,11630*1000*SER_hh_fec_in!K3/SER_hh_num_in!K3)</f>
        <v>113838.64282864444</v>
      </c>
      <c r="L3" s="126">
        <f>IF(SER_hh_fec_in!L3=0,0,11630*1000*SER_hh_fec_in!L3/SER_hh_num_in!L3)</f>
        <v>113235.15430864974</v>
      </c>
      <c r="M3" s="126">
        <f>IF(SER_hh_fec_in!M3=0,0,11630*1000*SER_hh_fec_in!M3/SER_hh_num_in!M3)</f>
        <v>102349.1808756229</v>
      </c>
      <c r="N3" s="126">
        <f>IF(SER_hh_fec_in!N3=0,0,11630*1000*SER_hh_fec_in!N3/SER_hh_num_in!N3)</f>
        <v>122369.05304619657</v>
      </c>
      <c r="O3" s="126">
        <f>IF(SER_hh_fec_in!O3=0,0,11630*1000*SER_hh_fec_in!O3/SER_hh_num_in!O3)</f>
        <v>91109.535745140616</v>
      </c>
      <c r="P3" s="126">
        <f>IF(SER_hh_fec_in!P3=0,0,11630*1000*SER_hh_fec_in!P3/SER_hh_num_in!P3)</f>
        <v>94750.9578724319</v>
      </c>
      <c r="Q3" s="126">
        <f>IF(SER_hh_fec_in!Q3=0,0,11630*1000*SER_hh_fec_in!Q3/SER_hh_num_in!Q3)</f>
        <v>97498.913437247917</v>
      </c>
      <c r="R3" s="126">
        <f>IF(SER_hh_fec_in!R3=0,0,11630*1000*SER_hh_fec_in!R3/SER_hh_num_in!R3)</f>
        <v>146016.55688294134</v>
      </c>
      <c r="S3" s="126">
        <f>IF(SER_hh_fec_in!S3=0,0,11630*1000*SER_hh_fec_in!S3/SER_hh_num_in!S3)</f>
        <v>118961.17971465972</v>
      </c>
      <c r="T3" s="126">
        <f>IF(SER_hh_fec_in!T3=0,0,11630*1000*SER_hh_fec_in!T3/SER_hh_num_in!T3)</f>
        <v>94344.967999584842</v>
      </c>
      <c r="U3" s="126">
        <f>IF(SER_hh_fec_in!U3=0,0,11630*1000*SER_hh_fec_in!U3/SER_hh_num_in!U3)</f>
        <v>94261.616035690677</v>
      </c>
      <c r="V3" s="126">
        <f>IF(SER_hh_fec_in!V3=0,0,11630*1000*SER_hh_fec_in!V3/SER_hh_num_in!V3)</f>
        <v>74944.236564280014</v>
      </c>
      <c r="W3" s="126">
        <f>IF(SER_hh_fec_in!W3=0,0,11630*1000*SER_hh_fec_in!W3/SER_hh_num_in!W3)</f>
        <v>80727.672768348712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59781.02927759762</v>
      </c>
      <c r="D4" s="131">
        <f>IF(SER_hh_fec_in!D4=0,0,11630*1000*SER_hh_fec_in!D4/SER_hh_num_in!D4)</f>
        <v>49921.460284706802</v>
      </c>
      <c r="E4" s="131">
        <f>IF(SER_hh_fec_in!E4=0,0,11630*1000*SER_hh_fec_in!E4/SER_hh_num_in!E4)</f>
        <v>55642.41833683529</v>
      </c>
      <c r="F4" s="131">
        <f>IF(SER_hh_fec_in!F4=0,0,11630*1000*SER_hh_fec_in!F4/SER_hh_num_in!F4)</f>
        <v>58446.979187792967</v>
      </c>
      <c r="G4" s="131">
        <f>IF(SER_hh_fec_in!G4=0,0,11630*1000*SER_hh_fec_in!G4/SER_hh_num_in!G4)</f>
        <v>68144.05206165975</v>
      </c>
      <c r="H4" s="131">
        <f>IF(SER_hh_fec_in!H4=0,0,11630*1000*SER_hh_fec_in!H4/SER_hh_num_in!H4)</f>
        <v>63967.750479904767</v>
      </c>
      <c r="I4" s="131">
        <f>IF(SER_hh_fec_in!I4=0,0,11630*1000*SER_hh_fec_in!I4/SER_hh_num_in!I4)</f>
        <v>57451.522292906448</v>
      </c>
      <c r="J4" s="131">
        <f>IF(SER_hh_fec_in!J4=0,0,11630*1000*SER_hh_fec_in!J4/SER_hh_num_in!J4)</f>
        <v>55237.118217825868</v>
      </c>
      <c r="K4" s="131">
        <f>IF(SER_hh_fec_in!K4=0,0,11630*1000*SER_hh_fec_in!K4/SER_hh_num_in!K4)</f>
        <v>37631.928142609344</v>
      </c>
      <c r="L4" s="131">
        <f>IF(SER_hh_fec_in!L4=0,0,11630*1000*SER_hh_fec_in!L4/SER_hh_num_in!L4)</f>
        <v>22279.140868900759</v>
      </c>
      <c r="M4" s="131">
        <f>IF(SER_hh_fec_in!M4=0,0,11630*1000*SER_hh_fec_in!M4/SER_hh_num_in!M4)</f>
        <v>17240.758755907755</v>
      </c>
      <c r="N4" s="131">
        <f>IF(SER_hh_fec_in!N4=0,0,11630*1000*SER_hh_fec_in!N4/SER_hh_num_in!N4)</f>
        <v>20955.589395323579</v>
      </c>
      <c r="O4" s="131">
        <f>IF(SER_hh_fec_in!O4=0,0,11630*1000*SER_hh_fec_in!O4/SER_hh_num_in!O4)</f>
        <v>12205.440250780586</v>
      </c>
      <c r="P4" s="131">
        <f>IF(SER_hh_fec_in!P4=0,0,11630*1000*SER_hh_fec_in!P4/SER_hh_num_in!P4)</f>
        <v>11918.540654782862</v>
      </c>
      <c r="Q4" s="131">
        <f>IF(SER_hh_fec_in!Q4=0,0,11630*1000*SER_hh_fec_in!Q4/SER_hh_num_in!Q4)</f>
        <v>15729.872256529732</v>
      </c>
      <c r="R4" s="131">
        <f>IF(SER_hh_fec_in!R4=0,0,11630*1000*SER_hh_fec_in!R4/SER_hh_num_in!R4)</f>
        <v>68917.792343102527</v>
      </c>
      <c r="S4" s="131">
        <f>IF(SER_hh_fec_in!S4=0,0,11630*1000*SER_hh_fec_in!S4/SER_hh_num_in!S4)</f>
        <v>40732.717419499058</v>
      </c>
      <c r="T4" s="131">
        <f>IF(SER_hh_fec_in!T4=0,0,11630*1000*SER_hh_fec_in!T4/SER_hh_num_in!T4)</f>
        <v>18974.631872104517</v>
      </c>
      <c r="U4" s="131">
        <f>IF(SER_hh_fec_in!U4=0,0,11630*1000*SER_hh_fec_in!U4/SER_hh_num_in!U4)</f>
        <v>19848.587246223051</v>
      </c>
      <c r="V4" s="131">
        <f>IF(SER_hh_fec_in!V4=0,0,11630*1000*SER_hh_fec_in!V4/SER_hh_num_in!V4)</f>
        <v>13670.422846695212</v>
      </c>
      <c r="W4" s="131">
        <f>IF(SER_hh_fec_in!W4=0,0,11630*1000*SER_hh_fec_in!W4/SER_hh_num_in!W4)</f>
        <v>12184.940461508904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68527.224672616838</v>
      </c>
      <c r="D7" s="133">
        <f>IF(SER_hh_fec_in!D7=0,0,11630*1000*SER_hh_fec_in!D7/SER_hh_num_in!D7)</f>
        <v>70050.907450358762</v>
      </c>
      <c r="E7" s="133">
        <f>IF(SER_hh_fec_in!E7=0,0,11630*1000*SER_hh_fec_in!E7/SER_hh_num_in!E7)</f>
        <v>74163.116717589714</v>
      </c>
      <c r="F7" s="133">
        <f>IF(SER_hh_fec_in!F7=0,0,11630*1000*SER_hh_fec_in!F7/SER_hh_num_in!F7)</f>
        <v>74067.665277661305</v>
      </c>
      <c r="G7" s="133">
        <f>IF(SER_hh_fec_in!G7=0,0,11630*1000*SER_hh_fec_in!G7/SER_hh_num_in!G7)</f>
        <v>93248.613502619512</v>
      </c>
      <c r="H7" s="133">
        <f>IF(SER_hh_fec_in!H7=0,0,11630*1000*SER_hh_fec_in!H7/SER_hh_num_in!H7)</f>
        <v>99024.354719960276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74363.227742250005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100063.24994908713</v>
      </c>
      <c r="S7" s="133">
        <f>IF(SER_hh_fec_in!S7=0,0,11630*1000*SER_hh_fec_in!S7/SER_hh_num_in!S7)</f>
        <v>51920.310551432587</v>
      </c>
      <c r="T7" s="133">
        <f>IF(SER_hh_fec_in!T7=0,0,11630*1000*SER_hh_fec_in!T7/SER_hh_num_in!T7)</f>
        <v>53816.179055301138</v>
      </c>
      <c r="U7" s="133">
        <f>IF(SER_hh_fec_in!U7=0,0,11630*1000*SER_hh_fec_in!U7/SER_hh_num_in!U7)</f>
        <v>61041.628917726324</v>
      </c>
      <c r="V7" s="133">
        <f>IF(SER_hh_fec_in!V7=0,0,11630*1000*SER_hh_fec_in!V7/SER_hh_num_in!V7)</f>
        <v>58594.736150395147</v>
      </c>
      <c r="W7" s="133">
        <f>IF(SER_hh_fec_in!W7=0,0,11630*1000*SER_hh_fec_in!W7/SER_hh_num_in!W7)</f>
        <v>44525.76729297077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22625.558428775501</v>
      </c>
      <c r="D8" s="133">
        <f>IF(SER_hh_fec_in!D8=0,0,11630*1000*SER_hh_fec_in!D8/SER_hh_num_in!D8)</f>
        <v>22301.31441154315</v>
      </c>
      <c r="E8" s="133">
        <f>IF(SER_hh_fec_in!E8=0,0,11630*1000*SER_hh_fec_in!E8/SER_hh_num_in!E8)</f>
        <v>23392.972453051312</v>
      </c>
      <c r="F8" s="133">
        <f>IF(SER_hh_fec_in!F8=0,0,11630*1000*SER_hh_fec_in!F8/SER_hh_num_in!F8)</f>
        <v>25868.746473454368</v>
      </c>
      <c r="G8" s="133">
        <f>IF(SER_hh_fec_in!G8=0,0,11630*1000*SER_hh_fec_in!G8/SER_hh_num_in!G8)</f>
        <v>29659.328331005487</v>
      </c>
      <c r="H8" s="133">
        <f>IF(SER_hh_fec_in!H8=0,0,11630*1000*SER_hh_fec_in!H8/SER_hh_num_in!H8)</f>
        <v>28141.098591867558</v>
      </c>
      <c r="I8" s="133">
        <f>IF(SER_hh_fec_in!I8=0,0,11630*1000*SER_hh_fec_in!I8/SER_hh_num_in!I8)</f>
        <v>26143.95467206508</v>
      </c>
      <c r="J8" s="133">
        <f>IF(SER_hh_fec_in!J8=0,0,11630*1000*SER_hh_fec_in!J8/SER_hh_num_in!J8)</f>
        <v>24334.900795848731</v>
      </c>
      <c r="K8" s="133">
        <f>IF(SER_hh_fec_in!K8=0,0,11630*1000*SER_hh_fec_in!K8/SER_hh_num_in!K8)</f>
        <v>21005.571170160703</v>
      </c>
      <c r="L8" s="133">
        <f>IF(SER_hh_fec_in!L8=0,0,11630*1000*SER_hh_fec_in!L8/SER_hh_num_in!L8)</f>
        <v>16177.195432725024</v>
      </c>
      <c r="M8" s="133">
        <f>IF(SER_hh_fec_in!M8=0,0,11630*1000*SER_hh_fec_in!M8/SER_hh_num_in!M8)</f>
        <v>12103.721589265107</v>
      </c>
      <c r="N8" s="133">
        <f>IF(SER_hh_fec_in!N8=0,0,11630*1000*SER_hh_fec_in!N8/SER_hh_num_in!N8)</f>
        <v>7876.16698482219</v>
      </c>
      <c r="O8" s="133">
        <f>IF(SER_hh_fec_in!O8=0,0,11630*1000*SER_hh_fec_in!O8/SER_hh_num_in!O8)</f>
        <v>9237.1261809298321</v>
      </c>
      <c r="P8" s="133">
        <f>IF(SER_hh_fec_in!P8=0,0,11630*1000*SER_hh_fec_in!P8/SER_hh_num_in!P8)</f>
        <v>13270.723354099086</v>
      </c>
      <c r="Q8" s="133">
        <f>IF(SER_hh_fec_in!Q8=0,0,11630*1000*SER_hh_fec_in!Q8/SER_hh_num_in!Q8)</f>
        <v>20257.619681714052</v>
      </c>
      <c r="R8" s="133">
        <f>IF(SER_hh_fec_in!R8=0,0,11630*1000*SER_hh_fec_in!R8/SER_hh_num_in!R8)</f>
        <v>17029.841599533887</v>
      </c>
      <c r="S8" s="133">
        <f>IF(SER_hh_fec_in!S8=0,0,11630*1000*SER_hh_fec_in!S8/SER_hh_num_in!S8)</f>
        <v>15046.23737928743</v>
      </c>
      <c r="T8" s="133">
        <f>IF(SER_hh_fec_in!T8=0,0,11630*1000*SER_hh_fec_in!T8/SER_hh_num_in!T8)</f>
        <v>13913.507163229529</v>
      </c>
      <c r="U8" s="133">
        <f>IF(SER_hh_fec_in!U8=0,0,11630*1000*SER_hh_fec_in!U8/SER_hh_num_in!U8)</f>
        <v>12641.213589750074</v>
      </c>
      <c r="V8" s="133">
        <f>IF(SER_hh_fec_in!V8=0,0,11630*1000*SER_hh_fec_in!V8/SER_hh_num_in!V8)</f>
        <v>12074.832485507566</v>
      </c>
      <c r="W8" s="133">
        <f>IF(SER_hh_fec_in!W8=0,0,11630*1000*SER_hh_fec_in!W8/SER_hh_num_in!W8)</f>
        <v>10289.814978973391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50455.900490227694</v>
      </c>
      <c r="D9" s="133">
        <f>IF(SER_hh_fec_in!D9=0,0,11630*1000*SER_hh_fec_in!D9/SER_hh_num_in!D9)</f>
        <v>49503.425962998401</v>
      </c>
      <c r="E9" s="133">
        <f>IF(SER_hh_fec_in!E9=0,0,11630*1000*SER_hh_fec_in!E9/SER_hh_num_in!E9)</f>
        <v>58172.824260969406</v>
      </c>
      <c r="F9" s="133">
        <f>IF(SER_hh_fec_in!F9=0,0,11630*1000*SER_hh_fec_in!F9/SER_hh_num_in!F9)</f>
        <v>68802.093173272136</v>
      </c>
      <c r="G9" s="133">
        <f>IF(SER_hh_fec_in!G9=0,0,11630*1000*SER_hh_fec_in!G9/SER_hh_num_in!G9)</f>
        <v>85496.382974187218</v>
      </c>
      <c r="H9" s="133">
        <f>IF(SER_hh_fec_in!H9=0,0,11630*1000*SER_hh_fec_in!H9/SER_hh_num_in!H9)</f>
        <v>86831.143407566808</v>
      </c>
      <c r="I9" s="133">
        <f>IF(SER_hh_fec_in!I9=0,0,11630*1000*SER_hh_fec_in!I9/SER_hh_num_in!I9)</f>
        <v>82018.763520033783</v>
      </c>
      <c r="J9" s="133">
        <f>IF(SER_hh_fec_in!J9=0,0,11630*1000*SER_hh_fec_in!J9/SER_hh_num_in!J9)</f>
        <v>89436.581547966853</v>
      </c>
      <c r="K9" s="133">
        <f>IF(SER_hh_fec_in!K9=0,0,11630*1000*SER_hh_fec_in!K9/SER_hh_num_in!K9)</f>
        <v>82838.422803609777</v>
      </c>
      <c r="L9" s="133">
        <f>IF(SER_hh_fec_in!L9=0,0,11630*1000*SER_hh_fec_in!L9/SER_hh_num_in!L9)</f>
        <v>61497.474308596582</v>
      </c>
      <c r="M9" s="133">
        <f>IF(SER_hh_fec_in!M9=0,0,11630*1000*SER_hh_fec_in!M9/SER_hh_num_in!M9)</f>
        <v>82704.549459485323</v>
      </c>
      <c r="N9" s="133">
        <f>IF(SER_hh_fec_in!N9=0,0,11630*1000*SER_hh_fec_in!N9/SER_hh_num_in!N9)</f>
        <v>0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76510.156794399809</v>
      </c>
      <c r="R9" s="133">
        <f>IF(SER_hh_fec_in!R9=0,0,11630*1000*SER_hh_fec_in!R9/SER_hh_num_in!R9)</f>
        <v>0</v>
      </c>
      <c r="S9" s="133">
        <f>IF(SER_hh_fec_in!S9=0,0,11630*1000*SER_hh_fec_in!S9/SER_hh_num_in!S9)</f>
        <v>62746.39485663049</v>
      </c>
      <c r="T9" s="133">
        <f>IF(SER_hh_fec_in!T9=0,0,11630*1000*SER_hh_fec_in!T9/SER_hh_num_in!T9)</f>
        <v>56455.246279494648</v>
      </c>
      <c r="U9" s="133">
        <f>IF(SER_hh_fec_in!U9=0,0,11630*1000*SER_hh_fec_in!U9/SER_hh_num_in!U9)</f>
        <v>61165.061324465554</v>
      </c>
      <c r="V9" s="133">
        <f>IF(SER_hh_fec_in!V9=0,0,11630*1000*SER_hh_fec_in!V9/SER_hh_num_in!V9)</f>
        <v>48421.662103993214</v>
      </c>
      <c r="W9" s="133">
        <f>IF(SER_hh_fec_in!W9=0,0,11630*1000*SER_hh_fec_in!W9/SER_hh_num_in!W9)</f>
        <v>43015.215468425682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131078.13179311081</v>
      </c>
      <c r="O10" s="133">
        <f>IF(SER_hh_fec_in!O10=0,0,11630*1000*SER_hh_fec_in!O10/SER_hh_num_in!O10)</f>
        <v>69439.106357753626</v>
      </c>
      <c r="P10" s="133">
        <f>IF(SER_hh_fec_in!P10=0,0,11630*1000*SER_hh_fec_in!P10/SER_hh_num_in!P10)</f>
        <v>50386.757674221764</v>
      </c>
      <c r="Q10" s="133">
        <f>IF(SER_hh_fec_in!Q10=0,0,11630*1000*SER_hh_fec_in!Q10/SER_hh_num_in!Q10)</f>
        <v>145719.21601781578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66394.381013535691</v>
      </c>
      <c r="G11" s="133">
        <f>IF(SER_hh_fec_in!G11=0,0,11630*1000*SER_hh_fec_in!G11/SER_hh_num_in!G11)</f>
        <v>51289.385354611157</v>
      </c>
      <c r="H11" s="133">
        <f>IF(SER_hh_fec_in!H11=0,0,11630*1000*SER_hh_fec_in!H11/SER_hh_num_in!H11)</f>
        <v>49069.104274983103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46550.139046380995</v>
      </c>
      <c r="K11" s="133">
        <f>IF(SER_hh_fec_in!K11=0,0,11630*1000*SER_hh_fec_in!K11/SER_hh_num_in!K11)</f>
        <v>50722.323186220943</v>
      </c>
      <c r="L11" s="133">
        <f>IF(SER_hh_fec_in!L11=0,0,11630*1000*SER_hh_fec_in!L11/SER_hh_num_in!L11)</f>
        <v>43571.304439401763</v>
      </c>
      <c r="M11" s="133">
        <f>IF(SER_hh_fec_in!M11=0,0,11630*1000*SER_hh_fec_in!M11/SER_hh_num_in!M11)</f>
        <v>39823.772396143249</v>
      </c>
      <c r="N11" s="133">
        <f>IF(SER_hh_fec_in!N11=0,0,11630*1000*SER_hh_fec_in!N11/SER_hh_num_in!N11)</f>
        <v>39150.146313676101</v>
      </c>
      <c r="O11" s="133">
        <f>IF(SER_hh_fec_in!O11=0,0,11630*1000*SER_hh_fec_in!O11/SER_hh_num_in!O11)</f>
        <v>36725.749838144686</v>
      </c>
      <c r="P11" s="133">
        <f>IF(SER_hh_fec_in!P11=0,0,11630*1000*SER_hh_fec_in!P11/SER_hh_num_in!P11)</f>
        <v>40787.476794726572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41510.255891795983</v>
      </c>
      <c r="T11" s="133">
        <f>IF(SER_hh_fec_in!T11=0,0,11630*1000*SER_hh_fec_in!T11/SER_hh_num_in!T11)</f>
        <v>39720.308715963205</v>
      </c>
      <c r="U11" s="133">
        <f>IF(SER_hh_fec_in!U11=0,0,11630*1000*SER_hh_fec_in!U11/SER_hh_num_in!U11)</f>
        <v>51844.537602146069</v>
      </c>
      <c r="V11" s="133">
        <f>IF(SER_hh_fec_in!V11=0,0,11630*1000*SER_hh_fec_in!V11/SER_hh_num_in!V11)</f>
        <v>17430.671672117569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20920.371159145245</v>
      </c>
      <c r="D13" s="133">
        <f>IF(SER_hh_fec_in!D13=0,0,11630*1000*SER_hh_fec_in!D13/SER_hh_num_in!D13)</f>
        <v>19994.460156734498</v>
      </c>
      <c r="E13" s="133">
        <f>IF(SER_hh_fec_in!E13=0,0,11630*1000*SER_hh_fec_in!E13/SER_hh_num_in!E13)</f>
        <v>20105.152997931978</v>
      </c>
      <c r="F13" s="133">
        <f>IF(SER_hh_fec_in!F13=0,0,11630*1000*SER_hh_fec_in!F13/SER_hh_num_in!F13)</f>
        <v>23068.142119245596</v>
      </c>
      <c r="G13" s="133">
        <f>IF(SER_hh_fec_in!G13=0,0,11630*1000*SER_hh_fec_in!G13/SER_hh_num_in!G13)</f>
        <v>20857.319605460092</v>
      </c>
      <c r="H13" s="133">
        <f>IF(SER_hh_fec_in!H13=0,0,11630*1000*SER_hh_fec_in!H13/SER_hh_num_in!H13)</f>
        <v>21362.91032503208</v>
      </c>
      <c r="I13" s="133">
        <f>IF(SER_hh_fec_in!I13=0,0,11630*1000*SER_hh_fec_in!I13/SER_hh_num_in!I13)</f>
        <v>21954.786820493635</v>
      </c>
      <c r="J13" s="133">
        <f>IF(SER_hh_fec_in!J13=0,0,11630*1000*SER_hh_fec_in!J13/SER_hh_num_in!J13)</f>
        <v>20478.253262349277</v>
      </c>
      <c r="K13" s="133">
        <f>IF(SER_hh_fec_in!K13=0,0,11630*1000*SER_hh_fec_in!K13/SER_hh_num_in!K13)</f>
        <v>18381.522717562788</v>
      </c>
      <c r="L13" s="133">
        <f>IF(SER_hh_fec_in!L13=0,0,11630*1000*SER_hh_fec_in!L13/SER_hh_num_in!L13)</f>
        <v>14911.314948045363</v>
      </c>
      <c r="M13" s="133">
        <f>IF(SER_hh_fec_in!M13=0,0,11630*1000*SER_hh_fec_in!M13/SER_hh_num_in!M13)</f>
        <v>12679.963605882122</v>
      </c>
      <c r="N13" s="133">
        <f>IF(SER_hh_fec_in!N13=0,0,11630*1000*SER_hh_fec_in!N13/SER_hh_num_in!N13)</f>
        <v>13150.312182031943</v>
      </c>
      <c r="O13" s="133">
        <f>IF(SER_hh_fec_in!O13=0,0,11630*1000*SER_hh_fec_in!O13/SER_hh_num_in!O13)</f>
        <v>11156.604957332174</v>
      </c>
      <c r="P13" s="133">
        <f>IF(SER_hh_fec_in!P13=0,0,11630*1000*SER_hh_fec_in!P13/SER_hh_num_in!P13)</f>
        <v>11480.919925450464</v>
      </c>
      <c r="Q13" s="133">
        <f>IF(SER_hh_fec_in!Q13=0,0,11630*1000*SER_hh_fec_in!Q13/SER_hh_num_in!Q13)</f>
        <v>12970.917417013117</v>
      </c>
      <c r="R13" s="133">
        <f>IF(SER_hh_fec_in!R13=0,0,11630*1000*SER_hh_fec_in!R13/SER_hh_num_in!R13)</f>
        <v>12425.728402431036</v>
      </c>
      <c r="S13" s="133">
        <f>IF(SER_hh_fec_in!S13=0,0,11630*1000*SER_hh_fec_in!S13/SER_hh_num_in!S13)</f>
        <v>11385.67120872502</v>
      </c>
      <c r="T13" s="133">
        <f>IF(SER_hh_fec_in!T13=0,0,11630*1000*SER_hh_fec_in!T13/SER_hh_num_in!T13)</f>
        <v>10800.523811394831</v>
      </c>
      <c r="U13" s="133">
        <f>IF(SER_hh_fec_in!U13=0,0,11630*1000*SER_hh_fec_in!U13/SER_hh_num_in!U13)</f>
        <v>9875.6565098231295</v>
      </c>
      <c r="V13" s="133">
        <f>IF(SER_hh_fec_in!V13=0,0,11630*1000*SER_hh_fec_in!V13/SER_hh_num_in!V13)</f>
        <v>9132.8322264086655</v>
      </c>
      <c r="W13" s="133">
        <f>IF(SER_hh_fec_in!W13=0,0,11630*1000*SER_hh_fec_in!W13/SER_hh_num_in!W13)</f>
        <v>7987.5301338775535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47732.160904228564</v>
      </c>
      <c r="D14" s="65">
        <f>IF(SER_hh_fec_in!D14=0,0,11630*1000*SER_hh_fec_in!D14/SER_hh_num_in!D14)</f>
        <v>47667.210565294874</v>
      </c>
      <c r="E14" s="65">
        <f>IF(SER_hh_fec_in!E14=0,0,11630*1000*SER_hh_fec_in!E14/SER_hh_num_in!E14)</f>
        <v>53777.894672490198</v>
      </c>
      <c r="F14" s="65">
        <f>IF(SER_hh_fec_in!F14=0,0,11630*1000*SER_hh_fec_in!F14/SER_hh_num_in!F14)</f>
        <v>63800.242480342094</v>
      </c>
      <c r="G14" s="65">
        <f>IF(SER_hh_fec_in!G14=0,0,11630*1000*SER_hh_fec_in!G14/SER_hh_num_in!G14)</f>
        <v>61497.053411723566</v>
      </c>
      <c r="H14" s="65">
        <f>IF(SER_hh_fec_in!H14=0,0,11630*1000*SER_hh_fec_in!H14/SER_hh_num_in!H14)</f>
        <v>70307.485210462095</v>
      </c>
      <c r="I14" s="65">
        <f>IF(SER_hh_fec_in!I14=0,0,11630*1000*SER_hh_fec_in!I14/SER_hh_num_in!I14)</f>
        <v>72630.98730536137</v>
      </c>
      <c r="J14" s="65">
        <f>IF(SER_hh_fec_in!J14=0,0,11630*1000*SER_hh_fec_in!J14/SER_hh_num_in!J14)</f>
        <v>78455.527548228187</v>
      </c>
      <c r="K14" s="65">
        <f>IF(SER_hh_fec_in!K14=0,0,11630*1000*SER_hh_fec_in!K14/SER_hh_num_in!K14)</f>
        <v>80528.127982390826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76909.811310097371</v>
      </c>
      <c r="S14" s="65">
        <f>IF(SER_hh_fec_in!S14=0,0,11630*1000*SER_hh_fec_in!S14/SER_hh_num_in!S14)</f>
        <v>68974.200428900513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39145.516904508368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572.81657864261115</v>
      </c>
      <c r="D15" s="135">
        <f>IF(SER_hh_fec_in!D15=0,0,11630*1000*SER_hh_fec_in!D15/SER_hh_num_in!D15)</f>
        <v>555.50977382640644</v>
      </c>
      <c r="E15" s="135">
        <f>IF(SER_hh_fec_in!E15=0,0,11630*1000*SER_hh_fec_in!E15/SER_hh_num_in!E15)</f>
        <v>597.18855607800435</v>
      </c>
      <c r="F15" s="135">
        <f>IF(SER_hh_fec_in!F15=0,0,11630*1000*SER_hh_fec_in!F15/SER_hh_num_in!F15)</f>
        <v>540.6228443516178</v>
      </c>
      <c r="G15" s="135">
        <f>IF(SER_hh_fec_in!G15=0,0,11630*1000*SER_hh_fec_in!G15/SER_hh_num_in!G15)</f>
        <v>763.18203246854227</v>
      </c>
      <c r="H15" s="135">
        <f>IF(SER_hh_fec_in!H15=0,0,11630*1000*SER_hh_fec_in!H15/SER_hh_num_in!H15)</f>
        <v>806.42031388305975</v>
      </c>
      <c r="I15" s="135">
        <f>IF(SER_hh_fec_in!I15=0,0,11630*1000*SER_hh_fec_in!I15/SER_hh_num_in!I15)</f>
        <v>763.73137203706972</v>
      </c>
      <c r="J15" s="135">
        <f>IF(SER_hh_fec_in!J15=0,0,11630*1000*SER_hh_fec_in!J15/SER_hh_num_in!J15)</f>
        <v>815.11863326366472</v>
      </c>
      <c r="K15" s="135">
        <f>IF(SER_hh_fec_in!K15=0,0,11630*1000*SER_hh_fec_in!K15/SER_hh_num_in!K15)</f>
        <v>720.77169649087659</v>
      </c>
      <c r="L15" s="135">
        <f>IF(SER_hh_fec_in!L15=0,0,11630*1000*SER_hh_fec_in!L15/SER_hh_num_in!L15)</f>
        <v>526.70662577875396</v>
      </c>
      <c r="M15" s="135">
        <f>IF(SER_hh_fec_in!M15=0,0,11630*1000*SER_hh_fec_in!M15/SER_hh_num_in!M15)</f>
        <v>610.22761265110114</v>
      </c>
      <c r="N15" s="135">
        <f>IF(SER_hh_fec_in!N15=0,0,11630*1000*SER_hh_fec_in!N15/SER_hh_num_in!N15)</f>
        <v>445.2896454789834</v>
      </c>
      <c r="O15" s="135">
        <f>IF(SER_hh_fec_in!O15=0,0,11630*1000*SER_hh_fec_in!O15/SER_hh_num_in!O15)</f>
        <v>157.69349442300688</v>
      </c>
      <c r="P15" s="135">
        <f>IF(SER_hh_fec_in!P15=0,0,11630*1000*SER_hh_fec_in!P15/SER_hh_num_in!P15)</f>
        <v>144.73857668797581</v>
      </c>
      <c r="Q15" s="135">
        <f>IF(SER_hh_fec_in!Q15=0,0,11630*1000*SER_hh_fec_in!Q15/SER_hh_num_in!Q15)</f>
        <v>301.46618278272598</v>
      </c>
      <c r="R15" s="135">
        <f>IF(SER_hh_fec_in!R15=0,0,11630*1000*SER_hh_fec_in!R15/SER_hh_num_in!R15)</f>
        <v>757.69270270814457</v>
      </c>
      <c r="S15" s="135">
        <f>IF(SER_hh_fec_in!S15=0,0,11630*1000*SER_hh_fec_in!S15/SER_hh_num_in!S15)</f>
        <v>526.03131588262374</v>
      </c>
      <c r="T15" s="135">
        <f>IF(SER_hh_fec_in!T15=0,0,11630*1000*SER_hh_fec_in!T15/SER_hh_num_in!T15)</f>
        <v>496.59302922711902</v>
      </c>
      <c r="U15" s="135">
        <f>IF(SER_hh_fec_in!U15=0,0,11630*1000*SER_hh_fec_in!U15/SER_hh_num_in!U15)</f>
        <v>551.04962120181665</v>
      </c>
      <c r="V15" s="135">
        <f>IF(SER_hh_fec_in!V15=0,0,11630*1000*SER_hh_fec_in!V15/SER_hh_num_in!V15)</f>
        <v>411.19794956133819</v>
      </c>
      <c r="W15" s="135">
        <f>IF(SER_hh_fec_in!W15=0,0,11630*1000*SER_hh_fec_in!W15/SER_hh_num_in!W15)</f>
        <v>393.26038598857122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17676.727388593732</v>
      </c>
      <c r="D16" s="131">
        <f>IF(SER_hh_fec_in!D16=0,0,11630*1000*SER_hh_fec_in!D16/SER_hh_num_in!D16)</f>
        <v>13921.097430535034</v>
      </c>
      <c r="E16" s="131">
        <f>IF(SER_hh_fec_in!E16=0,0,11630*1000*SER_hh_fec_in!E16/SER_hh_num_in!E16)</f>
        <v>18042.980296922411</v>
      </c>
      <c r="F16" s="131">
        <f>IF(SER_hh_fec_in!F16=0,0,11630*1000*SER_hh_fec_in!F16/SER_hh_num_in!F16)</f>
        <v>10974.914945951996</v>
      </c>
      <c r="G16" s="131">
        <f>IF(SER_hh_fec_in!G16=0,0,11630*1000*SER_hh_fec_in!G16/SER_hh_num_in!G16)</f>
        <v>10945.544167022808</v>
      </c>
      <c r="H16" s="131">
        <f>IF(SER_hh_fec_in!H16=0,0,11630*1000*SER_hh_fec_in!H16/SER_hh_num_in!H16)</f>
        <v>12531.222474315733</v>
      </c>
      <c r="I16" s="131">
        <f>IF(SER_hh_fec_in!I16=0,0,11630*1000*SER_hh_fec_in!I16/SER_hh_num_in!I16)</f>
        <v>17735.274149291734</v>
      </c>
      <c r="J16" s="131">
        <f>IF(SER_hh_fec_in!J16=0,0,11630*1000*SER_hh_fec_in!J16/SER_hh_num_in!J16)</f>
        <v>16812.619816840863</v>
      </c>
      <c r="K16" s="131">
        <f>IF(SER_hh_fec_in!K16=0,0,11630*1000*SER_hh_fec_in!K16/SER_hh_num_in!K16)</f>
        <v>11148.927930860034</v>
      </c>
      <c r="L16" s="131">
        <f>IF(SER_hh_fec_in!L16=0,0,11630*1000*SER_hh_fec_in!L16/SER_hh_num_in!L16)</f>
        <v>13892.678817422551</v>
      </c>
      <c r="M16" s="131">
        <f>IF(SER_hh_fec_in!M16=0,0,11630*1000*SER_hh_fec_in!M16/SER_hh_num_in!M16)</f>
        <v>11781.292025248327</v>
      </c>
      <c r="N16" s="131">
        <f>IF(SER_hh_fec_in!N16=0,0,11630*1000*SER_hh_fec_in!N16/SER_hh_num_in!N16)</f>
        <v>17699.588597368755</v>
      </c>
      <c r="O16" s="131">
        <f>IF(SER_hh_fec_in!O16=0,0,11630*1000*SER_hh_fec_in!O16/SER_hh_num_in!O16)</f>
        <v>10913.437566400513</v>
      </c>
      <c r="P16" s="131">
        <f>IF(SER_hh_fec_in!P16=0,0,11630*1000*SER_hh_fec_in!P16/SER_hh_num_in!P16)</f>
        <v>8355.6609100102814</v>
      </c>
      <c r="Q16" s="131">
        <f>IF(SER_hh_fec_in!Q16=0,0,11630*1000*SER_hh_fec_in!Q16/SER_hh_num_in!Q16)</f>
        <v>9834.4266760238934</v>
      </c>
      <c r="R16" s="131">
        <f>IF(SER_hh_fec_in!R16=0,0,11630*1000*SER_hh_fec_in!R16/SER_hh_num_in!R16)</f>
        <v>10010.980159541625</v>
      </c>
      <c r="S16" s="131">
        <f>IF(SER_hh_fec_in!S16=0,0,11630*1000*SER_hh_fec_in!S16/SER_hh_num_in!S16)</f>
        <v>9578.2963720263015</v>
      </c>
      <c r="T16" s="131">
        <f>IF(SER_hh_fec_in!T16=0,0,11630*1000*SER_hh_fec_in!T16/SER_hh_num_in!T16)</f>
        <v>7957.0741688835815</v>
      </c>
      <c r="U16" s="131">
        <f>IF(SER_hh_fec_in!U16=0,0,11630*1000*SER_hh_fec_in!U16/SER_hh_num_in!U16)</f>
        <v>9210.7476276615598</v>
      </c>
      <c r="V16" s="131">
        <f>IF(SER_hh_fec_in!V16=0,0,11630*1000*SER_hh_fec_in!V16/SER_hh_num_in!V16)</f>
        <v>7919.5815717995856</v>
      </c>
      <c r="W16" s="131">
        <f>IF(SER_hh_fec_in!W16=0,0,11630*1000*SER_hh_fec_in!W16/SER_hh_num_in!W16)</f>
        <v>8817.9558099980914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31125.097228643786</v>
      </c>
      <c r="D17" s="133">
        <f>IF(SER_hh_fec_in!D17=0,0,11630*1000*SER_hh_fec_in!D17/SER_hh_num_in!D17)</f>
        <v>25253.212641790193</v>
      </c>
      <c r="E17" s="133">
        <f>IF(SER_hh_fec_in!E17=0,0,11630*1000*SER_hh_fec_in!E17/SER_hh_num_in!E17)</f>
        <v>33649.419761614903</v>
      </c>
      <c r="F17" s="133">
        <f>IF(SER_hh_fec_in!F17=0,0,11630*1000*SER_hh_fec_in!F17/SER_hh_num_in!F17)</f>
        <v>21173.537299554027</v>
      </c>
      <c r="G17" s="133">
        <f>IF(SER_hh_fec_in!G17=0,0,11630*1000*SER_hh_fec_in!G17/SER_hh_num_in!G17)</f>
        <v>21736.137155818549</v>
      </c>
      <c r="H17" s="133">
        <f>IF(SER_hh_fec_in!H17=0,0,11630*1000*SER_hh_fec_in!H17/SER_hh_num_in!H17)</f>
        <v>25594.136627326548</v>
      </c>
      <c r="I17" s="133">
        <f>IF(SER_hh_fec_in!I17=0,0,11630*1000*SER_hh_fec_in!I17/SER_hh_num_in!I17)</f>
        <v>37279.134985304197</v>
      </c>
      <c r="J17" s="133">
        <f>IF(SER_hh_fec_in!J17=0,0,11630*1000*SER_hh_fec_in!J17/SER_hh_num_in!J17)</f>
        <v>35049.688322127382</v>
      </c>
      <c r="K17" s="133">
        <f>IF(SER_hh_fec_in!K17=0,0,11630*1000*SER_hh_fec_in!K17/SER_hh_num_in!K17)</f>
        <v>29670.1505204149</v>
      </c>
      <c r="L17" s="133">
        <f>IF(SER_hh_fec_in!L17=0,0,11630*1000*SER_hh_fec_in!L17/SER_hh_num_in!L17)</f>
        <v>30678.627206501798</v>
      </c>
      <c r="M17" s="133">
        <f>IF(SER_hh_fec_in!M17=0,0,11630*1000*SER_hh_fec_in!M17/SER_hh_num_in!M17)</f>
        <v>26550.913407544002</v>
      </c>
      <c r="N17" s="133">
        <f>IF(SER_hh_fec_in!N17=0,0,11630*1000*SER_hh_fec_in!N17/SER_hh_num_in!N17)</f>
        <v>41592.881383924425</v>
      </c>
      <c r="O17" s="133">
        <f>IF(SER_hh_fec_in!O17=0,0,11630*1000*SER_hh_fec_in!O17/SER_hh_num_in!O17)</f>
        <v>25272.291574672166</v>
      </c>
      <c r="P17" s="133">
        <f>IF(SER_hh_fec_in!P17=0,0,11630*1000*SER_hh_fec_in!P17/SER_hh_num_in!P17)</f>
        <v>20650.589799823352</v>
      </c>
      <c r="Q17" s="133">
        <f>IF(SER_hh_fec_in!Q17=0,0,11630*1000*SER_hh_fec_in!Q17/SER_hh_num_in!Q17)</f>
        <v>23975.262606555356</v>
      </c>
      <c r="R17" s="133">
        <f>IF(SER_hh_fec_in!R17=0,0,11630*1000*SER_hh_fec_in!R17/SER_hh_num_in!R17)</f>
        <v>24677.563803310331</v>
      </c>
      <c r="S17" s="133">
        <f>IF(SER_hh_fec_in!S17=0,0,11630*1000*SER_hh_fec_in!S17/SER_hh_num_in!S17)</f>
        <v>23392.236251277875</v>
      </c>
      <c r="T17" s="133">
        <f>IF(SER_hh_fec_in!T17=0,0,11630*1000*SER_hh_fec_in!T17/SER_hh_num_in!T17)</f>
        <v>18813.51512027561</v>
      </c>
      <c r="U17" s="133">
        <f>IF(SER_hh_fec_in!U17=0,0,11630*1000*SER_hh_fec_in!U17/SER_hh_num_in!U17)</f>
        <v>22139.854157925176</v>
      </c>
      <c r="V17" s="133">
        <f>IF(SER_hh_fec_in!V17=0,0,11630*1000*SER_hh_fec_in!V17/SER_hh_num_in!V17)</f>
        <v>16688.393371157668</v>
      </c>
      <c r="W17" s="133">
        <f>IF(SER_hh_fec_in!W17=0,0,11630*1000*SER_hh_fec_in!W17/SER_hh_num_in!W17)</f>
        <v>19144.236594641672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17666.979368210465</v>
      </c>
      <c r="D18" s="133">
        <f>IF(SER_hh_fec_in!D18=0,0,11630*1000*SER_hh_fec_in!D18/SER_hh_num_in!D18)</f>
        <v>13895.52284224396</v>
      </c>
      <c r="E18" s="133">
        <f>IF(SER_hh_fec_in!E18=0,0,11630*1000*SER_hh_fec_in!E18/SER_hh_num_in!E18)</f>
        <v>18040.590995383231</v>
      </c>
      <c r="F18" s="133">
        <f>IF(SER_hh_fec_in!F18=0,0,11630*1000*SER_hh_fec_in!F18/SER_hh_num_in!F18)</f>
        <v>10907.452756579529</v>
      </c>
      <c r="G18" s="133">
        <f>IF(SER_hh_fec_in!G18=0,0,11630*1000*SER_hh_fec_in!G18/SER_hh_num_in!G18)</f>
        <v>10870.032794568222</v>
      </c>
      <c r="H18" s="133">
        <f>IF(SER_hh_fec_in!H18=0,0,11630*1000*SER_hh_fec_in!H18/SER_hh_num_in!H18)</f>
        <v>12458.359503107326</v>
      </c>
      <c r="I18" s="133">
        <f>IF(SER_hh_fec_in!I18=0,0,11630*1000*SER_hh_fec_in!I18/SER_hh_num_in!I18)</f>
        <v>17734.924863325112</v>
      </c>
      <c r="J18" s="133">
        <f>IF(SER_hh_fec_in!J18=0,0,11630*1000*SER_hh_fec_in!J18/SER_hh_num_in!J18)</f>
        <v>16677.295514274272</v>
      </c>
      <c r="K18" s="133">
        <f>IF(SER_hh_fec_in!K18=0,0,11630*1000*SER_hh_fec_in!K18/SER_hh_num_in!K18)</f>
        <v>10877.763184223622</v>
      </c>
      <c r="L18" s="133">
        <f>IF(SER_hh_fec_in!L18=0,0,11630*1000*SER_hh_fec_in!L18/SER_hh_num_in!L18)</f>
        <v>13557.48590786187</v>
      </c>
      <c r="M18" s="133">
        <f>IF(SER_hh_fec_in!M18=0,0,11630*1000*SER_hh_fec_in!M18/SER_hh_num_in!M18)</f>
        <v>11425.772837077457</v>
      </c>
      <c r="N18" s="133">
        <f>IF(SER_hh_fec_in!N18=0,0,11630*1000*SER_hh_fec_in!N18/SER_hh_num_in!N18)</f>
        <v>17422.989433004423</v>
      </c>
      <c r="O18" s="133">
        <f>IF(SER_hh_fec_in!O18=0,0,11630*1000*SER_hh_fec_in!O18/SER_hh_num_in!O18)</f>
        <v>10311.484221605739</v>
      </c>
      <c r="P18" s="133">
        <f>IF(SER_hh_fec_in!P18=0,0,11630*1000*SER_hh_fec_in!P18/SER_hh_num_in!P18)</f>
        <v>7862.9732705274746</v>
      </c>
      <c r="Q18" s="133">
        <f>IF(SER_hh_fec_in!Q18=0,0,11630*1000*SER_hh_fec_in!Q18/SER_hh_num_in!Q18)</f>
        <v>9433.1273301546626</v>
      </c>
      <c r="R18" s="133">
        <f>IF(SER_hh_fec_in!R18=0,0,11630*1000*SER_hh_fec_in!R18/SER_hh_num_in!R18)</f>
        <v>9680.8866405112058</v>
      </c>
      <c r="S18" s="133">
        <f>IF(SER_hh_fec_in!S18=0,0,11630*1000*SER_hh_fec_in!S18/SER_hh_num_in!S18)</f>
        <v>9190.4714873447756</v>
      </c>
      <c r="T18" s="133">
        <f>IF(SER_hh_fec_in!T18=0,0,11630*1000*SER_hh_fec_in!T18/SER_hh_num_in!T18)</f>
        <v>7433.1994080722689</v>
      </c>
      <c r="U18" s="133">
        <f>IF(SER_hh_fec_in!U18=0,0,11630*1000*SER_hh_fec_in!U18/SER_hh_num_in!U18)</f>
        <v>8843.4429322128199</v>
      </c>
      <c r="V18" s="133">
        <f>IF(SER_hh_fec_in!V18=0,0,11630*1000*SER_hh_fec_in!V18/SER_hh_num_in!V18)</f>
        <v>7419.3917997075905</v>
      </c>
      <c r="W18" s="133">
        <f>IF(SER_hh_fec_in!W18=0,0,11630*1000*SER_hh_fec_in!W18/SER_hh_num_in!W18)</f>
        <v>8541.2820020041509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34186.016479145102</v>
      </c>
      <c r="D19" s="131">
        <f>IF(SER_hh_fec_in!D19=0,0,11630*1000*SER_hh_fec_in!D19/SER_hh_num_in!D19)</f>
        <v>35324.371448001002</v>
      </c>
      <c r="E19" s="131">
        <f>IF(SER_hh_fec_in!E19=0,0,11630*1000*SER_hh_fec_in!E19/SER_hh_num_in!E19)</f>
        <v>35165.902620350527</v>
      </c>
      <c r="F19" s="131">
        <f>IF(SER_hh_fec_in!F19=0,0,11630*1000*SER_hh_fec_in!F19/SER_hh_num_in!F19)</f>
        <v>35179.429285221086</v>
      </c>
      <c r="G19" s="131">
        <f>IF(SER_hh_fec_in!G19=0,0,11630*1000*SER_hh_fec_in!G19/SER_hh_num_in!G19)</f>
        <v>39049.501098795743</v>
      </c>
      <c r="H19" s="131">
        <f>IF(SER_hh_fec_in!H19=0,0,11630*1000*SER_hh_fec_in!H19/SER_hh_num_in!H19)</f>
        <v>36317.198310702624</v>
      </c>
      <c r="I19" s="131">
        <f>IF(SER_hh_fec_in!I19=0,0,11630*1000*SER_hh_fec_in!I19/SER_hh_num_in!I19)</f>
        <v>34264.693671391098</v>
      </c>
      <c r="J19" s="131">
        <f>IF(SER_hh_fec_in!J19=0,0,11630*1000*SER_hh_fec_in!J19/SER_hh_num_in!J19)</f>
        <v>31800.017495180451</v>
      </c>
      <c r="K19" s="131">
        <f>IF(SER_hh_fec_in!K19=0,0,11630*1000*SER_hh_fec_in!K19/SER_hh_num_in!K19)</f>
        <v>26497.801305501565</v>
      </c>
      <c r="L19" s="131">
        <f>IF(SER_hh_fec_in!L19=0,0,11630*1000*SER_hh_fec_in!L19/SER_hh_num_in!L19)</f>
        <v>35828.982636290086</v>
      </c>
      <c r="M19" s="131">
        <f>IF(SER_hh_fec_in!M19=0,0,11630*1000*SER_hh_fec_in!M19/SER_hh_num_in!M19)</f>
        <v>33846.736183697285</v>
      </c>
      <c r="N19" s="131">
        <f>IF(SER_hh_fec_in!N19=0,0,11630*1000*SER_hh_fec_in!N19/SER_hh_num_in!N19)</f>
        <v>32954.97638558811</v>
      </c>
      <c r="O19" s="131">
        <f>IF(SER_hh_fec_in!O19=0,0,11630*1000*SER_hh_fec_in!O19/SER_hh_num_in!O19)</f>
        <v>27238.014994543068</v>
      </c>
      <c r="P19" s="131">
        <f>IF(SER_hh_fec_in!P19=0,0,11630*1000*SER_hh_fec_in!P19/SER_hh_num_in!P19)</f>
        <v>33149.44897621344</v>
      </c>
      <c r="Q19" s="131">
        <f>IF(SER_hh_fec_in!Q19=0,0,11630*1000*SER_hh_fec_in!Q19/SER_hh_num_in!Q19)</f>
        <v>32019.753866162933</v>
      </c>
      <c r="R19" s="131">
        <f>IF(SER_hh_fec_in!R19=0,0,11630*1000*SER_hh_fec_in!R19/SER_hh_num_in!R19)</f>
        <v>27079.92343712263</v>
      </c>
      <c r="S19" s="131">
        <f>IF(SER_hh_fec_in!S19=0,0,11630*1000*SER_hh_fec_in!S19/SER_hh_num_in!S19)</f>
        <v>29889.376994184815</v>
      </c>
      <c r="T19" s="131">
        <f>IF(SER_hh_fec_in!T19=0,0,11630*1000*SER_hh_fec_in!T19/SER_hh_num_in!T19)</f>
        <v>28957.542363770084</v>
      </c>
      <c r="U19" s="131">
        <f>IF(SER_hh_fec_in!U19=0,0,11630*1000*SER_hh_fec_in!U19/SER_hh_num_in!U19)</f>
        <v>27693.524916396847</v>
      </c>
      <c r="V19" s="131">
        <f>IF(SER_hh_fec_in!V19=0,0,11630*1000*SER_hh_fec_in!V19/SER_hh_num_in!V19)</f>
        <v>22555.747117830382</v>
      </c>
      <c r="W19" s="131">
        <f>IF(SER_hh_fec_in!W19=0,0,11630*1000*SER_hh_fec_in!W19/SER_hh_num_in!W19)</f>
        <v>24071.822365344291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41111.748710365377</v>
      </c>
      <c r="D21" s="133">
        <f>IF(SER_hh_fec_in!D21=0,0,11630*1000*SER_hh_fec_in!D21/SER_hh_num_in!D21)</f>
        <v>42318.986088903977</v>
      </c>
      <c r="E21" s="133">
        <f>IF(SER_hh_fec_in!E21=0,0,11630*1000*SER_hh_fec_in!E21/SER_hh_num_in!E21)</f>
        <v>40898.099622096241</v>
      </c>
      <c r="F21" s="133">
        <f>IF(SER_hh_fec_in!F21=0,0,11630*1000*SER_hh_fec_in!F21/SER_hh_num_in!F21)</f>
        <v>41400.701125312204</v>
      </c>
      <c r="G21" s="133">
        <f>IF(SER_hh_fec_in!G21=0,0,11630*1000*SER_hh_fec_in!G21/SER_hh_num_in!G21)</f>
        <v>43895.054470215749</v>
      </c>
      <c r="H21" s="133">
        <f>IF(SER_hh_fec_in!H21=0,0,11630*1000*SER_hh_fec_in!H21/SER_hh_num_in!H21)</f>
        <v>42299.897785577952</v>
      </c>
      <c r="I21" s="133">
        <f>IF(SER_hh_fec_in!I21=0,0,11630*1000*SER_hh_fec_in!I21/SER_hh_num_in!I21)</f>
        <v>44376.834377442021</v>
      </c>
      <c r="J21" s="133">
        <f>IF(SER_hh_fec_in!J21=0,0,11630*1000*SER_hh_fec_in!J21/SER_hh_num_in!J21)</f>
        <v>43024.276797822473</v>
      </c>
      <c r="K21" s="133">
        <f>IF(SER_hh_fec_in!K21=0,0,11630*1000*SER_hh_fec_in!K21/SER_hh_num_in!K21)</f>
        <v>37760.27718457779</v>
      </c>
      <c r="L21" s="133">
        <f>IF(SER_hh_fec_in!L21=0,0,11630*1000*SER_hh_fec_in!L21/SER_hh_num_in!L21)</f>
        <v>44795.427019648771</v>
      </c>
      <c r="M21" s="133">
        <f>IF(SER_hh_fec_in!M21=0,0,11630*1000*SER_hh_fec_in!M21/SER_hh_num_in!M21)</f>
        <v>43744.9078590383</v>
      </c>
      <c r="N21" s="133">
        <f>IF(SER_hh_fec_in!N21=0,0,11630*1000*SER_hh_fec_in!N21/SER_hh_num_in!N21)</f>
        <v>44463.270772301978</v>
      </c>
      <c r="O21" s="133">
        <f>IF(SER_hh_fec_in!O21=0,0,11630*1000*SER_hh_fec_in!O21/SER_hh_num_in!O21)</f>
        <v>42127.266961126435</v>
      </c>
      <c r="P21" s="133">
        <f>IF(SER_hh_fec_in!P21=0,0,11630*1000*SER_hh_fec_in!P21/SER_hh_num_in!P21)</f>
        <v>38853.29647385492</v>
      </c>
      <c r="Q21" s="133">
        <f>IF(SER_hh_fec_in!Q21=0,0,11630*1000*SER_hh_fec_in!Q21/SER_hh_num_in!Q21)</f>
        <v>35708.509309586574</v>
      </c>
      <c r="R21" s="133">
        <f>IF(SER_hh_fec_in!R21=0,0,11630*1000*SER_hh_fec_in!R21/SER_hh_num_in!R21)</f>
        <v>33733.044683438529</v>
      </c>
      <c r="S21" s="133">
        <f>IF(SER_hh_fec_in!S21=0,0,11630*1000*SER_hh_fec_in!S21/SER_hh_num_in!S21)</f>
        <v>35944.608206975179</v>
      </c>
      <c r="T21" s="133">
        <f>IF(SER_hh_fec_in!T21=0,0,11630*1000*SER_hh_fec_in!T21/SER_hh_num_in!T21)</f>
        <v>34062.339266169438</v>
      </c>
      <c r="U21" s="133">
        <f>IF(SER_hh_fec_in!U21=0,0,11630*1000*SER_hh_fec_in!U21/SER_hh_num_in!U21)</f>
        <v>33501.554883931312</v>
      </c>
      <c r="V21" s="133">
        <f>IF(SER_hh_fec_in!V21=0,0,11630*1000*SER_hh_fec_in!V21/SER_hh_num_in!V21)</f>
        <v>20954.725337201973</v>
      </c>
      <c r="W21" s="133">
        <f>IF(SER_hh_fec_in!W21=0,0,11630*1000*SER_hh_fec_in!W21/SER_hh_num_in!W21)</f>
        <v>26630.110271182843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43499.579430245103</v>
      </c>
      <c r="D22" s="133">
        <f>IF(SER_hh_fec_in!D22=0,0,11630*1000*SER_hh_fec_in!D22/SER_hh_num_in!D22)</f>
        <v>44902.211836239003</v>
      </c>
      <c r="E22" s="133">
        <f>IF(SER_hh_fec_in!E22=0,0,11630*1000*SER_hh_fec_in!E22/SER_hh_num_in!E22)</f>
        <v>44583.672825636218</v>
      </c>
      <c r="F22" s="133">
        <f>IF(SER_hh_fec_in!F22=0,0,11630*1000*SER_hh_fec_in!F22/SER_hh_num_in!F22)</f>
        <v>45045.269373255367</v>
      </c>
      <c r="G22" s="133">
        <f>IF(SER_hh_fec_in!G22=0,0,11630*1000*SER_hh_fec_in!G22/SER_hh_num_in!G22)</f>
        <v>47302.567792876209</v>
      </c>
      <c r="H22" s="133">
        <f>IF(SER_hh_fec_in!H22=0,0,11630*1000*SER_hh_fec_in!H22/SER_hh_num_in!H22)</f>
        <v>46180.435267349494</v>
      </c>
      <c r="I22" s="133">
        <f>IF(SER_hh_fec_in!I22=0,0,11630*1000*SER_hh_fec_in!I22/SER_hh_num_in!I22)</f>
        <v>45242.295195321451</v>
      </c>
      <c r="J22" s="133">
        <f>IF(SER_hh_fec_in!J22=0,0,11630*1000*SER_hh_fec_in!J22/SER_hh_num_in!J22)</f>
        <v>44283.128597698509</v>
      </c>
      <c r="K22" s="133">
        <f>IF(SER_hh_fec_in!K22=0,0,11630*1000*SER_hh_fec_in!K22/SER_hh_num_in!K22)</f>
        <v>38375.240638852847</v>
      </c>
      <c r="L22" s="133">
        <f>IF(SER_hh_fec_in!L22=0,0,11630*1000*SER_hh_fec_in!L22/SER_hh_num_in!L22)</f>
        <v>46808.175569237115</v>
      </c>
      <c r="M22" s="133">
        <f>IF(SER_hh_fec_in!M22=0,0,11630*1000*SER_hh_fec_in!M22/SER_hh_num_in!M22)</f>
        <v>46785.829535694458</v>
      </c>
      <c r="N22" s="133">
        <f>IF(SER_hh_fec_in!N22=0,0,11630*1000*SER_hh_fec_in!N22/SER_hh_num_in!N22)</f>
        <v>45013.015158564667</v>
      </c>
      <c r="O22" s="133">
        <f>IF(SER_hh_fec_in!O22=0,0,11630*1000*SER_hh_fec_in!O22/SER_hh_num_in!O22)</f>
        <v>43426.908128862524</v>
      </c>
      <c r="P22" s="133">
        <f>IF(SER_hh_fec_in!P22=0,0,11630*1000*SER_hh_fec_in!P22/SER_hh_num_in!P22)</f>
        <v>40600.670554460215</v>
      </c>
      <c r="Q22" s="133">
        <f>IF(SER_hh_fec_in!Q22=0,0,11630*1000*SER_hh_fec_in!Q22/SER_hh_num_in!Q22)</f>
        <v>38051.244282725704</v>
      </c>
      <c r="R22" s="133">
        <f>IF(SER_hh_fec_in!R22=0,0,11630*1000*SER_hh_fec_in!R22/SER_hh_num_in!R22)</f>
        <v>34205.458045255975</v>
      </c>
      <c r="S22" s="133">
        <f>IF(SER_hh_fec_in!S22=0,0,11630*1000*SER_hh_fec_in!S22/SER_hh_num_in!S22)</f>
        <v>36876.774071872103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39930.014707925104</v>
      </c>
      <c r="D23" s="133">
        <f>IF(SER_hh_fec_in!D23=0,0,11630*1000*SER_hh_fec_in!D23/SER_hh_num_in!D23)</f>
        <v>40084.050765590066</v>
      </c>
      <c r="E23" s="133">
        <f>IF(SER_hh_fec_in!E23=0,0,11630*1000*SER_hh_fec_in!E23/SER_hh_num_in!E23)</f>
        <v>39099.013148594102</v>
      </c>
      <c r="F23" s="133">
        <f>IF(SER_hh_fec_in!F23=0,0,11630*1000*SER_hh_fec_in!F23/SER_hh_num_in!F23)</f>
        <v>33908.481410988003</v>
      </c>
      <c r="G23" s="133">
        <f>IF(SER_hh_fec_in!G23=0,0,11630*1000*SER_hh_fec_in!G23/SER_hh_num_in!G23)</f>
        <v>43496.559695686359</v>
      </c>
      <c r="H23" s="133">
        <f>IF(SER_hh_fec_in!H23=0,0,11630*1000*SER_hh_fec_in!H23/SER_hh_num_in!H23)</f>
        <v>40595.005929385901</v>
      </c>
      <c r="I23" s="133">
        <f>IF(SER_hh_fec_in!I23=0,0,11630*1000*SER_hh_fec_in!I23/SER_hh_num_in!I23)</f>
        <v>40614.25464299538</v>
      </c>
      <c r="J23" s="133">
        <f>IF(SER_hh_fec_in!J23=0,0,11630*1000*SER_hh_fec_in!J23/SER_hh_num_in!J23)</f>
        <v>38583.016770104186</v>
      </c>
      <c r="K23" s="133">
        <f>IF(SER_hh_fec_in!K23=0,0,11630*1000*SER_hh_fec_in!K23/SER_hh_num_in!K23)</f>
        <v>34470.039777205784</v>
      </c>
      <c r="L23" s="133">
        <f>IF(SER_hh_fec_in!L23=0,0,11630*1000*SER_hh_fec_in!L23/SER_hh_num_in!L23)</f>
        <v>42279.304554483468</v>
      </c>
      <c r="M23" s="133">
        <f>IF(SER_hh_fec_in!M23=0,0,11630*1000*SER_hh_fec_in!M23/SER_hh_num_in!M23)</f>
        <v>40870.108392147333</v>
      </c>
      <c r="N23" s="133">
        <f>IF(SER_hh_fec_in!N23=0,0,11630*1000*SER_hh_fec_in!N23/SER_hh_num_in!N23)</f>
        <v>40544.65539919291</v>
      </c>
      <c r="O23" s="133">
        <f>IF(SER_hh_fec_in!O23=0,0,11630*1000*SER_hh_fec_in!O23/SER_hh_num_in!O23)</f>
        <v>39649.87597574573</v>
      </c>
      <c r="P23" s="133">
        <f>IF(SER_hh_fec_in!P23=0,0,11630*1000*SER_hh_fec_in!P23/SER_hh_num_in!P23)</f>
        <v>35880.620236815295</v>
      </c>
      <c r="Q23" s="133">
        <f>IF(SER_hh_fec_in!Q23=0,0,11630*1000*SER_hh_fec_in!Q23/SER_hh_num_in!Q23)</f>
        <v>36509.930013670455</v>
      </c>
      <c r="R23" s="133">
        <f>IF(SER_hh_fec_in!R23=0,0,11630*1000*SER_hh_fec_in!R23/SER_hh_num_in!R23)</f>
        <v>33469.143005720558</v>
      </c>
      <c r="S23" s="133">
        <f>IF(SER_hh_fec_in!S23=0,0,11630*1000*SER_hh_fec_in!S23/SER_hh_num_in!S23)</f>
        <v>33126.256279608147</v>
      </c>
      <c r="T23" s="133">
        <f>IF(SER_hh_fec_in!T23=0,0,11630*1000*SER_hh_fec_in!T23/SER_hh_num_in!T23)</f>
        <v>31303.90842659412</v>
      </c>
      <c r="U23" s="133">
        <f>IF(SER_hh_fec_in!U23=0,0,11630*1000*SER_hh_fec_in!U23/SER_hh_num_in!U23)</f>
        <v>29916.460971028991</v>
      </c>
      <c r="V23" s="133">
        <f>IF(SER_hh_fec_in!V23=0,0,11630*1000*SER_hh_fec_in!V23/SER_hh_num_in!V23)</f>
        <v>25519.238902145378</v>
      </c>
      <c r="W23" s="133">
        <f>IF(SER_hh_fec_in!W23=0,0,11630*1000*SER_hh_fec_in!W23/SER_hh_num_in!W23)</f>
        <v>27089.736601172841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32486.015113868736</v>
      </c>
      <c r="D26" s="65">
        <f>IF(SER_hh_fec_in!D26=0,0,11630*1000*SER_hh_fec_in!D26/SER_hh_num_in!D26)</f>
        <v>33108.866416635683</v>
      </c>
      <c r="E26" s="65">
        <f>IF(SER_hh_fec_in!E26=0,0,11630*1000*SER_hh_fec_in!E26/SER_hh_num_in!E26)</f>
        <v>32756.488766972016</v>
      </c>
      <c r="F26" s="65">
        <f>IF(SER_hh_fec_in!F26=0,0,11630*1000*SER_hh_fec_in!F26/SER_hh_num_in!F26)</f>
        <v>32741.413413480132</v>
      </c>
      <c r="G26" s="65">
        <f>IF(SER_hh_fec_in!G26=0,0,11630*1000*SER_hh_fec_in!G26/SER_hh_num_in!G26)</f>
        <v>37746.564245988389</v>
      </c>
      <c r="H26" s="65">
        <f>IF(SER_hh_fec_in!H26=0,0,11630*1000*SER_hh_fec_in!H26/SER_hh_num_in!H26)</f>
        <v>32478.861772105996</v>
      </c>
      <c r="I26" s="65">
        <f>IF(SER_hh_fec_in!I26=0,0,11630*1000*SER_hh_fec_in!I26/SER_hh_num_in!I26)</f>
        <v>27822.71085473373</v>
      </c>
      <c r="J26" s="65">
        <f>IF(SER_hh_fec_in!J26=0,0,11630*1000*SER_hh_fec_in!J26/SER_hh_num_in!J26)</f>
        <v>22090.755118469548</v>
      </c>
      <c r="K26" s="65">
        <f>IF(SER_hh_fec_in!K26=0,0,11630*1000*SER_hh_fec_in!K26/SER_hh_num_in!K26)</f>
        <v>7442.8986145954432</v>
      </c>
      <c r="L26" s="65">
        <f>IF(SER_hh_fec_in!L26=0,0,11630*1000*SER_hh_fec_in!L26/SER_hh_num_in!L26)</f>
        <v>26807.829703860876</v>
      </c>
      <c r="M26" s="65">
        <f>IF(SER_hh_fec_in!M26=0,0,11630*1000*SER_hh_fec_in!M26/SER_hh_num_in!M26)</f>
        <v>22414.152141342325</v>
      </c>
      <c r="N26" s="65">
        <f>IF(SER_hh_fec_in!N26=0,0,11630*1000*SER_hh_fec_in!N26/SER_hh_num_in!N26)</f>
        <v>22829.67114807132</v>
      </c>
      <c r="O26" s="65">
        <f>IF(SER_hh_fec_in!O26=0,0,11630*1000*SER_hh_fec_in!O26/SER_hh_num_in!O26)</f>
        <v>6540.0081274177619</v>
      </c>
      <c r="P26" s="65">
        <f>IF(SER_hh_fec_in!P26=0,0,11630*1000*SER_hh_fec_in!P26/SER_hh_num_in!P26)</f>
        <v>25687.955654101552</v>
      </c>
      <c r="Q26" s="65">
        <f>IF(SER_hh_fec_in!Q26=0,0,11630*1000*SER_hh_fec_in!Q26/SER_hh_num_in!Q26)</f>
        <v>23871.352554560504</v>
      </c>
      <c r="R26" s="65">
        <f>IF(SER_hh_fec_in!R26=0,0,11630*1000*SER_hh_fec_in!R26/SER_hh_num_in!R26)</f>
        <v>6681.1177821586407</v>
      </c>
      <c r="S26" s="65">
        <f>IF(SER_hh_fec_in!S26=0,0,11630*1000*SER_hh_fec_in!S26/SER_hh_num_in!S26)</f>
        <v>19930.366799085052</v>
      </c>
      <c r="T26" s="65">
        <f>IF(SER_hh_fec_in!T26=0,0,11630*1000*SER_hh_fec_in!T26/SER_hh_num_in!T26)</f>
        <v>20059.942800244007</v>
      </c>
      <c r="U26" s="65">
        <f>IF(SER_hh_fec_in!U26=0,0,11630*1000*SER_hh_fec_in!U26/SER_hh_num_in!U26)</f>
        <v>18495.028795669707</v>
      </c>
      <c r="V26" s="65">
        <f>IF(SER_hh_fec_in!V26=0,0,11630*1000*SER_hh_fec_in!V26/SER_hh_num_in!V26)</f>
        <v>5203.1179788008376</v>
      </c>
      <c r="W26" s="65">
        <f>IF(SER_hh_fec_in!W26=0,0,11630*1000*SER_hh_fec_in!W26/SER_hh_num_in!W26)</f>
        <v>14381.254888952773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893.50519067874882</v>
      </c>
      <c r="D27" s="146">
        <f>IF(SER_hh_fec_in!D27=0,0,11630*1000*SER_hh_fec_in!D27/SER_hh_num_in!D19)</f>
        <v>1268.7059073667094</v>
      </c>
      <c r="E27" s="146">
        <f>IF(SER_hh_fec_in!E27=0,0,11630*1000*SER_hh_fec_in!E27/SER_hh_num_in!E19)</f>
        <v>1492.5922557452427</v>
      </c>
      <c r="F27" s="146">
        <f>IF(SER_hh_fec_in!F27=0,0,11630*1000*SER_hh_fec_in!F27/SER_hh_num_in!F19)</f>
        <v>1719.335667779312</v>
      </c>
      <c r="G27" s="146">
        <f>IF(SER_hh_fec_in!G27=0,0,11630*1000*SER_hh_fec_in!G27/SER_hh_num_in!G19)</f>
        <v>7.5596088046758405</v>
      </c>
      <c r="H27" s="146">
        <f>IF(SER_hh_fec_in!H27=0,0,11630*1000*SER_hh_fec_in!H27/SER_hh_num_in!H19)</f>
        <v>2200.92081189803</v>
      </c>
      <c r="I27" s="146">
        <f>IF(SER_hh_fec_in!I27=0,0,11630*1000*SER_hh_fec_in!I27/SER_hh_num_in!I19)</f>
        <v>3807.5328410616521</v>
      </c>
      <c r="J27" s="146">
        <f>IF(SER_hh_fec_in!J27=0,0,11630*1000*SER_hh_fec_in!J27/SER_hh_num_in!J19)</f>
        <v>6891.6638612484885</v>
      </c>
      <c r="K27" s="146">
        <f>IF(SER_hh_fec_in!K27=0,0,11630*1000*SER_hh_fec_in!K27/SER_hh_num_in!K19)</f>
        <v>14641.161146485414</v>
      </c>
      <c r="L27" s="146">
        <f>IF(SER_hh_fec_in!L27=0,0,11630*1000*SER_hh_fec_in!L27/SER_hh_num_in!L19)</f>
        <v>4839.4821581832066</v>
      </c>
      <c r="M27" s="146">
        <f>IF(SER_hh_fec_in!M27=0,0,11630*1000*SER_hh_fec_in!M27/SER_hh_num_in!M19)</f>
        <v>7902.3407467495936</v>
      </c>
      <c r="N27" s="146">
        <f>IF(SER_hh_fec_in!N27=0,0,11630*1000*SER_hh_fec_in!N27/SER_hh_num_in!N19)</f>
        <v>7657.433198736996</v>
      </c>
      <c r="O27" s="146">
        <f>IF(SER_hh_fec_in!O27=0,0,11630*1000*SER_hh_fec_in!O27/SER_hh_num_in!O19)</f>
        <v>16667.522124929597</v>
      </c>
      <c r="P27" s="146">
        <f>IF(SER_hh_fec_in!P27=0,0,11630*1000*SER_hh_fec_in!P27/SER_hh_num_in!P19)</f>
        <v>5910.6398177037563</v>
      </c>
      <c r="Q27" s="146">
        <f>IF(SER_hh_fec_in!Q27=0,0,11630*1000*SER_hh_fec_in!Q27/SER_hh_num_in!Q19)</f>
        <v>6222.2615468097902</v>
      </c>
      <c r="R27" s="146">
        <f>IF(SER_hh_fec_in!R27=0,0,11630*1000*SER_hh_fec_in!R27/SER_hh_num_in!R19)</f>
        <v>16169.008814467948</v>
      </c>
      <c r="S27" s="146">
        <f>IF(SER_hh_fec_in!S27=0,0,11630*1000*SER_hh_fec_in!S27/SER_hh_num_in!S19)</f>
        <v>7662.1760577717223</v>
      </c>
      <c r="T27" s="146">
        <f>IF(SER_hh_fec_in!T27=0,0,11630*1000*SER_hh_fec_in!T27/SER_hh_num_in!T19)</f>
        <v>7326.2119367706728</v>
      </c>
      <c r="U27" s="146">
        <f>IF(SER_hh_fec_in!U27=0,0,11630*1000*SER_hh_fec_in!U27/SER_hh_num_in!U19)</f>
        <v>7561.8057314726602</v>
      </c>
      <c r="V27" s="146">
        <f>IF(SER_hh_fec_in!V27=0,0,11630*1000*SER_hh_fec_in!V27/SER_hh_num_in!V19)</f>
        <v>14422.320597348007</v>
      </c>
      <c r="W27" s="146">
        <f>IF(SER_hh_fec_in!W27=0,0,11630*1000*SER_hh_fec_in!W27/SER_hh_num_in!W19)</f>
        <v>7816.4501624358672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15118.516983290203</v>
      </c>
      <c r="D28" s="147">
        <f>IF(SER_hh_fec_in!D27=0,0,11630*1000*SER_hh_fec_in!D27/SER_hh_num_in!D27)</f>
        <v>15690.914698862716</v>
      </c>
      <c r="E28" s="147">
        <f>IF(SER_hh_fec_in!E27=0,0,11630*1000*SER_hh_fec_in!E27/SER_hh_num_in!E27)</f>
        <v>15923.673241601406</v>
      </c>
      <c r="F28" s="147">
        <f>IF(SER_hh_fec_in!F27=0,0,11630*1000*SER_hh_fec_in!F27/SER_hh_num_in!F27)</f>
        <v>16076.723266298379</v>
      </c>
      <c r="G28" s="147">
        <f>IF(SER_hh_fec_in!G27=0,0,11630*1000*SER_hh_fec_in!G27/SER_hh_num_in!G27)</f>
        <v>18227.846583089449</v>
      </c>
      <c r="H28" s="147">
        <f>IF(SER_hh_fec_in!H27=0,0,11630*1000*SER_hh_fec_in!H27/SER_hh_num_in!H27)</f>
        <v>16638.2062767633</v>
      </c>
      <c r="I28" s="147">
        <f>IF(SER_hh_fec_in!I27=0,0,11630*1000*SER_hh_fec_in!I27/SER_hh_num_in!I27)</f>
        <v>16262.514650500674</v>
      </c>
      <c r="J28" s="147">
        <f>IF(SER_hh_fec_in!J27=0,0,11630*1000*SER_hh_fec_in!J27/SER_hh_num_in!J27)</f>
        <v>16539.930088727531</v>
      </c>
      <c r="K28" s="147">
        <f>IF(SER_hh_fec_in!K27=0,0,11630*1000*SER_hh_fec_in!K27/SER_hh_num_in!K27)</f>
        <v>16823.462091020003</v>
      </c>
      <c r="L28" s="147">
        <f>IF(SER_hh_fec_in!L27=0,0,11630*1000*SER_hh_fec_in!L27/SER_hh_num_in!L27)</f>
        <v>17621.919977290596</v>
      </c>
      <c r="M28" s="147">
        <f>IF(SER_hh_fec_in!M27=0,0,11630*1000*SER_hh_fec_in!M27/SER_hh_num_in!M27)</f>
        <v>18241.449631908392</v>
      </c>
      <c r="N28" s="147">
        <f>IF(SER_hh_fec_in!N27=0,0,11630*1000*SER_hh_fec_in!N27/SER_hh_num_in!N27)</f>
        <v>18898.164157952509</v>
      </c>
      <c r="O28" s="147">
        <f>IF(SER_hh_fec_in!O27=0,0,11630*1000*SER_hh_fec_in!O27/SER_hh_num_in!O27)</f>
        <v>18825.904710217183</v>
      </c>
      <c r="P28" s="147">
        <f>IF(SER_hh_fec_in!P27=0,0,11630*1000*SER_hh_fec_in!P27/SER_hh_num_in!P27)</f>
        <v>19294.61923438685</v>
      </c>
      <c r="Q28" s="147">
        <f>IF(SER_hh_fec_in!Q27=0,0,11630*1000*SER_hh_fec_in!Q27/SER_hh_num_in!Q27)</f>
        <v>19615.76666174001</v>
      </c>
      <c r="R28" s="147">
        <f>IF(SER_hh_fec_in!R27=0,0,11630*1000*SER_hh_fec_in!R27/SER_hh_num_in!R27)</f>
        <v>18846.803085438329</v>
      </c>
      <c r="S28" s="147">
        <f>IF(SER_hh_fec_in!S27=0,0,11630*1000*SER_hh_fec_in!S27/SER_hh_num_in!S27)</f>
        <v>18759.093530967682</v>
      </c>
      <c r="T28" s="147">
        <f>IF(SER_hh_fec_in!T27=0,0,11630*1000*SER_hh_fec_in!T27/SER_hh_num_in!T27)</f>
        <v>18739.636301069731</v>
      </c>
      <c r="U28" s="147">
        <f>IF(SER_hh_fec_in!U27=0,0,11630*1000*SER_hh_fec_in!U27/SER_hh_num_in!U27)</f>
        <v>18586.283106632436</v>
      </c>
      <c r="V28" s="147">
        <f>IF(SER_hh_fec_in!V27=0,0,11630*1000*SER_hh_fec_in!V27/SER_hh_num_in!V27)</f>
        <v>16740.181384557243</v>
      </c>
      <c r="W28" s="147">
        <f>IF(SER_hh_fec_in!W27=0,0,11630*1000*SER_hh_fec_in!W27/SER_hh_num_in!W27)</f>
        <v>16733.160014274923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36697.733130934059</v>
      </c>
      <c r="D29" s="131">
        <f>IF(SER_hh_fec_in!D29=0,0,11630*1000*SER_hh_fec_in!D29/SER_hh_num_in!D29)</f>
        <v>38748.922969658634</v>
      </c>
      <c r="E29" s="131">
        <f>IF(SER_hh_fec_in!E29=0,0,11630*1000*SER_hh_fec_in!E29/SER_hh_num_in!E29)</f>
        <v>37796.866395371704</v>
      </c>
      <c r="F29" s="131">
        <f>IF(SER_hh_fec_in!F29=0,0,11630*1000*SER_hh_fec_in!F29/SER_hh_num_in!F29)</f>
        <v>44419.034570013813</v>
      </c>
      <c r="G29" s="131">
        <f>IF(SER_hh_fec_in!G29=0,0,11630*1000*SER_hh_fec_in!G29/SER_hh_num_in!G29)</f>
        <v>40753.822191107851</v>
      </c>
      <c r="H29" s="131">
        <f>IF(SER_hh_fec_in!H29=0,0,11630*1000*SER_hh_fec_in!H29/SER_hh_num_in!H29)</f>
        <v>38748.283232339738</v>
      </c>
      <c r="I29" s="131">
        <f>IF(SER_hh_fec_in!I29=0,0,11630*1000*SER_hh_fec_in!I29/SER_hh_num_in!I29)</f>
        <v>37053.267055760953</v>
      </c>
      <c r="J29" s="131">
        <f>IF(SER_hh_fec_in!J29=0,0,11630*1000*SER_hh_fec_in!J29/SER_hh_num_in!J29)</f>
        <v>37400.025702440413</v>
      </c>
      <c r="K29" s="131">
        <f>IF(SER_hh_fec_in!K29=0,0,11630*1000*SER_hh_fec_in!K29/SER_hh_num_in!K29)</f>
        <v>38559.985449673521</v>
      </c>
      <c r="L29" s="131">
        <f>IF(SER_hh_fec_in!L29=0,0,11630*1000*SER_hh_fec_in!L29/SER_hh_num_in!L29)</f>
        <v>41234.351986036345</v>
      </c>
      <c r="M29" s="131">
        <f>IF(SER_hh_fec_in!M29=0,0,11630*1000*SER_hh_fec_in!M29/SER_hh_num_in!M29)</f>
        <v>39480.393910769511</v>
      </c>
      <c r="N29" s="131">
        <f>IF(SER_hh_fec_in!N29=0,0,11630*1000*SER_hh_fec_in!N29/SER_hh_num_in!N29)</f>
        <v>50758.898667916103</v>
      </c>
      <c r="O29" s="131">
        <f>IF(SER_hh_fec_in!O29=0,0,11630*1000*SER_hh_fec_in!O29/SER_hh_num_in!O29)</f>
        <v>40752.642933416442</v>
      </c>
      <c r="P29" s="131">
        <f>IF(SER_hh_fec_in!P29=0,0,11630*1000*SER_hh_fec_in!P29/SER_hh_num_in!P29)</f>
        <v>41327.30733142532</v>
      </c>
      <c r="Q29" s="131">
        <f>IF(SER_hh_fec_in!Q29=0,0,11630*1000*SER_hh_fec_in!Q29/SER_hh_num_in!Q29)</f>
        <v>39914.860638531361</v>
      </c>
      <c r="R29" s="131">
        <f>IF(SER_hh_fec_in!R29=0,0,11630*1000*SER_hh_fec_in!R29/SER_hh_num_in!R29)</f>
        <v>40007.860943174557</v>
      </c>
      <c r="S29" s="131">
        <f>IF(SER_hh_fec_in!S29=0,0,11630*1000*SER_hh_fec_in!S29/SER_hh_num_in!S29)</f>
        <v>38760.788928949543</v>
      </c>
      <c r="T29" s="131">
        <f>IF(SER_hh_fec_in!T29=0,0,11630*1000*SER_hh_fec_in!T29/SER_hh_num_in!T29)</f>
        <v>38455.719594826674</v>
      </c>
      <c r="U29" s="131">
        <f>IF(SER_hh_fec_in!U29=0,0,11630*1000*SER_hh_fec_in!U29/SER_hh_num_in!U29)</f>
        <v>37508.756245409233</v>
      </c>
      <c r="V29" s="131">
        <f>IF(SER_hh_fec_in!V29=0,0,11630*1000*SER_hh_fec_in!V29/SER_hh_num_in!V29)</f>
        <v>30798.485027954826</v>
      </c>
      <c r="W29" s="131">
        <f>IF(SER_hh_fec_in!W29=0,0,11630*1000*SER_hh_fec_in!W29/SER_hh_num_in!W29)</f>
        <v>35652.954131497441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54399.597834519671</v>
      </c>
      <c r="D30" s="133">
        <f>IF(SER_hh_fec_in!D30=0,0,11630*1000*SER_hh_fec_in!D30/SER_hh_num_in!D30)</f>
        <v>33209.599984175577</v>
      </c>
      <c r="E30" s="133">
        <f>IF(SER_hh_fec_in!E30=0,0,11630*1000*SER_hh_fec_in!E30/SER_hh_num_in!E30)</f>
        <v>33395.09062552356</v>
      </c>
      <c r="F30" s="133">
        <f>IF(SER_hh_fec_in!F30=0,0,11630*1000*SER_hh_fec_in!F30/SER_hh_num_in!F30)</f>
        <v>66493.745659039807</v>
      </c>
      <c r="G30" s="133">
        <f>IF(SER_hh_fec_in!G30=0,0,11630*1000*SER_hh_fec_in!G30/SER_hh_num_in!G30)</f>
        <v>52723.189440343427</v>
      </c>
      <c r="H30" s="133">
        <f>IF(SER_hh_fec_in!H30=0,0,11630*1000*SER_hh_fec_in!H30/SER_hh_num_in!H30)</f>
        <v>49573.122162221589</v>
      </c>
      <c r="I30" s="133">
        <f>IF(SER_hh_fec_in!I30=0,0,11630*1000*SER_hh_fec_in!I30/SER_hh_num_in!I30)</f>
        <v>47930.859463548048</v>
      </c>
      <c r="J30" s="133">
        <f>IF(SER_hh_fec_in!J30=0,0,11630*1000*SER_hh_fec_in!J30/SER_hh_num_in!J30)</f>
        <v>45417.50267867111</v>
      </c>
      <c r="K30" s="133">
        <f>IF(SER_hh_fec_in!K30=0,0,11630*1000*SER_hh_fec_in!K30/SER_hh_num_in!K30)</f>
        <v>42443.956983930708</v>
      </c>
      <c r="L30" s="133">
        <f>IF(SER_hh_fec_in!L30=0,0,11630*1000*SER_hh_fec_in!L30/SER_hh_num_in!L30)</f>
        <v>45067.688402038162</v>
      </c>
      <c r="M30" s="133">
        <f>IF(SER_hh_fec_in!M30=0,0,11630*1000*SER_hh_fec_in!M30/SER_hh_num_in!M30)</f>
        <v>32400.299201205293</v>
      </c>
      <c r="N30" s="133">
        <f>IF(SER_hh_fec_in!N30=0,0,11630*1000*SER_hh_fec_in!N30/SER_hh_num_in!N30)</f>
        <v>88941.00274484721</v>
      </c>
      <c r="O30" s="133">
        <f>IF(SER_hh_fec_in!O30=0,0,11630*1000*SER_hh_fec_in!O30/SER_hh_num_in!O30)</f>
        <v>61205.998370932706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42941.757911733053</v>
      </c>
      <c r="R30" s="133">
        <f>IF(SER_hh_fec_in!R30=0,0,11630*1000*SER_hh_fec_in!R30/SER_hh_num_in!R30)</f>
        <v>48097.902217171315</v>
      </c>
      <c r="S30" s="133">
        <f>IF(SER_hh_fec_in!S30=0,0,11630*1000*SER_hh_fec_in!S30/SER_hh_num_in!S30)</f>
        <v>51836.394538936649</v>
      </c>
      <c r="T30" s="133">
        <f>IF(SER_hh_fec_in!T30=0,0,11630*1000*SER_hh_fec_in!T30/SER_hh_num_in!T30)</f>
        <v>51889.256469941363</v>
      </c>
      <c r="U30" s="133">
        <f>IF(SER_hh_fec_in!U30=0,0,11630*1000*SER_hh_fec_in!U30/SER_hh_num_in!U30)</f>
        <v>55101.962636726093</v>
      </c>
      <c r="V30" s="133">
        <f>IF(SER_hh_fec_in!V30=0,0,11630*1000*SER_hh_fec_in!V30/SER_hh_num_in!V30)</f>
        <v>35507.668148415272</v>
      </c>
      <c r="W30" s="133">
        <f>IF(SER_hh_fec_in!W30=0,0,11630*1000*SER_hh_fec_in!W30/SER_hh_num_in!W30)</f>
        <v>50930.719524597829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46198.609869850392</v>
      </c>
      <c r="D31" s="133">
        <f>IF(SER_hh_fec_in!D31=0,0,11630*1000*SER_hh_fec_in!D31/SER_hh_num_in!D31)</f>
        <v>44237.502310969023</v>
      </c>
      <c r="E31" s="133">
        <f>IF(SER_hh_fec_in!E31=0,0,11630*1000*SER_hh_fec_in!E31/SER_hh_num_in!E31)</f>
        <v>46333.585352043425</v>
      </c>
      <c r="F31" s="133">
        <f>IF(SER_hh_fec_in!F31=0,0,11630*1000*SER_hh_fec_in!F31/SER_hh_num_in!F31)</f>
        <v>47277.653177576874</v>
      </c>
      <c r="G31" s="133">
        <f>IF(SER_hh_fec_in!G31=0,0,11630*1000*SER_hh_fec_in!G31/SER_hh_num_in!G31)</f>
        <v>52771.996167898855</v>
      </c>
      <c r="H31" s="133">
        <f>IF(SER_hh_fec_in!H31=0,0,11630*1000*SER_hh_fec_in!H31/SER_hh_num_in!H31)</f>
        <v>49028.150934291516</v>
      </c>
      <c r="I31" s="133">
        <f>IF(SER_hh_fec_in!I31=0,0,11630*1000*SER_hh_fec_in!I31/SER_hh_num_in!I31)</f>
        <v>46881.116359592794</v>
      </c>
      <c r="J31" s="133">
        <f>IF(SER_hh_fec_in!J31=0,0,11630*1000*SER_hh_fec_in!J31/SER_hh_num_in!J31)</f>
        <v>46461.271516894056</v>
      </c>
      <c r="K31" s="133">
        <f>IF(SER_hh_fec_in!K31=0,0,11630*1000*SER_hh_fec_in!K31/SER_hh_num_in!K31)</f>
        <v>49516.934344827365</v>
      </c>
      <c r="L31" s="133">
        <f>IF(SER_hh_fec_in!L31=0,0,11630*1000*SER_hh_fec_in!L31/SER_hh_num_in!L31)</f>
        <v>51644.038016940285</v>
      </c>
      <c r="M31" s="133">
        <f>IF(SER_hh_fec_in!M31=0,0,11630*1000*SER_hh_fec_in!M31/SER_hh_num_in!M31)</f>
        <v>53761.966009191063</v>
      </c>
      <c r="N31" s="133">
        <f>IF(SER_hh_fec_in!N31=0,0,11630*1000*SER_hh_fec_in!N31/SER_hh_num_in!N31)</f>
        <v>53128.203749667358</v>
      </c>
      <c r="O31" s="133">
        <f>IF(SER_hh_fec_in!O31=0,0,11630*1000*SER_hh_fec_in!O31/SER_hh_num_in!O31)</f>
        <v>52401.653193062091</v>
      </c>
      <c r="P31" s="133">
        <f>IF(SER_hh_fec_in!P31=0,0,11630*1000*SER_hh_fec_in!P31/SER_hh_num_in!P31)</f>
        <v>54090.449888783754</v>
      </c>
      <c r="Q31" s="133">
        <f>IF(SER_hh_fec_in!Q31=0,0,11630*1000*SER_hh_fec_in!Q31/SER_hh_num_in!Q31)</f>
        <v>53886.20650205086</v>
      </c>
      <c r="R31" s="133">
        <f>IF(SER_hh_fec_in!R31=0,0,11630*1000*SER_hh_fec_in!R31/SER_hh_num_in!R31)</f>
        <v>52371.997320574053</v>
      </c>
      <c r="S31" s="133">
        <f>IF(SER_hh_fec_in!S31=0,0,11630*1000*SER_hh_fec_in!S31/SER_hh_num_in!S31)</f>
        <v>51026.250543458242</v>
      </c>
      <c r="T31" s="133">
        <f>IF(SER_hh_fec_in!T31=0,0,11630*1000*SER_hh_fec_in!T31/SER_hh_num_in!T31)</f>
        <v>49357.694584543417</v>
      </c>
      <c r="U31" s="133">
        <f>IF(SER_hh_fec_in!U31=0,0,11630*1000*SER_hh_fec_in!U31/SER_hh_num_in!U31)</f>
        <v>48357.581267608672</v>
      </c>
      <c r="V31" s="133">
        <f>IF(SER_hh_fec_in!V31=0,0,11630*1000*SER_hh_fec_in!V31/SER_hh_num_in!V31)</f>
        <v>43047.470343738365</v>
      </c>
      <c r="W31" s="133">
        <f>IF(SER_hh_fec_in!W31=0,0,11630*1000*SER_hh_fec_in!W31/SER_hh_num_in!W31)</f>
        <v>45761.939786015282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36534.212731980318</v>
      </c>
      <c r="D33" s="68">
        <f>IF(SER_hh_fec_in!D33=0,0,11630*1000*SER_hh_fec_in!D33/SER_hh_num_in!D33)</f>
        <v>38806.181652623804</v>
      </c>
      <c r="E33" s="68">
        <f>IF(SER_hh_fec_in!E33=0,0,11630*1000*SER_hh_fec_in!E33/SER_hh_num_in!E33)</f>
        <v>38094.027644493181</v>
      </c>
      <c r="F33" s="68">
        <f>IF(SER_hh_fec_in!F33=0,0,11630*1000*SER_hh_fec_in!F33/SER_hh_num_in!F33)</f>
        <v>36861.508805435617</v>
      </c>
      <c r="G33" s="68">
        <f>IF(SER_hh_fec_in!G33=0,0,11630*1000*SER_hh_fec_in!G33/SER_hh_num_in!G33)</f>
        <v>38178.080643425732</v>
      </c>
      <c r="H33" s="68">
        <f>IF(SER_hh_fec_in!H33=0,0,11630*1000*SER_hh_fec_in!H33/SER_hh_num_in!H33)</f>
        <v>37463.798484063991</v>
      </c>
      <c r="I33" s="68">
        <f>IF(SER_hh_fec_in!I33=0,0,11630*1000*SER_hh_fec_in!I33/SER_hh_num_in!I33)</f>
        <v>36345.003820243488</v>
      </c>
      <c r="J33" s="68">
        <f>IF(SER_hh_fec_in!J33=0,0,11630*1000*SER_hh_fec_in!J33/SER_hh_num_in!J33)</f>
        <v>36082.129478731993</v>
      </c>
      <c r="K33" s="68">
        <f>IF(SER_hh_fec_in!K33=0,0,11630*1000*SER_hh_fec_in!K33/SER_hh_num_in!K33)</f>
        <v>37174.090418228938</v>
      </c>
      <c r="L33" s="68">
        <f>IF(SER_hh_fec_in!L33=0,0,11630*1000*SER_hh_fec_in!L33/SER_hh_num_in!L33)</f>
        <v>38675.930401954356</v>
      </c>
      <c r="M33" s="68">
        <f>IF(SER_hh_fec_in!M33=0,0,11630*1000*SER_hh_fec_in!M33/SER_hh_num_in!M33)</f>
        <v>41018.890160938827</v>
      </c>
      <c r="N33" s="68">
        <f>IF(SER_hh_fec_in!N33=0,0,11630*1000*SER_hh_fec_in!N33/SER_hh_num_in!N33)</f>
        <v>35052.192959299267</v>
      </c>
      <c r="O33" s="68">
        <f>IF(SER_hh_fec_in!O33=0,0,11630*1000*SER_hh_fec_in!O33/SER_hh_num_in!O33)</f>
        <v>38703.535069775695</v>
      </c>
      <c r="P33" s="68">
        <f>IF(SER_hh_fec_in!P33=0,0,11630*1000*SER_hh_fec_in!P33/SER_hh_num_in!P33)</f>
        <v>40449.185870145462</v>
      </c>
      <c r="Q33" s="68">
        <f>IF(SER_hh_fec_in!Q33=0,0,11630*1000*SER_hh_fec_in!Q33/SER_hh_num_in!Q33)</f>
        <v>38565.629981471095</v>
      </c>
      <c r="R33" s="68">
        <f>IF(SER_hh_fec_in!R33=0,0,11630*1000*SER_hh_fec_in!R33/SER_hh_num_in!R33)</f>
        <v>37577.889787903172</v>
      </c>
      <c r="S33" s="68">
        <f>IF(SER_hh_fec_in!S33=0,0,11630*1000*SER_hh_fec_in!S33/SER_hh_num_in!S33)</f>
        <v>36443.583679943607</v>
      </c>
      <c r="T33" s="68">
        <f>IF(SER_hh_fec_in!T33=0,0,11630*1000*SER_hh_fec_in!T33/SER_hh_num_in!T33)</f>
        <v>35115.92475566201</v>
      </c>
      <c r="U33" s="68">
        <f>IF(SER_hh_fec_in!U33=0,0,11630*1000*SER_hh_fec_in!U33/SER_hh_num_in!U33)</f>
        <v>32992.095070842857</v>
      </c>
      <c r="V33" s="68">
        <f>IF(SER_hh_fec_in!V33=0,0,11630*1000*SER_hh_fec_in!V33/SER_hh_num_in!V33)</f>
        <v>28712.936660186151</v>
      </c>
      <c r="W33" s="68">
        <f>IF(SER_hh_fec_in!W33=0,0,11630*1000*SER_hh_fec_in!W33/SER_hh_num_in!W33)</f>
        <v>31002.282154167497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111647.45710959399</v>
      </c>
      <c r="D3" s="126">
        <f>IF(SER_hh_tes_in!D3=0,0,11630*1000*SER_hh_tes_in!D3/SER_hh_num_in!D3)</f>
        <v>106025.73563646129</v>
      </c>
      <c r="E3" s="126">
        <f>IF(SER_hh_tes_in!E3=0,0,11630*1000*SER_hh_tes_in!E3/SER_hh_num_in!E3)</f>
        <v>118892.35970359245</v>
      </c>
      <c r="F3" s="126">
        <f>IF(SER_hh_tes_in!F3=0,0,11630*1000*SER_hh_tes_in!F3/SER_hh_num_in!F3)</f>
        <v>113269.61123230209</v>
      </c>
      <c r="G3" s="126">
        <f>IF(SER_hh_tes_in!G3=0,0,11630*1000*SER_hh_tes_in!G3/SER_hh_num_in!G3)</f>
        <v>115396.93677028034</v>
      </c>
      <c r="H3" s="126">
        <f>IF(SER_hh_tes_in!H3=0,0,11630*1000*SER_hh_tes_in!H3/SER_hh_num_in!H3)</f>
        <v>122110.19060177615</v>
      </c>
      <c r="I3" s="126">
        <f>IF(SER_hh_tes_in!I3=0,0,11630*1000*SER_hh_tes_in!I3/SER_hh_num_in!I3)</f>
        <v>137406.5816922255</v>
      </c>
      <c r="J3" s="126">
        <f>IF(SER_hh_tes_in!J3=0,0,11630*1000*SER_hh_tes_in!J3/SER_hh_num_in!J3)</f>
        <v>138110.27515361088</v>
      </c>
      <c r="K3" s="126">
        <f>IF(SER_hh_tes_in!K3=0,0,11630*1000*SER_hh_tes_in!K3/SER_hh_num_in!K3)</f>
        <v>121589.46519805019</v>
      </c>
      <c r="L3" s="126">
        <f>IF(SER_hh_tes_in!L3=0,0,11630*1000*SER_hh_tes_in!L3/SER_hh_num_in!L3)</f>
        <v>124333.39537490395</v>
      </c>
      <c r="M3" s="126">
        <f>IF(SER_hh_tes_in!M3=0,0,11630*1000*SER_hh_tes_in!M3/SER_hh_num_in!M3)</f>
        <v>114249.14119344221</v>
      </c>
      <c r="N3" s="126">
        <f>IF(SER_hh_tes_in!N3=0,0,11630*1000*SER_hh_tes_in!N3/SER_hh_num_in!N3)</f>
        <v>145352.4665325559</v>
      </c>
      <c r="O3" s="126">
        <f>IF(SER_hh_tes_in!O3=0,0,11630*1000*SER_hh_tes_in!O3/SER_hh_num_in!O3)</f>
        <v>117087.95103248098</v>
      </c>
      <c r="P3" s="126">
        <f>IF(SER_hh_tes_in!P3=0,0,11630*1000*SER_hh_tes_in!P3/SER_hh_num_in!P3)</f>
        <v>115379.38131493836</v>
      </c>
      <c r="Q3" s="126">
        <f>IF(SER_hh_tes_in!Q3=0,0,11630*1000*SER_hh_tes_in!Q3/SER_hh_num_in!Q3)</f>
        <v>128987.67218838297</v>
      </c>
      <c r="R3" s="126">
        <f>IF(SER_hh_tes_in!R3=0,0,11630*1000*SER_hh_tes_in!R3/SER_hh_num_in!R3)</f>
        <v>138606.35726913722</v>
      </c>
      <c r="S3" s="126">
        <f>IF(SER_hh_tes_in!S3=0,0,11630*1000*SER_hh_tes_in!S3/SER_hh_num_in!S3)</f>
        <v>126899.76187687824</v>
      </c>
      <c r="T3" s="126">
        <f>IF(SER_hh_tes_in!T3=0,0,11630*1000*SER_hh_tes_in!T3/SER_hh_num_in!T3)</f>
        <v>115040.54188575588</v>
      </c>
      <c r="U3" s="126">
        <f>IF(SER_hh_tes_in!U3=0,0,11630*1000*SER_hh_tes_in!U3/SER_hh_num_in!U3)</f>
        <v>117887.57205779075</v>
      </c>
      <c r="V3" s="126">
        <f>IF(SER_hh_tes_in!V3=0,0,11630*1000*SER_hh_tes_in!V3/SER_hh_num_in!V3)</f>
        <v>103603.91345585471</v>
      </c>
      <c r="W3" s="126">
        <f>IF(SER_hh_tes_in!W3=0,0,11630*1000*SER_hh_tes_in!W3/SER_hh_num_in!W3)</f>
        <v>107191.70559812919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29444.792190540662</v>
      </c>
      <c r="D4" s="131">
        <f>IF(SER_hh_tes_in!D4=0,0,11630*1000*SER_hh_tes_in!D4/SER_hh_num_in!D4)</f>
        <v>29187.723617958902</v>
      </c>
      <c r="E4" s="131">
        <f>IF(SER_hh_tes_in!E4=0,0,11630*1000*SER_hh_tes_in!E4/SER_hh_num_in!E4)</f>
        <v>32454.508058807063</v>
      </c>
      <c r="F4" s="131">
        <f>IF(SER_hh_tes_in!F4=0,0,11630*1000*SER_hh_tes_in!F4/SER_hh_num_in!F4)</f>
        <v>39860.511430327097</v>
      </c>
      <c r="G4" s="131">
        <f>IF(SER_hh_tes_in!G4=0,0,11630*1000*SER_hh_tes_in!G4/SER_hh_num_in!G4)</f>
        <v>40999.410712612356</v>
      </c>
      <c r="H4" s="131">
        <f>IF(SER_hh_tes_in!H4=0,0,11630*1000*SER_hh_tes_in!H4/SER_hh_num_in!H4)</f>
        <v>43852.324397426099</v>
      </c>
      <c r="I4" s="131">
        <f>IF(SER_hh_tes_in!I4=0,0,11630*1000*SER_hh_tes_in!I4/SER_hh_num_in!I4)</f>
        <v>45512.771212989588</v>
      </c>
      <c r="J4" s="131">
        <f>IF(SER_hh_tes_in!J4=0,0,11630*1000*SER_hh_tes_in!J4/SER_hh_num_in!J4)</f>
        <v>47778.906193620969</v>
      </c>
      <c r="K4" s="131">
        <f>IF(SER_hh_tes_in!K4=0,0,11630*1000*SER_hh_tes_in!K4/SER_hh_num_in!K4)</f>
        <v>44737.374241096688</v>
      </c>
      <c r="L4" s="131">
        <f>IF(SER_hh_tes_in!L4=0,0,11630*1000*SER_hh_tes_in!L4/SER_hh_num_in!L4)</f>
        <v>37069.249053273968</v>
      </c>
      <c r="M4" s="131">
        <f>IF(SER_hh_tes_in!M4=0,0,11630*1000*SER_hh_tes_in!M4/SER_hh_num_in!M4)</f>
        <v>34599.577485935813</v>
      </c>
      <c r="N4" s="131">
        <f>IF(SER_hh_tes_in!N4=0,0,11630*1000*SER_hh_tes_in!N4/SER_hh_num_in!N4)</f>
        <v>38931.938736718257</v>
      </c>
      <c r="O4" s="131">
        <f>IF(SER_hh_tes_in!O4=0,0,11630*1000*SER_hh_tes_in!O4/SER_hh_num_in!O4)</f>
        <v>33560.524900302931</v>
      </c>
      <c r="P4" s="131">
        <f>IF(SER_hh_tes_in!P4=0,0,11630*1000*SER_hh_tes_in!P4/SER_hh_num_in!P4)</f>
        <v>36854.951311313569</v>
      </c>
      <c r="Q4" s="131">
        <f>IF(SER_hh_tes_in!Q4=0,0,11630*1000*SER_hh_tes_in!Q4/SER_hh_num_in!Q4)</f>
        <v>45411.663244190466</v>
      </c>
      <c r="R4" s="131">
        <f>IF(SER_hh_tes_in!R4=0,0,11630*1000*SER_hh_tes_in!R4/SER_hh_num_in!R4)</f>
        <v>53382.118185607702</v>
      </c>
      <c r="S4" s="131">
        <f>IF(SER_hh_tes_in!S4=0,0,11630*1000*SER_hh_tes_in!S4/SER_hh_num_in!S4)</f>
        <v>42872.758844945449</v>
      </c>
      <c r="T4" s="131">
        <f>IF(SER_hh_tes_in!T4=0,0,11630*1000*SER_hh_tes_in!T4/SER_hh_num_in!T4)</f>
        <v>37491.658722261593</v>
      </c>
      <c r="U4" s="131">
        <f>IF(SER_hh_tes_in!U4=0,0,11630*1000*SER_hh_tes_in!U4/SER_hh_num_in!U4)</f>
        <v>35834.246697885574</v>
      </c>
      <c r="V4" s="131">
        <f>IF(SER_hh_tes_in!V4=0,0,11630*1000*SER_hh_tes_in!V4/SER_hh_num_in!V4)</f>
        <v>32284.485393934589</v>
      </c>
      <c r="W4" s="131">
        <f>IF(SER_hh_tes_in!W4=0,0,11630*1000*SER_hh_tes_in!W4/SER_hh_num_in!W4)</f>
        <v>28580.373328455633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29459.875363471616</v>
      </c>
      <c r="D7" s="133">
        <f>IF(SER_hh_tes_in!D7=0,0,11630*1000*SER_hh_tes_in!D7/SER_hh_num_in!D7)</f>
        <v>30512.431413940802</v>
      </c>
      <c r="E7" s="133">
        <f>IF(SER_hh_tes_in!E7=0,0,11630*1000*SER_hh_tes_in!E7/SER_hh_num_in!E7)</f>
        <v>32739.407325489672</v>
      </c>
      <c r="F7" s="133">
        <f>IF(SER_hh_tes_in!F7=0,0,11630*1000*SER_hh_tes_in!F7/SER_hh_num_in!F7)</f>
        <v>33130.434865970507</v>
      </c>
      <c r="G7" s="133">
        <f>IF(SER_hh_tes_in!G7=0,0,11630*1000*SER_hh_tes_in!G7/SER_hh_num_in!G7)</f>
        <v>42271.416035451206</v>
      </c>
      <c r="H7" s="133">
        <f>IF(SER_hh_tes_in!H7=0,0,11630*1000*SER_hh_tes_in!H7/SER_hh_num_in!H7)</f>
        <v>45499.780723275755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37190.664635980633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60805.676057633384</v>
      </c>
      <c r="S7" s="133">
        <f>IF(SER_hh_tes_in!S7=0,0,11630*1000*SER_hh_tes_in!S7/SER_hh_num_in!S7)</f>
        <v>31982.173353032427</v>
      </c>
      <c r="T7" s="133">
        <f>IF(SER_hh_tes_in!T7=0,0,11630*1000*SER_hh_tes_in!T7/SER_hh_num_in!T7)</f>
        <v>33477.757904774509</v>
      </c>
      <c r="U7" s="133">
        <f>IF(SER_hh_tes_in!U7=0,0,11630*1000*SER_hh_tes_in!U7/SER_hh_num_in!U7)</f>
        <v>38262.123548855874</v>
      </c>
      <c r="V7" s="133">
        <f>IF(SER_hh_tes_in!V7=0,0,11630*1000*SER_hh_tes_in!V7/SER_hh_num_in!V7)</f>
        <v>36969.536359391554</v>
      </c>
      <c r="W7" s="133">
        <f>IF(SER_hh_tes_in!W7=0,0,11630*1000*SER_hh_tes_in!W7/SER_hh_num_in!W7)</f>
        <v>28211.354055582829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25309.346487858682</v>
      </c>
      <c r="D8" s="133">
        <f>IF(SER_hh_tes_in!D8=0,0,11630*1000*SER_hh_tes_in!D8/SER_hh_num_in!D8)</f>
        <v>26936.039526026048</v>
      </c>
      <c r="E8" s="133">
        <f>IF(SER_hh_tes_in!E8=0,0,11630*1000*SER_hh_tes_in!E8/SER_hh_num_in!E8)</f>
        <v>30388.071744712212</v>
      </c>
      <c r="F8" s="133">
        <f>IF(SER_hh_tes_in!F8=0,0,11630*1000*SER_hh_tes_in!F8/SER_hh_num_in!F8)</f>
        <v>36005.162514632822</v>
      </c>
      <c r="G8" s="133">
        <f>IF(SER_hh_tes_in!G8=0,0,11630*1000*SER_hh_tes_in!G8/SER_hh_num_in!G8)</f>
        <v>44091.575512558928</v>
      </c>
      <c r="H8" s="133">
        <f>IF(SER_hh_tes_in!H8=0,0,11630*1000*SER_hh_tes_in!H8/SER_hh_num_in!H8)</f>
        <v>44554.413948522415</v>
      </c>
      <c r="I8" s="133">
        <f>IF(SER_hh_tes_in!I8=0,0,11630*1000*SER_hh_tes_in!I8/SER_hh_num_in!I8)</f>
        <v>43970.296551903179</v>
      </c>
      <c r="J8" s="133">
        <f>IF(SER_hh_tes_in!J8=0,0,11630*1000*SER_hh_tes_in!J8/SER_hh_num_in!J8)</f>
        <v>43381.836455139812</v>
      </c>
      <c r="K8" s="133">
        <f>IF(SER_hh_tes_in!K8=0,0,11630*1000*SER_hh_tes_in!K8/SER_hh_num_in!K8)</f>
        <v>39616.728084297203</v>
      </c>
      <c r="L8" s="133">
        <f>IF(SER_hh_tes_in!L8=0,0,11630*1000*SER_hh_tes_in!L8/SER_hh_num_in!L8)</f>
        <v>32221.600909383727</v>
      </c>
      <c r="M8" s="133">
        <f>IF(SER_hh_tes_in!M8=0,0,11630*1000*SER_hh_tes_in!M8/SER_hh_num_in!M8)</f>
        <v>25516.379814670367</v>
      </c>
      <c r="N8" s="133">
        <f>IF(SER_hh_tes_in!N8=0,0,11630*1000*SER_hh_tes_in!N8/SER_hh_num_in!N8)</f>
        <v>17620.194125281119</v>
      </c>
      <c r="O8" s="133">
        <f>IF(SER_hh_tes_in!O8=0,0,11630*1000*SER_hh_tes_in!O8/SER_hh_num_in!O8)</f>
        <v>21963.010658341464</v>
      </c>
      <c r="P8" s="133">
        <f>IF(SER_hh_tes_in!P8=0,0,11630*1000*SER_hh_tes_in!P8/SER_hh_num_in!P8)</f>
        <v>33429.333442182629</v>
      </c>
      <c r="Q8" s="133">
        <f>IF(SER_hh_tes_in!Q8=0,0,11630*1000*SER_hh_tes_in!Q8/SER_hh_num_in!Q8)</f>
        <v>53376.037599727213</v>
      </c>
      <c r="R8" s="133">
        <f>IF(SER_hh_tes_in!R8=0,0,11630*1000*SER_hh_tes_in!R8/SER_hh_num_in!R8)</f>
        <v>45626.748811081547</v>
      </c>
      <c r="S8" s="133">
        <f>IF(SER_hh_tes_in!S8=0,0,11630*1000*SER_hh_tes_in!S8/SER_hh_num_in!S8)</f>
        <v>40741.439071581328</v>
      </c>
      <c r="T8" s="133">
        <f>IF(SER_hh_tes_in!T8=0,0,11630*1000*SER_hh_tes_in!T8/SER_hh_num_in!T8)</f>
        <v>37934.268097740627</v>
      </c>
      <c r="U8" s="133">
        <f>IF(SER_hh_tes_in!U8=0,0,11630*1000*SER_hh_tes_in!U8/SER_hh_num_in!U8)</f>
        <v>34654.357799428981</v>
      </c>
      <c r="V8" s="133">
        <f>IF(SER_hh_tes_in!V8=0,0,11630*1000*SER_hh_tes_in!V8/SER_hh_num_in!V8)</f>
        <v>33312.713531171168</v>
      </c>
      <c r="W8" s="133">
        <f>IF(SER_hh_tes_in!W8=0,0,11630*1000*SER_hh_tes_in!W8/SER_hh_num_in!W8)</f>
        <v>28586.972465532599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24756.986628796632</v>
      </c>
      <c r="D9" s="133">
        <f>IF(SER_hh_tes_in!D9=0,0,11630*1000*SER_hh_tes_in!D9/SER_hh_num_in!D9)</f>
        <v>24612.193176530298</v>
      </c>
      <c r="E9" s="133">
        <f>IF(SER_hh_tes_in!E9=0,0,11630*1000*SER_hh_tes_in!E9/SER_hh_num_in!E9)</f>
        <v>29301.622920470883</v>
      </c>
      <c r="F9" s="133">
        <f>IF(SER_hh_tes_in!F9=0,0,11630*1000*SER_hh_tes_in!F9/SER_hh_num_in!F9)</f>
        <v>35098.491316923224</v>
      </c>
      <c r="G9" s="133">
        <f>IF(SER_hh_tes_in!G9=0,0,11630*1000*SER_hh_tes_in!G9/SER_hh_num_in!G9)</f>
        <v>44164.878173516445</v>
      </c>
      <c r="H9" s="133">
        <f>IF(SER_hh_tes_in!H9=0,0,11630*1000*SER_hh_tes_in!H9/SER_hh_num_in!H9)</f>
        <v>45411.861146521638</v>
      </c>
      <c r="I9" s="133">
        <f>IF(SER_hh_tes_in!I9=0,0,11630*1000*SER_hh_tes_in!I9/SER_hh_num_in!I9)</f>
        <v>43422.173056007741</v>
      </c>
      <c r="J9" s="133">
        <f>IF(SER_hh_tes_in!J9=0,0,11630*1000*SER_hh_tes_in!J9/SER_hh_num_in!J9)</f>
        <v>47931.716608308649</v>
      </c>
      <c r="K9" s="133">
        <f>IF(SER_hh_tes_in!K9=0,0,11630*1000*SER_hh_tes_in!K9/SER_hh_num_in!K9)</f>
        <v>44947.661298924118</v>
      </c>
      <c r="L9" s="133">
        <f>IF(SER_hh_tes_in!L9=0,0,11630*1000*SER_hh_tes_in!L9/SER_hh_num_in!L9)</f>
        <v>33788.648909158328</v>
      </c>
      <c r="M9" s="133">
        <f>IF(SER_hh_tes_in!M9=0,0,11630*1000*SER_hh_tes_in!M9/SER_hh_num_in!M9)</f>
        <v>46163.281016475346</v>
      </c>
      <c r="N9" s="133">
        <f>IF(SER_hh_tes_in!N9=0,0,11630*1000*SER_hh_tes_in!N9/SER_hh_num_in!N9)</f>
        <v>0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46838.187462359871</v>
      </c>
      <c r="R9" s="133">
        <f>IF(SER_hh_tes_in!R9=0,0,11630*1000*SER_hh_tes_in!R9/SER_hh_num_in!R9)</f>
        <v>0</v>
      </c>
      <c r="S9" s="133">
        <f>IF(SER_hh_tes_in!S9=0,0,11630*1000*SER_hh_tes_in!S9/SER_hh_num_in!S9)</f>
        <v>39246.657242392306</v>
      </c>
      <c r="T9" s="133">
        <f>IF(SER_hh_tes_in!T9=0,0,11630*1000*SER_hh_tes_in!T9/SER_hh_num_in!T9)</f>
        <v>35572.296305333308</v>
      </c>
      <c r="U9" s="133">
        <f>IF(SER_hh_tes_in!U9=0,0,11630*1000*SER_hh_tes_in!U9/SER_hh_num_in!U9)</f>
        <v>38775.053692329995</v>
      </c>
      <c r="V9" s="133">
        <f>IF(SER_hh_tes_in!V9=0,0,11630*1000*SER_hh_tes_in!V9/SER_hh_num_in!V9)</f>
        <v>30858.073565387545</v>
      </c>
      <c r="W9" s="133">
        <f>IF(SER_hh_tes_in!W9=0,0,11630*1000*SER_hh_tes_in!W9/SER_hh_num_in!W9)</f>
        <v>27511.971285786647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62801.839603738015</v>
      </c>
      <c r="O10" s="133">
        <f>IF(SER_hh_tes_in!O10=0,0,11630*1000*SER_hh_tes_in!O10/SER_hh_num_in!O10)</f>
        <v>33645.788333640252</v>
      </c>
      <c r="P10" s="133">
        <f>IF(SER_hh_tes_in!P10=0,0,11630*1000*SER_hh_tes_in!P10/SER_hh_num_in!P10)</f>
        <v>24653.391249281809</v>
      </c>
      <c r="Q10" s="133">
        <f>IF(SER_hh_tes_in!Q10=0,0,11630*1000*SER_hh_tes_in!Q10/SER_hh_num_in!Q10)</f>
        <v>72121.396417802898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58318.042376919031</v>
      </c>
      <c r="G11" s="133">
        <f>IF(SER_hh_tes_in!G11=0,0,11630*1000*SER_hh_tes_in!G11/SER_hh_num_in!G11)</f>
        <v>45292.00599949358</v>
      </c>
      <c r="H11" s="133">
        <f>IF(SER_hh_tes_in!H11=0,0,11630*1000*SER_hh_tes_in!H11/SER_hh_num_in!H11)</f>
        <v>43562.478231190726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41764.856106531726</v>
      </c>
      <c r="K11" s="133">
        <f>IF(SER_hh_tes_in!K11=0,0,11630*1000*SER_hh_tes_in!K11/SER_hh_num_in!K11)</f>
        <v>45747.257457642598</v>
      </c>
      <c r="L11" s="133">
        <f>IF(SER_hh_tes_in!L11=0,0,11630*1000*SER_hh_tes_in!L11/SER_hh_num_in!L11)</f>
        <v>39503.125435348491</v>
      </c>
      <c r="M11" s="133">
        <f>IF(SER_hh_tes_in!M11=0,0,11630*1000*SER_hh_tes_in!M11/SER_hh_num_in!M11)</f>
        <v>36295.311363380548</v>
      </c>
      <c r="N11" s="133">
        <f>IF(SER_hh_tes_in!N11=0,0,11630*1000*SER_hh_tes_in!N11/SER_hh_num_in!N11)</f>
        <v>35870.65923972406</v>
      </c>
      <c r="O11" s="133">
        <f>IF(SER_hh_tes_in!O11=0,0,11630*1000*SER_hh_tes_in!O11/SER_hh_num_in!O11)</f>
        <v>33828.622835509632</v>
      </c>
      <c r="P11" s="133">
        <f>IF(SER_hh_tes_in!P11=0,0,11630*1000*SER_hh_tes_in!P11/SER_hh_num_in!P11)</f>
        <v>37766.777170612804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38934.373383141901</v>
      </c>
      <c r="T11" s="133">
        <f>IF(SER_hh_tes_in!T11=0,0,11630*1000*SER_hh_tes_in!T11/SER_hh_num_in!T11)</f>
        <v>37388.882561050581</v>
      </c>
      <c r="U11" s="133">
        <f>IF(SER_hh_tes_in!U11=0,0,11630*1000*SER_hh_tes_in!U11/SER_hh_num_in!U11)</f>
        <v>48966.061181465819</v>
      </c>
      <c r="V11" s="133">
        <f>IF(SER_hh_tes_in!V11=0,0,11630*1000*SER_hh_tes_in!V11/SER_hh_num_in!V11)</f>
        <v>16516.143455203739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28106.711038666672</v>
      </c>
      <c r="D13" s="133">
        <f>IF(SER_hh_tes_in!D13=0,0,11630*1000*SER_hh_tes_in!D13/SER_hh_num_in!D13)</f>
        <v>29203.327033715606</v>
      </c>
      <c r="E13" s="133">
        <f>IF(SER_hh_tes_in!E13=0,0,11630*1000*SER_hh_tes_in!E13/SER_hh_num_in!E13)</f>
        <v>31785.951502392581</v>
      </c>
      <c r="F13" s="133">
        <f>IF(SER_hh_tes_in!F13=0,0,11630*1000*SER_hh_tes_in!F13/SER_hh_num_in!F13)</f>
        <v>39313.923199850244</v>
      </c>
      <c r="G13" s="133">
        <f>IF(SER_hh_tes_in!G13=0,0,11630*1000*SER_hh_tes_in!G13/SER_hh_num_in!G13)</f>
        <v>38185.295041055302</v>
      </c>
      <c r="H13" s="133">
        <f>IF(SER_hh_tes_in!H13=0,0,11630*1000*SER_hh_tes_in!H13/SER_hh_num_in!H13)</f>
        <v>41882.205478527248</v>
      </c>
      <c r="I13" s="133">
        <f>IF(SER_hh_tes_in!I13=0,0,11630*1000*SER_hh_tes_in!I13/SER_hh_num_in!I13)</f>
        <v>45962.291840502512</v>
      </c>
      <c r="J13" s="133">
        <f>IF(SER_hh_tes_in!J13=0,0,11630*1000*SER_hh_tes_in!J13/SER_hh_num_in!J13)</f>
        <v>45668.840991294252</v>
      </c>
      <c r="K13" s="133">
        <f>IF(SER_hh_tes_in!K13=0,0,11630*1000*SER_hh_tes_in!K13/SER_hh_num_in!K13)</f>
        <v>43575.805532063918</v>
      </c>
      <c r="L13" s="133">
        <f>IF(SER_hh_tes_in!L13=0,0,11630*1000*SER_hh_tes_in!L13/SER_hh_num_in!L13)</f>
        <v>37502.663330204959</v>
      </c>
      <c r="M13" s="133">
        <f>IF(SER_hh_tes_in!M13=0,0,11630*1000*SER_hh_tes_in!M13/SER_hh_num_in!M13)</f>
        <v>33904.25289699011</v>
      </c>
      <c r="N13" s="133">
        <f>IF(SER_hh_tes_in!N13=0,0,11630*1000*SER_hh_tes_in!N13/SER_hh_num_in!N13)</f>
        <v>37474.251388344645</v>
      </c>
      <c r="O13" s="133">
        <f>IF(SER_hh_tes_in!O13=0,0,11630*1000*SER_hh_tes_in!O13/SER_hh_num_in!O13)</f>
        <v>33924.920851205454</v>
      </c>
      <c r="P13" s="133">
        <f>IF(SER_hh_tes_in!P13=0,0,11630*1000*SER_hh_tes_in!P13/SER_hh_num_in!P13)</f>
        <v>37113.409805095638</v>
      </c>
      <c r="Q13" s="133">
        <f>IF(SER_hh_tes_in!Q13=0,0,11630*1000*SER_hh_tes_in!Q13/SER_hh_num_in!Q13)</f>
        <v>43969.614349749943</v>
      </c>
      <c r="R13" s="133">
        <f>IF(SER_hh_tes_in!R13=0,0,11630*1000*SER_hh_tes_in!R13/SER_hh_num_in!R13)</f>
        <v>42852.086681293644</v>
      </c>
      <c r="S13" s="133">
        <f>IF(SER_hh_tes_in!S13=0,0,11630*1000*SER_hh_tes_in!S13/SER_hh_num_in!S13)</f>
        <v>39689.011938388438</v>
      </c>
      <c r="T13" s="133">
        <f>IF(SER_hh_tes_in!T13=0,0,11630*1000*SER_hh_tes_in!T13/SER_hh_num_in!T13)</f>
        <v>37907.059068461625</v>
      </c>
      <c r="U13" s="133">
        <f>IF(SER_hh_tes_in!U13=0,0,11630*1000*SER_hh_tes_in!U13/SER_hh_num_in!U13)</f>
        <v>34848.614802843382</v>
      </c>
      <c r="V13" s="133">
        <f>IF(SER_hh_tes_in!V13=0,0,11630*1000*SER_hh_tes_in!V13/SER_hh_num_in!V13)</f>
        <v>32436.807172788431</v>
      </c>
      <c r="W13" s="133">
        <f>IF(SER_hh_tes_in!W13=0,0,11630*1000*SER_hh_tes_in!W13/SER_hh_num_in!W13)</f>
        <v>28578.464111490815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28771.321314508346</v>
      </c>
      <c r="D14" s="65">
        <f>IF(SER_hh_tes_in!D14=0,0,11630*1000*SER_hh_tes_in!D14/SER_hh_num_in!D14)</f>
        <v>28911.821239220433</v>
      </c>
      <c r="E14" s="65">
        <f>IF(SER_hh_tes_in!E14=0,0,11630*1000*SER_hh_tes_in!E14/SER_hh_num_in!E14)</f>
        <v>32826.043506923488</v>
      </c>
      <c r="F14" s="65">
        <f>IF(SER_hh_tes_in!F14=0,0,11630*1000*SER_hh_tes_in!F14/SER_hh_num_in!F14)</f>
        <v>39191.142343614716</v>
      </c>
      <c r="G14" s="65">
        <f>IF(SER_hh_tes_in!G14=0,0,11630*1000*SER_hh_tes_in!G14/SER_hh_num_in!G14)</f>
        <v>38020.335887086592</v>
      </c>
      <c r="H14" s="65">
        <f>IF(SER_hh_tes_in!H14=0,0,11630*1000*SER_hh_tes_in!H14/SER_hh_num_in!H14)</f>
        <v>43751.903535968813</v>
      </c>
      <c r="I14" s="65">
        <f>IF(SER_hh_tes_in!I14=0,0,11630*1000*SER_hh_tes_in!I14/SER_hh_num_in!I14)</f>
        <v>45498.894812547056</v>
      </c>
      <c r="J14" s="65">
        <f>IF(SER_hh_tes_in!J14=0,0,11630*1000*SER_hh_tes_in!J14/SER_hh_num_in!J14)</f>
        <v>49486.559216443129</v>
      </c>
      <c r="K14" s="65">
        <f>IF(SER_hh_tes_in!K14=0,0,11630*1000*SER_hh_tes_in!K14/SER_hh_num_in!K14)</f>
        <v>51161.056770258445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54418.505501249143</v>
      </c>
      <c r="S14" s="65">
        <f>IF(SER_hh_tes_in!S14=0,0,11630*1000*SER_hh_tes_in!S14/SER_hh_num_in!S14)</f>
        <v>49998.745337462868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30329.621026875462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572.81657864261115</v>
      </c>
      <c r="D15" s="135">
        <f>IF(SER_hh_tes_in!D15=0,0,11630*1000*SER_hh_tes_in!D15/SER_hh_num_in!D15)</f>
        <v>555.50977382640644</v>
      </c>
      <c r="E15" s="135">
        <f>IF(SER_hh_tes_in!E15=0,0,11630*1000*SER_hh_tes_in!E15/SER_hh_num_in!E15)</f>
        <v>597.18855607800435</v>
      </c>
      <c r="F15" s="135">
        <f>IF(SER_hh_tes_in!F15=0,0,11630*1000*SER_hh_tes_in!F15/SER_hh_num_in!F15)</f>
        <v>540.6228443516178</v>
      </c>
      <c r="G15" s="135">
        <f>IF(SER_hh_tes_in!G15=0,0,11630*1000*SER_hh_tes_in!G15/SER_hh_num_in!G15)</f>
        <v>763.18203246854227</v>
      </c>
      <c r="H15" s="135">
        <f>IF(SER_hh_tes_in!H15=0,0,11630*1000*SER_hh_tes_in!H15/SER_hh_num_in!H15)</f>
        <v>806.42031388305975</v>
      </c>
      <c r="I15" s="135">
        <f>IF(SER_hh_tes_in!I15=0,0,11630*1000*SER_hh_tes_in!I15/SER_hh_num_in!I15)</f>
        <v>763.73137203706972</v>
      </c>
      <c r="J15" s="135">
        <f>IF(SER_hh_tes_in!J15=0,0,11630*1000*SER_hh_tes_in!J15/SER_hh_num_in!J15)</f>
        <v>815.11863326366472</v>
      </c>
      <c r="K15" s="135">
        <f>IF(SER_hh_tes_in!K15=0,0,11630*1000*SER_hh_tes_in!K15/SER_hh_num_in!K15)</f>
        <v>720.77169649087659</v>
      </c>
      <c r="L15" s="135">
        <f>IF(SER_hh_tes_in!L15=0,0,11630*1000*SER_hh_tes_in!L15/SER_hh_num_in!L15)</f>
        <v>526.70662577875396</v>
      </c>
      <c r="M15" s="135">
        <f>IF(SER_hh_tes_in!M15=0,0,11630*1000*SER_hh_tes_in!M15/SER_hh_num_in!M15)</f>
        <v>610.22761265110114</v>
      </c>
      <c r="N15" s="135">
        <f>IF(SER_hh_tes_in!N15=0,0,11630*1000*SER_hh_tes_in!N15/SER_hh_num_in!N15)</f>
        <v>445.2896454789834</v>
      </c>
      <c r="O15" s="135">
        <f>IF(SER_hh_tes_in!O15=0,0,11630*1000*SER_hh_tes_in!O15/SER_hh_num_in!O15)</f>
        <v>157.69349442300688</v>
      </c>
      <c r="P15" s="135">
        <f>IF(SER_hh_tes_in!P15=0,0,11630*1000*SER_hh_tes_in!P15/SER_hh_num_in!P15)</f>
        <v>144.73857668797581</v>
      </c>
      <c r="Q15" s="135">
        <f>IF(SER_hh_tes_in!Q15=0,0,11630*1000*SER_hh_tes_in!Q15/SER_hh_num_in!Q15)</f>
        <v>301.46618278272598</v>
      </c>
      <c r="R15" s="135">
        <f>IF(SER_hh_tes_in!R15=0,0,11630*1000*SER_hh_tes_in!R15/SER_hh_num_in!R15)</f>
        <v>757.69270270814457</v>
      </c>
      <c r="S15" s="135">
        <f>IF(SER_hh_tes_in!S15=0,0,11630*1000*SER_hh_tes_in!S15/SER_hh_num_in!S15)</f>
        <v>526.03131588262374</v>
      </c>
      <c r="T15" s="135">
        <f>IF(SER_hh_tes_in!T15=0,0,11630*1000*SER_hh_tes_in!T15/SER_hh_num_in!T15)</f>
        <v>496.59302922711902</v>
      </c>
      <c r="U15" s="135">
        <f>IF(SER_hh_tes_in!U15=0,0,11630*1000*SER_hh_tes_in!U15/SER_hh_num_in!U15)</f>
        <v>551.04962120181665</v>
      </c>
      <c r="V15" s="135">
        <f>IF(SER_hh_tes_in!V15=0,0,11630*1000*SER_hh_tes_in!V15/SER_hh_num_in!V15)</f>
        <v>411.19794956133819</v>
      </c>
      <c r="W15" s="135">
        <f>IF(SER_hh_tes_in!W15=0,0,11630*1000*SER_hh_tes_in!W15/SER_hh_num_in!W15)</f>
        <v>393.26038598857122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38677.35747641341</v>
      </c>
      <c r="D16" s="131">
        <f>IF(SER_hh_tes_in!D16=0,0,11630*1000*SER_hh_tes_in!D16/SER_hh_num_in!D16)</f>
        <v>31396.48544685699</v>
      </c>
      <c r="E16" s="131">
        <f>IF(SER_hh_tes_in!E16=0,0,11630*1000*SER_hh_tes_in!E16/SER_hh_num_in!E16)</f>
        <v>42041.953397981306</v>
      </c>
      <c r="F16" s="131">
        <f>IF(SER_hh_tes_in!F16=0,0,11630*1000*SER_hh_tes_in!F16/SER_hh_num_in!F16)</f>
        <v>26195.466330338644</v>
      </c>
      <c r="G16" s="131">
        <f>IF(SER_hh_tes_in!G16=0,0,11630*1000*SER_hh_tes_in!G16/SER_hh_num_in!G16)</f>
        <v>26885.464858023897</v>
      </c>
      <c r="H16" s="131">
        <f>IF(SER_hh_tes_in!H16=0,0,11630*1000*SER_hh_tes_in!H16/SER_hh_num_in!H16)</f>
        <v>31714.090531950558</v>
      </c>
      <c r="I16" s="131">
        <f>IF(SER_hh_tes_in!I16=0,0,11630*1000*SER_hh_tes_in!I16/SER_hh_num_in!I16)</f>
        <v>46438.637748772075</v>
      </c>
      <c r="J16" s="131">
        <f>IF(SER_hh_tes_in!J16=0,0,11630*1000*SER_hh_tes_in!J16/SER_hh_num_in!J16)</f>
        <v>44903.028098749841</v>
      </c>
      <c r="K16" s="131">
        <f>IF(SER_hh_tes_in!K16=0,0,11630*1000*SER_hh_tes_in!K16/SER_hh_num_in!K16)</f>
        <v>30224.847686240515</v>
      </c>
      <c r="L16" s="131">
        <f>IF(SER_hh_tes_in!L16=0,0,11630*1000*SER_hh_tes_in!L16/SER_hh_num_in!L16)</f>
        <v>38601.984113415376</v>
      </c>
      <c r="M16" s="131">
        <f>IF(SER_hh_tes_in!M16=0,0,11630*1000*SER_hh_tes_in!M16/SER_hh_num_in!M16)</f>
        <v>33598.219329004925</v>
      </c>
      <c r="N16" s="131">
        <f>IF(SER_hh_tes_in!N16=0,0,11630*1000*SER_hh_tes_in!N16/SER_hh_num_in!N16)</f>
        <v>53201.131524623255</v>
      </c>
      <c r="O16" s="131">
        <f>IF(SER_hh_tes_in!O16=0,0,11630*1000*SER_hh_tes_in!O16/SER_hh_num_in!O16)</f>
        <v>32874.767321674488</v>
      </c>
      <c r="P16" s="131">
        <f>IF(SER_hh_tes_in!P16=0,0,11630*1000*SER_hh_tes_in!P16/SER_hh_num_in!P16)</f>
        <v>26267.348473264134</v>
      </c>
      <c r="Q16" s="131">
        <f>IF(SER_hh_tes_in!Q16=0,0,11630*1000*SER_hh_tes_in!Q16/SER_hh_num_in!Q16)</f>
        <v>32641.694179480419</v>
      </c>
      <c r="R16" s="131">
        <f>IF(SER_hh_tes_in!R16=0,0,11630*1000*SER_hh_tes_in!R16/SER_hh_num_in!R16)</f>
        <v>34262.348265468485</v>
      </c>
      <c r="S16" s="131">
        <f>IF(SER_hh_tes_in!S16=0,0,11630*1000*SER_hh_tes_in!S16/SER_hh_num_in!S16)</f>
        <v>33103.588542829995</v>
      </c>
      <c r="T16" s="131">
        <f>IF(SER_hh_tes_in!T16=0,0,11630*1000*SER_hh_tes_in!T16/SER_hh_num_in!T16)</f>
        <v>27166.469869956269</v>
      </c>
      <c r="U16" s="131">
        <f>IF(SER_hh_tes_in!U16=0,0,11630*1000*SER_hh_tes_in!U16/SER_hh_num_in!U16)</f>
        <v>32740.340040807998</v>
      </c>
      <c r="V16" s="131">
        <f>IF(SER_hh_tes_in!V16=0,0,11630*1000*SER_hh_tes_in!V16/SER_hh_num_in!V16)</f>
        <v>27689.308386590408</v>
      </c>
      <c r="W16" s="131">
        <f>IF(SER_hh_tes_in!W16=0,0,11630*1000*SER_hh_tes_in!W16/SER_hh_num_in!W16)</f>
        <v>32365.68465521852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38673.563913831953</v>
      </c>
      <c r="D17" s="133">
        <f>IF(SER_hh_tes_in!D17=0,0,11630*1000*SER_hh_tes_in!D17/SER_hh_num_in!D17)</f>
        <v>31463.902779737811</v>
      </c>
      <c r="E17" s="133">
        <f>IF(SER_hh_tes_in!E17=0,0,11630*1000*SER_hh_tes_in!E17/SER_hh_num_in!E17)</f>
        <v>42015.63399851838</v>
      </c>
      <c r="F17" s="133">
        <f>IF(SER_hh_tes_in!F17=0,0,11630*1000*SER_hh_tes_in!F17/SER_hh_num_in!F17)</f>
        <v>26482.538014269521</v>
      </c>
      <c r="G17" s="133">
        <f>IF(SER_hh_tes_in!G17=0,0,11630*1000*SER_hh_tes_in!G17/SER_hh_num_in!G17)</f>
        <v>27219.868480944057</v>
      </c>
      <c r="H17" s="133">
        <f>IF(SER_hh_tes_in!H17=0,0,11630*1000*SER_hh_tes_in!H17/SER_hh_num_in!H17)</f>
        <v>32082.485926867219</v>
      </c>
      <c r="I17" s="133">
        <f>IF(SER_hh_tes_in!I17=0,0,11630*1000*SER_hh_tes_in!I17/SER_hh_num_in!I17)</f>
        <v>46765.754342507324</v>
      </c>
      <c r="J17" s="133">
        <f>IF(SER_hh_tes_in!J17=0,0,11630*1000*SER_hh_tes_in!J17/SER_hh_num_in!J17)</f>
        <v>44002.146288029486</v>
      </c>
      <c r="K17" s="133">
        <f>IF(SER_hh_tes_in!K17=0,0,11630*1000*SER_hh_tes_in!K17/SER_hh_num_in!K17)</f>
        <v>37286.364156760668</v>
      </c>
      <c r="L17" s="133">
        <f>IF(SER_hh_tes_in!L17=0,0,11630*1000*SER_hh_tes_in!L17/SER_hh_num_in!L17)</f>
        <v>38609.677214400093</v>
      </c>
      <c r="M17" s="133">
        <f>IF(SER_hh_tes_in!M17=0,0,11630*1000*SER_hh_tes_in!M17/SER_hh_num_in!M17)</f>
        <v>33555.316659085882</v>
      </c>
      <c r="N17" s="133">
        <f>IF(SER_hh_tes_in!N17=0,0,11630*1000*SER_hh_tes_in!N17/SER_hh_num_in!N17)</f>
        <v>53099.06348654157</v>
      </c>
      <c r="O17" s="133">
        <f>IF(SER_hh_tes_in!O17=0,0,11630*1000*SER_hh_tes_in!O17/SER_hh_num_in!O17)</f>
        <v>32815.693833581186</v>
      </c>
      <c r="P17" s="133">
        <f>IF(SER_hh_tes_in!P17=0,0,11630*1000*SER_hh_tes_in!P17/SER_hh_num_in!P17)</f>
        <v>27443.856004349647</v>
      </c>
      <c r="Q17" s="133">
        <f>IF(SER_hh_tes_in!Q17=0,0,11630*1000*SER_hh_tes_in!Q17/SER_hh_num_in!Q17)</f>
        <v>32646.458798227675</v>
      </c>
      <c r="R17" s="133">
        <f>IF(SER_hh_tes_in!R17=0,0,11630*1000*SER_hh_tes_in!R17/SER_hh_num_in!R17)</f>
        <v>34272.451988047476</v>
      </c>
      <c r="S17" s="133">
        <f>IF(SER_hh_tes_in!S17=0,0,11630*1000*SER_hh_tes_in!S17/SER_hh_num_in!S17)</f>
        <v>33117.700775735793</v>
      </c>
      <c r="T17" s="133">
        <f>IF(SER_hh_tes_in!T17=0,0,11630*1000*SER_hh_tes_in!T17/SER_hh_num_in!T17)</f>
        <v>27229.967186557911</v>
      </c>
      <c r="U17" s="133">
        <f>IF(SER_hh_tes_in!U17=0,0,11630*1000*SER_hh_tes_in!U17/SER_hh_num_in!U17)</f>
        <v>32786.442546790633</v>
      </c>
      <c r="V17" s="133">
        <f>IF(SER_hh_tes_in!V17=0,0,11630*1000*SER_hh_tes_in!V17/SER_hh_num_in!V17)</f>
        <v>25254.6183903895</v>
      </c>
      <c r="W17" s="133">
        <f>IF(SER_hh_tes_in!W17=0,0,11630*1000*SER_hh_tes_in!W17/SER_hh_num_in!W17)</f>
        <v>29477.354428425584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38677.360226168639</v>
      </c>
      <c r="D18" s="133">
        <f>IF(SER_hh_tes_in!D18=0,0,11630*1000*SER_hh_tes_in!D18/SER_hh_num_in!D18)</f>
        <v>31396.33329780979</v>
      </c>
      <c r="E18" s="133">
        <f>IF(SER_hh_tes_in!E18=0,0,11630*1000*SER_hh_tes_in!E18/SER_hh_num_in!E18)</f>
        <v>42041.957427406582</v>
      </c>
      <c r="F18" s="133">
        <f>IF(SER_hh_tes_in!F18=0,0,11630*1000*SER_hh_tes_in!F18/SER_hh_num_in!F18)</f>
        <v>26193.567398930718</v>
      </c>
      <c r="G18" s="133">
        <f>IF(SER_hh_tes_in!G18=0,0,11630*1000*SER_hh_tes_in!G18/SER_hh_num_in!G18)</f>
        <v>26883.124738574788</v>
      </c>
      <c r="H18" s="133">
        <f>IF(SER_hh_tes_in!H18=0,0,11630*1000*SER_hh_tes_in!H18/SER_hh_num_in!H18)</f>
        <v>31712.035677823929</v>
      </c>
      <c r="I18" s="133">
        <f>IF(SER_hh_tes_in!I18=0,0,11630*1000*SER_hh_tes_in!I18/SER_hh_num_in!I18)</f>
        <v>46438.631902576351</v>
      </c>
      <c r="J18" s="133">
        <f>IF(SER_hh_tes_in!J18=0,0,11630*1000*SER_hh_tes_in!J18/SER_hh_num_in!J18)</f>
        <v>44909.71290133724</v>
      </c>
      <c r="K18" s="133">
        <f>IF(SER_hh_tes_in!K18=0,0,11630*1000*SER_hh_tes_in!K18/SER_hh_num_in!K18)</f>
        <v>30121.461729112754</v>
      </c>
      <c r="L18" s="133">
        <f>IF(SER_hh_tes_in!L18=0,0,11630*1000*SER_hh_tes_in!L18/SER_hh_num_in!L18)</f>
        <v>38601.830492491332</v>
      </c>
      <c r="M18" s="133">
        <f>IF(SER_hh_tes_in!M18=0,0,11630*1000*SER_hh_tes_in!M18/SER_hh_num_in!M18)</f>
        <v>33599.252038103223</v>
      </c>
      <c r="N18" s="133">
        <f>IF(SER_hh_tes_in!N18=0,0,11630*1000*SER_hh_tes_in!N18/SER_hh_num_in!N18)</f>
        <v>53202.31310868929</v>
      </c>
      <c r="O18" s="133">
        <f>IF(SER_hh_tes_in!O18=0,0,11630*1000*SER_hh_tes_in!O18/SER_hh_num_in!O18)</f>
        <v>32877.243806477942</v>
      </c>
      <c r="P18" s="133">
        <f>IF(SER_hh_tes_in!P18=0,0,11630*1000*SER_hh_tes_in!P18/SER_hh_num_in!P18)</f>
        <v>26220.202961198222</v>
      </c>
      <c r="Q18" s="133">
        <f>IF(SER_hh_tes_in!Q18=0,0,11630*1000*SER_hh_tes_in!Q18/SER_hh_num_in!Q18)</f>
        <v>32641.558965523061</v>
      </c>
      <c r="R18" s="133">
        <f>IF(SER_hh_tes_in!R18=0,0,11630*1000*SER_hh_tes_in!R18/SER_hh_num_in!R18)</f>
        <v>34262.120865998884</v>
      </c>
      <c r="S18" s="133">
        <f>IF(SER_hh_tes_in!S18=0,0,11630*1000*SER_hh_tes_in!S18/SER_hh_num_in!S18)</f>
        <v>33103.192343400493</v>
      </c>
      <c r="T18" s="133">
        <f>IF(SER_hh_tes_in!T18=0,0,11630*1000*SER_hh_tes_in!T18/SER_hh_num_in!T18)</f>
        <v>27163.405823304536</v>
      </c>
      <c r="U18" s="133">
        <f>IF(SER_hh_tes_in!U18=0,0,11630*1000*SER_hh_tes_in!U18/SER_hh_num_in!U18)</f>
        <v>32739.030308625061</v>
      </c>
      <c r="V18" s="133">
        <f>IF(SER_hh_tes_in!V18=0,0,11630*1000*SER_hh_tes_in!V18/SER_hh_num_in!V18)</f>
        <v>27828.187753850129</v>
      </c>
      <c r="W18" s="133">
        <f>IF(SER_hh_tes_in!W18=0,0,11630*1000*SER_hh_tes_in!W18/SER_hh_num_in!W18)</f>
        <v>32443.07218120747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18803.789948704976</v>
      </c>
      <c r="D19" s="131">
        <f>IF(SER_hh_tes_in!D19=0,0,11630*1000*SER_hh_tes_in!D19/SER_hh_num_in!D19)</f>
        <v>19629.408671915626</v>
      </c>
      <c r="E19" s="131">
        <f>IF(SER_hh_tes_in!E19=0,0,11630*1000*SER_hh_tes_in!E19/SER_hh_num_in!E19)</f>
        <v>19740.829726879536</v>
      </c>
      <c r="F19" s="131">
        <f>IF(SER_hh_tes_in!F19=0,0,11630*1000*SER_hh_tes_in!F19/SER_hh_num_in!F19)</f>
        <v>19916.174785502426</v>
      </c>
      <c r="G19" s="131">
        <f>IF(SER_hh_tes_in!G19=0,0,11630*1000*SER_hh_tes_in!G19/SER_hh_num_in!G19)</f>
        <v>21167.538938173049</v>
      </c>
      <c r="H19" s="131">
        <f>IF(SER_hh_tes_in!H19=0,0,11630*1000*SER_hh_tes_in!H19/SER_hh_num_in!H19)</f>
        <v>20832.477113375506</v>
      </c>
      <c r="I19" s="131">
        <f>IF(SER_hh_tes_in!I19=0,0,11630*1000*SER_hh_tes_in!I19/SER_hh_num_in!I19)</f>
        <v>20458.088910497921</v>
      </c>
      <c r="J19" s="131">
        <f>IF(SER_hh_tes_in!J19=0,0,11630*1000*SER_hh_tes_in!J19/SER_hh_num_in!J19)</f>
        <v>20625.200280244393</v>
      </c>
      <c r="K19" s="131">
        <f>IF(SER_hh_tes_in!K19=0,0,11630*1000*SER_hh_tes_in!K19/SER_hh_num_in!K19)</f>
        <v>21077.305851832909</v>
      </c>
      <c r="L19" s="131">
        <f>IF(SER_hh_tes_in!L19=0,0,11630*1000*SER_hh_tes_in!L19/SER_hh_num_in!L19)</f>
        <v>22091.195848598119</v>
      </c>
      <c r="M19" s="131">
        <f>IF(SER_hh_tes_in!M19=0,0,11630*1000*SER_hh_tes_in!M19/SER_hh_num_in!M19)</f>
        <v>22641.168467653137</v>
      </c>
      <c r="N19" s="131">
        <f>IF(SER_hh_tes_in!N19=0,0,11630*1000*SER_hh_tes_in!N19/SER_hh_num_in!N19)</f>
        <v>22486.888168137953</v>
      </c>
      <c r="O19" s="131">
        <f>IF(SER_hh_tes_in!O19=0,0,11630*1000*SER_hh_tes_in!O19/SER_hh_num_in!O19)</f>
        <v>22906.542733897873</v>
      </c>
      <c r="P19" s="131">
        <f>IF(SER_hh_tes_in!P19=0,0,11630*1000*SER_hh_tes_in!P19/SER_hh_num_in!P19)</f>
        <v>23228.672471739963</v>
      </c>
      <c r="Q19" s="131">
        <f>IF(SER_hh_tes_in!Q19=0,0,11630*1000*SER_hh_tes_in!Q19/SER_hh_num_in!Q19)</f>
        <v>23291.962312814412</v>
      </c>
      <c r="R19" s="131">
        <f>IF(SER_hh_tes_in!R19=0,0,11630*1000*SER_hh_tes_in!R19/SER_hh_num_in!R19)</f>
        <v>23425.374276332241</v>
      </c>
      <c r="S19" s="131">
        <f>IF(SER_hh_tes_in!S19=0,0,11630*1000*SER_hh_tes_in!S19/SER_hh_num_in!S19)</f>
        <v>23207.974332334896</v>
      </c>
      <c r="T19" s="131">
        <f>IF(SER_hh_tes_in!T19=0,0,11630*1000*SER_hh_tes_in!T19/SER_hh_num_in!T19)</f>
        <v>22935.308349718307</v>
      </c>
      <c r="U19" s="131">
        <f>IF(SER_hh_tes_in!U19=0,0,11630*1000*SER_hh_tes_in!U19/SER_hh_num_in!U19)</f>
        <v>22410.544702527328</v>
      </c>
      <c r="V19" s="131">
        <f>IF(SER_hh_tes_in!V19=0,0,11630*1000*SER_hh_tes_in!V19/SER_hh_num_in!V19)</f>
        <v>20426.887373883623</v>
      </c>
      <c r="W19" s="131">
        <f>IF(SER_hh_tes_in!W19=0,0,11630*1000*SER_hh_tes_in!W19/SER_hh_num_in!W19)</f>
        <v>20160.567975626032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18925.298826488881</v>
      </c>
      <c r="D21" s="133">
        <f>IF(SER_hh_tes_in!D21=0,0,11630*1000*SER_hh_tes_in!D21/SER_hh_num_in!D21)</f>
        <v>19558.37022119726</v>
      </c>
      <c r="E21" s="133">
        <f>IF(SER_hh_tes_in!E21=0,0,11630*1000*SER_hh_tes_in!E21/SER_hh_num_in!E21)</f>
        <v>18988.795703841268</v>
      </c>
      <c r="F21" s="133">
        <f>IF(SER_hh_tes_in!F21=0,0,11630*1000*SER_hh_tes_in!F21/SER_hh_num_in!F21)</f>
        <v>19312.039616332513</v>
      </c>
      <c r="G21" s="133">
        <f>IF(SER_hh_tes_in!G21=0,0,11630*1000*SER_hh_tes_in!G21/SER_hh_num_in!G21)</f>
        <v>20583.105115424842</v>
      </c>
      <c r="H21" s="133">
        <f>IF(SER_hh_tes_in!H21=0,0,11630*1000*SER_hh_tes_in!H21/SER_hh_num_in!H21)</f>
        <v>19949.291687297969</v>
      </c>
      <c r="I21" s="133">
        <f>IF(SER_hh_tes_in!I21=0,0,11630*1000*SER_hh_tes_in!I21/SER_hh_num_in!I21)</f>
        <v>21062.264809774151</v>
      </c>
      <c r="J21" s="133">
        <f>IF(SER_hh_tes_in!J21=0,0,11630*1000*SER_hh_tes_in!J21/SER_hh_num_in!J21)</f>
        <v>20573.260518609062</v>
      </c>
      <c r="K21" s="133">
        <f>IF(SER_hh_tes_in!K21=0,0,11630*1000*SER_hh_tes_in!K21/SER_hh_num_in!K21)</f>
        <v>18218.739366436497</v>
      </c>
      <c r="L21" s="133">
        <f>IF(SER_hh_tes_in!L21=0,0,11630*1000*SER_hh_tes_in!L21/SER_hh_num_in!L21)</f>
        <v>21842.088615683911</v>
      </c>
      <c r="M21" s="133">
        <f>IF(SER_hh_tes_in!M21=0,0,11630*1000*SER_hh_tes_in!M21/SER_hh_num_in!M21)</f>
        <v>21800.205125394681</v>
      </c>
      <c r="N21" s="133">
        <f>IF(SER_hh_tes_in!N21=0,0,11630*1000*SER_hh_tes_in!N21/SER_hh_num_in!N21)</f>
        <v>22955.258547189798</v>
      </c>
      <c r="O21" s="133">
        <f>IF(SER_hh_tes_in!O21=0,0,11630*1000*SER_hh_tes_in!O21/SER_hh_num_in!O21)</f>
        <v>22860.608674653497</v>
      </c>
      <c r="P21" s="133">
        <f>IF(SER_hh_tes_in!P21=0,0,11630*1000*SER_hh_tes_in!P21/SER_hh_num_in!P21)</f>
        <v>22332.883370278752</v>
      </c>
      <c r="Q21" s="133">
        <f>IF(SER_hh_tes_in!Q21=0,0,11630*1000*SER_hh_tes_in!Q21/SER_hh_num_in!Q21)</f>
        <v>21567.43065605743</v>
      </c>
      <c r="R21" s="133">
        <f>IF(SER_hh_tes_in!R21=0,0,11630*1000*SER_hh_tes_in!R21/SER_hh_num_in!R21)</f>
        <v>21038.706488327709</v>
      </c>
      <c r="S21" s="133">
        <f>IF(SER_hh_tes_in!S21=0,0,11630*1000*SER_hh_tes_in!S21/SER_hh_num_in!S21)</f>
        <v>23100.263428454698</v>
      </c>
      <c r="T21" s="133">
        <f>IF(SER_hh_tes_in!T21=0,0,11630*1000*SER_hh_tes_in!T21/SER_hh_num_in!T21)</f>
        <v>22476.124373343242</v>
      </c>
      <c r="U21" s="133">
        <f>IF(SER_hh_tes_in!U21=0,0,11630*1000*SER_hh_tes_in!U21/SER_hh_num_in!U21)</f>
        <v>22585.993853660631</v>
      </c>
      <c r="V21" s="133">
        <f>IF(SER_hh_tes_in!V21=0,0,11630*1000*SER_hh_tes_in!V21/SER_hh_num_in!V21)</f>
        <v>14344.829468651051</v>
      </c>
      <c r="W21" s="133">
        <f>IF(SER_hh_tes_in!W21=0,0,11630*1000*SER_hh_tes_in!W21/SER_hh_num_in!W21)</f>
        <v>18360.081940995198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18881.164353376884</v>
      </c>
      <c r="D22" s="133">
        <f>IF(SER_hh_tes_in!D22=0,0,11630*1000*SER_hh_tes_in!D22/SER_hh_num_in!D22)</f>
        <v>19577.934098323811</v>
      </c>
      <c r="E22" s="133">
        <f>IF(SER_hh_tes_in!E22=0,0,11630*1000*SER_hh_tes_in!E22/SER_hh_num_in!E22)</f>
        <v>19540.831286152195</v>
      </c>
      <c r="F22" s="133">
        <f>IF(SER_hh_tes_in!F22=0,0,11630*1000*SER_hh_tes_in!F22/SER_hh_num_in!F22)</f>
        <v>19847.976880203943</v>
      </c>
      <c r="G22" s="133">
        <f>IF(SER_hh_tes_in!G22=0,0,11630*1000*SER_hh_tes_in!G22/SER_hh_num_in!G22)</f>
        <v>20966.802835403705</v>
      </c>
      <c r="H22" s="133">
        <f>IF(SER_hh_tes_in!H22=0,0,11630*1000*SER_hh_tes_in!H22/SER_hh_num_in!H22)</f>
        <v>20603.033695196671</v>
      </c>
      <c r="I22" s="133">
        <f>IF(SER_hh_tes_in!I22=0,0,11630*1000*SER_hh_tes_in!I22/SER_hh_num_in!I22)</f>
        <v>20330.32799533859</v>
      </c>
      <c r="J22" s="133">
        <f>IF(SER_hh_tes_in!J22=0,0,11630*1000*SER_hh_tes_in!J22/SER_hh_num_in!J22)</f>
        <v>20068.050651794376</v>
      </c>
      <c r="K22" s="133">
        <f>IF(SER_hh_tes_in!K22=0,0,11630*1000*SER_hh_tes_in!K22/SER_hh_num_in!K22)</f>
        <v>17567.869243348454</v>
      </c>
      <c r="L22" s="133">
        <f>IF(SER_hh_tes_in!L22=0,0,11630*1000*SER_hh_tes_in!L22/SER_hh_num_in!L22)</f>
        <v>21684.883399496779</v>
      </c>
      <c r="M22" s="133">
        <f>IF(SER_hh_tes_in!M22=0,0,11630*1000*SER_hh_tes_in!M22/SER_hh_num_in!M22)</f>
        <v>22213.72367919156</v>
      </c>
      <c r="N22" s="133">
        <f>IF(SER_hh_tes_in!N22=0,0,11630*1000*SER_hh_tes_in!N22/SER_hh_num_in!N22)</f>
        <v>22236.899897102045</v>
      </c>
      <c r="O22" s="133">
        <f>IF(SER_hh_tes_in!O22=0,0,11630*1000*SER_hh_tes_in!O22/SER_hh_num_in!O22)</f>
        <v>22681.333758402641</v>
      </c>
      <c r="P22" s="133">
        <f>IF(SER_hh_tes_in!P22=0,0,11630*1000*SER_hh_tes_in!P22/SER_hh_num_in!P22)</f>
        <v>22604.095818119287</v>
      </c>
      <c r="Q22" s="133">
        <f>IF(SER_hh_tes_in!Q22=0,0,11630*1000*SER_hh_tes_in!Q22/SER_hh_num_in!Q22)</f>
        <v>22375.077275591935</v>
      </c>
      <c r="R22" s="133">
        <f>IF(SER_hh_tes_in!R22=0,0,11630*1000*SER_hh_tes_in!R22/SER_hh_num_in!R22)</f>
        <v>20835.80991326298</v>
      </c>
      <c r="S22" s="133">
        <f>IF(SER_hh_tes_in!S22=0,0,11630*1000*SER_hh_tes_in!S22/SER_hh_num_in!S22)</f>
        <v>23213.24422836116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18946.269396897744</v>
      </c>
      <c r="D23" s="133">
        <f>IF(SER_hh_tes_in!D23=0,0,11630*1000*SER_hh_tes_in!D23/SER_hh_num_in!D23)</f>
        <v>19257.858144420821</v>
      </c>
      <c r="E23" s="133">
        <f>IF(SER_hh_tes_in!E23=0,0,11630*1000*SER_hh_tes_in!E23/SER_hh_num_in!E23)</f>
        <v>19027.307931021576</v>
      </c>
      <c r="F23" s="133">
        <f>IF(SER_hh_tes_in!F23=0,0,11630*1000*SER_hh_tes_in!F23/SER_hh_num_in!F23)</f>
        <v>16713.546250342057</v>
      </c>
      <c r="G23" s="133">
        <f>IF(SER_hh_tes_in!G23=0,0,11630*1000*SER_hh_tes_in!G23/SER_hh_num_in!G23)</f>
        <v>21721.916970418228</v>
      </c>
      <c r="H23" s="133">
        <f>IF(SER_hh_tes_in!H23=0,0,11630*1000*SER_hh_tes_in!H23/SER_hh_num_in!H23)</f>
        <v>20544.969860638634</v>
      </c>
      <c r="I23" s="133">
        <f>IF(SER_hh_tes_in!I23=0,0,11630*1000*SER_hh_tes_in!I23/SER_hh_num_in!I23)</f>
        <v>20837.182852258255</v>
      </c>
      <c r="J23" s="133">
        <f>IF(SER_hh_tes_in!J23=0,0,11630*1000*SER_hh_tes_in!J23/SER_hh_num_in!J23)</f>
        <v>20080.178495931534</v>
      </c>
      <c r="K23" s="133">
        <f>IF(SER_hh_tes_in!K23=0,0,11630*1000*SER_hh_tes_in!K23/SER_hh_num_in!K23)</f>
        <v>18214.569958386619</v>
      </c>
      <c r="L23" s="133">
        <f>IF(SER_hh_tes_in!L23=0,0,11630*1000*SER_hh_tes_in!L23/SER_hh_num_in!L23)</f>
        <v>22704.666262727493</v>
      </c>
      <c r="M23" s="133">
        <f>IF(SER_hh_tes_in!M23=0,0,11630*1000*SER_hh_tes_in!M23/SER_hh_num_in!M23)</f>
        <v>22479.353841922872</v>
      </c>
      <c r="N23" s="133">
        <f>IF(SER_hh_tes_in!N23=0,0,11630*1000*SER_hh_tes_in!N23/SER_hh_num_in!N23)</f>
        <v>23053.360054350607</v>
      </c>
      <c r="O23" s="133">
        <f>IF(SER_hh_tes_in!O23=0,0,11630*1000*SER_hh_tes_in!O23/SER_hh_num_in!O23)</f>
        <v>23535.889024916378</v>
      </c>
      <c r="P23" s="133">
        <f>IF(SER_hh_tes_in!P23=0,0,11630*1000*SER_hh_tes_in!P23/SER_hh_num_in!P23)</f>
        <v>22342.354771568367</v>
      </c>
      <c r="Q23" s="133">
        <f>IF(SER_hh_tes_in!Q23=0,0,11630*1000*SER_hh_tes_in!Q23/SER_hh_num_in!Q23)</f>
        <v>23678.095504224526</v>
      </c>
      <c r="R23" s="133">
        <f>IF(SER_hh_tes_in!R23=0,0,11630*1000*SER_hh_tes_in!R23/SER_hh_num_in!R23)</f>
        <v>22274.962339146507</v>
      </c>
      <c r="S23" s="133">
        <f>IF(SER_hh_tes_in!S23=0,0,11630*1000*SER_hh_tes_in!S23/SER_hh_num_in!S23)</f>
        <v>22560.556080958839</v>
      </c>
      <c r="T23" s="133">
        <f>IF(SER_hh_tes_in!T23=0,0,11630*1000*SER_hh_tes_in!T23/SER_hh_num_in!T23)</f>
        <v>21745.783187415644</v>
      </c>
      <c r="U23" s="133">
        <f>IF(SER_hh_tes_in!U23=0,0,11630*1000*SER_hh_tes_in!U23/SER_hh_num_in!U23)</f>
        <v>21119.409407886746</v>
      </c>
      <c r="V23" s="133">
        <f>IF(SER_hh_tes_in!V23=0,0,11630*1000*SER_hh_tes_in!V23/SER_hh_num_in!V23)</f>
        <v>18230.777881116926</v>
      </c>
      <c r="W23" s="133">
        <f>IF(SER_hh_tes_in!W23=0,0,11630*1000*SER_hh_tes_in!W23/SER_hh_num_in!W23)</f>
        <v>19470.837297261533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17814.554867850969</v>
      </c>
      <c r="D26" s="65">
        <f>IF(SER_hh_tes_in!D26=0,0,11630*1000*SER_hh_tes_in!D26/SER_hh_num_in!D26)</f>
        <v>18239.039752141573</v>
      </c>
      <c r="E26" s="65">
        <f>IF(SER_hh_tes_in!E26=0,0,11630*1000*SER_hh_tes_in!E26/SER_hh_num_in!E26)</f>
        <v>18133.277620787518</v>
      </c>
      <c r="F26" s="65">
        <f>IF(SER_hh_tes_in!F26=0,0,11630*1000*SER_hh_tes_in!F26/SER_hh_num_in!F26)</f>
        <v>18214.095879557219</v>
      </c>
      <c r="G26" s="65">
        <f>IF(SER_hh_tes_in!G26=0,0,11630*1000*SER_hh_tes_in!G26/SER_hh_num_in!G26)</f>
        <v>21108.017752125452</v>
      </c>
      <c r="H26" s="65">
        <f>IF(SER_hh_tes_in!H26=0,0,11630*1000*SER_hh_tes_in!H26/SER_hh_num_in!H26)</f>
        <v>18261.815521901604</v>
      </c>
      <c r="I26" s="65">
        <f>IF(SER_hh_tes_in!I26=0,0,11630*1000*SER_hh_tes_in!I26/SER_hh_num_in!I26)</f>
        <v>15734.672885974187</v>
      </c>
      <c r="J26" s="65">
        <f>IF(SER_hh_tes_in!J26=0,0,11630*1000*SER_hh_tes_in!J26/SER_hh_num_in!J26)</f>
        <v>12573.181934845425</v>
      </c>
      <c r="K26" s="65">
        <f>IF(SER_hh_tes_in!K26=0,0,11630*1000*SER_hh_tes_in!K26/SER_hh_num_in!K26)</f>
        <v>4266.938639881706</v>
      </c>
      <c r="L26" s="65">
        <f>IF(SER_hh_tes_in!L26=0,0,11630*1000*SER_hh_tes_in!L26/SER_hh_num_in!L26)</f>
        <v>15494.163499603024</v>
      </c>
      <c r="M26" s="65">
        <f>IF(SER_hh_tes_in!M26=0,0,11630*1000*SER_hh_tes_in!M26/SER_hh_num_in!M26)</f>
        <v>13144.764670785315</v>
      </c>
      <c r="N26" s="65">
        <f>IF(SER_hh_tes_in!N26=0,0,11630*1000*SER_hh_tes_in!N26/SER_hh_num_in!N26)</f>
        <v>13701.194168661281</v>
      </c>
      <c r="O26" s="65">
        <f>IF(SER_hh_tes_in!O26=0,0,11630*1000*SER_hh_tes_in!O26/SER_hh_num_in!O26)</f>
        <v>4060.6719670231814</v>
      </c>
      <c r="P26" s="65">
        <f>IF(SER_hh_tes_in!P26=0,0,11630*1000*SER_hh_tes_in!P26/SER_hh_num_in!P26)</f>
        <v>16642.924703435194</v>
      </c>
      <c r="Q26" s="65">
        <f>IF(SER_hh_tes_in!Q26=0,0,11630*1000*SER_hh_tes_in!Q26/SER_hh_num_in!Q26)</f>
        <v>16098.197590256843</v>
      </c>
      <c r="R26" s="65">
        <f>IF(SER_hh_tes_in!R26=0,0,11630*1000*SER_hh_tes_in!R26/SER_hh_num_in!R26)</f>
        <v>4632.4123559037125</v>
      </c>
      <c r="S26" s="65">
        <f>IF(SER_hh_tes_in!S26=0,0,11630*1000*SER_hh_tes_in!S26/SER_hh_num_in!S26)</f>
        <v>14193.560412459516</v>
      </c>
      <c r="T26" s="65">
        <f>IF(SER_hh_tes_in!T26=0,0,11630*1000*SER_hh_tes_in!T26/SER_hh_num_in!T26)</f>
        <v>14651.276639930458</v>
      </c>
      <c r="U26" s="65">
        <f>IF(SER_hh_tes_in!U26=0,0,11630*1000*SER_hh_tes_in!U26/SER_hh_num_in!U26)</f>
        <v>13824.804662351404</v>
      </c>
      <c r="V26" s="65">
        <f>IF(SER_hh_tes_in!V26=0,0,11630*1000*SER_hh_tes_in!V26/SER_hh_num_in!V26)</f>
        <v>3968.3833073885617</v>
      </c>
      <c r="W26" s="65">
        <f>IF(SER_hh_tes_in!W26=0,0,11630*1000*SER_hh_tes_in!W26/SER_hh_num_in!W26)</f>
        <v>11140.628299924487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893.50519067874882</v>
      </c>
      <c r="D27" s="146">
        <f>IF(SER_hh_tes_in!D27=0,0,11630*1000*SER_hh_tes_in!D27/SER_hh_num_in!D19)</f>
        <v>1268.7059073667094</v>
      </c>
      <c r="E27" s="146">
        <f>IF(SER_hh_tes_in!E27=0,0,11630*1000*SER_hh_tes_in!E27/SER_hh_num_in!E19)</f>
        <v>1492.5922557452427</v>
      </c>
      <c r="F27" s="146">
        <f>IF(SER_hh_tes_in!F27=0,0,11630*1000*SER_hh_tes_in!F27/SER_hh_num_in!F19)</f>
        <v>1719.335667779312</v>
      </c>
      <c r="G27" s="146">
        <f>IF(SER_hh_tes_in!G27=0,0,11630*1000*SER_hh_tes_in!G27/SER_hh_num_in!G19)</f>
        <v>7.5596088046758405</v>
      </c>
      <c r="H27" s="146">
        <f>IF(SER_hh_tes_in!H27=0,0,11630*1000*SER_hh_tes_in!H27/SER_hh_num_in!H19)</f>
        <v>2200.92081189803</v>
      </c>
      <c r="I27" s="146">
        <f>IF(SER_hh_tes_in!I27=0,0,11630*1000*SER_hh_tes_in!I27/SER_hh_num_in!I19)</f>
        <v>3807.5328410616521</v>
      </c>
      <c r="J27" s="146">
        <f>IF(SER_hh_tes_in!J27=0,0,11630*1000*SER_hh_tes_in!J27/SER_hh_num_in!J19)</f>
        <v>6891.6638612484885</v>
      </c>
      <c r="K27" s="146">
        <f>IF(SER_hh_tes_in!K27=0,0,11630*1000*SER_hh_tes_in!K27/SER_hh_num_in!K19)</f>
        <v>14641.161146485414</v>
      </c>
      <c r="L27" s="146">
        <f>IF(SER_hh_tes_in!L27=0,0,11630*1000*SER_hh_tes_in!L27/SER_hh_num_in!L19)</f>
        <v>4839.4821581832066</v>
      </c>
      <c r="M27" s="146">
        <f>IF(SER_hh_tes_in!M27=0,0,11630*1000*SER_hh_tes_in!M27/SER_hh_num_in!M19)</f>
        <v>7902.3407467495936</v>
      </c>
      <c r="N27" s="146">
        <f>IF(SER_hh_tes_in!N27=0,0,11630*1000*SER_hh_tes_in!N27/SER_hh_num_in!N19)</f>
        <v>7657.433198736996</v>
      </c>
      <c r="O27" s="146">
        <f>IF(SER_hh_tes_in!O27=0,0,11630*1000*SER_hh_tes_in!O27/SER_hh_num_in!O19)</f>
        <v>16667.522124929597</v>
      </c>
      <c r="P27" s="146">
        <f>IF(SER_hh_tes_in!P27=0,0,11630*1000*SER_hh_tes_in!P27/SER_hh_num_in!P19)</f>
        <v>5910.6398177037563</v>
      </c>
      <c r="Q27" s="146">
        <f>IF(SER_hh_tes_in!Q27=0,0,11630*1000*SER_hh_tes_in!Q27/SER_hh_num_in!Q19)</f>
        <v>6222.2615468097902</v>
      </c>
      <c r="R27" s="146">
        <f>IF(SER_hh_tes_in!R27=0,0,11630*1000*SER_hh_tes_in!R27/SER_hh_num_in!R19)</f>
        <v>16169.008814467948</v>
      </c>
      <c r="S27" s="146">
        <f>IF(SER_hh_tes_in!S27=0,0,11630*1000*SER_hh_tes_in!S27/SER_hh_num_in!S19)</f>
        <v>7662.1760577717223</v>
      </c>
      <c r="T27" s="146">
        <f>IF(SER_hh_tes_in!T27=0,0,11630*1000*SER_hh_tes_in!T27/SER_hh_num_in!T19)</f>
        <v>7326.2119367706728</v>
      </c>
      <c r="U27" s="146">
        <f>IF(SER_hh_tes_in!U27=0,0,11630*1000*SER_hh_tes_in!U27/SER_hh_num_in!U19)</f>
        <v>7561.8057314726602</v>
      </c>
      <c r="V27" s="146">
        <f>IF(SER_hh_tes_in!V27=0,0,11630*1000*SER_hh_tes_in!V27/SER_hh_num_in!V19)</f>
        <v>14422.320597348007</v>
      </c>
      <c r="W27" s="146">
        <f>IF(SER_hh_tes_in!W27=0,0,11630*1000*SER_hh_tes_in!W27/SER_hh_num_in!W19)</f>
        <v>7816.4501624358672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15118.516983290203</v>
      </c>
      <c r="D28" s="147">
        <f>IF(SER_hh_tes_in!D27=0,0,11630*1000*SER_hh_tes_in!D27/SER_hh_num_in!D27)</f>
        <v>15690.914698862716</v>
      </c>
      <c r="E28" s="147">
        <f>IF(SER_hh_tes_in!E27=0,0,11630*1000*SER_hh_tes_in!E27/SER_hh_num_in!E27)</f>
        <v>15923.673241601406</v>
      </c>
      <c r="F28" s="147">
        <f>IF(SER_hh_tes_in!F27=0,0,11630*1000*SER_hh_tes_in!F27/SER_hh_num_in!F27)</f>
        <v>16076.723266298379</v>
      </c>
      <c r="G28" s="147">
        <f>IF(SER_hh_tes_in!G27=0,0,11630*1000*SER_hh_tes_in!G27/SER_hh_num_in!G27)</f>
        <v>18227.846583089449</v>
      </c>
      <c r="H28" s="147">
        <f>IF(SER_hh_tes_in!H27=0,0,11630*1000*SER_hh_tes_in!H27/SER_hh_num_in!H27)</f>
        <v>16638.2062767633</v>
      </c>
      <c r="I28" s="147">
        <f>IF(SER_hh_tes_in!I27=0,0,11630*1000*SER_hh_tes_in!I27/SER_hh_num_in!I27)</f>
        <v>16262.514650500674</v>
      </c>
      <c r="J28" s="147">
        <f>IF(SER_hh_tes_in!J27=0,0,11630*1000*SER_hh_tes_in!J27/SER_hh_num_in!J27)</f>
        <v>16539.930088727531</v>
      </c>
      <c r="K28" s="147">
        <f>IF(SER_hh_tes_in!K27=0,0,11630*1000*SER_hh_tes_in!K27/SER_hh_num_in!K27)</f>
        <v>16823.462091020003</v>
      </c>
      <c r="L28" s="147">
        <f>IF(SER_hh_tes_in!L27=0,0,11630*1000*SER_hh_tes_in!L27/SER_hh_num_in!L27)</f>
        <v>17621.919977290596</v>
      </c>
      <c r="M28" s="147">
        <f>IF(SER_hh_tes_in!M27=0,0,11630*1000*SER_hh_tes_in!M27/SER_hh_num_in!M27)</f>
        <v>18241.449631908392</v>
      </c>
      <c r="N28" s="147">
        <f>IF(SER_hh_tes_in!N27=0,0,11630*1000*SER_hh_tes_in!N27/SER_hh_num_in!N27)</f>
        <v>18898.164157952509</v>
      </c>
      <c r="O28" s="147">
        <f>IF(SER_hh_tes_in!O27=0,0,11630*1000*SER_hh_tes_in!O27/SER_hh_num_in!O27)</f>
        <v>18825.904710217183</v>
      </c>
      <c r="P28" s="147">
        <f>IF(SER_hh_tes_in!P27=0,0,11630*1000*SER_hh_tes_in!P27/SER_hh_num_in!P27)</f>
        <v>19294.61923438685</v>
      </c>
      <c r="Q28" s="147">
        <f>IF(SER_hh_tes_in!Q27=0,0,11630*1000*SER_hh_tes_in!Q27/SER_hh_num_in!Q27)</f>
        <v>19615.76666174001</v>
      </c>
      <c r="R28" s="147">
        <f>IF(SER_hh_tes_in!R27=0,0,11630*1000*SER_hh_tes_in!R27/SER_hh_num_in!R27)</f>
        <v>18846.803085438329</v>
      </c>
      <c r="S28" s="147">
        <f>IF(SER_hh_tes_in!S27=0,0,11630*1000*SER_hh_tes_in!S27/SER_hh_num_in!S27)</f>
        <v>18759.093530967682</v>
      </c>
      <c r="T28" s="147">
        <f>IF(SER_hh_tes_in!T27=0,0,11630*1000*SER_hh_tes_in!T27/SER_hh_num_in!T27)</f>
        <v>18739.636301069731</v>
      </c>
      <c r="U28" s="147">
        <f>IF(SER_hh_tes_in!U27=0,0,11630*1000*SER_hh_tes_in!U27/SER_hh_num_in!U27)</f>
        <v>18586.283106632436</v>
      </c>
      <c r="V28" s="147">
        <f>IF(SER_hh_tes_in!V27=0,0,11630*1000*SER_hh_tes_in!V27/SER_hh_num_in!V27)</f>
        <v>16740.181384557243</v>
      </c>
      <c r="W28" s="147">
        <f>IF(SER_hh_tes_in!W27=0,0,11630*1000*SER_hh_tes_in!W27/SER_hh_num_in!W27)</f>
        <v>16733.160014274923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24721.517493934905</v>
      </c>
      <c r="D29" s="131">
        <f>IF(SER_hh_tes_in!D29=0,0,11630*1000*SER_hh_tes_in!D29/SER_hh_num_in!D29)</f>
        <v>25812.117899729783</v>
      </c>
      <c r="E29" s="131">
        <f>IF(SER_hh_tes_in!E29=0,0,11630*1000*SER_hh_tes_in!E29/SER_hh_num_in!E29)</f>
        <v>24655.06851992456</v>
      </c>
      <c r="F29" s="131">
        <f>IF(SER_hh_tes_in!F29=0,0,11630*1000*SER_hh_tes_in!F29/SER_hh_num_in!F29)</f>
        <v>27297.458686133941</v>
      </c>
      <c r="G29" s="131">
        <f>IF(SER_hh_tes_in!G29=0,0,11630*1000*SER_hh_tes_in!G29/SER_hh_num_in!G29)</f>
        <v>26344.522261471029</v>
      </c>
      <c r="H29" s="131">
        <f>IF(SER_hh_tes_in!H29=0,0,11630*1000*SER_hh_tes_in!H29/SER_hh_num_in!H29)</f>
        <v>25711.298559024006</v>
      </c>
      <c r="I29" s="131">
        <f>IF(SER_hh_tes_in!I29=0,0,11630*1000*SER_hh_tes_in!I29/SER_hh_num_in!I29)</f>
        <v>24997.083819965912</v>
      </c>
      <c r="J29" s="131">
        <f>IF(SER_hh_tes_in!J29=0,0,11630*1000*SER_hh_tes_in!J29/SER_hh_num_in!J29)</f>
        <v>24803.140580995667</v>
      </c>
      <c r="K29" s="131">
        <f>IF(SER_hh_tes_in!K29=0,0,11630*1000*SER_hh_tes_in!K29/SER_hh_num_in!K29)</f>
        <v>25549.937418880079</v>
      </c>
      <c r="L29" s="131">
        <f>IF(SER_hh_tes_in!L29=0,0,11630*1000*SER_hh_tes_in!L29/SER_hh_num_in!L29)</f>
        <v>26570.966359616501</v>
      </c>
      <c r="M29" s="131">
        <f>IF(SER_hh_tes_in!M29=0,0,11630*1000*SER_hh_tes_in!M29/SER_hh_num_in!M29)</f>
        <v>23410.175910848331</v>
      </c>
      <c r="N29" s="131">
        <f>IF(SER_hh_tes_in!N29=0,0,11630*1000*SER_hh_tes_in!N29/SER_hh_num_in!N29)</f>
        <v>30732.508103076416</v>
      </c>
      <c r="O29" s="131">
        <f>IF(SER_hh_tes_in!O29=0,0,11630*1000*SER_hh_tes_in!O29/SER_hh_num_in!O29)</f>
        <v>27746.116076605686</v>
      </c>
      <c r="P29" s="131">
        <f>IF(SER_hh_tes_in!P29=0,0,11630*1000*SER_hh_tes_in!P29/SER_hh_num_in!P29)</f>
        <v>29028.409058620717</v>
      </c>
      <c r="Q29" s="131">
        <f>IF(SER_hh_tes_in!Q29=0,0,11630*1000*SER_hh_tes_in!Q29/SER_hh_num_in!Q29)</f>
        <v>27642.352451897688</v>
      </c>
      <c r="R29" s="131">
        <f>IF(SER_hh_tes_in!R29=0,0,11630*1000*SER_hh_tes_in!R29/SER_hh_num_in!R29)</f>
        <v>27536.516541728804</v>
      </c>
      <c r="S29" s="131">
        <f>IF(SER_hh_tes_in!S29=0,0,11630*1000*SER_hh_tes_in!S29/SER_hh_num_in!S29)</f>
        <v>27715.440156767894</v>
      </c>
      <c r="T29" s="131">
        <f>IF(SER_hh_tes_in!T29=0,0,11630*1000*SER_hh_tes_in!T29/SER_hh_num_in!T29)</f>
        <v>27447.104943819726</v>
      </c>
      <c r="U29" s="131">
        <f>IF(SER_hh_tes_in!U29=0,0,11630*1000*SER_hh_tes_in!U29/SER_hh_num_in!U29)</f>
        <v>26902.440616569867</v>
      </c>
      <c r="V29" s="131">
        <f>IF(SER_hh_tes_in!V29=0,0,11630*1000*SER_hh_tes_in!V29/SER_hh_num_in!V29)</f>
        <v>23203.232301446107</v>
      </c>
      <c r="W29" s="131">
        <f>IF(SER_hh_tes_in!W29=0,0,11630*1000*SER_hh_tes_in!W29/SER_hh_num_in!W29)</f>
        <v>26085.079638829036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27866.817453308999</v>
      </c>
      <c r="D30" s="133">
        <f>IF(SER_hh_tes_in!D30=0,0,11630*1000*SER_hh_tes_in!D30/SER_hh_num_in!D30)</f>
        <v>17051.068950680179</v>
      </c>
      <c r="E30" s="133">
        <f>IF(SER_hh_tes_in!E30=0,0,11630*1000*SER_hh_tes_in!E30/SER_hh_num_in!E30)</f>
        <v>17185.041769296255</v>
      </c>
      <c r="F30" s="133">
        <f>IF(SER_hh_tes_in!F30=0,0,11630*1000*SER_hh_tes_in!F30/SER_hh_num_in!F30)</f>
        <v>34294.513907822635</v>
      </c>
      <c r="G30" s="133">
        <f>IF(SER_hh_tes_in!G30=0,0,11630*1000*SER_hh_tes_in!G30/SER_hh_num_in!G30)</f>
        <v>27252.502615270445</v>
      </c>
      <c r="H30" s="133">
        <f>IF(SER_hh_tes_in!H30=0,0,11630*1000*SER_hh_tes_in!H30/SER_hh_num_in!H30)</f>
        <v>25680.19122409014</v>
      </c>
      <c r="I30" s="133">
        <f>IF(SER_hh_tes_in!I30=0,0,11630*1000*SER_hh_tes_in!I30/SER_hh_num_in!I30)</f>
        <v>24882.743844510907</v>
      </c>
      <c r="J30" s="133">
        <f>IF(SER_hh_tes_in!J30=0,0,11630*1000*SER_hh_tes_in!J30/SER_hh_num_in!J30)</f>
        <v>23627.093959808244</v>
      </c>
      <c r="K30" s="133">
        <f>IF(SER_hh_tes_in!K30=0,0,11630*1000*SER_hh_tes_in!K30/SER_hh_num_in!K30)</f>
        <v>22124.360182411408</v>
      </c>
      <c r="L30" s="133">
        <f>IF(SER_hh_tes_in!L30=0,0,11630*1000*SER_hh_tes_in!L30/SER_hh_num_in!L30)</f>
        <v>23536.91028154991</v>
      </c>
      <c r="M30" s="133">
        <f>IF(SER_hh_tes_in!M30=0,0,11630*1000*SER_hh_tes_in!M30/SER_hh_num_in!M30)</f>
        <v>16938.650849727212</v>
      </c>
      <c r="N30" s="133">
        <f>IF(SER_hh_tes_in!N30=0,0,11630*1000*SER_hh_tes_in!N30/SER_hh_num_in!N30)</f>
        <v>46497.737022859124</v>
      </c>
      <c r="O30" s="133">
        <f>IF(SER_hh_tes_in!O30=0,0,11630*1000*SER_hh_tes_in!O30/SER_hh_num_in!O30)</f>
        <v>31998.069828800672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22449.652073376503</v>
      </c>
      <c r="R30" s="133">
        <f>IF(SER_hh_tes_in!R30=0,0,11630*1000*SER_hh_tes_in!R30/SER_hh_num_in!R30)</f>
        <v>25308.170036099425</v>
      </c>
      <c r="S30" s="133">
        <f>IF(SER_hh_tes_in!S30=0,0,11630*1000*SER_hh_tes_in!S30/SER_hh_num_in!S30)</f>
        <v>27562.412384073235</v>
      </c>
      <c r="T30" s="133">
        <f>IF(SER_hh_tes_in!T30=0,0,11630*1000*SER_hh_tes_in!T30/SER_hh_num_in!T30)</f>
        <v>27925.836460004626</v>
      </c>
      <c r="U30" s="133">
        <f>IF(SER_hh_tes_in!U30=0,0,11630*1000*SER_hh_tes_in!U30/SER_hh_num_in!U30)</f>
        <v>30023.64981277502</v>
      </c>
      <c r="V30" s="133">
        <f>IF(SER_hh_tes_in!V30=0,0,11630*1000*SER_hh_tes_in!V30/SER_hh_num_in!V30)</f>
        <v>19568.481172476248</v>
      </c>
      <c r="W30" s="133">
        <f>IF(SER_hh_tes_in!W30=0,0,11630*1000*SER_hh_tes_in!W30/SER_hh_num_in!W30)</f>
        <v>28362.073005355553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23789.389291551346</v>
      </c>
      <c r="D31" s="133">
        <f>IF(SER_hh_tes_in!D31=0,0,11630*1000*SER_hh_tes_in!D31/SER_hh_num_in!D31)</f>
        <v>22830.717407822474</v>
      </c>
      <c r="E31" s="133">
        <f>IF(SER_hh_tes_in!E31=0,0,11630*1000*SER_hh_tes_in!E31/SER_hh_num_in!E31)</f>
        <v>23965.338188228565</v>
      </c>
      <c r="F31" s="133">
        <f>IF(SER_hh_tes_in!F31=0,0,11630*1000*SER_hh_tes_in!F31/SER_hh_num_in!F31)</f>
        <v>24507.458903224979</v>
      </c>
      <c r="G31" s="133">
        <f>IF(SER_hh_tes_in!G31=0,0,11630*1000*SER_hh_tes_in!G31/SER_hh_num_in!G31)</f>
        <v>27414.855333343661</v>
      </c>
      <c r="H31" s="133">
        <f>IF(SER_hh_tes_in!H31=0,0,11630*1000*SER_hh_tes_in!H31/SER_hh_num_in!H31)</f>
        <v>25524.353852681244</v>
      </c>
      <c r="I31" s="133">
        <f>IF(SER_hh_tes_in!I31=0,0,11630*1000*SER_hh_tes_in!I31/SER_hh_num_in!I31)</f>
        <v>24457.845123983483</v>
      </c>
      <c r="J31" s="133">
        <f>IF(SER_hh_tes_in!J31=0,0,11630*1000*SER_hh_tes_in!J31/SER_hh_num_in!J31)</f>
        <v>24288.231777169003</v>
      </c>
      <c r="K31" s="133">
        <f>IF(SER_hh_tes_in!K31=0,0,11630*1000*SER_hh_tes_in!K31/SER_hh_num_in!K31)</f>
        <v>25936.282342554521</v>
      </c>
      <c r="L31" s="133">
        <f>IF(SER_hh_tes_in!L31=0,0,11630*1000*SER_hh_tes_in!L31/SER_hh_num_in!L31)</f>
        <v>27101.024883485439</v>
      </c>
      <c r="M31" s="133">
        <f>IF(SER_hh_tes_in!M31=0,0,11630*1000*SER_hh_tes_in!M31/SER_hh_num_in!M31)</f>
        <v>28240.784546538744</v>
      </c>
      <c r="N31" s="133">
        <f>IF(SER_hh_tes_in!N31=0,0,11630*1000*SER_hh_tes_in!N31/SER_hh_num_in!N31)</f>
        <v>27907.873666347408</v>
      </c>
      <c r="O31" s="133">
        <f>IF(SER_hh_tes_in!O31=0,0,11630*1000*SER_hh_tes_in!O31/SER_hh_num_in!O31)</f>
        <v>27526.221742983042</v>
      </c>
      <c r="P31" s="133">
        <f>IF(SER_hh_tes_in!P31=0,0,11630*1000*SER_hh_tes_in!P31/SER_hh_num_in!P31)</f>
        <v>28413.334829930584</v>
      </c>
      <c r="Q31" s="133">
        <f>IF(SER_hh_tes_in!Q31=0,0,11630*1000*SER_hh_tes_in!Q31/SER_hh_num_in!Q31)</f>
        <v>28306.047208068074</v>
      </c>
      <c r="R31" s="133">
        <f>IF(SER_hh_tes_in!R31=0,0,11630*1000*SER_hh_tes_in!R31/SER_hh_num_in!R31)</f>
        <v>27685.079743998467</v>
      </c>
      <c r="S31" s="133">
        <f>IF(SER_hh_tes_in!S31=0,0,11630*1000*SER_hh_tes_in!S31/SER_hh_num_in!S31)</f>
        <v>27251.598938038933</v>
      </c>
      <c r="T31" s="133">
        <f>IF(SER_hh_tes_in!T31=0,0,11630*1000*SER_hh_tes_in!T31/SER_hh_num_in!T31)</f>
        <v>26674.102255407099</v>
      </c>
      <c r="U31" s="133">
        <f>IF(SER_hh_tes_in!U31=0,0,11630*1000*SER_hh_tes_in!U31/SER_hh_num_in!U31)</f>
        <v>26451.865075170088</v>
      </c>
      <c r="V31" s="133">
        <f>IF(SER_hh_tes_in!V31=0,0,11630*1000*SER_hh_tes_in!V31/SER_hh_num_in!V31)</f>
        <v>23810.96872330931</v>
      </c>
      <c r="W31" s="133">
        <f>IF(SER_hh_tes_in!W31=0,0,11630*1000*SER_hh_tes_in!W31/SER_hh_num_in!W31)</f>
        <v>25572.056856387262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24731.779140050701</v>
      </c>
      <c r="D33" s="68">
        <f>IF(SER_hh_tes_in!D33=0,0,11630*1000*SER_hh_tes_in!D33/SER_hh_num_in!D33)</f>
        <v>26341.278124682911</v>
      </c>
      <c r="E33" s="68">
        <f>IF(SER_hh_tes_in!E33=0,0,11630*1000*SER_hh_tes_in!E33/SER_hh_num_in!E33)</f>
        <v>25930.650787197748</v>
      </c>
      <c r="F33" s="68">
        <f>IF(SER_hh_tes_in!F33=0,0,11630*1000*SER_hh_tes_in!F33/SER_hh_num_in!F33)</f>
        <v>25162.437735267311</v>
      </c>
      <c r="G33" s="68">
        <f>IF(SER_hh_tes_in!G33=0,0,11630*1000*SER_hh_tes_in!G33/SER_hh_num_in!G33)</f>
        <v>26136.843945266359</v>
      </c>
      <c r="H33" s="68">
        <f>IF(SER_hh_tes_in!H33=0,0,11630*1000*SER_hh_tes_in!H33/SER_hh_num_in!H33)</f>
        <v>25724.219967411998</v>
      </c>
      <c r="I33" s="68">
        <f>IF(SER_hh_tes_in!I33=0,0,11630*1000*SER_hh_tes_in!I33/SER_hh_num_in!I33)</f>
        <v>25032.624799234189</v>
      </c>
      <c r="J33" s="68">
        <f>IF(SER_hh_tes_in!J33=0,0,11630*1000*SER_hh_tes_in!J33/SER_hh_num_in!J33)</f>
        <v>24932.081836330031</v>
      </c>
      <c r="K33" s="68">
        <f>IF(SER_hh_tes_in!K33=0,0,11630*1000*SER_hh_tes_in!K33/SER_hh_num_in!K33)</f>
        <v>25775.844448007771</v>
      </c>
      <c r="L33" s="68">
        <f>IF(SER_hh_tes_in!L33=0,0,11630*1000*SER_hh_tes_in!L33/SER_hh_num_in!L33)</f>
        <v>26917.054652384544</v>
      </c>
      <c r="M33" s="68">
        <f>IF(SER_hh_tes_in!M33=0,0,11630*1000*SER_hh_tes_in!M33/SER_hh_num_in!M33)</f>
        <v>28691.765533982252</v>
      </c>
      <c r="N33" s="68">
        <f>IF(SER_hh_tes_in!N33=0,0,11630*1000*SER_hh_tes_in!N33/SER_hh_num_in!N33)</f>
        <v>24681.412287815932</v>
      </c>
      <c r="O33" s="68">
        <f>IF(SER_hh_tes_in!O33=0,0,11630*1000*SER_hh_tes_in!O33/SER_hh_num_in!O33)</f>
        <v>27496.910397448264</v>
      </c>
      <c r="P33" s="68">
        <f>IF(SER_hh_tes_in!P33=0,0,11630*1000*SER_hh_tes_in!P33/SER_hh_num_in!P33)</f>
        <v>29070.726997017606</v>
      </c>
      <c r="Q33" s="68">
        <f>IF(SER_hh_tes_in!Q33=0,0,11630*1000*SER_hh_tes_in!Q33/SER_hh_num_in!Q33)</f>
        <v>28126.988565272244</v>
      </c>
      <c r="R33" s="68">
        <f>IF(SER_hh_tes_in!R33=0,0,11630*1000*SER_hh_tes_in!R33/SER_hh_num_in!R33)</f>
        <v>27950.017162621774</v>
      </c>
      <c r="S33" s="68">
        <f>IF(SER_hh_tes_in!S33=0,0,11630*1000*SER_hh_tes_in!S33/SER_hh_num_in!S33)</f>
        <v>27764.09290266296</v>
      </c>
      <c r="T33" s="68">
        <f>IF(SER_hh_tes_in!T33=0,0,11630*1000*SER_hh_tes_in!T33/SER_hh_num_in!T33)</f>
        <v>27434.067479632758</v>
      </c>
      <c r="U33" s="68">
        <f>IF(SER_hh_tes_in!U33=0,0,11630*1000*SER_hh_tes_in!U33/SER_hh_num_in!U33)</f>
        <v>26386.209669380925</v>
      </c>
      <c r="V33" s="68">
        <f>IF(SER_hh_tes_in!V33=0,0,11630*1000*SER_hh_tes_in!V33/SER_hh_num_in!V33)</f>
        <v>23406.752467565653</v>
      </c>
      <c r="W33" s="68">
        <f>IF(SER_hh_tes_in!W33=0,0,11630*1000*SER_hh_tes_in!W33/SER_hh_num_in!W33)</f>
        <v>25630.660139043779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13359.472861866598</v>
      </c>
      <c r="D3" s="126">
        <f>IF(SER_hh_emi_in!D3=0,0,1000000*SER_hh_emi_in!D3/SER_hh_num_in!D3)</f>
        <v>7858.7549567365504</v>
      </c>
      <c r="E3" s="126">
        <f>IF(SER_hh_emi_in!E3=0,0,1000000*SER_hh_emi_in!E3/SER_hh_num_in!E3)</f>
        <v>9623.9620816588122</v>
      </c>
      <c r="F3" s="126">
        <f>IF(SER_hh_emi_in!F3=0,0,1000000*SER_hh_emi_in!F3/SER_hh_num_in!F3)</f>
        <v>8667.0007702449439</v>
      </c>
      <c r="G3" s="126">
        <f>IF(SER_hh_emi_in!G3=0,0,1000000*SER_hh_emi_in!G3/SER_hh_num_in!G3)</f>
        <v>14538.103560032172</v>
      </c>
      <c r="H3" s="126">
        <f>IF(SER_hh_emi_in!H3=0,0,1000000*SER_hh_emi_in!H3/SER_hh_num_in!H3)</f>
        <v>6996.5390775929154</v>
      </c>
      <c r="I3" s="126">
        <f>IF(SER_hh_emi_in!I3=0,0,1000000*SER_hh_emi_in!I3/SER_hh_num_in!I3)</f>
        <v>3972.6803870739768</v>
      </c>
      <c r="J3" s="126">
        <f>IF(SER_hh_emi_in!J3=0,0,1000000*SER_hh_emi_in!J3/SER_hh_num_in!J3)</f>
        <v>4692.2002536574082</v>
      </c>
      <c r="K3" s="126">
        <f>IF(SER_hh_emi_in!K3=0,0,1000000*SER_hh_emi_in!K3/SER_hh_num_in!K3)</f>
        <v>6063.6764799196235</v>
      </c>
      <c r="L3" s="126">
        <f>IF(SER_hh_emi_in!L3=0,0,1000000*SER_hh_emi_in!L3/SER_hh_num_in!L3)</f>
        <v>6889.7474425060445</v>
      </c>
      <c r="M3" s="126">
        <f>IF(SER_hh_emi_in!M3=0,0,1000000*SER_hh_emi_in!M3/SER_hh_num_in!M3)</f>
        <v>7736.3249610245775</v>
      </c>
      <c r="N3" s="126">
        <f>IF(SER_hh_emi_in!N3=0,0,1000000*SER_hh_emi_in!N3/SER_hh_num_in!N3)</f>
        <v>7333.8533482187049</v>
      </c>
      <c r="O3" s="126">
        <f>IF(SER_hh_emi_in!O3=0,0,1000000*SER_hh_emi_in!O3/SER_hh_num_in!O3)</f>
        <v>2615.4565623472195</v>
      </c>
      <c r="P3" s="126">
        <f>IF(SER_hh_emi_in!P3=0,0,1000000*SER_hh_emi_in!P3/SER_hh_num_in!P3)</f>
        <v>1982.9162255192077</v>
      </c>
      <c r="Q3" s="126">
        <f>IF(SER_hh_emi_in!Q3=0,0,1000000*SER_hh_emi_in!Q3/SER_hh_num_in!Q3)</f>
        <v>3707.3438059038517</v>
      </c>
      <c r="R3" s="126">
        <f>IF(SER_hh_emi_in!R3=0,0,1000000*SER_hh_emi_in!R3/SER_hh_num_in!R3)</f>
        <v>6283.6435735432033</v>
      </c>
      <c r="S3" s="126">
        <f>IF(SER_hh_emi_in!S3=0,0,1000000*SER_hh_emi_in!S3/SER_hh_num_in!S3)</f>
        <v>5276.5266700476459</v>
      </c>
      <c r="T3" s="126">
        <f>IF(SER_hh_emi_in!T3=0,0,1000000*SER_hh_emi_in!T3/SER_hh_num_in!T3)</f>
        <v>5281.7770644125867</v>
      </c>
      <c r="U3" s="126">
        <f>IF(SER_hh_emi_in!U3=0,0,1000000*SER_hh_emi_in!U3/SER_hh_num_in!U3)</f>
        <v>5607.8025656211594</v>
      </c>
      <c r="V3" s="126">
        <f>IF(SER_hh_emi_in!V3=0,0,1000000*SER_hh_emi_in!V3/SER_hh_num_in!V3)</f>
        <v>3398.390583296346</v>
      </c>
      <c r="W3" s="126">
        <f>IF(SER_hh_emi_in!W3=0,0,1000000*SER_hh_emi_in!W3/SER_hh_num_in!W3)</f>
        <v>4514.0348084949592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12373.672781956218</v>
      </c>
      <c r="D4" s="131">
        <f>IF(SER_hh_emi_in!D4=0,0,1000000*SER_hh_emi_in!D4/SER_hh_num_in!D4)</f>
        <v>6239.9826145933985</v>
      </c>
      <c r="E4" s="131">
        <f>IF(SER_hh_emi_in!E4=0,0,1000000*SER_hh_emi_in!E4/SER_hh_num_in!E4)</f>
        <v>7264.7728560957994</v>
      </c>
      <c r="F4" s="131">
        <f>IF(SER_hh_emi_in!F4=0,0,1000000*SER_hh_emi_in!F4/SER_hh_num_in!F4)</f>
        <v>3544.595501267077</v>
      </c>
      <c r="G4" s="131">
        <f>IF(SER_hh_emi_in!G4=0,0,1000000*SER_hh_emi_in!G4/SER_hh_num_in!G4)</f>
        <v>10676.698021863254</v>
      </c>
      <c r="H4" s="131">
        <f>IF(SER_hh_emi_in!H4=0,0,1000000*SER_hh_emi_in!H4/SER_hh_num_in!H4)</f>
        <v>4313.3146815465607</v>
      </c>
      <c r="I4" s="131">
        <f>IF(SER_hh_emi_in!I4=0,0,1000000*SER_hh_emi_in!I4/SER_hh_num_in!I4)</f>
        <v>1656.9592823576688</v>
      </c>
      <c r="J4" s="131">
        <f>IF(SER_hh_emi_in!J4=0,0,1000000*SER_hh_emi_in!J4/SER_hh_num_in!J4)</f>
        <v>1961.6545413395572</v>
      </c>
      <c r="K4" s="131">
        <f>IF(SER_hh_emi_in!K4=0,0,1000000*SER_hh_emi_in!K4/SER_hh_num_in!K4)</f>
        <v>3299.3291383391306</v>
      </c>
      <c r="L4" s="131">
        <f>IF(SER_hh_emi_in!L4=0,0,1000000*SER_hh_emi_in!L4/SER_hh_num_in!L4)</f>
        <v>1802.9631162500139</v>
      </c>
      <c r="M4" s="131">
        <f>IF(SER_hh_emi_in!M4=0,0,1000000*SER_hh_emi_in!M4/SER_hh_num_in!M4)</f>
        <v>987.08220955839306</v>
      </c>
      <c r="N4" s="131">
        <f>IF(SER_hh_emi_in!N4=0,0,1000000*SER_hh_emi_in!N4/SER_hh_num_in!N4)</f>
        <v>18.584139393130226</v>
      </c>
      <c r="O4" s="131">
        <f>IF(SER_hh_emi_in!O4=0,0,1000000*SER_hh_emi_in!O4/SER_hh_num_in!O4)</f>
        <v>51.270725254720496</v>
      </c>
      <c r="P4" s="131">
        <f>IF(SER_hh_emi_in!P4=0,0,1000000*SER_hh_emi_in!P4/SER_hh_num_in!P4)</f>
        <v>120.26950583265969</v>
      </c>
      <c r="Q4" s="131">
        <f>IF(SER_hh_emi_in!Q4=0,0,1000000*SER_hh_emi_in!Q4/SER_hh_num_in!Q4)</f>
        <v>879.88270209310087</v>
      </c>
      <c r="R4" s="131">
        <f>IF(SER_hh_emi_in!R4=0,0,1000000*SER_hh_emi_in!R4/SER_hh_num_in!R4)</f>
        <v>2810.4027738085401</v>
      </c>
      <c r="S4" s="131">
        <f>IF(SER_hh_emi_in!S4=0,0,1000000*SER_hh_emi_in!S4/SER_hh_num_in!S4)</f>
        <v>2307.7684075955749</v>
      </c>
      <c r="T4" s="131">
        <f>IF(SER_hh_emi_in!T4=0,0,1000000*SER_hh_emi_in!T4/SER_hh_num_in!T4)</f>
        <v>2004.5902259199315</v>
      </c>
      <c r="U4" s="131">
        <f>IF(SER_hh_emi_in!U4=0,0,1000000*SER_hh_emi_in!U4/SER_hh_num_in!U4)</f>
        <v>2160.7250455991075</v>
      </c>
      <c r="V4" s="131">
        <f>IF(SER_hh_emi_in!V4=0,0,1000000*SER_hh_emi_in!V4/SER_hh_num_in!V4)</f>
        <v>1095.046352693837</v>
      </c>
      <c r="W4" s="131">
        <f>IF(SER_hh_emi_in!W4=0,0,1000000*SER_hh_emi_in!W4/SER_hh_num_in!W4)</f>
        <v>949.41691255944272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18323.258200741893</v>
      </c>
      <c r="D7" s="133">
        <f>IF(SER_hh_emi_in!D7=0,0,1000000*SER_hh_emi_in!D7/SER_hh_num_in!D7)</f>
        <v>18731.995469256995</v>
      </c>
      <c r="E7" s="133">
        <f>IF(SER_hh_emi_in!E7=0,0,1000000*SER_hh_emi_in!E7/SER_hh_num_in!E7)</f>
        <v>19828.289715761846</v>
      </c>
      <c r="F7" s="133">
        <f>IF(SER_hh_emi_in!F7=0,0,1000000*SER_hh_emi_in!F7/SER_hh_num_in!F7)</f>
        <v>19820.305896847534</v>
      </c>
      <c r="G7" s="133">
        <f>IF(SER_hh_emi_in!G7=0,0,1000000*SER_hh_emi_in!G7/SER_hh_num_in!G7)</f>
        <v>24939.455054650756</v>
      </c>
      <c r="H7" s="133">
        <f>IF(SER_hh_emi_in!H7=0,0,1000000*SER_hh_emi_in!H7/SER_hh_num_in!H7)</f>
        <v>26496.222213082983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19837.134632522615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26013.254633925975</v>
      </c>
      <c r="S7" s="133">
        <f>IF(SER_hh_emi_in!S7=0,0,1000000*SER_hh_emi_in!S7/SER_hh_num_in!S7)</f>
        <v>13869.579986089384</v>
      </c>
      <c r="T7" s="133">
        <f>IF(SER_hh_emi_in!T7=0,0,1000000*SER_hh_emi_in!T7/SER_hh_num_in!T7)</f>
        <v>13743.201655680052</v>
      </c>
      <c r="U7" s="133">
        <f>IF(SER_hh_emi_in!U7=0,0,1000000*SER_hh_emi_in!U7/SER_hh_num_in!U7)</f>
        <v>15644.931506008406</v>
      </c>
      <c r="V7" s="133">
        <f>IF(SER_hh_emi_in!V7=0,0,1000000*SER_hh_emi_in!V7/SER_hh_num_in!V7)</f>
        <v>15087.003082233119</v>
      </c>
      <c r="W7" s="133">
        <f>IF(SER_hh_emi_in!W7=0,0,1000000*SER_hh_emi_in!W7/SER_hh_num_in!W7)</f>
        <v>11326.362526063192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4206.7430464893105</v>
      </c>
      <c r="D8" s="133">
        <f>IF(SER_hh_emi_in!D8=0,0,1000000*SER_hh_emi_in!D8/SER_hh_num_in!D8)</f>
        <v>4205.3688032020018</v>
      </c>
      <c r="E8" s="133">
        <f>IF(SER_hh_emi_in!E8=0,0,1000000*SER_hh_emi_in!E8/SER_hh_num_in!E8)</f>
        <v>4208.5142266259118</v>
      </c>
      <c r="F8" s="133">
        <f>IF(SER_hh_emi_in!F8=0,0,1000000*SER_hh_emi_in!F8/SER_hh_num_in!F8)</f>
        <v>4805.0391778399562</v>
      </c>
      <c r="G8" s="133">
        <f>IF(SER_hh_emi_in!G8=0,0,1000000*SER_hh_emi_in!G8/SER_hh_num_in!G8)</f>
        <v>5603.794297800413</v>
      </c>
      <c r="H8" s="133">
        <f>IF(SER_hh_emi_in!H8=0,0,1000000*SER_hh_emi_in!H8/SER_hh_num_in!H8)</f>
        <v>5340.2887456977769</v>
      </c>
      <c r="I8" s="133">
        <f>IF(SER_hh_emi_in!I8=0,0,1000000*SER_hh_emi_in!I8/SER_hh_num_in!I8)</f>
        <v>5169.4612432396261</v>
      </c>
      <c r="J8" s="133">
        <f>IF(SER_hh_emi_in!J8=0,0,1000000*SER_hh_emi_in!J8/SER_hh_num_in!J8)</f>
        <v>4895.6138517570598</v>
      </c>
      <c r="K8" s="133">
        <f>IF(SER_hh_emi_in!K8=0,0,1000000*SER_hh_emi_in!K8/SER_hh_num_in!K8)</f>
        <v>4210.342110086076</v>
      </c>
      <c r="L8" s="133">
        <f>IF(SER_hh_emi_in!L8=0,0,1000000*SER_hh_emi_in!L8/SER_hh_num_in!L8)</f>
        <v>3235.4462711444085</v>
      </c>
      <c r="M8" s="133">
        <f>IF(SER_hh_emi_in!M8=0,0,1000000*SER_hh_emi_in!M8/SER_hh_num_in!M8)</f>
        <v>2254.3054189248996</v>
      </c>
      <c r="N8" s="133">
        <f>IF(SER_hh_emi_in!N8=0,0,1000000*SER_hh_emi_in!N8/SER_hh_num_in!N8)</f>
        <v>1448.9615089960339</v>
      </c>
      <c r="O8" s="133">
        <f>IF(SER_hh_emi_in!O8=0,0,1000000*SER_hh_emi_in!O8/SER_hh_num_in!O8)</f>
        <v>1670.0218877757102</v>
      </c>
      <c r="P8" s="133">
        <f>IF(SER_hh_emi_in!P8=0,0,1000000*SER_hh_emi_in!P8/SER_hh_num_in!P8)</f>
        <v>2424.577487824582</v>
      </c>
      <c r="Q8" s="133">
        <f>IF(SER_hh_emi_in!Q8=0,0,1000000*SER_hh_emi_in!Q8/SER_hh_num_in!Q8)</f>
        <v>3771.6260136820515</v>
      </c>
      <c r="R8" s="133">
        <f>IF(SER_hh_emi_in!R8=0,0,1000000*SER_hh_emi_in!R8/SER_hh_num_in!R8)</f>
        <v>3184.4810364314376</v>
      </c>
      <c r="S8" s="133">
        <f>IF(SER_hh_emi_in!S8=0,0,1000000*SER_hh_emi_in!S8/SER_hh_num_in!S8)</f>
        <v>2849.0483032828884</v>
      </c>
      <c r="T8" s="133">
        <f>IF(SER_hh_emi_in!T8=0,0,1000000*SER_hh_emi_in!T8/SER_hh_num_in!T8)</f>
        <v>2585.757059929595</v>
      </c>
      <c r="U8" s="133">
        <f>IF(SER_hh_emi_in!U8=0,0,1000000*SER_hh_emi_in!U8/SER_hh_num_in!U8)</f>
        <v>2266.1917020507435</v>
      </c>
      <c r="V8" s="133">
        <f>IF(SER_hh_emi_in!V8=0,0,1000000*SER_hh_emi_in!V8/SER_hh_num_in!V8)</f>
        <v>2212.1312202133681</v>
      </c>
      <c r="W8" s="133">
        <f>IF(SER_hh_emi_in!W8=0,0,1000000*SER_hh_emi_in!W8/SER_hh_num_in!W8)</f>
        <v>1909.8067606701443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9381.2052953209368</v>
      </c>
      <c r="D9" s="133">
        <f>IF(SER_hh_emi_in!D9=0,0,1000000*SER_hh_emi_in!D9/SER_hh_num_in!D9)</f>
        <v>9334.883108444028</v>
      </c>
      <c r="E9" s="133">
        <f>IF(SER_hh_emi_in!E9=0,0,1000000*SER_hh_emi_in!E9/SER_hh_num_in!E9)</f>
        <v>10465.585722235353</v>
      </c>
      <c r="F9" s="133">
        <f>IF(SER_hh_emi_in!F9=0,0,1000000*SER_hh_emi_in!F9/SER_hh_num_in!F9)</f>
        <v>12779.774758479884</v>
      </c>
      <c r="G9" s="133">
        <f>IF(SER_hh_emi_in!G9=0,0,1000000*SER_hh_emi_in!G9/SER_hh_num_in!G9)</f>
        <v>16153.573609165696</v>
      </c>
      <c r="H9" s="133">
        <f>IF(SER_hh_emi_in!H9=0,0,1000000*SER_hh_emi_in!H9/SER_hh_num_in!H9)</f>
        <v>16477.799415034333</v>
      </c>
      <c r="I9" s="133">
        <f>IF(SER_hh_emi_in!I9=0,0,1000000*SER_hh_emi_in!I9/SER_hh_num_in!I9)</f>
        <v>16217.623712769391</v>
      </c>
      <c r="J9" s="133">
        <f>IF(SER_hh_emi_in!J9=0,0,1000000*SER_hh_emi_in!J9/SER_hh_num_in!J9)</f>
        <v>17992.55197928394</v>
      </c>
      <c r="K9" s="133">
        <f>IF(SER_hh_emi_in!K9=0,0,1000000*SER_hh_emi_in!K9/SER_hh_num_in!K9)</f>
        <v>16604.075987165103</v>
      </c>
      <c r="L9" s="133">
        <f>IF(SER_hh_emi_in!L9=0,0,1000000*SER_hh_emi_in!L9/SER_hh_num_in!L9)</f>
        <v>12299.522173914378</v>
      </c>
      <c r="M9" s="133">
        <f>IF(SER_hh_emi_in!M9=0,0,1000000*SER_hh_emi_in!M9/SER_hh_num_in!M9)</f>
        <v>15403.635372910141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14244.896597458206</v>
      </c>
      <c r="R9" s="133">
        <f>IF(SER_hh_emi_in!R9=0,0,1000000*SER_hh_emi_in!R9/SER_hh_num_in!R9)</f>
        <v>0</v>
      </c>
      <c r="S9" s="133">
        <f>IF(SER_hh_emi_in!S9=0,0,1000000*SER_hh_emi_in!S9/SER_hh_num_in!S9)</f>
        <v>11881.21025190601</v>
      </c>
      <c r="T9" s="133">
        <f>IF(SER_hh_emi_in!T9=0,0,1000000*SER_hh_emi_in!T9/SER_hh_num_in!T9)</f>
        <v>10491.930605610392</v>
      </c>
      <c r="U9" s="133">
        <f>IF(SER_hh_emi_in!U9=0,0,1000000*SER_hh_emi_in!U9/SER_hh_num_in!U9)</f>
        <v>10965.067036073167</v>
      </c>
      <c r="V9" s="133">
        <f>IF(SER_hh_emi_in!V9=0,0,1000000*SER_hh_emi_in!V9/SER_hh_num_in!V9)</f>
        <v>8870.9363548875208</v>
      </c>
      <c r="W9" s="133">
        <f>IF(SER_hh_emi_in!W9=0,0,1000000*SER_hh_emi_in!W9/SER_hh_num_in!W9)</f>
        <v>7983.6954776302964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4.1916932821338069</v>
      </c>
      <c r="D16" s="131">
        <f>IF(SER_hh_emi_in!D16=0,0,1000000*SER_hh_emi_in!D16/SER_hh_num_in!D16)</f>
        <v>10.722817431135512</v>
      </c>
      <c r="E16" s="131">
        <f>IF(SER_hh_emi_in!E16=0,0,1000000*SER_hh_emi_in!E16/SER_hh_num_in!E16)</f>
        <v>0.92666256009007664</v>
      </c>
      <c r="F16" s="131">
        <f>IF(SER_hh_emi_in!F16=0,0,1000000*SER_hh_emi_in!F16/SER_hh_num_in!F16)</f>
        <v>25.844644443465231</v>
      </c>
      <c r="G16" s="131">
        <f>IF(SER_hh_emi_in!G16=0,0,1000000*SER_hh_emi_in!G16/SER_hh_num_in!G16)</f>
        <v>28.539195804364489</v>
      </c>
      <c r="H16" s="131">
        <f>IF(SER_hh_emi_in!H16=0,0,1000000*SER_hh_emi_in!H16/SER_hh_num_in!H16)</f>
        <v>26.941097383755871</v>
      </c>
      <c r="I16" s="131">
        <f>IF(SER_hh_emi_in!I16=0,0,1000000*SER_hh_emi_in!I16/SER_hh_num_in!I16)</f>
        <v>0.13173550553547639</v>
      </c>
      <c r="J16" s="131">
        <f>IF(SER_hh_emi_in!J16=0,0,1000000*SER_hh_emi_in!J16/SER_hh_num_in!J16)</f>
        <v>51.936396111590504</v>
      </c>
      <c r="K16" s="131">
        <f>IF(SER_hh_emi_in!K16=0,0,1000000*SER_hh_emi_in!K16/SER_hh_num_in!K16)</f>
        <v>85.813163477953012</v>
      </c>
      <c r="L16" s="131">
        <f>IF(SER_hh_emi_in!L16=0,0,1000000*SER_hh_emi_in!L16/SER_hh_num_in!L16)</f>
        <v>120.12378112249186</v>
      </c>
      <c r="M16" s="131">
        <f>IF(SER_hh_emi_in!M16=0,0,1000000*SER_hh_emi_in!M16/SER_hh_num_in!M16)</f>
        <v>116.2350004986445</v>
      </c>
      <c r="N16" s="131">
        <f>IF(SER_hh_emi_in!N16=0,0,1000000*SER_hh_emi_in!N16/SER_hh_num_in!N16)</f>
        <v>87.566319438295977</v>
      </c>
      <c r="O16" s="131">
        <f>IF(SER_hh_emi_in!O16=0,0,1000000*SER_hh_emi_in!O16/SER_hh_num_in!O16)</f>
        <v>183.83902659069113</v>
      </c>
      <c r="P16" s="131">
        <f>IF(SER_hh_emi_in!P16=0,0,1000000*SER_hh_emi_in!P16/SER_hh_num_in!P16)</f>
        <v>145.36370885382053</v>
      </c>
      <c r="Q16" s="131">
        <f>IF(SER_hh_emi_in!Q16=0,0,1000000*SER_hh_emi_in!Q16/SER_hh_num_in!Q16)</f>
        <v>123.18103630291303</v>
      </c>
      <c r="R16" s="131">
        <f>IF(SER_hh_emi_in!R16=0,0,1000000*SER_hh_emi_in!R16/SER_hh_num_in!R16)</f>
        <v>101.57160081200712</v>
      </c>
      <c r="S16" s="131">
        <f>IF(SER_hh_emi_in!S16=0,0,1000000*SER_hh_emi_in!S16/SER_hh_num_in!S16)</f>
        <v>120.95866971816008</v>
      </c>
      <c r="T16" s="131">
        <f>IF(SER_hh_emi_in!T16=0,0,1000000*SER_hh_emi_in!T16/SER_hh_num_in!T16)</f>
        <v>160.95119855875049</v>
      </c>
      <c r="U16" s="131">
        <f>IF(SER_hh_emi_in!U16=0,0,1000000*SER_hh_emi_in!U16/SER_hh_num_in!U16)</f>
        <v>109.64142546234052</v>
      </c>
      <c r="V16" s="131">
        <f>IF(SER_hh_emi_in!V16=0,0,1000000*SER_hh_emi_in!V16/SER_hh_num_in!V16)</f>
        <v>164.98564160106648</v>
      </c>
      <c r="W16" s="131">
        <f>IF(SER_hh_emi_in!W16=0,0,1000000*SER_hh_emi_in!W16/SER_hh_num_in!W16)</f>
        <v>92.717360490169384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5787.052140617031</v>
      </c>
      <c r="D17" s="133">
        <f>IF(SER_hh_emi_in!D17=0,0,1000000*SER_hh_emi_in!D17/SER_hh_num_in!D17)</f>
        <v>4762.0095687921566</v>
      </c>
      <c r="E17" s="133">
        <f>IF(SER_hh_emi_in!E17=0,0,1000000*SER_hh_emi_in!E17/SER_hh_num_in!E17)</f>
        <v>6053.7010449901891</v>
      </c>
      <c r="F17" s="133">
        <f>IF(SER_hh_emi_in!F17=0,0,1000000*SER_hh_emi_in!F17/SER_hh_num_in!F17)</f>
        <v>3932.9186809347161</v>
      </c>
      <c r="G17" s="133">
        <f>IF(SER_hh_emi_in!G17=0,0,1000000*SER_hh_emi_in!G17/SER_hh_num_in!G17)</f>
        <v>4106.7970282607657</v>
      </c>
      <c r="H17" s="133">
        <f>IF(SER_hh_emi_in!H17=0,0,1000000*SER_hh_emi_in!H17/SER_hh_num_in!H17)</f>
        <v>4856.956075846384</v>
      </c>
      <c r="I17" s="133">
        <f>IF(SER_hh_emi_in!I17=0,0,1000000*SER_hh_emi_in!I17/SER_hh_num_in!I17)</f>
        <v>7371.2277237820927</v>
      </c>
      <c r="J17" s="133">
        <f>IF(SER_hh_emi_in!J17=0,0,1000000*SER_hh_emi_in!J17/SER_hh_num_in!J17)</f>
        <v>7051.1789256542115</v>
      </c>
      <c r="K17" s="133">
        <f>IF(SER_hh_emi_in!K17=0,0,1000000*SER_hh_emi_in!K17/SER_hh_num_in!K17)</f>
        <v>5947.0643829076807</v>
      </c>
      <c r="L17" s="133">
        <f>IF(SER_hh_emi_in!L17=0,0,1000000*SER_hh_emi_in!L17/SER_hh_num_in!L17)</f>
        <v>6135.7390662607331</v>
      </c>
      <c r="M17" s="133">
        <f>IF(SER_hh_emi_in!M17=0,0,1000000*SER_hh_emi_in!M17/SER_hh_num_in!M17)</f>
        <v>4945.0797038422552</v>
      </c>
      <c r="N17" s="133">
        <f>IF(SER_hh_emi_in!N17=0,0,1000000*SER_hh_emi_in!N17/SER_hh_num_in!N17)</f>
        <v>7651.7529770103974</v>
      </c>
      <c r="O17" s="133">
        <f>IF(SER_hh_emi_in!O17=0,0,1000000*SER_hh_emi_in!O17/SER_hh_num_in!O17)</f>
        <v>4569.0920809423978</v>
      </c>
      <c r="P17" s="133">
        <f>IF(SER_hh_emi_in!P17=0,0,1000000*SER_hh_emi_in!P17/SER_hh_num_in!P17)</f>
        <v>3772.888169165717</v>
      </c>
      <c r="Q17" s="133">
        <f>IF(SER_hh_emi_in!Q17=0,0,1000000*SER_hh_emi_in!Q17/SER_hh_num_in!Q17)</f>
        <v>4463.7882215434884</v>
      </c>
      <c r="R17" s="133">
        <f>IF(SER_hh_emi_in!R17=0,0,1000000*SER_hh_emi_in!R17/SER_hh_num_in!R17)</f>
        <v>4614.5604759541338</v>
      </c>
      <c r="S17" s="133">
        <f>IF(SER_hh_emi_in!S17=0,0,1000000*SER_hh_emi_in!S17/SER_hh_num_in!S17)</f>
        <v>4429.3871830999888</v>
      </c>
      <c r="T17" s="133">
        <f>IF(SER_hh_emi_in!T17=0,0,1000000*SER_hh_emi_in!T17/SER_hh_num_in!T17)</f>
        <v>3496.3995039948736</v>
      </c>
      <c r="U17" s="133">
        <f>IF(SER_hh_emi_in!U17=0,0,1000000*SER_hh_emi_in!U17/SER_hh_num_in!U17)</f>
        <v>3969.0140049516908</v>
      </c>
      <c r="V17" s="133">
        <f>IF(SER_hh_emi_in!V17=0,0,1000000*SER_hh_emi_in!V17/SER_hh_num_in!V17)</f>
        <v>3057.3439454210279</v>
      </c>
      <c r="W17" s="133">
        <f>IF(SER_hh_emi_in!W17=0,0,1000000*SER_hh_emi_in!W17/SER_hh_num_in!W17)</f>
        <v>3553.2021276405098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840.37593830808908</v>
      </c>
      <c r="D19" s="131">
        <f>IF(SER_hh_emi_in!D19=0,0,1000000*SER_hh_emi_in!D19/SER_hh_num_in!D19)</f>
        <v>988.05580780629953</v>
      </c>
      <c r="E19" s="131">
        <f>IF(SER_hh_emi_in!E19=0,0,1000000*SER_hh_emi_in!E19/SER_hh_num_in!E19)</f>
        <v>974.89029329476455</v>
      </c>
      <c r="F19" s="131">
        <f>IF(SER_hh_emi_in!F19=0,0,1000000*SER_hh_emi_in!F19/SER_hh_num_in!F19)</f>
        <v>1069.8569754564378</v>
      </c>
      <c r="G19" s="131">
        <f>IF(SER_hh_emi_in!G19=0,0,1000000*SER_hh_emi_in!G19/SER_hh_num_in!G19)</f>
        <v>1842.3994936376839</v>
      </c>
      <c r="H19" s="131">
        <f>IF(SER_hh_emi_in!H19=0,0,1000000*SER_hh_emi_in!H19/SER_hh_num_in!H19)</f>
        <v>1537.6023827853921</v>
      </c>
      <c r="I19" s="131">
        <f>IF(SER_hh_emi_in!I19=0,0,1000000*SER_hh_emi_in!I19/SER_hh_num_in!I19)</f>
        <v>1687.9870892375723</v>
      </c>
      <c r="J19" s="131">
        <f>IF(SER_hh_emi_in!J19=0,0,1000000*SER_hh_emi_in!J19/SER_hh_num_in!J19)</f>
        <v>1367.609753113954</v>
      </c>
      <c r="K19" s="131">
        <f>IF(SER_hh_emi_in!K19=0,0,1000000*SER_hh_emi_in!K19/SER_hh_num_in!K19)</f>
        <v>1209.7661800732753</v>
      </c>
      <c r="L19" s="131">
        <f>IF(SER_hh_emi_in!L19=0,0,1000000*SER_hh_emi_in!L19/SER_hh_num_in!L19)</f>
        <v>2361.9175097814555</v>
      </c>
      <c r="M19" s="131">
        <f>IF(SER_hh_emi_in!M19=0,0,1000000*SER_hh_emi_in!M19/SER_hh_num_in!M19)</f>
        <v>1588.0105413007275</v>
      </c>
      <c r="N19" s="131">
        <f>IF(SER_hh_emi_in!N19=0,0,1000000*SER_hh_emi_in!N19/SER_hh_num_in!N19)</f>
        <v>1113.6791642563162</v>
      </c>
      <c r="O19" s="131">
        <f>IF(SER_hh_emi_in!O19=0,0,1000000*SER_hh_emi_in!O19/SER_hh_num_in!O19)</f>
        <v>1054.3832056502345</v>
      </c>
      <c r="P19" s="131">
        <f>IF(SER_hh_emi_in!P19=0,0,1000000*SER_hh_emi_in!P19/SER_hh_num_in!P19)</f>
        <v>1081.1293318011972</v>
      </c>
      <c r="Q19" s="131">
        <f>IF(SER_hh_emi_in!Q19=0,0,1000000*SER_hh_emi_in!Q19/SER_hh_num_in!Q19)</f>
        <v>1218.9592001801557</v>
      </c>
      <c r="R19" s="131">
        <f>IF(SER_hh_emi_in!R19=0,0,1000000*SER_hh_emi_in!R19/SER_hh_num_in!R19)</f>
        <v>1165.6278355828688</v>
      </c>
      <c r="S19" s="131">
        <f>IF(SER_hh_emi_in!S19=0,0,1000000*SER_hh_emi_in!S19/SER_hh_num_in!S19)</f>
        <v>1160.1799303989962</v>
      </c>
      <c r="T19" s="131">
        <f>IF(SER_hh_emi_in!T19=0,0,1000000*SER_hh_emi_in!T19/SER_hh_num_in!T19)</f>
        <v>829.46340882527466</v>
      </c>
      <c r="U19" s="131">
        <f>IF(SER_hh_emi_in!U19=0,0,1000000*SER_hh_emi_in!U19/SER_hh_num_in!U19)</f>
        <v>783.17717883412593</v>
      </c>
      <c r="V19" s="131">
        <f>IF(SER_hh_emi_in!V19=0,0,1000000*SER_hh_emi_in!V19/SER_hh_num_in!V19)</f>
        <v>709.24371626139441</v>
      </c>
      <c r="W19" s="131">
        <f>IF(SER_hh_emi_in!W19=0,0,1000000*SER_hh_emi_in!W19/SER_hh_num_in!W19)</f>
        <v>778.5720788565028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9338.9448370466016</v>
      </c>
      <c r="D21" s="133">
        <f>IF(SER_hh_emi_in!D21=0,0,1000000*SER_hh_emi_in!D21/SER_hh_num_in!D21)</f>
        <v>9613.1808799554292</v>
      </c>
      <c r="E21" s="133">
        <f>IF(SER_hh_emi_in!E21=0,0,1000000*SER_hh_emi_in!E21/SER_hh_num_in!E21)</f>
        <v>9290.4123101553869</v>
      </c>
      <c r="F21" s="133">
        <f>IF(SER_hh_emi_in!F21=0,0,1000000*SER_hh_emi_in!F21/SER_hh_num_in!F21)</f>
        <v>9404.5832676259233</v>
      </c>
      <c r="G21" s="133">
        <f>IF(SER_hh_emi_in!G21=0,0,1000000*SER_hh_emi_in!G21/SER_hh_num_in!G21)</f>
        <v>9971.200573454209</v>
      </c>
      <c r="H21" s="133">
        <f>IF(SER_hh_emi_in!H21=0,0,1000000*SER_hh_emi_in!H21/SER_hh_num_in!H21)</f>
        <v>9608.8447809718891</v>
      </c>
      <c r="I21" s="133">
        <f>IF(SER_hh_emi_in!I21=0,0,1000000*SER_hh_emi_in!I21/SER_hh_num_in!I21)</f>
        <v>10080.641697179733</v>
      </c>
      <c r="J21" s="133">
        <f>IF(SER_hh_emi_in!J21=0,0,1000000*SER_hh_emi_in!J21/SER_hh_num_in!J21)</f>
        <v>9773.3947173933539</v>
      </c>
      <c r="K21" s="133">
        <f>IF(SER_hh_emi_in!K21=0,0,1000000*SER_hh_emi_in!K21/SER_hh_num_in!K21)</f>
        <v>8577.6245652486923</v>
      </c>
      <c r="L21" s="133">
        <f>IF(SER_hh_emi_in!L21=0,0,1000000*SER_hh_emi_in!L21/SER_hh_num_in!L21)</f>
        <v>10175.729201783417</v>
      </c>
      <c r="M21" s="133">
        <f>IF(SER_hh_emi_in!M21=0,0,1000000*SER_hh_emi_in!M21/SER_hh_num_in!M21)</f>
        <v>9937.0932692591414</v>
      </c>
      <c r="N21" s="133">
        <f>IF(SER_hh_emi_in!N21=0,0,1000000*SER_hh_emi_in!N21/SER_hh_num_in!N21)</f>
        <v>10100.276588636118</v>
      </c>
      <c r="O21" s="133">
        <f>IF(SER_hh_emi_in!O21=0,0,1000000*SER_hh_emi_in!O21/SER_hh_num_in!O21)</f>
        <v>9569.6299628894812</v>
      </c>
      <c r="P21" s="133">
        <f>IF(SER_hh_emi_in!P21=0,0,1000000*SER_hh_emi_in!P21/SER_hh_num_in!P21)</f>
        <v>8825.9148270008845</v>
      </c>
      <c r="Q21" s="133">
        <f>IF(SER_hh_emi_in!Q21=0,0,1000000*SER_hh_emi_in!Q21/SER_hh_num_in!Q21)</f>
        <v>8111.5449747656858</v>
      </c>
      <c r="R21" s="133">
        <f>IF(SER_hh_emi_in!R21=0,0,1000000*SER_hh_emi_in!R21/SER_hh_num_in!R21)</f>
        <v>7662.7984302898949</v>
      </c>
      <c r="S21" s="133">
        <f>IF(SER_hh_emi_in!S21=0,0,1000000*SER_hh_emi_in!S21/SER_hh_num_in!S21)</f>
        <v>8165.1772002964854</v>
      </c>
      <c r="T21" s="133">
        <f>IF(SER_hh_emi_in!T21=0,0,1000000*SER_hh_emi_in!T21/SER_hh_num_in!T21)</f>
        <v>7737.6009877030492</v>
      </c>
      <c r="U21" s="133">
        <f>IF(SER_hh_emi_in!U21=0,0,1000000*SER_hh_emi_in!U21/SER_hh_num_in!U21)</f>
        <v>7610.2132074338388</v>
      </c>
      <c r="V21" s="133">
        <f>IF(SER_hh_emi_in!V21=0,0,1000000*SER_hh_emi_in!V21/SER_hh_num_in!V21)</f>
        <v>4760.0754075988007</v>
      </c>
      <c r="W21" s="133">
        <f>IF(SER_hh_emi_in!W21=0,0,1000000*SER_hh_emi_in!W21/SER_hh_num_in!W21)</f>
        <v>6049.2958492018952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11631.202479480555</v>
      </c>
      <c r="D22" s="133">
        <f>IF(SER_hh_emi_in!D22=0,0,1000000*SER_hh_emi_in!D22/SER_hh_num_in!D22)</f>
        <v>12007.096828432865</v>
      </c>
      <c r="E22" s="133">
        <f>IF(SER_hh_emi_in!E22=0,0,1000000*SER_hh_emi_in!E22/SER_hh_num_in!E22)</f>
        <v>11919.914109674759</v>
      </c>
      <c r="F22" s="133">
        <f>IF(SER_hh_emi_in!F22=0,0,1000000*SER_hh_emi_in!F22/SER_hh_num_in!F22)</f>
        <v>12053.991641789869</v>
      </c>
      <c r="G22" s="133">
        <f>IF(SER_hh_emi_in!G22=0,0,1000000*SER_hh_emi_in!G22/SER_hh_num_in!G22)</f>
        <v>12651.129267534545</v>
      </c>
      <c r="H22" s="133">
        <f>IF(SER_hh_emi_in!H22=0,0,1000000*SER_hh_emi_in!H22/SER_hh_num_in!H22)</f>
        <v>12356.627601370725</v>
      </c>
      <c r="I22" s="133">
        <f>IF(SER_hh_emi_in!I22=0,0,1000000*SER_hh_emi_in!I22/SER_hh_num_in!I22)</f>
        <v>12109.598856979423</v>
      </c>
      <c r="J22" s="133">
        <f>IF(SER_hh_emi_in!J22=0,0,1000000*SER_hh_emi_in!J22/SER_hh_num_in!J22)</f>
        <v>11844.793521377842</v>
      </c>
      <c r="K22" s="133">
        <f>IF(SER_hh_emi_in!K22=0,0,1000000*SER_hh_emi_in!K22/SER_hh_num_in!K22)</f>
        <v>10262.966690205971</v>
      </c>
      <c r="L22" s="133">
        <f>IF(SER_hh_emi_in!L22=0,0,1000000*SER_hh_emi_in!L22/SER_hh_num_in!L22)</f>
        <v>12486.548914849693</v>
      </c>
      <c r="M22" s="133">
        <f>IF(SER_hh_emi_in!M22=0,0,1000000*SER_hh_emi_in!M22/SER_hh_num_in!M22)</f>
        <v>12480.587886941854</v>
      </c>
      <c r="N22" s="133">
        <f>IF(SER_hh_emi_in!N22=0,0,1000000*SER_hh_emi_in!N22/SER_hh_num_in!N22)</f>
        <v>10658.208445353221</v>
      </c>
      <c r="O22" s="133">
        <f>IF(SER_hh_emi_in!O22=0,0,1000000*SER_hh_emi_in!O22/SER_hh_num_in!O22)</f>
        <v>10964.066914548683</v>
      </c>
      <c r="P22" s="133">
        <f>IF(SER_hh_emi_in!P22=0,0,1000000*SER_hh_emi_in!P22/SER_hh_num_in!P22)</f>
        <v>10875.828890936311</v>
      </c>
      <c r="Q22" s="133">
        <f>IF(SER_hh_emi_in!Q22=0,0,1000000*SER_hh_emi_in!Q22/SER_hh_num_in!Q22)</f>
        <v>9725.3765250831948</v>
      </c>
      <c r="R22" s="133">
        <f>IF(SER_hh_emi_in!R22=0,0,1000000*SER_hh_emi_in!R22/SER_hh_num_in!R22)</f>
        <v>8892.32850675997</v>
      </c>
      <c r="S22" s="133">
        <f>IF(SER_hh_emi_in!S22=0,0,1000000*SER_hh_emi_in!S22/SER_hh_num_in!S22)</f>
        <v>9850.9689596736225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7424.1399277529654</v>
      </c>
      <c r="D23" s="133">
        <f>IF(SER_hh_emi_in!D23=0,0,1000000*SER_hh_emi_in!D23/SER_hh_num_in!D23)</f>
        <v>7558.6673271745331</v>
      </c>
      <c r="E23" s="133">
        <f>IF(SER_hh_emi_in!E23=0,0,1000000*SER_hh_emi_in!E23/SER_hh_num_in!E23)</f>
        <v>7034.1104967799247</v>
      </c>
      <c r="F23" s="133">
        <f>IF(SER_hh_emi_in!F23=0,0,1000000*SER_hh_emi_in!F23/SER_hh_num_in!F23)</f>
        <v>6298.3949302703977</v>
      </c>
      <c r="G23" s="133">
        <f>IF(SER_hh_emi_in!G23=0,0,1000000*SER_hh_emi_in!G23/SER_hh_num_in!G23)</f>
        <v>8218.1825048888168</v>
      </c>
      <c r="H23" s="133">
        <f>IF(SER_hh_emi_in!H23=0,0,1000000*SER_hh_emi_in!H23/SER_hh_num_in!H23)</f>
        <v>7703.6457048227512</v>
      </c>
      <c r="I23" s="133">
        <f>IF(SER_hh_emi_in!I23=0,0,1000000*SER_hh_emi_in!I23/SER_hh_num_in!I23)</f>
        <v>8030.6831133074966</v>
      </c>
      <c r="J23" s="133">
        <f>IF(SER_hh_emi_in!J23=0,0,1000000*SER_hh_emi_in!J23/SER_hh_num_in!J23)</f>
        <v>7762.0021107511211</v>
      </c>
      <c r="K23" s="133">
        <f>IF(SER_hh_emi_in!K23=0,0,1000000*SER_hh_emi_in!K23/SER_hh_num_in!K23)</f>
        <v>6909.1508550110611</v>
      </c>
      <c r="L23" s="133">
        <f>IF(SER_hh_emi_in!L23=0,0,1000000*SER_hh_emi_in!L23/SER_hh_num_in!L23)</f>
        <v>8455.8796879379661</v>
      </c>
      <c r="M23" s="133">
        <f>IF(SER_hh_emi_in!M23=0,0,1000000*SER_hh_emi_in!M23/SER_hh_num_in!M23)</f>
        <v>7612.0147130763407</v>
      </c>
      <c r="N23" s="133">
        <f>IF(SER_hh_emi_in!N23=0,0,1000000*SER_hh_emi_in!N23/SER_hh_num_in!N23)</f>
        <v>7458.9130959448594</v>
      </c>
      <c r="O23" s="133">
        <f>IF(SER_hh_emi_in!O23=0,0,1000000*SER_hh_emi_in!O23/SER_hh_num_in!O23)</f>
        <v>7168.4806973614595</v>
      </c>
      <c r="P23" s="133">
        <f>IF(SER_hh_emi_in!P23=0,0,1000000*SER_hh_emi_in!P23/SER_hh_num_in!P23)</f>
        <v>6555.4334721697142</v>
      </c>
      <c r="Q23" s="133">
        <f>IF(SER_hh_emi_in!Q23=0,0,1000000*SER_hh_emi_in!Q23/SER_hh_num_in!Q23)</f>
        <v>6797.5311986713759</v>
      </c>
      <c r="R23" s="133">
        <f>IF(SER_hh_emi_in!R23=0,0,1000000*SER_hh_emi_in!R23/SER_hh_num_in!R23)</f>
        <v>6258.5345015919693</v>
      </c>
      <c r="S23" s="133">
        <f>IF(SER_hh_emi_in!S23=0,0,1000000*SER_hh_emi_in!S23/SER_hh_num_in!S23)</f>
        <v>6272.5518592078306</v>
      </c>
      <c r="T23" s="133">
        <f>IF(SER_hh_emi_in!T23=0,0,1000000*SER_hh_emi_in!T23/SER_hh_num_in!T23)</f>
        <v>5817.6778340527999</v>
      </c>
      <c r="U23" s="133">
        <f>IF(SER_hh_emi_in!U23=0,0,1000000*SER_hh_emi_in!U23/SER_hh_num_in!U23)</f>
        <v>5363.1271337937442</v>
      </c>
      <c r="V23" s="133">
        <f>IF(SER_hh_emi_in!V23=0,0,1000000*SER_hh_emi_in!V23/SER_hh_num_in!V23)</f>
        <v>4675.170869597895</v>
      </c>
      <c r="W23" s="133">
        <f>IF(SER_hh_emi_in!W23=0,0,1000000*SER_hh_emi_in!W23/SER_hh_num_in!W23)</f>
        <v>5027.9001334244631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141.23244832015888</v>
      </c>
      <c r="D29" s="131">
        <f>IF(SER_hh_emi_in!D29=0,0,1000000*SER_hh_emi_in!D29/SER_hh_num_in!D29)</f>
        <v>619.99371690571581</v>
      </c>
      <c r="E29" s="131">
        <f>IF(SER_hh_emi_in!E29=0,0,1000000*SER_hh_emi_in!E29/SER_hh_num_in!E29)</f>
        <v>1383.3722697081596</v>
      </c>
      <c r="F29" s="131">
        <f>IF(SER_hh_emi_in!F29=0,0,1000000*SER_hh_emi_in!F29/SER_hh_num_in!F29)</f>
        <v>4026.7036490779637</v>
      </c>
      <c r="G29" s="131">
        <f>IF(SER_hh_emi_in!G29=0,0,1000000*SER_hh_emi_in!G29/SER_hh_num_in!G29)</f>
        <v>1990.4668487268691</v>
      </c>
      <c r="H29" s="131">
        <f>IF(SER_hh_emi_in!H29=0,0,1000000*SER_hh_emi_in!H29/SER_hh_num_in!H29)</f>
        <v>1118.6809158772085</v>
      </c>
      <c r="I29" s="131">
        <f>IF(SER_hh_emi_in!I29=0,0,1000000*SER_hh_emi_in!I29/SER_hh_num_in!I29)</f>
        <v>627.60227997319953</v>
      </c>
      <c r="J29" s="131">
        <f>IF(SER_hh_emi_in!J29=0,0,1000000*SER_hh_emi_in!J29/SER_hh_num_in!J29)</f>
        <v>1310.9995630923063</v>
      </c>
      <c r="K29" s="131">
        <f>IF(SER_hh_emi_in!K29=0,0,1000000*SER_hh_emi_in!K29/SER_hh_num_in!K29)</f>
        <v>1468.7679980292651</v>
      </c>
      <c r="L29" s="131">
        <f>IF(SER_hh_emi_in!L29=0,0,1000000*SER_hh_emi_in!L29/SER_hh_num_in!L29)</f>
        <v>2604.7430353520826</v>
      </c>
      <c r="M29" s="131">
        <f>IF(SER_hh_emi_in!M29=0,0,1000000*SER_hh_emi_in!M29/SER_hh_num_in!M29)</f>
        <v>5044.9972096668116</v>
      </c>
      <c r="N29" s="131">
        <f>IF(SER_hh_emi_in!N29=0,0,1000000*SER_hh_emi_in!N29/SER_hh_num_in!N29)</f>
        <v>6114.0237251309627</v>
      </c>
      <c r="O29" s="131">
        <f>IF(SER_hh_emi_in!O29=0,0,1000000*SER_hh_emi_in!O29/SER_hh_num_in!O29)</f>
        <v>1325.9636048515731</v>
      </c>
      <c r="P29" s="131">
        <f>IF(SER_hh_emi_in!P29=0,0,1000000*SER_hh_emi_in!P29/SER_hh_num_in!P29)</f>
        <v>636.15367903153094</v>
      </c>
      <c r="Q29" s="131">
        <f>IF(SER_hh_emi_in!Q29=0,0,1000000*SER_hh_emi_in!Q29/SER_hh_num_in!Q29)</f>
        <v>1485.320867327682</v>
      </c>
      <c r="R29" s="131">
        <f>IF(SER_hh_emi_in!R29=0,0,1000000*SER_hh_emi_in!R29/SER_hh_num_in!R29)</f>
        <v>2206.0413633397879</v>
      </c>
      <c r="S29" s="131">
        <f>IF(SER_hh_emi_in!S29=0,0,1000000*SER_hh_emi_in!S29/SER_hh_num_in!S29)</f>
        <v>1687.6196623349147</v>
      </c>
      <c r="T29" s="131">
        <f>IF(SER_hh_emi_in!T29=0,0,1000000*SER_hh_emi_in!T29/SER_hh_num_in!T29)</f>
        <v>2286.7722311086309</v>
      </c>
      <c r="U29" s="131">
        <f>IF(SER_hh_emi_in!U29=0,0,1000000*SER_hh_emi_in!U29/SER_hh_num_in!U29)</f>
        <v>2554.2589157255861</v>
      </c>
      <c r="V29" s="131">
        <f>IF(SER_hh_emi_in!V29=0,0,1000000*SER_hh_emi_in!V29/SER_hh_num_in!V29)</f>
        <v>1429.1148727400478</v>
      </c>
      <c r="W29" s="131">
        <f>IF(SER_hh_emi_in!W29=0,0,1000000*SER_hh_emi_in!W29/SER_hh_num_in!W29)</f>
        <v>2693.3284565888448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12357.412644089491</v>
      </c>
      <c r="D30" s="133">
        <f>IF(SER_hh_emi_in!D30=0,0,1000000*SER_hh_emi_in!D30/SER_hh_num_in!D30)</f>
        <v>7543.8927324053257</v>
      </c>
      <c r="E30" s="133">
        <f>IF(SER_hh_emi_in!E30=0,0,1000000*SER_hh_emi_in!E30/SER_hh_num_in!E30)</f>
        <v>7586.0287864939328</v>
      </c>
      <c r="F30" s="133">
        <f>IF(SER_hh_emi_in!F30=0,0,1000000*SER_hh_emi_in!F30/SER_hh_num_in!F30)</f>
        <v>15104.719263907486</v>
      </c>
      <c r="G30" s="133">
        <f>IF(SER_hh_emi_in!G30=0,0,1000000*SER_hh_emi_in!G30/SER_hh_num_in!G30)</f>
        <v>11976.599713268415</v>
      </c>
      <c r="H30" s="133">
        <f>IF(SER_hh_emi_in!H30=0,0,1000000*SER_hh_emi_in!H30/SER_hh_num_in!H30)</f>
        <v>11261.030430370258</v>
      </c>
      <c r="I30" s="133">
        <f>IF(SER_hh_emi_in!I30=0,0,1000000*SER_hh_emi_in!I30/SER_hh_num_in!I30)</f>
        <v>10887.974035739575</v>
      </c>
      <c r="J30" s="133">
        <f>IF(SER_hh_emi_in!J30=0,0,1000000*SER_hh_emi_in!J30/SER_hh_num_in!J30)</f>
        <v>10317.03990848693</v>
      </c>
      <c r="K30" s="133">
        <f>IF(SER_hh_emi_in!K30=0,0,1000000*SER_hh_emi_in!K30/SER_hh_num_in!K30)</f>
        <v>9641.5692684697024</v>
      </c>
      <c r="L30" s="133">
        <f>IF(SER_hh_emi_in!L30=0,0,1000000*SER_hh_emi_in!L30/SER_hh_num_in!L30)</f>
        <v>10237.576097406991</v>
      </c>
      <c r="M30" s="133">
        <f>IF(SER_hh_emi_in!M30=0,0,1000000*SER_hh_emi_in!M30/SER_hh_num_in!M30)</f>
        <v>7360.051966545795</v>
      </c>
      <c r="N30" s="133">
        <f>IF(SER_hh_emi_in!N30=0,0,1000000*SER_hh_emi_in!N30/SER_hh_num_in!N30)</f>
        <v>20203.838183519492</v>
      </c>
      <c r="O30" s="133">
        <f>IF(SER_hh_emi_in!O30=0,0,1000000*SER_hh_emi_in!O30/SER_hh_num_in!O30)</f>
        <v>13903.554589941074</v>
      </c>
      <c r="P30" s="133">
        <f>IF(SER_hh_emi_in!P30=0,0,1000000*SER_hh_emi_in!P30/SER_hh_num_in!P30)</f>
        <v>0</v>
      </c>
      <c r="Q30" s="133">
        <f>IF(SER_hh_emi_in!Q30=0,0,1000000*SER_hh_emi_in!Q30/SER_hh_num_in!Q30)</f>
        <v>9754.6497272292836</v>
      </c>
      <c r="R30" s="133">
        <f>IF(SER_hh_emi_in!R30=0,0,1000000*SER_hh_emi_in!R30/SER_hh_num_in!R30)</f>
        <v>10925.919467652639</v>
      </c>
      <c r="S30" s="133">
        <f>IF(SER_hh_emi_in!S30=0,0,1000000*SER_hh_emi_in!S30/SER_hh_num_in!S30)</f>
        <v>11775.155383464851</v>
      </c>
      <c r="T30" s="133">
        <f>IF(SER_hh_emi_in!T30=0,0,1000000*SER_hh_emi_in!T30/SER_hh_num_in!T30)</f>
        <v>11787.163499711882</v>
      </c>
      <c r="U30" s="133">
        <f>IF(SER_hh_emi_in!U30=0,0,1000000*SER_hh_emi_in!U30/SER_hh_num_in!U30)</f>
        <v>12516.961832558702</v>
      </c>
      <c r="V30" s="133">
        <f>IF(SER_hh_emi_in!V30=0,0,1000000*SER_hh_emi_in!V30/SER_hh_num_in!V30)</f>
        <v>8065.9218965940136</v>
      </c>
      <c r="W30" s="133">
        <f>IF(SER_hh_emi_in!W30=0,0,1000000*SER_hh_emi_in!W30/SER_hh_num_in!W30)</f>
        <v>11569.422247207645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8589.6523367261525</v>
      </c>
      <c r="D31" s="133">
        <f>IF(SER_hh_emi_in!D31=0,0,1000000*SER_hh_emi_in!D31/SER_hh_num_in!D31)</f>
        <v>8341.8855371965874</v>
      </c>
      <c r="E31" s="133">
        <f>IF(SER_hh_emi_in!E31=0,0,1000000*SER_hh_emi_in!E31/SER_hh_num_in!E31)</f>
        <v>8335.6466783350588</v>
      </c>
      <c r="F31" s="133">
        <f>IF(SER_hh_emi_in!F31=0,0,1000000*SER_hh_emi_in!F31/SER_hh_num_in!F31)</f>
        <v>8781.6769934214535</v>
      </c>
      <c r="G31" s="133">
        <f>IF(SER_hh_emi_in!G31=0,0,1000000*SER_hh_emi_in!G31/SER_hh_num_in!G31)</f>
        <v>9970.6712137533923</v>
      </c>
      <c r="H31" s="133">
        <f>IF(SER_hh_emi_in!H31=0,0,1000000*SER_hh_emi_in!H31/SER_hh_num_in!H31)</f>
        <v>9303.9893876933838</v>
      </c>
      <c r="I31" s="133">
        <f>IF(SER_hh_emi_in!I31=0,0,1000000*SER_hh_emi_in!I31/SER_hh_num_in!I31)</f>
        <v>9269.8337761300591</v>
      </c>
      <c r="J31" s="133">
        <f>IF(SER_hh_emi_in!J31=0,0,1000000*SER_hh_emi_in!J31/SER_hh_num_in!J31)</f>
        <v>9346.9230187761386</v>
      </c>
      <c r="K31" s="133">
        <f>IF(SER_hh_emi_in!K31=0,0,1000000*SER_hh_emi_in!K31/SER_hh_num_in!K31)</f>
        <v>9925.1399614666643</v>
      </c>
      <c r="L31" s="133">
        <f>IF(SER_hh_emi_in!L31=0,0,1000000*SER_hh_emi_in!L31/SER_hh_num_in!L31)</f>
        <v>10328.830539485127</v>
      </c>
      <c r="M31" s="133">
        <f>IF(SER_hh_emi_in!M31=0,0,1000000*SER_hh_emi_in!M31/SER_hh_num_in!M31)</f>
        <v>10013.109638449163</v>
      </c>
      <c r="N31" s="133">
        <f>IF(SER_hh_emi_in!N31=0,0,1000000*SER_hh_emi_in!N31/SER_hh_num_in!N31)</f>
        <v>9773.8814354384449</v>
      </c>
      <c r="O31" s="133">
        <f>IF(SER_hh_emi_in!O31=0,0,1000000*SER_hh_emi_in!O31/SER_hh_num_in!O31)</f>
        <v>9473.9322678859899</v>
      </c>
      <c r="P31" s="133">
        <f>IF(SER_hh_emi_in!P31=0,0,1000000*SER_hh_emi_in!P31/SER_hh_num_in!P31)</f>
        <v>9882.3917587084616</v>
      </c>
      <c r="Q31" s="133">
        <f>IF(SER_hh_emi_in!Q31=0,0,1000000*SER_hh_emi_in!Q31/SER_hh_num_in!Q31)</f>
        <v>10032.699863806572</v>
      </c>
      <c r="R31" s="133">
        <f>IF(SER_hh_emi_in!R31=0,0,1000000*SER_hh_emi_in!R31/SER_hh_num_in!R31)</f>
        <v>9793.257989667436</v>
      </c>
      <c r="S31" s="133">
        <f>IF(SER_hh_emi_in!S31=0,0,1000000*SER_hh_emi_in!S31/SER_hh_num_in!S31)</f>
        <v>9661.9672326751588</v>
      </c>
      <c r="T31" s="133">
        <f>IF(SER_hh_emi_in!T31=0,0,1000000*SER_hh_emi_in!T31/SER_hh_num_in!T31)</f>
        <v>9172.8854369028686</v>
      </c>
      <c r="U31" s="133">
        <f>IF(SER_hh_emi_in!U31=0,0,1000000*SER_hh_emi_in!U31/SER_hh_num_in!U31)</f>
        <v>8669.0687268156398</v>
      </c>
      <c r="V31" s="133">
        <f>IF(SER_hh_emi_in!V31=0,0,1000000*SER_hh_emi_in!V31/SER_hh_num_in!V31)</f>
        <v>7886.3746733451972</v>
      </c>
      <c r="W31" s="133">
        <f>IF(SER_hh_emi_in!W31=0,0,1000000*SER_hh_emi_in!W31/SER_hh_num_in!W31)</f>
        <v>8493.4920757371601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164.82389586252285</v>
      </c>
      <c r="D3" s="126">
        <f>IF(SER_hh_fech_in!D3=0,0,SER_hh_fech_in!D3/SER_summary!D$27)</f>
        <v>153.23983570322389</v>
      </c>
      <c r="E3" s="126">
        <f>IF(SER_hh_fech_in!E3=0,0,SER_hh_fech_in!E3/SER_summary!E$27)</f>
        <v>162.9424084994221</v>
      </c>
      <c r="F3" s="126">
        <f>IF(SER_hh_fech_in!F3=0,0,SER_hh_fech_in!F3/SER_summary!F$27)</f>
        <v>165.578175543311</v>
      </c>
      <c r="G3" s="126">
        <f>IF(SER_hh_fech_in!G3=0,0,SER_hh_fech_in!G3/SER_summary!G$27)</f>
        <v>176.5476883539846</v>
      </c>
      <c r="H3" s="126">
        <f>IF(SER_hh_fech_in!H3=0,0,SER_hh_fech_in!H3/SER_summary!H$27)</f>
        <v>168.40494944140312</v>
      </c>
      <c r="I3" s="126">
        <f>IF(SER_hh_fech_in!I3=0,0,SER_hh_fech_in!I3/SER_summary!I$27)</f>
        <v>162.78306352150025</v>
      </c>
      <c r="J3" s="126">
        <f>IF(SER_hh_fech_in!J3=0,0,SER_hh_fech_in!J3/SER_summary!J$27)</f>
        <v>156.9442013692084</v>
      </c>
      <c r="K3" s="126">
        <f>IF(SER_hh_fech_in!K3=0,0,SER_hh_fech_in!K3/SER_summary!K$27)</f>
        <v>126.48738092071605</v>
      </c>
      <c r="L3" s="126">
        <f>IF(SER_hh_fech_in!L3=0,0,SER_hh_fech_in!L3/SER_summary!L$27)</f>
        <v>125.81683812072191</v>
      </c>
      <c r="M3" s="126">
        <f>IF(SER_hh_fech_in!M3=0,0,SER_hh_fech_in!M3/SER_summary!M$27)</f>
        <v>113.72131208402544</v>
      </c>
      <c r="N3" s="126">
        <f>IF(SER_hh_fech_in!N3=0,0,SER_hh_fech_in!N3/SER_summary!N$27)</f>
        <v>135.96561449577396</v>
      </c>
      <c r="O3" s="126">
        <f>IF(SER_hh_fech_in!O3=0,0,SER_hh_fech_in!O3/SER_summary!O$27)</f>
        <v>101.23281749460068</v>
      </c>
      <c r="P3" s="126">
        <f>IF(SER_hh_fech_in!P3=0,0,SER_hh_fech_in!P3/SER_summary!P$27)</f>
        <v>105.27884208047989</v>
      </c>
      <c r="Q3" s="126">
        <f>IF(SER_hh_fech_in!Q3=0,0,SER_hh_fech_in!Q3/SER_summary!Q$27)</f>
        <v>108.33212604138656</v>
      </c>
      <c r="R3" s="126">
        <f>IF(SER_hh_fech_in!R3=0,0,SER_hh_fech_in!R3/SER_summary!R$27)</f>
        <v>162.2406187588237</v>
      </c>
      <c r="S3" s="126">
        <f>IF(SER_hh_fech_in!S3=0,0,SER_hh_fech_in!S3/SER_summary!S$27)</f>
        <v>132.17908857184415</v>
      </c>
      <c r="T3" s="126">
        <f>IF(SER_hh_fech_in!T3=0,0,SER_hh_fech_in!T3/SER_summary!T$27)</f>
        <v>104.82774222176094</v>
      </c>
      <c r="U3" s="126">
        <f>IF(SER_hh_fech_in!U3=0,0,SER_hh_fech_in!U3/SER_summary!U$27)</f>
        <v>104.73512892854521</v>
      </c>
      <c r="V3" s="126">
        <f>IF(SER_hh_fech_in!V3=0,0,SER_hh_fech_in!V3/SER_summary!V$27)</f>
        <v>83.271373960311109</v>
      </c>
      <c r="W3" s="126">
        <f>IF(SER_hh_fech_in!W3=0,0,SER_hh_fech_in!W3/SER_summary!W$27)</f>
        <v>89.697414187054122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66.423365863997361</v>
      </c>
      <c r="D4" s="131">
        <f>IF(SER_hh_fech_in!D4=0,0,SER_hh_fech_in!D4/SER_summary!D$27)</f>
        <v>55.46828920522978</v>
      </c>
      <c r="E4" s="131">
        <f>IF(SER_hh_fech_in!E4=0,0,SER_hh_fech_in!E4/SER_summary!E$27)</f>
        <v>61.824909263150325</v>
      </c>
      <c r="F4" s="131">
        <f>IF(SER_hh_fech_in!F4=0,0,SER_hh_fech_in!F4/SER_summary!F$27)</f>
        <v>64.941087986436628</v>
      </c>
      <c r="G4" s="131">
        <f>IF(SER_hh_fech_in!G4=0,0,SER_hh_fech_in!G4/SER_summary!G$27)</f>
        <v>75.715613401844152</v>
      </c>
      <c r="H4" s="131">
        <f>IF(SER_hh_fech_in!H4=0,0,SER_hh_fech_in!H4/SER_summary!H$27)</f>
        <v>71.075278311005292</v>
      </c>
      <c r="I4" s="131">
        <f>IF(SER_hh_fech_in!I4=0,0,SER_hh_fech_in!I4/SER_summary!I$27)</f>
        <v>63.835024769896044</v>
      </c>
      <c r="J4" s="131">
        <f>IF(SER_hh_fech_in!J4=0,0,SER_hh_fech_in!J4/SER_summary!J$27)</f>
        <v>61.374575797584292</v>
      </c>
      <c r="K4" s="131">
        <f>IF(SER_hh_fech_in!K4=0,0,SER_hh_fech_in!K4/SER_summary!K$27)</f>
        <v>41.81325349178816</v>
      </c>
      <c r="L4" s="131">
        <f>IF(SER_hh_fech_in!L4=0,0,SER_hh_fech_in!L4/SER_summary!L$27)</f>
        <v>24.754600965445285</v>
      </c>
      <c r="M4" s="131">
        <f>IF(SER_hh_fech_in!M4=0,0,SER_hh_fech_in!M4/SER_summary!M$27)</f>
        <v>19.156398617675283</v>
      </c>
      <c r="N4" s="131">
        <f>IF(SER_hh_fech_in!N4=0,0,SER_hh_fech_in!N4/SER_summary!N$27)</f>
        <v>23.283988217026199</v>
      </c>
      <c r="O4" s="131">
        <f>IF(SER_hh_fech_in!O4=0,0,SER_hh_fech_in!O4/SER_summary!O$27)</f>
        <v>13.561600278645097</v>
      </c>
      <c r="P4" s="131">
        <f>IF(SER_hh_fech_in!P4=0,0,SER_hh_fech_in!P4/SER_summary!P$27)</f>
        <v>13.242822949758736</v>
      </c>
      <c r="Q4" s="131">
        <f>IF(SER_hh_fech_in!Q4=0,0,SER_hh_fech_in!Q4/SER_summary!Q$27)</f>
        <v>17.47763584058859</v>
      </c>
      <c r="R4" s="131">
        <f>IF(SER_hh_fech_in!R4=0,0,SER_hh_fech_in!R4/SER_summary!R$27)</f>
        <v>76.575324825669469</v>
      </c>
      <c r="S4" s="131">
        <f>IF(SER_hh_fech_in!S4=0,0,SER_hh_fech_in!S4/SER_summary!S$27)</f>
        <v>45.258574910554508</v>
      </c>
      <c r="T4" s="131">
        <f>IF(SER_hh_fech_in!T4=0,0,SER_hh_fech_in!T4/SER_summary!T$27)</f>
        <v>21.082924302338355</v>
      </c>
      <c r="U4" s="131">
        <f>IF(SER_hh_fech_in!U4=0,0,SER_hh_fech_in!U4/SER_summary!U$27)</f>
        <v>22.053985829136725</v>
      </c>
      <c r="V4" s="131">
        <f>IF(SER_hh_fech_in!V4=0,0,SER_hh_fech_in!V4/SER_summary!V$27)</f>
        <v>15.189358718550233</v>
      </c>
      <c r="W4" s="131">
        <f>IF(SER_hh_fech_in!W4=0,0,SER_hh_fech_in!W4/SER_summary!W$27)</f>
        <v>13.538822735009894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76.141360747352053</v>
      </c>
      <c r="D7" s="133">
        <f>IF(SER_hh_fech_in!D7=0,0,SER_hh_fech_in!D7/SER_summary!D$27)</f>
        <v>77.834341611509728</v>
      </c>
      <c r="E7" s="133">
        <f>IF(SER_hh_fech_in!E7=0,0,SER_hh_fech_in!E7/SER_summary!E$27)</f>
        <v>82.40346301954412</v>
      </c>
      <c r="F7" s="133">
        <f>IF(SER_hh_fech_in!F7=0,0,SER_hh_fech_in!F7/SER_summary!F$27)</f>
        <v>82.297405864068111</v>
      </c>
      <c r="G7" s="133">
        <f>IF(SER_hh_fech_in!G7=0,0,SER_hh_fech_in!G7/SER_summary!G$27)</f>
        <v>103.60957055846612</v>
      </c>
      <c r="H7" s="133">
        <f>IF(SER_hh_fech_in!H7=0,0,SER_hh_fech_in!H7/SER_summary!H$27)</f>
        <v>110.02706079995585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82.625808602500001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111.18138883231903</v>
      </c>
      <c r="S7" s="133">
        <f>IF(SER_hh_fech_in!S7=0,0,SER_hh_fech_in!S7/SER_summary!S$27)</f>
        <v>57.689233946036211</v>
      </c>
      <c r="T7" s="133">
        <f>IF(SER_hh_fech_in!T7=0,0,SER_hh_fech_in!T7/SER_summary!T$27)</f>
        <v>59.795754505890159</v>
      </c>
      <c r="U7" s="133">
        <f>IF(SER_hh_fech_in!U7=0,0,SER_hh_fech_in!U7/SER_summary!U$27)</f>
        <v>67.824032130807041</v>
      </c>
      <c r="V7" s="133">
        <f>IF(SER_hh_fech_in!V7=0,0,SER_hh_fech_in!V7/SER_summary!V$27)</f>
        <v>65.105262389327933</v>
      </c>
      <c r="W7" s="133">
        <f>IF(SER_hh_fech_in!W7=0,0,SER_hh_fech_in!W7/SER_summary!W$27)</f>
        <v>49.473074769967525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25.139509365306115</v>
      </c>
      <c r="D8" s="133">
        <f>IF(SER_hh_fech_in!D8=0,0,SER_hh_fech_in!D8/SER_summary!D$27)</f>
        <v>24.779238235047945</v>
      </c>
      <c r="E8" s="133">
        <f>IF(SER_hh_fech_in!E8=0,0,SER_hh_fech_in!E8/SER_summary!E$27)</f>
        <v>25.992191614501458</v>
      </c>
      <c r="F8" s="133">
        <f>IF(SER_hh_fech_in!F8=0,0,SER_hh_fech_in!F8/SER_summary!F$27)</f>
        <v>28.743051637171519</v>
      </c>
      <c r="G8" s="133">
        <f>IF(SER_hh_fech_in!G8=0,0,SER_hh_fech_in!G8/SER_summary!G$27)</f>
        <v>32.95480925667276</v>
      </c>
      <c r="H8" s="133">
        <f>IF(SER_hh_fech_in!H8=0,0,SER_hh_fech_in!H8/SER_summary!H$27)</f>
        <v>31.267887324297284</v>
      </c>
      <c r="I8" s="133">
        <f>IF(SER_hh_fech_in!I8=0,0,SER_hh_fech_in!I8/SER_summary!I$27)</f>
        <v>29.04883852451675</v>
      </c>
      <c r="J8" s="133">
        <f>IF(SER_hh_fech_in!J8=0,0,SER_hh_fech_in!J8/SER_summary!J$27)</f>
        <v>27.038778662054142</v>
      </c>
      <c r="K8" s="133">
        <f>IF(SER_hh_fech_in!K8=0,0,SER_hh_fech_in!K8/SER_summary!K$27)</f>
        <v>23.339523522400782</v>
      </c>
      <c r="L8" s="133">
        <f>IF(SER_hh_fech_in!L8=0,0,SER_hh_fech_in!L8/SER_summary!L$27)</f>
        <v>17.974661591916693</v>
      </c>
      <c r="M8" s="133">
        <f>IF(SER_hh_fech_in!M8=0,0,SER_hh_fech_in!M8/SER_summary!M$27)</f>
        <v>13.448579543627897</v>
      </c>
      <c r="N8" s="133">
        <f>IF(SER_hh_fech_in!N8=0,0,SER_hh_fech_in!N8/SER_summary!N$27)</f>
        <v>8.751296649802434</v>
      </c>
      <c r="O8" s="133">
        <f>IF(SER_hh_fech_in!O8=0,0,SER_hh_fech_in!O8/SER_summary!O$27)</f>
        <v>10.263473534366479</v>
      </c>
      <c r="P8" s="133">
        <f>IF(SER_hh_fech_in!P8=0,0,SER_hh_fech_in!P8/SER_summary!P$27)</f>
        <v>14.745248171221206</v>
      </c>
      <c r="Q8" s="133">
        <f>IF(SER_hh_fech_in!Q8=0,0,SER_hh_fech_in!Q8/SER_summary!Q$27)</f>
        <v>22.50846631301561</v>
      </c>
      <c r="R8" s="133">
        <f>IF(SER_hh_fech_in!R8=0,0,SER_hh_fech_in!R8/SER_summary!R$27)</f>
        <v>18.922046221704321</v>
      </c>
      <c r="S8" s="133">
        <f>IF(SER_hh_fech_in!S8=0,0,SER_hh_fech_in!S8/SER_summary!S$27)</f>
        <v>16.718041532541587</v>
      </c>
      <c r="T8" s="133">
        <f>IF(SER_hh_fech_in!T8=0,0,SER_hh_fech_in!T8/SER_summary!T$27)</f>
        <v>15.459452403588369</v>
      </c>
      <c r="U8" s="133">
        <f>IF(SER_hh_fech_in!U8=0,0,SER_hh_fech_in!U8/SER_summary!U$27)</f>
        <v>14.045792877500084</v>
      </c>
      <c r="V8" s="133">
        <f>IF(SER_hh_fech_in!V8=0,0,SER_hh_fech_in!V8/SER_summary!V$27)</f>
        <v>13.41648053945285</v>
      </c>
      <c r="W8" s="133">
        <f>IF(SER_hh_fech_in!W8=0,0,SER_hh_fech_in!W8/SER_summary!W$27)</f>
        <v>11.433127754414878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56.062111655808557</v>
      </c>
      <c r="D9" s="133">
        <f>IF(SER_hh_fech_in!D9=0,0,SER_hh_fech_in!D9/SER_summary!D$27)</f>
        <v>55.003806625553779</v>
      </c>
      <c r="E9" s="133">
        <f>IF(SER_hh_fech_in!E9=0,0,SER_hh_fech_in!E9/SER_summary!E$27)</f>
        <v>64.636471401077117</v>
      </c>
      <c r="F9" s="133">
        <f>IF(SER_hh_fech_in!F9=0,0,SER_hh_fech_in!F9/SER_summary!F$27)</f>
        <v>76.446770192524596</v>
      </c>
      <c r="G9" s="133">
        <f>IF(SER_hh_fech_in!G9=0,0,SER_hh_fech_in!G9/SER_summary!G$27)</f>
        <v>94.995981082430234</v>
      </c>
      <c r="H9" s="133">
        <f>IF(SER_hh_fech_in!H9=0,0,SER_hh_fech_in!H9/SER_summary!H$27)</f>
        <v>96.479048230629772</v>
      </c>
      <c r="I9" s="133">
        <f>IF(SER_hh_fech_in!I9=0,0,SER_hh_fech_in!I9/SER_summary!I$27)</f>
        <v>91.131959466704188</v>
      </c>
      <c r="J9" s="133">
        <f>IF(SER_hh_fech_in!J9=0,0,SER_hh_fech_in!J9/SER_summary!J$27)</f>
        <v>99.373979497740933</v>
      </c>
      <c r="K9" s="133">
        <f>IF(SER_hh_fech_in!K9=0,0,SER_hh_fech_in!K9/SER_summary!K$27)</f>
        <v>92.04269200401086</v>
      </c>
      <c r="L9" s="133">
        <f>IF(SER_hh_fech_in!L9=0,0,SER_hh_fech_in!L9/SER_summary!L$27)</f>
        <v>68.330527009551744</v>
      </c>
      <c r="M9" s="133">
        <f>IF(SER_hh_fech_in!M9=0,0,SER_hh_fech_in!M9/SER_summary!M$27)</f>
        <v>91.893943843872577</v>
      </c>
      <c r="N9" s="133">
        <f>IF(SER_hh_fech_in!N9=0,0,SER_hh_fech_in!N9/SER_summary!N$27)</f>
        <v>0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85.011285327110883</v>
      </c>
      <c r="R9" s="133">
        <f>IF(SER_hh_fech_in!R9=0,0,SER_hh_fech_in!R9/SER_summary!R$27)</f>
        <v>0</v>
      </c>
      <c r="S9" s="133">
        <f>IF(SER_hh_fech_in!S9=0,0,SER_hh_fech_in!S9/SER_summary!S$27)</f>
        <v>69.718216507367217</v>
      </c>
      <c r="T9" s="133">
        <f>IF(SER_hh_fech_in!T9=0,0,SER_hh_fech_in!T9/SER_summary!T$27)</f>
        <v>62.72805142166073</v>
      </c>
      <c r="U9" s="133">
        <f>IF(SER_hh_fech_in!U9=0,0,SER_hh_fech_in!U9/SER_summary!U$27)</f>
        <v>67.961179249406186</v>
      </c>
      <c r="V9" s="133">
        <f>IF(SER_hh_fech_in!V9=0,0,SER_hh_fech_in!V9/SER_summary!V$27)</f>
        <v>53.801846782214675</v>
      </c>
      <c r="W9" s="133">
        <f>IF(SER_hh_fech_in!W9=0,0,SER_hh_fech_in!W9/SER_summary!W$27)</f>
        <v>47.794683853806312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145.64236865901199</v>
      </c>
      <c r="O10" s="133">
        <f>IF(SER_hh_fech_in!O10=0,0,SER_hh_fech_in!O10/SER_summary!O$27)</f>
        <v>77.154562619726249</v>
      </c>
      <c r="P10" s="133">
        <f>IF(SER_hh_fech_in!P10=0,0,SER_hh_fech_in!P10/SER_summary!P$27)</f>
        <v>55.985286304690852</v>
      </c>
      <c r="Q10" s="133">
        <f>IF(SER_hh_fech_in!Q10=0,0,SER_hh_fech_in!Q10/SER_summary!Q$27)</f>
        <v>161.91024001979528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73.771534459484101</v>
      </c>
      <c r="G11" s="133">
        <f>IF(SER_hh_fech_in!G11=0,0,SER_hh_fech_in!G11/SER_summary!G$27)</f>
        <v>56.988205949567941</v>
      </c>
      <c r="H11" s="133">
        <f>IF(SER_hh_fech_in!H11=0,0,SER_hh_fech_in!H11/SER_summary!H$27)</f>
        <v>54.521226972203443</v>
      </c>
      <c r="I11" s="133">
        <f>IF(SER_hh_fech_in!I11=0,0,SER_hh_fech_in!I11/SER_summary!I$27)</f>
        <v>0</v>
      </c>
      <c r="J11" s="133">
        <f>IF(SER_hh_fech_in!J11=0,0,SER_hh_fech_in!J11/SER_summary!J$27)</f>
        <v>51.722376718201097</v>
      </c>
      <c r="K11" s="133">
        <f>IF(SER_hh_fech_in!K11=0,0,SER_hh_fech_in!K11/SER_summary!K$27)</f>
        <v>56.358136873578829</v>
      </c>
      <c r="L11" s="133">
        <f>IF(SER_hh_fech_in!L11=0,0,SER_hh_fech_in!L11/SER_summary!L$27)</f>
        <v>48.412560488224173</v>
      </c>
      <c r="M11" s="133">
        <f>IF(SER_hh_fech_in!M11=0,0,SER_hh_fech_in!M11/SER_summary!M$27)</f>
        <v>44.248635995714722</v>
      </c>
      <c r="N11" s="133">
        <f>IF(SER_hh_fech_in!N11=0,0,SER_hh_fech_in!N11/SER_summary!N$27)</f>
        <v>43.500162570751222</v>
      </c>
      <c r="O11" s="133">
        <f>IF(SER_hh_fech_in!O11=0,0,SER_hh_fech_in!O11/SER_summary!O$27)</f>
        <v>40.806388709049649</v>
      </c>
      <c r="P11" s="133">
        <f>IF(SER_hh_fech_in!P11=0,0,SER_hh_fech_in!P11/SER_summary!P$27)</f>
        <v>45.319418660807301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46.122506546439979</v>
      </c>
      <c r="T11" s="133">
        <f>IF(SER_hh_fech_in!T11=0,0,SER_hh_fech_in!T11/SER_summary!T$27)</f>
        <v>44.133676351070235</v>
      </c>
      <c r="U11" s="133">
        <f>IF(SER_hh_fech_in!U11=0,0,SER_hh_fech_in!U11/SER_summary!U$27)</f>
        <v>57.605041780162303</v>
      </c>
      <c r="V11" s="133">
        <f>IF(SER_hh_fech_in!V11=0,0,SER_hh_fech_in!V11/SER_summary!V$27)</f>
        <v>19.367412969019519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23.24485684349472</v>
      </c>
      <c r="D13" s="133">
        <f>IF(SER_hh_fech_in!D13=0,0,SER_hh_fech_in!D13/SER_summary!D$27)</f>
        <v>22.216066840816108</v>
      </c>
      <c r="E13" s="133">
        <f>IF(SER_hh_fech_in!E13=0,0,SER_hh_fech_in!E13/SER_summary!E$27)</f>
        <v>22.339058886591086</v>
      </c>
      <c r="F13" s="133">
        <f>IF(SER_hh_fech_in!F13=0,0,SER_hh_fech_in!F13/SER_summary!F$27)</f>
        <v>25.631269021383996</v>
      </c>
      <c r="G13" s="133">
        <f>IF(SER_hh_fech_in!G13=0,0,SER_hh_fech_in!G13/SER_summary!G$27)</f>
        <v>23.174799561622322</v>
      </c>
      <c r="H13" s="133">
        <f>IF(SER_hh_fech_in!H13=0,0,SER_hh_fech_in!H13/SER_summary!H$27)</f>
        <v>23.736567027813418</v>
      </c>
      <c r="I13" s="133">
        <f>IF(SER_hh_fech_in!I13=0,0,SER_hh_fech_in!I13/SER_summary!I$27)</f>
        <v>24.39420757832626</v>
      </c>
      <c r="J13" s="133">
        <f>IF(SER_hh_fech_in!J13=0,0,SER_hh_fech_in!J13/SER_summary!J$27)</f>
        <v>22.753614735943639</v>
      </c>
      <c r="K13" s="133">
        <f>IF(SER_hh_fech_in!K13=0,0,SER_hh_fech_in!K13/SER_summary!K$27)</f>
        <v>20.42391413062532</v>
      </c>
      <c r="L13" s="133">
        <f>IF(SER_hh_fech_in!L13=0,0,SER_hh_fech_in!L13/SER_summary!L$27)</f>
        <v>16.568127720050402</v>
      </c>
      <c r="M13" s="133">
        <f>IF(SER_hh_fech_in!M13=0,0,SER_hh_fech_in!M13/SER_summary!M$27)</f>
        <v>14.088848450980135</v>
      </c>
      <c r="N13" s="133">
        <f>IF(SER_hh_fech_in!N13=0,0,SER_hh_fech_in!N13/SER_summary!N$27)</f>
        <v>14.611457980035492</v>
      </c>
      <c r="O13" s="133">
        <f>IF(SER_hh_fech_in!O13=0,0,SER_hh_fech_in!O13/SER_summary!O$27)</f>
        <v>12.396227730369082</v>
      </c>
      <c r="P13" s="133">
        <f>IF(SER_hh_fech_in!P13=0,0,SER_hh_fech_in!P13/SER_summary!P$27)</f>
        <v>12.75657769494496</v>
      </c>
      <c r="Q13" s="133">
        <f>IF(SER_hh_fech_in!Q13=0,0,SER_hh_fech_in!Q13/SER_summary!Q$27)</f>
        <v>14.412130463347907</v>
      </c>
      <c r="R13" s="133">
        <f>IF(SER_hh_fech_in!R13=0,0,SER_hh_fech_in!R13/SER_summary!R$27)</f>
        <v>13.806364891590039</v>
      </c>
      <c r="S13" s="133">
        <f>IF(SER_hh_fech_in!S13=0,0,SER_hh_fech_in!S13/SER_summary!S$27)</f>
        <v>12.650745787472244</v>
      </c>
      <c r="T13" s="133">
        <f>IF(SER_hh_fech_in!T13=0,0,SER_hh_fech_in!T13/SER_summary!T$27)</f>
        <v>12.000582012660924</v>
      </c>
      <c r="U13" s="133">
        <f>IF(SER_hh_fech_in!U13=0,0,SER_hh_fech_in!U13/SER_summary!U$27)</f>
        <v>10.972951677581257</v>
      </c>
      <c r="V13" s="133">
        <f>IF(SER_hh_fech_in!V13=0,0,SER_hh_fech_in!V13/SER_summary!V$27)</f>
        <v>10.147591362676295</v>
      </c>
      <c r="W13" s="133">
        <f>IF(SER_hh_fech_in!W13=0,0,SER_hh_fech_in!W13/SER_summary!W$27)</f>
        <v>8.8750334820861703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53.035734338031745</v>
      </c>
      <c r="D14" s="65">
        <f>IF(SER_hh_fech_in!D14=0,0,SER_hh_fech_in!D14/SER_summary!D$27)</f>
        <v>52.963567294772083</v>
      </c>
      <c r="E14" s="65">
        <f>IF(SER_hh_fech_in!E14=0,0,SER_hh_fech_in!E14/SER_summary!E$27)</f>
        <v>59.753216302766887</v>
      </c>
      <c r="F14" s="65">
        <f>IF(SER_hh_fech_in!F14=0,0,SER_hh_fech_in!F14/SER_summary!F$27)</f>
        <v>70.889158311491215</v>
      </c>
      <c r="G14" s="65">
        <f>IF(SER_hh_fech_in!G14=0,0,SER_hh_fech_in!G14/SER_summary!G$27)</f>
        <v>68.330059346359505</v>
      </c>
      <c r="H14" s="65">
        <f>IF(SER_hh_fech_in!H14=0,0,SER_hh_fech_in!H14/SER_summary!H$27)</f>
        <v>78.119428011624535</v>
      </c>
      <c r="I14" s="65">
        <f>IF(SER_hh_fech_in!I14=0,0,SER_hh_fech_in!I14/SER_summary!I$27)</f>
        <v>80.701097005957067</v>
      </c>
      <c r="J14" s="65">
        <f>IF(SER_hh_fech_in!J14=0,0,SER_hh_fech_in!J14/SER_summary!J$27)</f>
        <v>87.172808386920195</v>
      </c>
      <c r="K14" s="65">
        <f>IF(SER_hh_fech_in!K14=0,0,SER_hh_fech_in!K14/SER_summary!K$27)</f>
        <v>89.475697758212036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85.455345900108185</v>
      </c>
      <c r="S14" s="65">
        <f>IF(SER_hh_fech_in!S14=0,0,SER_hh_fech_in!S14/SER_summary!S$27)</f>
        <v>76.63800047655613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43.495018782787078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0.63646286515845696</v>
      </c>
      <c r="D15" s="135">
        <f>IF(SER_hh_fech_in!D15=0,0,SER_hh_fech_in!D15/SER_summary!D$27)</f>
        <v>0.61723308202934046</v>
      </c>
      <c r="E15" s="135">
        <f>IF(SER_hh_fech_in!E15=0,0,SER_hh_fech_in!E15/SER_summary!E$27)</f>
        <v>0.66354284008667153</v>
      </c>
      <c r="F15" s="135">
        <f>IF(SER_hh_fech_in!F15=0,0,SER_hh_fech_in!F15/SER_summary!F$27)</f>
        <v>0.60069204927957531</v>
      </c>
      <c r="G15" s="135">
        <f>IF(SER_hh_fech_in!G15=0,0,SER_hh_fech_in!G15/SER_summary!G$27)</f>
        <v>0.84798003607615802</v>
      </c>
      <c r="H15" s="135">
        <f>IF(SER_hh_fech_in!H15=0,0,SER_hh_fech_in!H15/SER_summary!H$27)</f>
        <v>0.89602257098117744</v>
      </c>
      <c r="I15" s="135">
        <f>IF(SER_hh_fech_in!I15=0,0,SER_hh_fech_in!I15/SER_summary!I$27)</f>
        <v>0.84859041337452179</v>
      </c>
      <c r="J15" s="135">
        <f>IF(SER_hh_fech_in!J15=0,0,SER_hh_fech_in!J15/SER_summary!J$27)</f>
        <v>0.90568737029296065</v>
      </c>
      <c r="K15" s="135">
        <f>IF(SER_hh_fech_in!K15=0,0,SER_hh_fech_in!K15/SER_summary!K$27)</f>
        <v>0.80085744054541841</v>
      </c>
      <c r="L15" s="135">
        <f>IF(SER_hh_fech_in!L15=0,0,SER_hh_fech_in!L15/SER_summary!L$27)</f>
        <v>0.58522958419861548</v>
      </c>
      <c r="M15" s="135">
        <f>IF(SER_hh_fech_in!M15=0,0,SER_hh_fech_in!M15/SER_summary!M$27)</f>
        <v>0.67803068072344574</v>
      </c>
      <c r="N15" s="135">
        <f>IF(SER_hh_fech_in!N15=0,0,SER_hh_fech_in!N15/SER_summary!N$27)</f>
        <v>0.49476627275442603</v>
      </c>
      <c r="O15" s="135">
        <f>IF(SER_hh_fech_in!O15=0,0,SER_hh_fech_in!O15/SER_summary!O$27)</f>
        <v>0.17521499380334099</v>
      </c>
      <c r="P15" s="135">
        <f>IF(SER_hh_fech_in!P15=0,0,SER_hh_fech_in!P15/SER_summary!P$27)</f>
        <v>0.16082064076441757</v>
      </c>
      <c r="Q15" s="135">
        <f>IF(SER_hh_fech_in!Q15=0,0,SER_hh_fech_in!Q15/SER_summary!Q$27)</f>
        <v>0.33496242531413994</v>
      </c>
      <c r="R15" s="135">
        <f>IF(SER_hh_fech_in!R15=0,0,SER_hh_fech_in!R15/SER_summary!R$27)</f>
        <v>0.84188078078682727</v>
      </c>
      <c r="S15" s="135">
        <f>IF(SER_hh_fech_in!S15=0,0,SER_hh_fech_in!S15/SER_summary!S$27)</f>
        <v>0.58447923986958195</v>
      </c>
      <c r="T15" s="135">
        <f>IF(SER_hh_fech_in!T15=0,0,SER_hh_fech_in!T15/SER_summary!T$27)</f>
        <v>0.55177003247457679</v>
      </c>
      <c r="U15" s="135">
        <f>IF(SER_hh_fech_in!U15=0,0,SER_hh_fech_in!U15/SER_summary!U$27)</f>
        <v>0.61227735689090745</v>
      </c>
      <c r="V15" s="135">
        <f>IF(SER_hh_fech_in!V15=0,0,SER_hh_fech_in!V15/SER_summary!V$27)</f>
        <v>0.45688661062370906</v>
      </c>
      <c r="W15" s="135">
        <f>IF(SER_hh_fech_in!W15=0,0,SER_hh_fech_in!W15/SER_summary!W$27)</f>
        <v>0.43695598443174577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19.640808209548595</v>
      </c>
      <c r="D16" s="131">
        <f>IF(SER_hh_fech_in!D16=0,0,SER_hh_fech_in!D16/SER_summary!D$27)</f>
        <v>15.467886033927815</v>
      </c>
      <c r="E16" s="131">
        <f>IF(SER_hh_fech_in!E16=0,0,SER_hh_fech_in!E16/SER_summary!E$27)</f>
        <v>20.047755885469346</v>
      </c>
      <c r="F16" s="131">
        <f>IF(SER_hh_fech_in!F16=0,0,SER_hh_fech_in!F16/SER_summary!F$27)</f>
        <v>12.194349939946662</v>
      </c>
      <c r="G16" s="131">
        <f>IF(SER_hh_fech_in!G16=0,0,SER_hh_fech_in!G16/SER_summary!G$27)</f>
        <v>12.161715741136453</v>
      </c>
      <c r="H16" s="131">
        <f>IF(SER_hh_fech_in!H16=0,0,SER_hh_fech_in!H16/SER_summary!H$27)</f>
        <v>13.92358052701748</v>
      </c>
      <c r="I16" s="131">
        <f>IF(SER_hh_fech_in!I16=0,0,SER_hh_fech_in!I16/SER_summary!I$27)</f>
        <v>19.705860165879702</v>
      </c>
      <c r="J16" s="131">
        <f>IF(SER_hh_fech_in!J16=0,0,SER_hh_fech_in!J16/SER_summary!J$27)</f>
        <v>18.680688685378733</v>
      </c>
      <c r="K16" s="131">
        <f>IF(SER_hh_fech_in!K16=0,0,SER_hh_fech_in!K16/SER_summary!K$27)</f>
        <v>12.387697700955593</v>
      </c>
      <c r="L16" s="131">
        <f>IF(SER_hh_fech_in!L16=0,0,SER_hh_fech_in!L16/SER_summary!L$27)</f>
        <v>15.436309797136166</v>
      </c>
      <c r="M16" s="131">
        <f>IF(SER_hh_fech_in!M16=0,0,SER_hh_fech_in!M16/SER_summary!M$27)</f>
        <v>13.090324472498141</v>
      </c>
      <c r="N16" s="131">
        <f>IF(SER_hh_fech_in!N16=0,0,SER_hh_fech_in!N16/SER_summary!N$27)</f>
        <v>19.666209552631951</v>
      </c>
      <c r="O16" s="131">
        <f>IF(SER_hh_fech_in!O16=0,0,SER_hh_fech_in!O16/SER_summary!O$27)</f>
        <v>12.126041740445014</v>
      </c>
      <c r="P16" s="131">
        <f>IF(SER_hh_fech_in!P16=0,0,SER_hh_fech_in!P16/SER_summary!P$27)</f>
        <v>9.2840676777892011</v>
      </c>
      <c r="Q16" s="131">
        <f>IF(SER_hh_fech_in!Q16=0,0,SER_hh_fech_in!Q16/SER_summary!Q$27)</f>
        <v>10.927140751137658</v>
      </c>
      <c r="R16" s="131">
        <f>IF(SER_hh_fech_in!R16=0,0,SER_hh_fech_in!R16/SER_summary!R$27)</f>
        <v>11.123311288379583</v>
      </c>
      <c r="S16" s="131">
        <f>IF(SER_hh_fech_in!S16=0,0,SER_hh_fech_in!S16/SER_summary!S$27)</f>
        <v>10.642551524473669</v>
      </c>
      <c r="T16" s="131">
        <f>IF(SER_hh_fech_in!T16=0,0,SER_hh_fech_in!T16/SER_summary!T$27)</f>
        <v>8.8411935209817578</v>
      </c>
      <c r="U16" s="131">
        <f>IF(SER_hh_fech_in!U16=0,0,SER_hh_fech_in!U16/SER_summary!U$27)</f>
        <v>10.234164030735068</v>
      </c>
      <c r="V16" s="131">
        <f>IF(SER_hh_fech_in!V16=0,0,SER_hh_fech_in!V16/SER_summary!V$27)</f>
        <v>8.799535079777316</v>
      </c>
      <c r="W16" s="131">
        <f>IF(SER_hh_fech_in!W16=0,0,SER_hh_fech_in!W16/SER_summary!W$27)</f>
        <v>9.7977286777756571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34.583441365159764</v>
      </c>
      <c r="D17" s="133">
        <f>IF(SER_hh_fech_in!D17=0,0,SER_hh_fech_in!D17/SER_summary!D$27)</f>
        <v>28.05912515754466</v>
      </c>
      <c r="E17" s="133">
        <f>IF(SER_hh_fech_in!E17=0,0,SER_hh_fech_in!E17/SER_summary!E$27)</f>
        <v>37.388244179572112</v>
      </c>
      <c r="F17" s="133">
        <f>IF(SER_hh_fech_in!F17=0,0,SER_hh_fech_in!F17/SER_summary!F$27)</f>
        <v>23.52615255506003</v>
      </c>
      <c r="G17" s="133">
        <f>IF(SER_hh_fech_in!G17=0,0,SER_hh_fech_in!G17/SER_summary!G$27)</f>
        <v>24.151263506465053</v>
      </c>
      <c r="H17" s="133">
        <f>IF(SER_hh_fech_in!H17=0,0,SER_hh_fech_in!H17/SER_summary!H$27)</f>
        <v>28.437929585918383</v>
      </c>
      <c r="I17" s="133">
        <f>IF(SER_hh_fech_in!I17=0,0,SER_hh_fech_in!I17/SER_summary!I$27)</f>
        <v>41.421261094782437</v>
      </c>
      <c r="J17" s="133">
        <f>IF(SER_hh_fech_in!J17=0,0,SER_hh_fech_in!J17/SER_summary!J$27)</f>
        <v>38.944098135697089</v>
      </c>
      <c r="K17" s="133">
        <f>IF(SER_hh_fech_in!K17=0,0,SER_hh_fech_in!K17/SER_summary!K$27)</f>
        <v>32.96683391157211</v>
      </c>
      <c r="L17" s="133">
        <f>IF(SER_hh_fech_in!L17=0,0,SER_hh_fech_in!L17/SER_summary!L$27)</f>
        <v>34.087363562779771</v>
      </c>
      <c r="M17" s="133">
        <f>IF(SER_hh_fech_in!M17=0,0,SER_hh_fech_in!M17/SER_summary!M$27)</f>
        <v>29.501014897271112</v>
      </c>
      <c r="N17" s="133">
        <f>IF(SER_hh_fech_in!N17=0,0,SER_hh_fech_in!N17/SER_summary!N$27)</f>
        <v>46.214312648804913</v>
      </c>
      <c r="O17" s="133">
        <f>IF(SER_hh_fech_in!O17=0,0,SER_hh_fech_in!O17/SER_summary!O$27)</f>
        <v>28.080323971857961</v>
      </c>
      <c r="P17" s="133">
        <f>IF(SER_hh_fech_in!P17=0,0,SER_hh_fech_in!P17/SER_summary!P$27)</f>
        <v>22.945099777581504</v>
      </c>
      <c r="Q17" s="133">
        <f>IF(SER_hh_fech_in!Q17=0,0,SER_hh_fech_in!Q17/SER_summary!Q$27)</f>
        <v>26.639180673950392</v>
      </c>
      <c r="R17" s="133">
        <f>IF(SER_hh_fech_in!R17=0,0,SER_hh_fech_in!R17/SER_summary!R$27)</f>
        <v>27.419515337011479</v>
      </c>
      <c r="S17" s="133">
        <f>IF(SER_hh_fech_in!S17=0,0,SER_hh_fech_in!S17/SER_summary!S$27)</f>
        <v>25.991373612530971</v>
      </c>
      <c r="T17" s="133">
        <f>IF(SER_hh_fech_in!T17=0,0,SER_hh_fech_in!T17/SER_summary!T$27)</f>
        <v>20.903905689195124</v>
      </c>
      <c r="U17" s="133">
        <f>IF(SER_hh_fech_in!U17=0,0,SER_hh_fech_in!U17/SER_summary!U$27)</f>
        <v>24.599837953250198</v>
      </c>
      <c r="V17" s="133">
        <f>IF(SER_hh_fech_in!V17=0,0,SER_hh_fech_in!V17/SER_summary!V$27)</f>
        <v>18.542659301286296</v>
      </c>
      <c r="W17" s="133">
        <f>IF(SER_hh_fech_in!W17=0,0,SER_hh_fech_in!W17/SER_summary!W$27)</f>
        <v>21.271373994046304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19.629977075789409</v>
      </c>
      <c r="D18" s="133">
        <f>IF(SER_hh_fech_in!D18=0,0,SER_hh_fech_in!D18/SER_summary!D$27)</f>
        <v>15.439469824715511</v>
      </c>
      <c r="E18" s="133">
        <f>IF(SER_hh_fech_in!E18=0,0,SER_hh_fech_in!E18/SER_summary!E$27)</f>
        <v>20.045101105981367</v>
      </c>
      <c r="F18" s="133">
        <f>IF(SER_hh_fech_in!F18=0,0,SER_hh_fech_in!F18/SER_summary!F$27)</f>
        <v>12.119391951755032</v>
      </c>
      <c r="G18" s="133">
        <f>IF(SER_hh_fech_in!G18=0,0,SER_hh_fech_in!G18/SER_summary!G$27)</f>
        <v>12.077814216186912</v>
      </c>
      <c r="H18" s="133">
        <f>IF(SER_hh_fech_in!H18=0,0,SER_hh_fech_in!H18/SER_summary!H$27)</f>
        <v>13.842621670119248</v>
      </c>
      <c r="I18" s="133">
        <f>IF(SER_hh_fech_in!I18=0,0,SER_hh_fech_in!I18/SER_summary!I$27)</f>
        <v>19.705472070361232</v>
      </c>
      <c r="J18" s="133">
        <f>IF(SER_hh_fech_in!J18=0,0,SER_hh_fech_in!J18/SER_summary!J$27)</f>
        <v>18.530328349193635</v>
      </c>
      <c r="K18" s="133">
        <f>IF(SER_hh_fech_in!K18=0,0,SER_hh_fech_in!K18/SER_summary!K$27)</f>
        <v>12.086403538026246</v>
      </c>
      <c r="L18" s="133">
        <f>IF(SER_hh_fech_in!L18=0,0,SER_hh_fech_in!L18/SER_summary!L$27)</f>
        <v>15.063873230957631</v>
      </c>
      <c r="M18" s="133">
        <f>IF(SER_hh_fech_in!M18=0,0,SER_hh_fech_in!M18/SER_summary!M$27)</f>
        <v>12.695303152308286</v>
      </c>
      <c r="N18" s="133">
        <f>IF(SER_hh_fech_in!N18=0,0,SER_hh_fech_in!N18/SER_summary!N$27)</f>
        <v>19.358877147782692</v>
      </c>
      <c r="O18" s="133">
        <f>IF(SER_hh_fech_in!O18=0,0,SER_hh_fech_in!O18/SER_summary!O$27)</f>
        <v>11.457204690673043</v>
      </c>
      <c r="P18" s="133">
        <f>IF(SER_hh_fech_in!P18=0,0,SER_hh_fech_in!P18/SER_summary!P$27)</f>
        <v>8.7366369672527497</v>
      </c>
      <c r="Q18" s="133">
        <f>IF(SER_hh_fech_in!Q18=0,0,SER_hh_fech_in!Q18/SER_summary!Q$27)</f>
        <v>10.481252589060734</v>
      </c>
      <c r="R18" s="133">
        <f>IF(SER_hh_fech_in!R18=0,0,SER_hh_fech_in!R18/SER_summary!R$27)</f>
        <v>10.756540711679117</v>
      </c>
      <c r="S18" s="133">
        <f>IF(SER_hh_fech_in!S18=0,0,SER_hh_fech_in!S18/SER_summary!S$27)</f>
        <v>10.211634985938639</v>
      </c>
      <c r="T18" s="133">
        <f>IF(SER_hh_fech_in!T18=0,0,SER_hh_fech_in!T18/SER_summary!T$27)</f>
        <v>8.2591104534136335</v>
      </c>
      <c r="U18" s="133">
        <f>IF(SER_hh_fech_in!U18=0,0,SER_hh_fech_in!U18/SER_summary!U$27)</f>
        <v>9.8260477024586894</v>
      </c>
      <c r="V18" s="133">
        <f>IF(SER_hh_fech_in!V18=0,0,SER_hh_fech_in!V18/SER_summary!V$27)</f>
        <v>8.2437686663417669</v>
      </c>
      <c r="W18" s="133">
        <f>IF(SER_hh_fech_in!W18=0,0,SER_hh_fech_in!W18/SER_summary!W$27)</f>
        <v>9.4903133355601668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37.984462754605673</v>
      </c>
      <c r="D19" s="131">
        <f>IF(SER_hh_fech_in!D19=0,0,SER_hh_fech_in!D19/SER_summary!D$27)</f>
        <v>39.249301608890001</v>
      </c>
      <c r="E19" s="131">
        <f>IF(SER_hh_fech_in!E19=0,0,SER_hh_fech_in!E19/SER_summary!E$27)</f>
        <v>39.073225133722808</v>
      </c>
      <c r="F19" s="131">
        <f>IF(SER_hh_fech_in!F19=0,0,SER_hh_fech_in!F19/SER_summary!F$27)</f>
        <v>39.088254761356765</v>
      </c>
      <c r="G19" s="131">
        <f>IF(SER_hh_fech_in!G19=0,0,SER_hh_fech_in!G19/SER_summary!G$27)</f>
        <v>43.388334554217487</v>
      </c>
      <c r="H19" s="131">
        <f>IF(SER_hh_fech_in!H19=0,0,SER_hh_fech_in!H19/SER_summary!H$27)</f>
        <v>40.352442567447355</v>
      </c>
      <c r="I19" s="131">
        <f>IF(SER_hh_fech_in!I19=0,0,SER_hh_fech_in!I19/SER_summary!I$27)</f>
        <v>38.071881857101218</v>
      </c>
      <c r="J19" s="131">
        <f>IF(SER_hh_fech_in!J19=0,0,SER_hh_fech_in!J19/SER_summary!J$27)</f>
        <v>35.333352772422721</v>
      </c>
      <c r="K19" s="131">
        <f>IF(SER_hh_fech_in!K19=0,0,SER_hh_fech_in!K19/SER_summary!K$27)</f>
        <v>29.442001450557296</v>
      </c>
      <c r="L19" s="131">
        <f>IF(SER_hh_fech_in!L19=0,0,SER_hh_fech_in!L19/SER_summary!L$27)</f>
        <v>39.809980706988981</v>
      </c>
      <c r="M19" s="131">
        <f>IF(SER_hh_fech_in!M19=0,0,SER_hh_fech_in!M19/SER_summary!M$27)</f>
        <v>37.607484648552536</v>
      </c>
      <c r="N19" s="131">
        <f>IF(SER_hh_fech_in!N19=0,0,SER_hh_fech_in!N19/SER_summary!N$27)</f>
        <v>36.616640428431232</v>
      </c>
      <c r="O19" s="131">
        <f>IF(SER_hh_fech_in!O19=0,0,SER_hh_fech_in!O19/SER_summary!O$27)</f>
        <v>30.264461105047854</v>
      </c>
      <c r="P19" s="131">
        <f>IF(SER_hh_fech_in!P19=0,0,SER_hh_fech_in!P19/SER_summary!P$27)</f>
        <v>36.832721084681602</v>
      </c>
      <c r="Q19" s="131">
        <f>IF(SER_hh_fech_in!Q19=0,0,SER_hh_fech_in!Q19/SER_summary!Q$27)</f>
        <v>35.577504295736588</v>
      </c>
      <c r="R19" s="131">
        <f>IF(SER_hh_fech_in!R19=0,0,SER_hh_fech_in!R19/SER_summary!R$27)</f>
        <v>30.088803819025145</v>
      </c>
      <c r="S19" s="131">
        <f>IF(SER_hh_fech_in!S19=0,0,SER_hh_fech_in!S19/SER_summary!S$27)</f>
        <v>33.210418882427575</v>
      </c>
      <c r="T19" s="131">
        <f>IF(SER_hh_fech_in!T19=0,0,SER_hh_fech_in!T19/SER_summary!T$27)</f>
        <v>32.175047070855655</v>
      </c>
      <c r="U19" s="131">
        <f>IF(SER_hh_fech_in!U19=0,0,SER_hh_fech_in!U19/SER_summary!U$27)</f>
        <v>30.770583240440946</v>
      </c>
      <c r="V19" s="131">
        <f>IF(SER_hh_fech_in!V19=0,0,SER_hh_fech_in!V19/SER_summary!V$27)</f>
        <v>25.061941242033754</v>
      </c>
      <c r="W19" s="131">
        <f>IF(SER_hh_fech_in!W19=0,0,SER_hh_fech_in!W19/SER_summary!W$27)</f>
        <v>26.746469294826991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45.679720789294869</v>
      </c>
      <c r="D21" s="133">
        <f>IF(SER_hh_fech_in!D21=0,0,SER_hh_fech_in!D21/SER_summary!D$27)</f>
        <v>47.021095654337749</v>
      </c>
      <c r="E21" s="133">
        <f>IF(SER_hh_fech_in!E21=0,0,SER_hh_fech_in!E21/SER_summary!E$27)</f>
        <v>45.442332913440268</v>
      </c>
      <c r="F21" s="133">
        <f>IF(SER_hh_fech_in!F21=0,0,SER_hh_fech_in!F21/SER_summary!F$27)</f>
        <v>46.000779028124668</v>
      </c>
      <c r="G21" s="133">
        <f>IF(SER_hh_fech_in!G21=0,0,SER_hh_fech_in!G21/SER_summary!G$27)</f>
        <v>48.772282744684162</v>
      </c>
      <c r="H21" s="133">
        <f>IF(SER_hh_fech_in!H21=0,0,SER_hh_fech_in!H21/SER_summary!H$27)</f>
        <v>46.999886428419941</v>
      </c>
      <c r="I21" s="133">
        <f>IF(SER_hh_fech_in!I21=0,0,SER_hh_fech_in!I21/SER_summary!I$27)</f>
        <v>49.307593752713352</v>
      </c>
      <c r="J21" s="133">
        <f>IF(SER_hh_fech_in!J21=0,0,SER_hh_fech_in!J21/SER_summary!J$27)</f>
        <v>47.804751997580517</v>
      </c>
      <c r="K21" s="133">
        <f>IF(SER_hh_fech_in!K21=0,0,SER_hh_fech_in!K21/SER_summary!K$27)</f>
        <v>41.955863538419763</v>
      </c>
      <c r="L21" s="133">
        <f>IF(SER_hh_fech_in!L21=0,0,SER_hh_fech_in!L21/SER_summary!L$27)</f>
        <v>49.772696688498627</v>
      </c>
      <c r="M21" s="133">
        <f>IF(SER_hh_fech_in!M21=0,0,SER_hh_fech_in!M21/SER_summary!M$27)</f>
        <v>48.605453176709219</v>
      </c>
      <c r="N21" s="133">
        <f>IF(SER_hh_fech_in!N21=0,0,SER_hh_fech_in!N21/SER_summary!N$27)</f>
        <v>49.403634191446642</v>
      </c>
      <c r="O21" s="133">
        <f>IF(SER_hh_fech_in!O21=0,0,SER_hh_fech_in!O21/SER_summary!O$27)</f>
        <v>46.808074401251595</v>
      </c>
      <c r="P21" s="133">
        <f>IF(SER_hh_fech_in!P21=0,0,SER_hh_fech_in!P21/SER_summary!P$27)</f>
        <v>43.170329415394356</v>
      </c>
      <c r="Q21" s="133">
        <f>IF(SER_hh_fech_in!Q21=0,0,SER_hh_fech_in!Q21/SER_summary!Q$27)</f>
        <v>39.676121455096187</v>
      </c>
      <c r="R21" s="133">
        <f>IF(SER_hh_fech_in!R21=0,0,SER_hh_fech_in!R21/SER_summary!R$27)</f>
        <v>37.481160759376145</v>
      </c>
      <c r="S21" s="133">
        <f>IF(SER_hh_fech_in!S21=0,0,SER_hh_fech_in!S21/SER_summary!S$27)</f>
        <v>39.938453563305757</v>
      </c>
      <c r="T21" s="133">
        <f>IF(SER_hh_fech_in!T21=0,0,SER_hh_fech_in!T21/SER_summary!T$27)</f>
        <v>37.847043629077156</v>
      </c>
      <c r="U21" s="133">
        <f>IF(SER_hh_fech_in!U21=0,0,SER_hh_fech_in!U21/SER_summary!U$27)</f>
        <v>37.223949871034797</v>
      </c>
      <c r="V21" s="133">
        <f>IF(SER_hh_fech_in!V21=0,0,SER_hh_fech_in!V21/SER_summary!V$27)</f>
        <v>23.283028152446633</v>
      </c>
      <c r="W21" s="133">
        <f>IF(SER_hh_fech_in!W21=0,0,SER_hh_fech_in!W21/SER_summary!W$27)</f>
        <v>29.589011412425382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48.332866033605676</v>
      </c>
      <c r="D22" s="133">
        <f>IF(SER_hh_fech_in!D22=0,0,SER_hh_fech_in!D22/SER_summary!D$27)</f>
        <v>49.891346484710006</v>
      </c>
      <c r="E22" s="133">
        <f>IF(SER_hh_fech_in!E22=0,0,SER_hh_fech_in!E22/SER_summary!E$27)</f>
        <v>49.53741425070691</v>
      </c>
      <c r="F22" s="133">
        <f>IF(SER_hh_fech_in!F22=0,0,SER_hh_fech_in!F22/SER_summary!F$27)</f>
        <v>50.050299303617074</v>
      </c>
      <c r="G22" s="133">
        <f>IF(SER_hh_fech_in!G22=0,0,SER_hh_fech_in!G22/SER_summary!G$27)</f>
        <v>52.55840865875134</v>
      </c>
      <c r="H22" s="133">
        <f>IF(SER_hh_fech_in!H22=0,0,SER_hh_fech_in!H22/SER_summary!H$27)</f>
        <v>51.311594741499434</v>
      </c>
      <c r="I22" s="133">
        <f>IF(SER_hh_fech_in!I22=0,0,SER_hh_fech_in!I22/SER_summary!I$27)</f>
        <v>50.269216883690497</v>
      </c>
      <c r="J22" s="133">
        <f>IF(SER_hh_fech_in!J22=0,0,SER_hh_fech_in!J22/SER_summary!J$27)</f>
        <v>49.203476219665006</v>
      </c>
      <c r="K22" s="133">
        <f>IF(SER_hh_fech_in!K22=0,0,SER_hh_fech_in!K22/SER_summary!K$27)</f>
        <v>42.639156265392053</v>
      </c>
      <c r="L22" s="133">
        <f>IF(SER_hh_fech_in!L22=0,0,SER_hh_fech_in!L22/SER_summary!L$27)</f>
        <v>52.009083965819009</v>
      </c>
      <c r="M22" s="133">
        <f>IF(SER_hh_fech_in!M22=0,0,SER_hh_fech_in!M22/SER_summary!M$27)</f>
        <v>51.984255039660511</v>
      </c>
      <c r="N22" s="133">
        <f>IF(SER_hh_fech_in!N22=0,0,SER_hh_fech_in!N22/SER_summary!N$27)</f>
        <v>50.014461287294075</v>
      </c>
      <c r="O22" s="133">
        <f>IF(SER_hh_fech_in!O22=0,0,SER_hh_fech_in!O22/SER_summary!O$27)</f>
        <v>48.252120143180584</v>
      </c>
      <c r="P22" s="133">
        <f>IF(SER_hh_fech_in!P22=0,0,SER_hh_fech_in!P22/SER_summary!P$27)</f>
        <v>45.111856171622463</v>
      </c>
      <c r="Q22" s="133">
        <f>IF(SER_hh_fech_in!Q22=0,0,SER_hh_fech_in!Q22/SER_summary!Q$27)</f>
        <v>42.279160314139666</v>
      </c>
      <c r="R22" s="133">
        <f>IF(SER_hh_fech_in!R22=0,0,SER_hh_fech_in!R22/SER_summary!R$27)</f>
        <v>38.006064494728861</v>
      </c>
      <c r="S22" s="133">
        <f>IF(SER_hh_fech_in!S22=0,0,SER_hh_fech_in!S22/SER_summary!S$27)</f>
        <v>40.974193413191223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44.36668300880568</v>
      </c>
      <c r="D23" s="133">
        <f>IF(SER_hh_fech_in!D23=0,0,SER_hh_fech_in!D23/SER_summary!D$27)</f>
        <v>44.537834183988963</v>
      </c>
      <c r="E23" s="133">
        <f>IF(SER_hh_fech_in!E23=0,0,SER_hh_fech_in!E23/SER_summary!E$27)</f>
        <v>43.443347942882333</v>
      </c>
      <c r="F23" s="133">
        <f>IF(SER_hh_fech_in!F23=0,0,SER_hh_fech_in!F23/SER_summary!F$27)</f>
        <v>37.676090456653334</v>
      </c>
      <c r="G23" s="133">
        <f>IF(SER_hh_fech_in!G23=0,0,SER_hh_fech_in!G23/SER_summary!G$27)</f>
        <v>48.32951077298484</v>
      </c>
      <c r="H23" s="133">
        <f>IF(SER_hh_fech_in!H23=0,0,SER_hh_fech_in!H23/SER_summary!H$27)</f>
        <v>45.105562143762107</v>
      </c>
      <c r="I23" s="133">
        <f>IF(SER_hh_fech_in!I23=0,0,SER_hh_fech_in!I23/SER_summary!I$27)</f>
        <v>45.126949603328192</v>
      </c>
      <c r="J23" s="133">
        <f>IF(SER_hh_fech_in!J23=0,0,SER_hh_fech_in!J23/SER_summary!J$27)</f>
        <v>42.870018633449092</v>
      </c>
      <c r="K23" s="133">
        <f>IF(SER_hh_fech_in!K23=0,0,SER_hh_fech_in!K23/SER_summary!K$27)</f>
        <v>38.300044196895314</v>
      </c>
      <c r="L23" s="133">
        <f>IF(SER_hh_fech_in!L23=0,0,SER_hh_fech_in!L23/SER_summary!L$27)</f>
        <v>46.977005060537181</v>
      </c>
      <c r="M23" s="133">
        <f>IF(SER_hh_fech_in!M23=0,0,SER_hh_fech_in!M23/SER_summary!M$27)</f>
        <v>45.411231546830372</v>
      </c>
      <c r="N23" s="133">
        <f>IF(SER_hh_fech_in!N23=0,0,SER_hh_fech_in!N23/SER_summary!N$27)</f>
        <v>45.049617110214342</v>
      </c>
      <c r="O23" s="133">
        <f>IF(SER_hh_fech_in!O23=0,0,SER_hh_fech_in!O23/SER_summary!O$27)</f>
        <v>44.055417750828589</v>
      </c>
      <c r="P23" s="133">
        <f>IF(SER_hh_fech_in!P23=0,0,SER_hh_fech_in!P23/SER_summary!P$27)</f>
        <v>39.867355818683663</v>
      </c>
      <c r="Q23" s="133">
        <f>IF(SER_hh_fech_in!Q23=0,0,SER_hh_fech_in!Q23/SER_summary!Q$27)</f>
        <v>40.56658890407828</v>
      </c>
      <c r="R23" s="133">
        <f>IF(SER_hh_fech_in!R23=0,0,SER_hh_fech_in!R23/SER_summary!R$27)</f>
        <v>37.18793667302284</v>
      </c>
      <c r="S23" s="133">
        <f>IF(SER_hh_fech_in!S23=0,0,SER_hh_fech_in!S23/SER_summary!S$27)</f>
        <v>36.806951421786827</v>
      </c>
      <c r="T23" s="133">
        <f>IF(SER_hh_fech_in!T23=0,0,SER_hh_fech_in!T23/SER_summary!T$27)</f>
        <v>34.782120473993473</v>
      </c>
      <c r="U23" s="133">
        <f>IF(SER_hh_fech_in!U23=0,0,SER_hh_fech_in!U23/SER_summary!U$27)</f>
        <v>33.24051219003222</v>
      </c>
      <c r="V23" s="133">
        <f>IF(SER_hh_fech_in!V23=0,0,SER_hh_fech_in!V23/SER_summary!V$27)</f>
        <v>28.354709891272638</v>
      </c>
      <c r="W23" s="133">
        <f>IF(SER_hh_fech_in!W23=0,0,SER_hh_fech_in!W23/SER_summary!W$27)</f>
        <v>30.099707334636491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36.095572348743048</v>
      </c>
      <c r="D26" s="65">
        <f>IF(SER_hh_fech_in!D26=0,0,SER_hh_fech_in!D26/SER_summary!D$27)</f>
        <v>36.787629351817422</v>
      </c>
      <c r="E26" s="65">
        <f>IF(SER_hh_fech_in!E26=0,0,SER_hh_fech_in!E26/SER_summary!E$27)</f>
        <v>36.396098629968904</v>
      </c>
      <c r="F26" s="65">
        <f>IF(SER_hh_fech_in!F26=0,0,SER_hh_fech_in!F26/SER_summary!F$27)</f>
        <v>36.379348237200148</v>
      </c>
      <c r="G26" s="65">
        <f>IF(SER_hh_fech_in!G26=0,0,SER_hh_fech_in!G26/SER_summary!G$27)</f>
        <v>41.940626939987091</v>
      </c>
      <c r="H26" s="65">
        <f>IF(SER_hh_fech_in!H26=0,0,SER_hh_fech_in!H26/SER_summary!H$27)</f>
        <v>36.087624191228883</v>
      </c>
      <c r="I26" s="65">
        <f>IF(SER_hh_fech_in!I26=0,0,SER_hh_fech_in!I26/SER_summary!I$27)</f>
        <v>30.914123171926363</v>
      </c>
      <c r="J26" s="65">
        <f>IF(SER_hh_fech_in!J26=0,0,SER_hh_fech_in!J26/SER_summary!J$27)</f>
        <v>24.545283464966161</v>
      </c>
      <c r="K26" s="65">
        <f>IF(SER_hh_fech_in!K26=0,0,SER_hh_fech_in!K26/SER_summary!K$27)</f>
        <v>8.2698873495504923</v>
      </c>
      <c r="L26" s="65">
        <f>IF(SER_hh_fech_in!L26=0,0,SER_hh_fech_in!L26/SER_summary!L$27)</f>
        <v>29.786477448734303</v>
      </c>
      <c r="M26" s="65">
        <f>IF(SER_hh_fech_in!M26=0,0,SER_hh_fech_in!M26/SER_summary!M$27)</f>
        <v>24.90461349038036</v>
      </c>
      <c r="N26" s="65">
        <f>IF(SER_hh_fech_in!N26=0,0,SER_hh_fech_in!N26/SER_summary!N$27)</f>
        <v>25.3663012756348</v>
      </c>
      <c r="O26" s="65">
        <f>IF(SER_hh_fech_in!O26=0,0,SER_hh_fech_in!O26/SER_summary!O$27)</f>
        <v>7.2666756971308466</v>
      </c>
      <c r="P26" s="65">
        <f>IF(SER_hh_fech_in!P26=0,0,SER_hh_fech_in!P26/SER_summary!P$27)</f>
        <v>28.542172949001724</v>
      </c>
      <c r="Q26" s="65">
        <f>IF(SER_hh_fech_in!Q26=0,0,SER_hh_fech_in!Q26/SER_summary!Q$27)</f>
        <v>26.52372506062278</v>
      </c>
      <c r="R26" s="65">
        <f>IF(SER_hh_fech_in!R26=0,0,SER_hh_fech_in!R26/SER_summary!R$27)</f>
        <v>7.42346420239849</v>
      </c>
      <c r="S26" s="65">
        <f>IF(SER_hh_fech_in!S26=0,0,SER_hh_fech_in!S26/SER_summary!S$27)</f>
        <v>22.144851998983391</v>
      </c>
      <c r="T26" s="65">
        <f>IF(SER_hh_fech_in!T26=0,0,SER_hh_fech_in!T26/SER_summary!T$27)</f>
        <v>22.288825333604457</v>
      </c>
      <c r="U26" s="65">
        <f>IF(SER_hh_fech_in!U26=0,0,SER_hh_fech_in!U26/SER_summary!U$27)</f>
        <v>20.550031995188565</v>
      </c>
      <c r="V26" s="65">
        <f>IF(SER_hh_fech_in!V26=0,0,SER_hh_fech_in!V26/SER_summary!V$27)</f>
        <v>5.7812421986675968</v>
      </c>
      <c r="W26" s="65">
        <f>IF(SER_hh_fech_in!W26=0,0,SER_hh_fech_in!W26/SER_summary!W$27)</f>
        <v>15.979172098836415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0.9927835451986099</v>
      </c>
      <c r="D27" s="146">
        <f>IF(SER_hh_fech_in!D27=0,0,SER_hh_fech_in!D27/SER_summary!D$27)</f>
        <v>1.4096732304074548</v>
      </c>
      <c r="E27" s="146">
        <f>IF(SER_hh_fech_in!E27=0,0,SER_hh_fech_in!E27/SER_summary!E$27)</f>
        <v>1.6584358397169363</v>
      </c>
      <c r="F27" s="146">
        <f>IF(SER_hh_fech_in!F27=0,0,SER_hh_fech_in!F27/SER_summary!F$27)</f>
        <v>1.9103729641992355</v>
      </c>
      <c r="G27" s="146">
        <f>IF(SER_hh_fech_in!G27=0,0,SER_hh_fech_in!G27/SER_summary!G$27)</f>
        <v>8.3995653385287115E-3</v>
      </c>
      <c r="H27" s="146">
        <f>IF(SER_hh_fech_in!H27=0,0,SER_hh_fech_in!H27/SER_summary!H$27)</f>
        <v>2.4454675687755887</v>
      </c>
      <c r="I27" s="146">
        <f>IF(SER_hh_fech_in!I27=0,0,SER_hh_fech_in!I27/SER_summary!I$27)</f>
        <v>4.2305920456240571</v>
      </c>
      <c r="J27" s="146">
        <f>IF(SER_hh_fech_in!J27=0,0,SER_hh_fech_in!J27/SER_summary!J$27)</f>
        <v>7.657404290276097</v>
      </c>
      <c r="K27" s="146">
        <f>IF(SER_hh_fech_in!K27=0,0,SER_hh_fech_in!K27/SER_summary!K$27)</f>
        <v>16.267956829428236</v>
      </c>
      <c r="L27" s="146">
        <f>IF(SER_hh_fech_in!L27=0,0,SER_hh_fech_in!L27/SER_summary!L$27)</f>
        <v>5.3772023979813399</v>
      </c>
      <c r="M27" s="146">
        <f>IF(SER_hh_fech_in!M27=0,0,SER_hh_fech_in!M27/SER_summary!M$27)</f>
        <v>8.7803786074995482</v>
      </c>
      <c r="N27" s="146">
        <f>IF(SER_hh_fech_in!N27=0,0,SER_hh_fech_in!N27/SER_summary!N$27)</f>
        <v>8.5082591097077742</v>
      </c>
      <c r="O27" s="146">
        <f>IF(SER_hh_fech_in!O27=0,0,SER_hh_fech_in!O27/SER_summary!O$27)</f>
        <v>18.519469027699554</v>
      </c>
      <c r="P27" s="146">
        <f>IF(SER_hh_fech_in!P27=0,0,SER_hh_fech_in!P27/SER_summary!P$27)</f>
        <v>6.5673775752263959</v>
      </c>
      <c r="Q27" s="146">
        <f>IF(SER_hh_fech_in!Q27=0,0,SER_hh_fech_in!Q27/SER_summary!Q$27)</f>
        <v>6.9136239408997664</v>
      </c>
      <c r="R27" s="146">
        <f>IF(SER_hh_fech_in!R27=0,0,SER_hh_fech_in!R27/SER_summary!R$27)</f>
        <v>17.965565349408831</v>
      </c>
      <c r="S27" s="146">
        <f>IF(SER_hh_fech_in!S27=0,0,SER_hh_fech_in!S27/SER_summary!S$27)</f>
        <v>8.5135289530796907</v>
      </c>
      <c r="T27" s="146">
        <f>IF(SER_hh_fech_in!T27=0,0,SER_hh_fech_in!T27/SER_summary!T$27)</f>
        <v>8.1402354853007477</v>
      </c>
      <c r="U27" s="146">
        <f>IF(SER_hh_fech_in!U27=0,0,SER_hh_fech_in!U27/SER_summary!U$27)</f>
        <v>8.4020063683029562</v>
      </c>
      <c r="V27" s="146">
        <f>IF(SER_hh_fech_in!V27=0,0,SER_hh_fech_in!V27/SER_summary!V$27)</f>
        <v>16.024800663720004</v>
      </c>
      <c r="W27" s="146">
        <f>IF(SER_hh_fech_in!W27=0,0,SER_hh_fech_in!W27/SER_summary!W$27)</f>
        <v>8.6849446249287414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16.798352203655782</v>
      </c>
      <c r="D28" s="147">
        <f>IF(SER_hh_fech_in!D28=0,0,SER_hh_fech_in!D28/SER_summary!D$27)</f>
        <v>17.434349665403019</v>
      </c>
      <c r="E28" s="147">
        <f>IF(SER_hh_fech_in!E28=0,0,SER_hh_fech_in!E28/SER_summary!E$27)</f>
        <v>17.692970268446008</v>
      </c>
      <c r="F28" s="147">
        <f>IF(SER_hh_fech_in!F28=0,0,SER_hh_fech_in!F28/SER_summary!F$27)</f>
        <v>17.863025851442643</v>
      </c>
      <c r="G28" s="147">
        <f>IF(SER_hh_fech_in!G28=0,0,SER_hh_fech_in!G28/SER_summary!G$27)</f>
        <v>20.253162870099384</v>
      </c>
      <c r="H28" s="147">
        <f>IF(SER_hh_fech_in!H28=0,0,SER_hh_fech_in!H28/SER_summary!H$27)</f>
        <v>18.48689586307033</v>
      </c>
      <c r="I28" s="147">
        <f>IF(SER_hh_fech_in!I28=0,0,SER_hh_fech_in!I28/SER_summary!I$27)</f>
        <v>18.069460722778526</v>
      </c>
      <c r="J28" s="147">
        <f>IF(SER_hh_fech_in!J28=0,0,SER_hh_fech_in!J28/SER_summary!J$27)</f>
        <v>18.377700098586143</v>
      </c>
      <c r="K28" s="147">
        <f>IF(SER_hh_fech_in!K28=0,0,SER_hh_fech_in!K28/SER_summary!K$27)</f>
        <v>18.692735656688892</v>
      </c>
      <c r="L28" s="147">
        <f>IF(SER_hh_fech_in!L28=0,0,SER_hh_fech_in!L28/SER_summary!L$27)</f>
        <v>19.579911085878436</v>
      </c>
      <c r="M28" s="147">
        <f>IF(SER_hh_fech_in!M28=0,0,SER_hh_fech_in!M28/SER_summary!M$27)</f>
        <v>20.268277368787103</v>
      </c>
      <c r="N28" s="147">
        <f>IF(SER_hh_fech_in!N28=0,0,SER_hh_fech_in!N28/SER_summary!N$27)</f>
        <v>20.997960175502786</v>
      </c>
      <c r="O28" s="147">
        <f>IF(SER_hh_fech_in!O28=0,0,SER_hh_fech_in!O28/SER_summary!O$27)</f>
        <v>20.917671900241313</v>
      </c>
      <c r="P28" s="147">
        <f>IF(SER_hh_fech_in!P28=0,0,SER_hh_fech_in!P28/SER_summary!P$27)</f>
        <v>21.438465815985388</v>
      </c>
      <c r="Q28" s="147">
        <f>IF(SER_hh_fech_in!Q28=0,0,SER_hh_fech_in!Q28/SER_summary!Q$27)</f>
        <v>21.795296290822229</v>
      </c>
      <c r="R28" s="147">
        <f>IF(SER_hh_fech_in!R28=0,0,SER_hh_fech_in!R28/SER_summary!R$27)</f>
        <v>20.940892317153697</v>
      </c>
      <c r="S28" s="147">
        <f>IF(SER_hh_fech_in!S28=0,0,SER_hh_fech_in!S28/SER_summary!S$27)</f>
        <v>20.843437256630757</v>
      </c>
      <c r="T28" s="147">
        <f>IF(SER_hh_fech_in!T28=0,0,SER_hh_fech_in!T28/SER_summary!T$27)</f>
        <v>20.821818112299706</v>
      </c>
      <c r="U28" s="147">
        <f>IF(SER_hh_fech_in!U28=0,0,SER_hh_fech_in!U28/SER_summary!U$27)</f>
        <v>20.651425674036044</v>
      </c>
      <c r="V28" s="147">
        <f>IF(SER_hh_fech_in!V28=0,0,SER_hh_fech_in!V28/SER_summary!V$27)</f>
        <v>18.600201538396934</v>
      </c>
      <c r="W28" s="147">
        <f>IF(SER_hh_fech_in!W28=0,0,SER_hh_fech_in!W28/SER_summary!W$27)</f>
        <v>18.592400015861024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40.775259034371182</v>
      </c>
      <c r="D29" s="131">
        <f>IF(SER_hh_fech_in!D29=0,0,SER_hh_fech_in!D29/SER_summary!D$27)</f>
        <v>43.054358855176261</v>
      </c>
      <c r="E29" s="131">
        <f>IF(SER_hh_fech_in!E29=0,0,SER_hh_fech_in!E29/SER_summary!E$27)</f>
        <v>41.996518217079668</v>
      </c>
      <c r="F29" s="131">
        <f>IF(SER_hh_fech_in!F29=0,0,SER_hh_fech_in!F29/SER_summary!F$27)</f>
        <v>49.3544828555709</v>
      </c>
      <c r="G29" s="131">
        <f>IF(SER_hh_fech_in!G29=0,0,SER_hh_fech_in!G29/SER_summary!G$27)</f>
        <v>45.282024656786497</v>
      </c>
      <c r="H29" s="131">
        <f>IF(SER_hh_fech_in!H29=0,0,SER_hh_fech_in!H29/SER_summary!H$27)</f>
        <v>43.053648035933037</v>
      </c>
      <c r="I29" s="131">
        <f>IF(SER_hh_fech_in!I29=0,0,SER_hh_fech_in!I29/SER_summary!I$27)</f>
        <v>41.170296728623278</v>
      </c>
      <c r="J29" s="131">
        <f>IF(SER_hh_fech_in!J29=0,0,SER_hh_fech_in!J29/SER_summary!J$27)</f>
        <v>41.555584113822675</v>
      </c>
      <c r="K29" s="131">
        <f>IF(SER_hh_fech_in!K29=0,0,SER_hh_fech_in!K29/SER_summary!K$27)</f>
        <v>42.84442827741502</v>
      </c>
      <c r="L29" s="131">
        <f>IF(SER_hh_fech_in!L29=0,0,SER_hh_fech_in!L29/SER_summary!L$27)</f>
        <v>45.815946651151485</v>
      </c>
      <c r="M29" s="131">
        <f>IF(SER_hh_fech_in!M29=0,0,SER_hh_fech_in!M29/SER_summary!M$27)</f>
        <v>43.86710434529946</v>
      </c>
      <c r="N29" s="131">
        <f>IF(SER_hh_fech_in!N29=0,0,SER_hh_fech_in!N29/SER_summary!N$27)</f>
        <v>56.398776297684556</v>
      </c>
      <c r="O29" s="131">
        <f>IF(SER_hh_fech_in!O29=0,0,SER_hh_fech_in!O29/SER_summary!O$27)</f>
        <v>45.280714370462711</v>
      </c>
      <c r="P29" s="131">
        <f>IF(SER_hh_fech_in!P29=0,0,SER_hh_fech_in!P29/SER_summary!P$27)</f>
        <v>45.919230368250354</v>
      </c>
      <c r="Q29" s="131">
        <f>IF(SER_hh_fech_in!Q29=0,0,SER_hh_fech_in!Q29/SER_summary!Q$27)</f>
        <v>44.349845153923731</v>
      </c>
      <c r="R29" s="131">
        <f>IF(SER_hh_fech_in!R29=0,0,SER_hh_fech_in!R29/SER_summary!R$27)</f>
        <v>44.453178825749511</v>
      </c>
      <c r="S29" s="131">
        <f>IF(SER_hh_fech_in!S29=0,0,SER_hh_fech_in!S29/SER_summary!S$27)</f>
        <v>43.067543254388383</v>
      </c>
      <c r="T29" s="131">
        <f>IF(SER_hh_fech_in!T29=0,0,SER_hh_fech_in!T29/SER_summary!T$27)</f>
        <v>42.728577327585199</v>
      </c>
      <c r="U29" s="131">
        <f>IF(SER_hh_fech_in!U29=0,0,SER_hh_fech_in!U29/SER_summary!U$27)</f>
        <v>41.676395828232486</v>
      </c>
      <c r="V29" s="131">
        <f>IF(SER_hh_fech_in!V29=0,0,SER_hh_fech_in!V29/SER_summary!V$27)</f>
        <v>34.220538919949803</v>
      </c>
      <c r="W29" s="131">
        <f>IF(SER_hh_fech_in!W29=0,0,SER_hh_fech_in!W29/SER_summary!W$27)</f>
        <v>39.614393479441603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60.443997593910751</v>
      </c>
      <c r="D30" s="133">
        <f>IF(SER_hh_fech_in!D30=0,0,SER_hh_fech_in!D30/SER_summary!D$27)</f>
        <v>36.899555537972866</v>
      </c>
      <c r="E30" s="133">
        <f>IF(SER_hh_fech_in!E30=0,0,SER_hh_fech_in!E30/SER_summary!E$27)</f>
        <v>37.105656250581731</v>
      </c>
      <c r="F30" s="133">
        <f>IF(SER_hh_fech_in!F30=0,0,SER_hh_fech_in!F30/SER_summary!F$27)</f>
        <v>73.88193962115534</v>
      </c>
      <c r="G30" s="133">
        <f>IF(SER_hh_fech_in!G30=0,0,SER_hh_fech_in!G30/SER_summary!G$27)</f>
        <v>58.581321600381578</v>
      </c>
      <c r="H30" s="133">
        <f>IF(SER_hh_fech_in!H30=0,0,SER_hh_fech_in!H30/SER_summary!H$27)</f>
        <v>55.081246846912869</v>
      </c>
      <c r="I30" s="133">
        <f>IF(SER_hh_fech_in!I30=0,0,SER_hh_fech_in!I30/SER_summary!I$27)</f>
        <v>53.256510515053378</v>
      </c>
      <c r="J30" s="133">
        <f>IF(SER_hh_fech_in!J30=0,0,SER_hh_fech_in!J30/SER_summary!J$27)</f>
        <v>50.463891865190114</v>
      </c>
      <c r="K30" s="133">
        <f>IF(SER_hh_fech_in!K30=0,0,SER_hh_fech_in!K30/SER_summary!K$27)</f>
        <v>47.15995220436745</v>
      </c>
      <c r="L30" s="133">
        <f>IF(SER_hh_fech_in!L30=0,0,SER_hh_fech_in!L30/SER_summary!L$27)</f>
        <v>50.075209335597954</v>
      </c>
      <c r="M30" s="133">
        <f>IF(SER_hh_fech_in!M30=0,0,SER_hh_fech_in!M30/SER_summary!M$27)</f>
        <v>36.000332445783656</v>
      </c>
      <c r="N30" s="133">
        <f>IF(SER_hh_fech_in!N30=0,0,SER_hh_fech_in!N30/SER_summary!N$27)</f>
        <v>98.823336383163564</v>
      </c>
      <c r="O30" s="133">
        <f>IF(SER_hh_fech_in!O30=0,0,SER_hh_fech_in!O30/SER_summary!O$27)</f>
        <v>68.006664856591897</v>
      </c>
      <c r="P30" s="133">
        <f>IF(SER_hh_fech_in!P30=0,0,SER_hh_fech_in!P30/SER_summary!P$27)</f>
        <v>0</v>
      </c>
      <c r="Q30" s="133">
        <f>IF(SER_hh_fech_in!Q30=0,0,SER_hh_fech_in!Q30/SER_summary!Q$27)</f>
        <v>47.713064346370054</v>
      </c>
      <c r="R30" s="133">
        <f>IF(SER_hh_fech_in!R30=0,0,SER_hh_fech_in!R30/SER_summary!R$27)</f>
        <v>53.442113574634796</v>
      </c>
      <c r="S30" s="133">
        <f>IF(SER_hh_fech_in!S30=0,0,SER_hh_fech_in!S30/SER_summary!S$27)</f>
        <v>57.595993932151835</v>
      </c>
      <c r="T30" s="133">
        <f>IF(SER_hh_fech_in!T30=0,0,SER_hh_fech_in!T30/SER_summary!T$27)</f>
        <v>57.654729411045963</v>
      </c>
      <c r="U30" s="133">
        <f>IF(SER_hh_fech_in!U30=0,0,SER_hh_fech_in!U30/SER_summary!U$27)</f>
        <v>61.224402929695664</v>
      </c>
      <c r="V30" s="133">
        <f>IF(SER_hh_fech_in!V30=0,0,SER_hh_fech_in!V30/SER_summary!V$27)</f>
        <v>39.452964609350296</v>
      </c>
      <c r="W30" s="133">
        <f>IF(SER_hh_fech_in!W30=0,0,SER_hh_fech_in!W30/SER_summary!W$27)</f>
        <v>56.589688360664255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51.331788744278221</v>
      </c>
      <c r="D31" s="133">
        <f>IF(SER_hh_fech_in!D31=0,0,SER_hh_fech_in!D31/SER_summary!D$27)</f>
        <v>49.152780345521137</v>
      </c>
      <c r="E31" s="133">
        <f>IF(SER_hh_fech_in!E31=0,0,SER_hh_fech_in!E31/SER_summary!E$27)</f>
        <v>51.481761502270473</v>
      </c>
      <c r="F31" s="133">
        <f>IF(SER_hh_fech_in!F31=0,0,SER_hh_fech_in!F31/SER_summary!F$27)</f>
        <v>52.530725752863191</v>
      </c>
      <c r="G31" s="133">
        <f>IF(SER_hh_fech_in!G31=0,0,SER_hh_fech_in!G31/SER_summary!G$27)</f>
        <v>58.635551297665387</v>
      </c>
      <c r="H31" s="133">
        <f>IF(SER_hh_fech_in!H31=0,0,SER_hh_fech_in!H31/SER_summary!H$27)</f>
        <v>54.475723260323903</v>
      </c>
      <c r="I31" s="133">
        <f>IF(SER_hh_fech_in!I31=0,0,SER_hh_fech_in!I31/SER_summary!I$27)</f>
        <v>52.09012928843643</v>
      </c>
      <c r="J31" s="133">
        <f>IF(SER_hh_fech_in!J31=0,0,SER_hh_fech_in!J31/SER_summary!J$27)</f>
        <v>51.623635018771168</v>
      </c>
      <c r="K31" s="133">
        <f>IF(SER_hh_fech_in!K31=0,0,SER_hh_fech_in!K31/SER_summary!K$27)</f>
        <v>55.018815938697074</v>
      </c>
      <c r="L31" s="133">
        <f>IF(SER_hh_fech_in!L31=0,0,SER_hh_fech_in!L31/SER_summary!L$27)</f>
        <v>57.382264463266978</v>
      </c>
      <c r="M31" s="133">
        <f>IF(SER_hh_fech_in!M31=0,0,SER_hh_fech_in!M31/SER_summary!M$27)</f>
        <v>59.735517787990069</v>
      </c>
      <c r="N31" s="133">
        <f>IF(SER_hh_fech_in!N31=0,0,SER_hh_fech_in!N31/SER_summary!N$27)</f>
        <v>59.031337499630396</v>
      </c>
      <c r="O31" s="133">
        <f>IF(SER_hh_fech_in!O31=0,0,SER_hh_fech_in!O31/SER_summary!O$27)</f>
        <v>58.224059103402325</v>
      </c>
      <c r="P31" s="133">
        <f>IF(SER_hh_fech_in!P31=0,0,SER_hh_fech_in!P31/SER_summary!P$27)</f>
        <v>60.100499876426397</v>
      </c>
      <c r="Q31" s="133">
        <f>IF(SER_hh_fech_in!Q31=0,0,SER_hh_fech_in!Q31/SER_summary!Q$27)</f>
        <v>59.873562780056503</v>
      </c>
      <c r="R31" s="133">
        <f>IF(SER_hh_fech_in!R31=0,0,SER_hh_fech_in!R31/SER_summary!R$27)</f>
        <v>58.19110813397117</v>
      </c>
      <c r="S31" s="133">
        <f>IF(SER_hh_fech_in!S31=0,0,SER_hh_fech_in!S31/SER_summary!S$27)</f>
        <v>56.695833937175827</v>
      </c>
      <c r="T31" s="133">
        <f>IF(SER_hh_fech_in!T31=0,0,SER_hh_fech_in!T31/SER_summary!T$27)</f>
        <v>54.841882871714915</v>
      </c>
      <c r="U31" s="133">
        <f>IF(SER_hh_fech_in!U31=0,0,SER_hh_fech_in!U31/SER_summary!U$27)</f>
        <v>53.730645852898533</v>
      </c>
      <c r="V31" s="133">
        <f>IF(SER_hh_fech_in!V31=0,0,SER_hh_fech_in!V31/SER_summary!V$27)</f>
        <v>47.830522604153735</v>
      </c>
      <c r="W31" s="133">
        <f>IF(SER_hh_fech_in!W31=0,0,SER_hh_fech_in!W31/SER_summary!W$27)</f>
        <v>50.846599762239201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40.593569702200362</v>
      </c>
      <c r="D33" s="68">
        <f>IF(SER_hh_fech_in!D33=0,0,SER_hh_fech_in!D33/SER_summary!D$27)</f>
        <v>43.117979614026446</v>
      </c>
      <c r="E33" s="68">
        <f>IF(SER_hh_fech_in!E33=0,0,SER_hh_fech_in!E33/SER_summary!E$27)</f>
        <v>42.326697382770199</v>
      </c>
      <c r="F33" s="68">
        <f>IF(SER_hh_fech_in!F33=0,0,SER_hh_fech_in!F33/SER_summary!F$27)</f>
        <v>40.957232006039575</v>
      </c>
      <c r="G33" s="68">
        <f>IF(SER_hh_fech_in!G33=0,0,SER_hh_fech_in!G33/SER_summary!G$27)</f>
        <v>42.42008960380636</v>
      </c>
      <c r="H33" s="68">
        <f>IF(SER_hh_fech_in!H33=0,0,SER_hh_fech_in!H33/SER_summary!H$27)</f>
        <v>41.626442760071093</v>
      </c>
      <c r="I33" s="68">
        <f>IF(SER_hh_fech_in!I33=0,0,SER_hh_fech_in!I33/SER_summary!I$27)</f>
        <v>40.383337578048312</v>
      </c>
      <c r="J33" s="68">
        <f>IF(SER_hh_fech_in!J33=0,0,SER_hh_fech_in!J33/SER_summary!J$27)</f>
        <v>40.091254976368873</v>
      </c>
      <c r="K33" s="68">
        <f>IF(SER_hh_fech_in!K33=0,0,SER_hh_fech_in!K33/SER_summary!K$27)</f>
        <v>41.304544909143267</v>
      </c>
      <c r="L33" s="68">
        <f>IF(SER_hh_fech_in!L33=0,0,SER_hh_fech_in!L33/SER_summary!L$27)</f>
        <v>42.973256002171503</v>
      </c>
      <c r="M33" s="68">
        <f>IF(SER_hh_fech_in!M33=0,0,SER_hh_fech_in!M33/SER_summary!M$27)</f>
        <v>45.576544623265363</v>
      </c>
      <c r="N33" s="68">
        <f>IF(SER_hh_fech_in!N33=0,0,SER_hh_fech_in!N33/SER_summary!N$27)</f>
        <v>38.946881065888078</v>
      </c>
      <c r="O33" s="68">
        <f>IF(SER_hh_fech_in!O33=0,0,SER_hh_fech_in!O33/SER_summary!O$27)</f>
        <v>43.00392785530633</v>
      </c>
      <c r="P33" s="68">
        <f>IF(SER_hh_fech_in!P33=0,0,SER_hh_fech_in!P33/SER_summary!P$27)</f>
        <v>44.943539855717177</v>
      </c>
      <c r="Q33" s="68">
        <f>IF(SER_hh_fech_in!Q33=0,0,SER_hh_fech_in!Q33/SER_summary!Q$27)</f>
        <v>42.850699979412319</v>
      </c>
      <c r="R33" s="68">
        <f>IF(SER_hh_fech_in!R33=0,0,SER_hh_fech_in!R33/SER_summary!R$27)</f>
        <v>41.753210875447969</v>
      </c>
      <c r="S33" s="68">
        <f>IF(SER_hh_fech_in!S33=0,0,SER_hh_fech_in!S33/SER_summary!S$27)</f>
        <v>40.492870755492895</v>
      </c>
      <c r="T33" s="68">
        <f>IF(SER_hh_fech_in!T33=0,0,SER_hh_fech_in!T33/SER_summary!T$27)</f>
        <v>39.017694172957796</v>
      </c>
      <c r="U33" s="68">
        <f>IF(SER_hh_fech_in!U33=0,0,SER_hh_fech_in!U33/SER_summary!U$27)</f>
        <v>36.657883412047624</v>
      </c>
      <c r="V33" s="68">
        <f>IF(SER_hh_fech_in!V33=0,0,SER_hh_fech_in!V33/SER_summary!V$27)</f>
        <v>31.903262955762386</v>
      </c>
      <c r="W33" s="68">
        <f>IF(SER_hh_fech_in!W33=0,0,SER_hh_fech_in!W33/SER_summary!W$27)</f>
        <v>34.44698017129722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124.05273012177112</v>
      </c>
      <c r="D3" s="126">
        <f>IF(SER_hh_tesh_in!D3=0,0,SER_hh_tesh_in!D3/SER_summary!D$27)</f>
        <v>117.80637292940143</v>
      </c>
      <c r="E3" s="126">
        <f>IF(SER_hh_tesh_in!E3=0,0,SER_hh_tesh_in!E3/SER_summary!E$27)</f>
        <v>132.10262189288051</v>
      </c>
      <c r="F3" s="126">
        <f>IF(SER_hh_tesh_in!F3=0,0,SER_hh_tesh_in!F3/SER_summary!F$27)</f>
        <v>125.85512359144677</v>
      </c>
      <c r="G3" s="126">
        <f>IF(SER_hh_tesh_in!G3=0,0,SER_hh_tesh_in!G3/SER_summary!G$27)</f>
        <v>128.21881863364482</v>
      </c>
      <c r="H3" s="126">
        <f>IF(SER_hh_tesh_in!H3=0,0,SER_hh_tesh_in!H3/SER_summary!H$27)</f>
        <v>135.67798955752903</v>
      </c>
      <c r="I3" s="126">
        <f>IF(SER_hh_tesh_in!I3=0,0,SER_hh_tesh_in!I3/SER_summary!I$27)</f>
        <v>152.67397965802832</v>
      </c>
      <c r="J3" s="126">
        <f>IF(SER_hh_tesh_in!J3=0,0,SER_hh_tesh_in!J3/SER_summary!J$27)</f>
        <v>153.45586128178985</v>
      </c>
      <c r="K3" s="126">
        <f>IF(SER_hh_tesh_in!K3=0,0,SER_hh_tesh_in!K3/SER_summary!K$27)</f>
        <v>135.09940577561133</v>
      </c>
      <c r="L3" s="126">
        <f>IF(SER_hh_tesh_in!L3=0,0,SER_hh_tesh_in!L3/SER_summary!L$27)</f>
        <v>138.1482170832266</v>
      </c>
      <c r="M3" s="126">
        <f>IF(SER_hh_tesh_in!M3=0,0,SER_hh_tesh_in!M3/SER_summary!M$27)</f>
        <v>126.94349021493578</v>
      </c>
      <c r="N3" s="126">
        <f>IF(SER_hh_tesh_in!N3=0,0,SER_hh_tesh_in!N3/SER_summary!N$27)</f>
        <v>161.50274059172878</v>
      </c>
      <c r="O3" s="126">
        <f>IF(SER_hh_tesh_in!O3=0,0,SER_hh_tesh_in!O3/SER_summary!O$27)</f>
        <v>130.09772336942331</v>
      </c>
      <c r="P3" s="126">
        <f>IF(SER_hh_tesh_in!P3=0,0,SER_hh_tesh_in!P3/SER_summary!P$27)</f>
        <v>128.19931257215373</v>
      </c>
      <c r="Q3" s="126">
        <f>IF(SER_hh_tesh_in!Q3=0,0,SER_hh_tesh_in!Q3/SER_summary!Q$27)</f>
        <v>143.31963576486996</v>
      </c>
      <c r="R3" s="126">
        <f>IF(SER_hh_tesh_in!R3=0,0,SER_hh_tesh_in!R3/SER_summary!R$27)</f>
        <v>154.0070636323747</v>
      </c>
      <c r="S3" s="126">
        <f>IF(SER_hh_tesh_in!S3=0,0,SER_hh_tesh_in!S3/SER_summary!S$27)</f>
        <v>140.9997354187536</v>
      </c>
      <c r="T3" s="126">
        <f>IF(SER_hh_tesh_in!T3=0,0,SER_hh_tesh_in!T3/SER_summary!T$27)</f>
        <v>127.82282431750656</v>
      </c>
      <c r="U3" s="126">
        <f>IF(SER_hh_tesh_in!U3=0,0,SER_hh_tesh_in!U3/SER_summary!U$27)</f>
        <v>130.98619117532306</v>
      </c>
      <c r="V3" s="126">
        <f>IF(SER_hh_tesh_in!V3=0,0,SER_hh_tesh_in!V3/SER_summary!V$27)</f>
        <v>115.11545939539411</v>
      </c>
      <c r="W3" s="126">
        <f>IF(SER_hh_tesh_in!W3=0,0,SER_hh_tesh_in!W3/SER_summary!W$27)</f>
        <v>119.10189510903244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32.716435767267406</v>
      </c>
      <c r="D4" s="131">
        <f>IF(SER_hh_tesh_in!D4=0,0,SER_hh_tesh_in!D4/SER_summary!D$27)</f>
        <v>32.430804019954337</v>
      </c>
      <c r="E4" s="131">
        <f>IF(SER_hh_tesh_in!E4=0,0,SER_hh_tesh_in!E4/SER_summary!E$27)</f>
        <v>36.060564509785628</v>
      </c>
      <c r="F4" s="131">
        <f>IF(SER_hh_tesh_in!F4=0,0,SER_hh_tesh_in!F4/SER_summary!F$27)</f>
        <v>44.289457144807884</v>
      </c>
      <c r="G4" s="131">
        <f>IF(SER_hh_tesh_in!G4=0,0,SER_hh_tesh_in!G4/SER_summary!G$27)</f>
        <v>45.554900791791503</v>
      </c>
      <c r="H4" s="131">
        <f>IF(SER_hh_tesh_in!H4=0,0,SER_hh_tesh_in!H4/SER_summary!H$27)</f>
        <v>48.724804886028991</v>
      </c>
      <c r="I4" s="131">
        <f>IF(SER_hh_tesh_in!I4=0,0,SER_hh_tesh_in!I4/SER_summary!I$27)</f>
        <v>50.569745792210647</v>
      </c>
      <c r="J4" s="131">
        <f>IF(SER_hh_tesh_in!J4=0,0,SER_hh_tesh_in!J4/SER_summary!J$27)</f>
        <v>53.087673548467734</v>
      </c>
      <c r="K4" s="131">
        <f>IF(SER_hh_tesh_in!K4=0,0,SER_hh_tesh_in!K4/SER_summary!K$27)</f>
        <v>49.708193601218539</v>
      </c>
      <c r="L4" s="131">
        <f>IF(SER_hh_tesh_in!L4=0,0,SER_hh_tesh_in!L4/SER_summary!L$27)</f>
        <v>41.188054503637737</v>
      </c>
      <c r="M4" s="131">
        <f>IF(SER_hh_tesh_in!M4=0,0,SER_hh_tesh_in!M4/SER_summary!M$27)</f>
        <v>38.443974984373128</v>
      </c>
      <c r="N4" s="131">
        <f>IF(SER_hh_tesh_in!N4=0,0,SER_hh_tesh_in!N4/SER_summary!N$27)</f>
        <v>43.257709707464727</v>
      </c>
      <c r="O4" s="131">
        <f>IF(SER_hh_tesh_in!O4=0,0,SER_hh_tesh_in!O4/SER_summary!O$27)</f>
        <v>37.289472111447701</v>
      </c>
      <c r="P4" s="131">
        <f>IF(SER_hh_tesh_in!P4=0,0,SER_hh_tesh_in!P4/SER_summary!P$27)</f>
        <v>40.949945901459522</v>
      </c>
      <c r="Q4" s="131">
        <f>IF(SER_hh_tesh_in!Q4=0,0,SER_hh_tesh_in!Q4/SER_summary!Q$27)</f>
        <v>50.457403604656065</v>
      </c>
      <c r="R4" s="131">
        <f>IF(SER_hh_tesh_in!R4=0,0,SER_hh_tesh_in!R4/SER_summary!R$27)</f>
        <v>59.313464650675222</v>
      </c>
      <c r="S4" s="131">
        <f>IF(SER_hh_tesh_in!S4=0,0,SER_hh_tesh_in!S4/SER_summary!S$27)</f>
        <v>47.636398716606053</v>
      </c>
      <c r="T4" s="131">
        <f>IF(SER_hh_tesh_in!T4=0,0,SER_hh_tesh_in!T4/SER_summary!T$27)</f>
        <v>41.657398580290661</v>
      </c>
      <c r="U4" s="131">
        <f>IF(SER_hh_tesh_in!U4=0,0,SER_hh_tesh_in!U4/SER_summary!U$27)</f>
        <v>39.815829664317306</v>
      </c>
      <c r="V4" s="131">
        <f>IF(SER_hh_tesh_in!V4=0,0,SER_hh_tesh_in!V4/SER_summary!V$27)</f>
        <v>35.871650437705092</v>
      </c>
      <c r="W4" s="131">
        <f>IF(SER_hh_tesh_in!W4=0,0,SER_hh_tesh_in!W4/SER_summary!W$27)</f>
        <v>31.755970364950702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32.7331948483018</v>
      </c>
      <c r="D7" s="133">
        <f>IF(SER_hh_tesh_in!D7=0,0,SER_hh_tesh_in!D7/SER_summary!D$27)</f>
        <v>33.902701571045334</v>
      </c>
      <c r="E7" s="133">
        <f>IF(SER_hh_tesh_in!E7=0,0,SER_hh_tesh_in!E7/SER_summary!E$27)</f>
        <v>36.377119250544077</v>
      </c>
      <c r="F7" s="133">
        <f>IF(SER_hh_tesh_in!F7=0,0,SER_hh_tesh_in!F7/SER_summary!F$27)</f>
        <v>36.811594295522788</v>
      </c>
      <c r="G7" s="133">
        <f>IF(SER_hh_tesh_in!G7=0,0,SER_hh_tesh_in!G7/SER_summary!G$27)</f>
        <v>46.968240039390224</v>
      </c>
      <c r="H7" s="133">
        <f>IF(SER_hh_tesh_in!H7=0,0,SER_hh_tesh_in!H7/SER_summary!H$27)</f>
        <v>50.555311914750831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41.322960706645148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67.561862286259313</v>
      </c>
      <c r="S7" s="133">
        <f>IF(SER_hh_tesh_in!S7=0,0,SER_hh_tesh_in!S7/SER_summary!S$27)</f>
        <v>35.53574817003603</v>
      </c>
      <c r="T7" s="133">
        <f>IF(SER_hh_tesh_in!T7=0,0,SER_hh_tesh_in!T7/SER_summary!T$27)</f>
        <v>37.197508783082796</v>
      </c>
      <c r="U7" s="133">
        <f>IF(SER_hh_tesh_in!U7=0,0,SER_hh_tesh_in!U7/SER_summary!U$27)</f>
        <v>42.513470609839864</v>
      </c>
      <c r="V7" s="133">
        <f>IF(SER_hh_tesh_in!V7=0,0,SER_hh_tesh_in!V7/SER_summary!V$27)</f>
        <v>41.077262621546168</v>
      </c>
      <c r="W7" s="133">
        <f>IF(SER_hh_tesh_in!W7=0,0,SER_hh_tesh_in!W7/SER_summary!W$27)</f>
        <v>31.345948950647589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28.12149609762076</v>
      </c>
      <c r="D8" s="133">
        <f>IF(SER_hh_tesh_in!D8=0,0,SER_hh_tesh_in!D8/SER_summary!D$27)</f>
        <v>29.92893280669561</v>
      </c>
      <c r="E8" s="133">
        <f>IF(SER_hh_tesh_in!E8=0,0,SER_hh_tesh_in!E8/SER_summary!E$27)</f>
        <v>33.764524160791346</v>
      </c>
      <c r="F8" s="133">
        <f>IF(SER_hh_tesh_in!F8=0,0,SER_hh_tesh_in!F8/SER_summary!F$27)</f>
        <v>40.005736127369801</v>
      </c>
      <c r="G8" s="133">
        <f>IF(SER_hh_tesh_in!G8=0,0,SER_hh_tesh_in!G8/SER_summary!G$27)</f>
        <v>48.990639458398803</v>
      </c>
      <c r="H8" s="133">
        <f>IF(SER_hh_tesh_in!H8=0,0,SER_hh_tesh_in!H8/SER_summary!H$27)</f>
        <v>49.504904387247123</v>
      </c>
      <c r="I8" s="133">
        <f>IF(SER_hh_tesh_in!I8=0,0,SER_hh_tesh_in!I8/SER_summary!I$27)</f>
        <v>48.855885057670193</v>
      </c>
      <c r="J8" s="133">
        <f>IF(SER_hh_tesh_in!J8=0,0,SER_hh_tesh_in!J8/SER_summary!J$27)</f>
        <v>48.202040505710897</v>
      </c>
      <c r="K8" s="133">
        <f>IF(SER_hh_tesh_in!K8=0,0,SER_hh_tesh_in!K8/SER_summary!K$27)</f>
        <v>44.018586760330223</v>
      </c>
      <c r="L8" s="133">
        <f>IF(SER_hh_tesh_in!L8=0,0,SER_hh_tesh_in!L8/SER_summary!L$27)</f>
        <v>35.801778788204139</v>
      </c>
      <c r="M8" s="133">
        <f>IF(SER_hh_tesh_in!M8=0,0,SER_hh_tesh_in!M8/SER_summary!M$27)</f>
        <v>28.351533127411518</v>
      </c>
      <c r="N8" s="133">
        <f>IF(SER_hh_tesh_in!N8=0,0,SER_hh_tesh_in!N8/SER_summary!N$27)</f>
        <v>19.577993472534576</v>
      </c>
      <c r="O8" s="133">
        <f>IF(SER_hh_tesh_in!O8=0,0,SER_hh_tesh_in!O8/SER_summary!O$27)</f>
        <v>24.403345175934959</v>
      </c>
      <c r="P8" s="133">
        <f>IF(SER_hh_tesh_in!P8=0,0,SER_hh_tesh_in!P8/SER_summary!P$27)</f>
        <v>37.143703824647368</v>
      </c>
      <c r="Q8" s="133">
        <f>IF(SER_hh_tesh_in!Q8=0,0,SER_hh_tesh_in!Q8/SER_summary!Q$27)</f>
        <v>59.306708444141343</v>
      </c>
      <c r="R8" s="133">
        <f>IF(SER_hh_tesh_in!R8=0,0,SER_hh_tesh_in!R8/SER_summary!R$27)</f>
        <v>50.696387567868385</v>
      </c>
      <c r="S8" s="133">
        <f>IF(SER_hh_tesh_in!S8=0,0,SER_hh_tesh_in!S8/SER_summary!S$27)</f>
        <v>45.268265635090366</v>
      </c>
      <c r="T8" s="133">
        <f>IF(SER_hh_tesh_in!T8=0,0,SER_hh_tesh_in!T8/SER_summary!T$27)</f>
        <v>42.149186775267367</v>
      </c>
      <c r="U8" s="133">
        <f>IF(SER_hh_tesh_in!U8=0,0,SER_hh_tesh_in!U8/SER_summary!U$27)</f>
        <v>38.504841999365539</v>
      </c>
      <c r="V8" s="133">
        <f>IF(SER_hh_tesh_in!V8=0,0,SER_hh_tesh_in!V8/SER_summary!V$27)</f>
        <v>37.014126145745735</v>
      </c>
      <c r="W8" s="133">
        <f>IF(SER_hh_tesh_in!W8=0,0,SER_hh_tesh_in!W8/SER_summary!W$27)</f>
        <v>31.763302739480665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27.507762920885149</v>
      </c>
      <c r="D9" s="133">
        <f>IF(SER_hh_tesh_in!D9=0,0,SER_hh_tesh_in!D9/SER_summary!D$27)</f>
        <v>27.346881307255888</v>
      </c>
      <c r="E9" s="133">
        <f>IF(SER_hh_tesh_in!E9=0,0,SER_hh_tesh_in!E9/SER_summary!E$27)</f>
        <v>32.557358800523204</v>
      </c>
      <c r="F9" s="133">
        <f>IF(SER_hh_tesh_in!F9=0,0,SER_hh_tesh_in!F9/SER_summary!F$27)</f>
        <v>38.998323685470247</v>
      </c>
      <c r="G9" s="133">
        <f>IF(SER_hh_tesh_in!G9=0,0,SER_hh_tesh_in!G9/SER_summary!G$27)</f>
        <v>49.072086859462708</v>
      </c>
      <c r="H9" s="133">
        <f>IF(SER_hh_tesh_in!H9=0,0,SER_hh_tesh_in!H9/SER_summary!H$27)</f>
        <v>50.457623496135149</v>
      </c>
      <c r="I9" s="133">
        <f>IF(SER_hh_tesh_in!I9=0,0,SER_hh_tesh_in!I9/SER_summary!I$27)</f>
        <v>48.246858951119705</v>
      </c>
      <c r="J9" s="133">
        <f>IF(SER_hh_tesh_in!J9=0,0,SER_hh_tesh_in!J9/SER_summary!J$27)</f>
        <v>53.257462898120714</v>
      </c>
      <c r="K9" s="133">
        <f>IF(SER_hh_tesh_in!K9=0,0,SER_hh_tesh_in!K9/SER_summary!K$27)</f>
        <v>49.941845887693468</v>
      </c>
      <c r="L9" s="133">
        <f>IF(SER_hh_tesh_in!L9=0,0,SER_hh_tesh_in!L9/SER_summary!L$27)</f>
        <v>37.542943232398137</v>
      </c>
      <c r="M9" s="133">
        <f>IF(SER_hh_tesh_in!M9=0,0,SER_hh_tesh_in!M9/SER_summary!M$27)</f>
        <v>51.292534462750382</v>
      </c>
      <c r="N9" s="133">
        <f>IF(SER_hh_tesh_in!N9=0,0,SER_hh_tesh_in!N9/SER_summary!N$27)</f>
        <v>0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52.04243051373318</v>
      </c>
      <c r="R9" s="133">
        <f>IF(SER_hh_tesh_in!R9=0,0,SER_hh_tesh_in!R9/SER_summary!R$27)</f>
        <v>0</v>
      </c>
      <c r="S9" s="133">
        <f>IF(SER_hh_tesh_in!S9=0,0,SER_hh_tesh_in!S9/SER_summary!S$27)</f>
        <v>43.607396935991453</v>
      </c>
      <c r="T9" s="133">
        <f>IF(SER_hh_tesh_in!T9=0,0,SER_hh_tesh_in!T9/SER_summary!T$27)</f>
        <v>39.524773672592566</v>
      </c>
      <c r="U9" s="133">
        <f>IF(SER_hh_tesh_in!U9=0,0,SER_hh_tesh_in!U9/SER_summary!U$27)</f>
        <v>43.08339299147778</v>
      </c>
      <c r="V9" s="133">
        <f>IF(SER_hh_tesh_in!V9=0,0,SER_hh_tesh_in!V9/SER_summary!V$27)</f>
        <v>34.28674840598616</v>
      </c>
      <c r="W9" s="133">
        <f>IF(SER_hh_tesh_in!W9=0,0,SER_hh_tesh_in!W9/SER_summary!W$27)</f>
        <v>30.568856984207386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69.779821781931133</v>
      </c>
      <c r="O10" s="133">
        <f>IF(SER_hh_tesh_in!O10=0,0,SER_hh_tesh_in!O10/SER_summary!O$27)</f>
        <v>37.384209259600283</v>
      </c>
      <c r="P10" s="133">
        <f>IF(SER_hh_tesh_in!P10=0,0,SER_hh_tesh_in!P10/SER_summary!P$27)</f>
        <v>27.392656943646454</v>
      </c>
      <c r="Q10" s="133">
        <f>IF(SER_hh_tesh_in!Q10=0,0,SER_hh_tesh_in!Q10/SER_summary!Q$27)</f>
        <v>80.134884908669875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64.797824863243363</v>
      </c>
      <c r="G11" s="133">
        <f>IF(SER_hh_tesh_in!G11=0,0,SER_hh_tesh_in!G11/SER_summary!G$27)</f>
        <v>50.324451110548416</v>
      </c>
      <c r="H11" s="133">
        <f>IF(SER_hh_tesh_in!H11=0,0,SER_hh_tesh_in!H11/SER_summary!H$27)</f>
        <v>48.402753590211908</v>
      </c>
      <c r="I11" s="133">
        <f>IF(SER_hh_tesh_in!I11=0,0,SER_hh_tesh_in!I11/SER_summary!I$27)</f>
        <v>0</v>
      </c>
      <c r="J11" s="133">
        <f>IF(SER_hh_tesh_in!J11=0,0,SER_hh_tesh_in!J11/SER_summary!J$27)</f>
        <v>46.405395673924133</v>
      </c>
      <c r="K11" s="133">
        <f>IF(SER_hh_tesh_in!K11=0,0,SER_hh_tesh_in!K11/SER_summary!K$27)</f>
        <v>50.830286064047328</v>
      </c>
      <c r="L11" s="133">
        <f>IF(SER_hh_tesh_in!L11=0,0,SER_hh_tesh_in!L11/SER_summary!L$27)</f>
        <v>43.892361594831648</v>
      </c>
      <c r="M11" s="133">
        <f>IF(SER_hh_tesh_in!M11=0,0,SER_hh_tesh_in!M11/SER_summary!M$27)</f>
        <v>40.328123737089498</v>
      </c>
      <c r="N11" s="133">
        <f>IF(SER_hh_tesh_in!N11=0,0,SER_hh_tesh_in!N11/SER_summary!N$27)</f>
        <v>39.856288044137841</v>
      </c>
      <c r="O11" s="133">
        <f>IF(SER_hh_tesh_in!O11=0,0,SER_hh_tesh_in!O11/SER_summary!O$27)</f>
        <v>37.587358706121812</v>
      </c>
      <c r="P11" s="133">
        <f>IF(SER_hh_tesh_in!P11=0,0,SER_hh_tesh_in!P11/SER_summary!P$27)</f>
        <v>41.963085745125341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43.260414870157668</v>
      </c>
      <c r="T11" s="133">
        <f>IF(SER_hh_tesh_in!T11=0,0,SER_hh_tesh_in!T11/SER_summary!T$27)</f>
        <v>41.543202845611759</v>
      </c>
      <c r="U11" s="133">
        <f>IF(SER_hh_tesh_in!U11=0,0,SER_hh_tesh_in!U11/SER_summary!U$27)</f>
        <v>54.40673464607314</v>
      </c>
      <c r="V11" s="133">
        <f>IF(SER_hh_tesh_in!V11=0,0,SER_hh_tesh_in!V11/SER_summary!V$27)</f>
        <v>18.35127050578193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31.229678931851861</v>
      </c>
      <c r="D13" s="133">
        <f>IF(SER_hh_tesh_in!D13=0,0,SER_hh_tesh_in!D13/SER_summary!D$27)</f>
        <v>32.448141148572894</v>
      </c>
      <c r="E13" s="133">
        <f>IF(SER_hh_tesh_in!E13=0,0,SER_hh_tesh_in!E13/SER_summary!E$27)</f>
        <v>35.31772389154731</v>
      </c>
      <c r="F13" s="133">
        <f>IF(SER_hh_tesh_in!F13=0,0,SER_hh_tesh_in!F13/SER_summary!F$27)</f>
        <v>43.682136888722496</v>
      </c>
      <c r="G13" s="133">
        <f>IF(SER_hh_tesh_in!G13=0,0,SER_hh_tesh_in!G13/SER_summary!G$27)</f>
        <v>42.428105601172554</v>
      </c>
      <c r="H13" s="133">
        <f>IF(SER_hh_tesh_in!H13=0,0,SER_hh_tesh_in!H13/SER_summary!H$27)</f>
        <v>46.535783865030268</v>
      </c>
      <c r="I13" s="133">
        <f>IF(SER_hh_tesh_in!I13=0,0,SER_hh_tesh_in!I13/SER_summary!I$27)</f>
        <v>51.069213156113896</v>
      </c>
      <c r="J13" s="133">
        <f>IF(SER_hh_tesh_in!J13=0,0,SER_hh_tesh_in!J13/SER_summary!J$27)</f>
        <v>50.743156656993605</v>
      </c>
      <c r="K13" s="133">
        <f>IF(SER_hh_tesh_in!K13=0,0,SER_hh_tesh_in!K13/SER_summary!K$27)</f>
        <v>48.417561702293241</v>
      </c>
      <c r="L13" s="133">
        <f>IF(SER_hh_tesh_in!L13=0,0,SER_hh_tesh_in!L13/SER_summary!L$27)</f>
        <v>41.669625922449953</v>
      </c>
      <c r="M13" s="133">
        <f>IF(SER_hh_tesh_in!M13=0,0,SER_hh_tesh_in!M13/SER_summary!M$27)</f>
        <v>37.671392107766792</v>
      </c>
      <c r="N13" s="133">
        <f>IF(SER_hh_tesh_in!N13=0,0,SER_hh_tesh_in!N13/SER_summary!N$27)</f>
        <v>41.638057098160715</v>
      </c>
      <c r="O13" s="133">
        <f>IF(SER_hh_tesh_in!O13=0,0,SER_hh_tesh_in!O13/SER_summary!O$27)</f>
        <v>37.694356501339392</v>
      </c>
      <c r="P13" s="133">
        <f>IF(SER_hh_tesh_in!P13=0,0,SER_hh_tesh_in!P13/SER_summary!P$27)</f>
        <v>41.237122005661817</v>
      </c>
      <c r="Q13" s="133">
        <f>IF(SER_hh_tesh_in!Q13=0,0,SER_hh_tesh_in!Q13/SER_summary!Q$27)</f>
        <v>48.855127055277705</v>
      </c>
      <c r="R13" s="133">
        <f>IF(SER_hh_tesh_in!R13=0,0,SER_hh_tesh_in!R13/SER_summary!R$27)</f>
        <v>47.61342964588183</v>
      </c>
      <c r="S13" s="133">
        <f>IF(SER_hh_tesh_in!S13=0,0,SER_hh_tesh_in!S13/SER_summary!S$27)</f>
        <v>44.098902153764932</v>
      </c>
      <c r="T13" s="133">
        <f>IF(SER_hh_tesh_in!T13=0,0,SER_hh_tesh_in!T13/SER_summary!T$27)</f>
        <v>42.118954520512922</v>
      </c>
      <c r="U13" s="133">
        <f>IF(SER_hh_tesh_in!U13=0,0,SER_hh_tesh_in!U13/SER_summary!U$27)</f>
        <v>38.720683114270429</v>
      </c>
      <c r="V13" s="133">
        <f>IF(SER_hh_tesh_in!V13=0,0,SER_hh_tesh_in!V13/SER_summary!V$27)</f>
        <v>36.040896858653809</v>
      </c>
      <c r="W13" s="133">
        <f>IF(SER_hh_tesh_in!W13=0,0,SER_hh_tesh_in!W13/SER_summary!W$27)</f>
        <v>31.753849012767574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31.968134793898166</v>
      </c>
      <c r="D14" s="65">
        <f>IF(SER_hh_tesh_in!D14=0,0,SER_hh_tesh_in!D14/SER_summary!D$27)</f>
        <v>32.124245821356034</v>
      </c>
      <c r="E14" s="65">
        <f>IF(SER_hh_tesh_in!E14=0,0,SER_hh_tesh_in!E14/SER_summary!E$27)</f>
        <v>36.47338167435943</v>
      </c>
      <c r="F14" s="65">
        <f>IF(SER_hh_tesh_in!F14=0,0,SER_hh_tesh_in!F14/SER_summary!F$27)</f>
        <v>43.545713715127462</v>
      </c>
      <c r="G14" s="65">
        <f>IF(SER_hh_tesh_in!G14=0,0,SER_hh_tesh_in!G14/SER_summary!G$27)</f>
        <v>42.244817652318432</v>
      </c>
      <c r="H14" s="65">
        <f>IF(SER_hh_tesh_in!H14=0,0,SER_hh_tesh_in!H14/SER_summary!H$27)</f>
        <v>48.613226151076454</v>
      </c>
      <c r="I14" s="65">
        <f>IF(SER_hh_tesh_in!I14=0,0,SER_hh_tesh_in!I14/SER_summary!I$27)</f>
        <v>50.554327569496721</v>
      </c>
      <c r="J14" s="65">
        <f>IF(SER_hh_tesh_in!J14=0,0,SER_hh_tesh_in!J14/SER_summary!J$27)</f>
        <v>54.985065796047913</v>
      </c>
      <c r="K14" s="65">
        <f>IF(SER_hh_tesh_in!K14=0,0,SER_hh_tesh_in!K14/SER_summary!K$27)</f>
        <v>56.845618633620496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60.465006112499047</v>
      </c>
      <c r="S14" s="65">
        <f>IF(SER_hh_tesh_in!S14=0,0,SER_hh_tesh_in!S14/SER_summary!S$27)</f>
        <v>55.554161486069852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33.699578918750511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0.63646286515845696</v>
      </c>
      <c r="D15" s="135">
        <f>IF(SER_hh_tesh_in!D15=0,0,SER_hh_tesh_in!D15/SER_summary!D$27)</f>
        <v>0.61723308202934046</v>
      </c>
      <c r="E15" s="135">
        <f>IF(SER_hh_tesh_in!E15=0,0,SER_hh_tesh_in!E15/SER_summary!E$27)</f>
        <v>0.66354284008667153</v>
      </c>
      <c r="F15" s="135">
        <f>IF(SER_hh_tesh_in!F15=0,0,SER_hh_tesh_in!F15/SER_summary!F$27)</f>
        <v>0.60069204927957531</v>
      </c>
      <c r="G15" s="135">
        <f>IF(SER_hh_tesh_in!G15=0,0,SER_hh_tesh_in!G15/SER_summary!G$27)</f>
        <v>0.84798003607615802</v>
      </c>
      <c r="H15" s="135">
        <f>IF(SER_hh_tesh_in!H15=0,0,SER_hh_tesh_in!H15/SER_summary!H$27)</f>
        <v>0.89602257098117744</v>
      </c>
      <c r="I15" s="135">
        <f>IF(SER_hh_tesh_in!I15=0,0,SER_hh_tesh_in!I15/SER_summary!I$27)</f>
        <v>0.84859041337452179</v>
      </c>
      <c r="J15" s="135">
        <f>IF(SER_hh_tesh_in!J15=0,0,SER_hh_tesh_in!J15/SER_summary!J$27)</f>
        <v>0.90568737029296065</v>
      </c>
      <c r="K15" s="135">
        <f>IF(SER_hh_tesh_in!K15=0,0,SER_hh_tesh_in!K15/SER_summary!K$27)</f>
        <v>0.80085744054541841</v>
      </c>
      <c r="L15" s="135">
        <f>IF(SER_hh_tesh_in!L15=0,0,SER_hh_tesh_in!L15/SER_summary!L$27)</f>
        <v>0.58522958419861548</v>
      </c>
      <c r="M15" s="135">
        <f>IF(SER_hh_tesh_in!M15=0,0,SER_hh_tesh_in!M15/SER_summary!M$27)</f>
        <v>0.67803068072344574</v>
      </c>
      <c r="N15" s="135">
        <f>IF(SER_hh_tesh_in!N15=0,0,SER_hh_tesh_in!N15/SER_summary!N$27)</f>
        <v>0.49476627275442603</v>
      </c>
      <c r="O15" s="135">
        <f>IF(SER_hh_tesh_in!O15=0,0,SER_hh_tesh_in!O15/SER_summary!O$27)</f>
        <v>0.17521499380334099</v>
      </c>
      <c r="P15" s="135">
        <f>IF(SER_hh_tesh_in!P15=0,0,SER_hh_tesh_in!P15/SER_summary!P$27)</f>
        <v>0.16082064076441757</v>
      </c>
      <c r="Q15" s="135">
        <f>IF(SER_hh_tesh_in!Q15=0,0,SER_hh_tesh_in!Q15/SER_summary!Q$27)</f>
        <v>0.33496242531413994</v>
      </c>
      <c r="R15" s="135">
        <f>IF(SER_hh_tesh_in!R15=0,0,SER_hh_tesh_in!R15/SER_summary!R$27)</f>
        <v>0.84188078078682727</v>
      </c>
      <c r="S15" s="135">
        <f>IF(SER_hh_tesh_in!S15=0,0,SER_hh_tesh_in!S15/SER_summary!S$27)</f>
        <v>0.58447923986958195</v>
      </c>
      <c r="T15" s="135">
        <f>IF(SER_hh_tesh_in!T15=0,0,SER_hh_tesh_in!T15/SER_summary!T$27)</f>
        <v>0.55177003247457679</v>
      </c>
      <c r="U15" s="135">
        <f>IF(SER_hh_tesh_in!U15=0,0,SER_hh_tesh_in!U15/SER_summary!U$27)</f>
        <v>0.61227735689090745</v>
      </c>
      <c r="V15" s="135">
        <f>IF(SER_hh_tesh_in!V15=0,0,SER_hh_tesh_in!V15/SER_summary!V$27)</f>
        <v>0.45688661062370906</v>
      </c>
      <c r="W15" s="135">
        <f>IF(SER_hh_tesh_in!W15=0,0,SER_hh_tesh_in!W15/SER_summary!W$27)</f>
        <v>0.43695598443174577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42.974841640459353</v>
      </c>
      <c r="D16" s="131">
        <f>IF(SER_hh_tesh_in!D16=0,0,SER_hh_tesh_in!D16/SER_summary!D$27)</f>
        <v>34.884983829841097</v>
      </c>
      <c r="E16" s="131">
        <f>IF(SER_hh_tesh_in!E16=0,0,SER_hh_tesh_in!E16/SER_summary!E$27)</f>
        <v>46.713281553312562</v>
      </c>
      <c r="F16" s="131">
        <f>IF(SER_hh_tesh_in!F16=0,0,SER_hh_tesh_in!F16/SER_summary!F$27)</f>
        <v>29.106073700376271</v>
      </c>
      <c r="G16" s="131">
        <f>IF(SER_hh_tesh_in!G16=0,0,SER_hh_tesh_in!G16/SER_summary!G$27)</f>
        <v>29.872738731137659</v>
      </c>
      <c r="H16" s="131">
        <f>IF(SER_hh_tesh_in!H16=0,0,SER_hh_tesh_in!H16/SER_summary!H$27)</f>
        <v>35.237878368833947</v>
      </c>
      <c r="I16" s="131">
        <f>IF(SER_hh_tesh_in!I16=0,0,SER_hh_tesh_in!I16/SER_summary!I$27)</f>
        <v>51.598486387524524</v>
      </c>
      <c r="J16" s="131">
        <f>IF(SER_hh_tesh_in!J16=0,0,SER_hh_tesh_in!J16/SER_summary!J$27)</f>
        <v>49.892253443055374</v>
      </c>
      <c r="K16" s="131">
        <f>IF(SER_hh_tesh_in!K16=0,0,SER_hh_tesh_in!K16/SER_summary!K$27)</f>
        <v>33.583164095822795</v>
      </c>
      <c r="L16" s="131">
        <f>IF(SER_hh_tesh_in!L16=0,0,SER_hh_tesh_in!L16/SER_summary!L$27)</f>
        <v>42.891093459350415</v>
      </c>
      <c r="M16" s="131">
        <f>IF(SER_hh_tesh_in!M16=0,0,SER_hh_tesh_in!M16/SER_summary!M$27)</f>
        <v>37.331354810005472</v>
      </c>
      <c r="N16" s="131">
        <f>IF(SER_hh_tesh_in!N16=0,0,SER_hh_tesh_in!N16/SER_summary!N$27)</f>
        <v>59.112368360692507</v>
      </c>
      <c r="O16" s="131">
        <f>IF(SER_hh_tesh_in!O16=0,0,SER_hh_tesh_in!O16/SER_summary!O$27)</f>
        <v>36.527519246304983</v>
      </c>
      <c r="P16" s="131">
        <f>IF(SER_hh_tesh_in!P16=0,0,SER_hh_tesh_in!P16/SER_summary!P$27)</f>
        <v>29.185942748071259</v>
      </c>
      <c r="Q16" s="131">
        <f>IF(SER_hh_tesh_in!Q16=0,0,SER_hh_tesh_in!Q16/SER_summary!Q$27)</f>
        <v>36.268549088311573</v>
      </c>
      <c r="R16" s="131">
        <f>IF(SER_hh_tesh_in!R16=0,0,SER_hh_tesh_in!R16/SER_summary!R$27)</f>
        <v>38.06927585052054</v>
      </c>
      <c r="S16" s="131">
        <f>IF(SER_hh_tesh_in!S16=0,0,SER_hh_tesh_in!S16/SER_summary!S$27)</f>
        <v>36.781765047588884</v>
      </c>
      <c r="T16" s="131">
        <f>IF(SER_hh_tesh_in!T16=0,0,SER_hh_tesh_in!T16/SER_summary!T$27)</f>
        <v>30.184966522173635</v>
      </c>
      <c r="U16" s="131">
        <f>IF(SER_hh_tesh_in!U16=0,0,SER_hh_tesh_in!U16/SER_summary!U$27)</f>
        <v>36.378155600897777</v>
      </c>
      <c r="V16" s="131">
        <f>IF(SER_hh_tesh_in!V16=0,0,SER_hh_tesh_in!V16/SER_summary!V$27)</f>
        <v>30.765898207322671</v>
      </c>
      <c r="W16" s="131">
        <f>IF(SER_hh_tesh_in!W16=0,0,SER_hh_tesh_in!W16/SER_summary!W$27)</f>
        <v>35.961871839131689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42.970626570924395</v>
      </c>
      <c r="D17" s="133">
        <f>IF(SER_hh_tesh_in!D17=0,0,SER_hh_tesh_in!D17/SER_summary!D$27)</f>
        <v>34.959891977486457</v>
      </c>
      <c r="E17" s="133">
        <f>IF(SER_hh_tesh_in!E17=0,0,SER_hh_tesh_in!E17/SER_summary!E$27)</f>
        <v>46.684037776131532</v>
      </c>
      <c r="F17" s="133">
        <f>IF(SER_hh_tesh_in!F17=0,0,SER_hh_tesh_in!F17/SER_summary!F$27)</f>
        <v>29.425042238077246</v>
      </c>
      <c r="G17" s="133">
        <f>IF(SER_hh_tesh_in!G17=0,0,SER_hh_tesh_in!G17/SER_summary!G$27)</f>
        <v>30.244298312160058</v>
      </c>
      <c r="H17" s="133">
        <f>IF(SER_hh_tesh_in!H17=0,0,SER_hh_tesh_in!H17/SER_summary!H$27)</f>
        <v>35.647206585408014</v>
      </c>
      <c r="I17" s="133">
        <f>IF(SER_hh_tesh_in!I17=0,0,SER_hh_tesh_in!I17/SER_summary!I$27)</f>
        <v>51.961949269452575</v>
      </c>
      <c r="J17" s="133">
        <f>IF(SER_hh_tesh_in!J17=0,0,SER_hh_tesh_in!J17/SER_summary!J$27)</f>
        <v>48.891273653366092</v>
      </c>
      <c r="K17" s="133">
        <f>IF(SER_hh_tesh_in!K17=0,0,SER_hh_tesh_in!K17/SER_summary!K$27)</f>
        <v>41.429293507511851</v>
      </c>
      <c r="L17" s="133">
        <f>IF(SER_hh_tesh_in!L17=0,0,SER_hh_tesh_in!L17/SER_summary!L$27)</f>
        <v>42.899641349333429</v>
      </c>
      <c r="M17" s="133">
        <f>IF(SER_hh_tesh_in!M17=0,0,SER_hh_tesh_in!M17/SER_summary!M$27)</f>
        <v>37.283685176762091</v>
      </c>
      <c r="N17" s="133">
        <f>IF(SER_hh_tesh_in!N17=0,0,SER_hh_tesh_in!N17/SER_summary!N$27)</f>
        <v>58.998959429490633</v>
      </c>
      <c r="O17" s="133">
        <f>IF(SER_hh_tesh_in!O17=0,0,SER_hh_tesh_in!O17/SER_summary!O$27)</f>
        <v>36.461882037312428</v>
      </c>
      <c r="P17" s="133">
        <f>IF(SER_hh_tesh_in!P17=0,0,SER_hh_tesh_in!P17/SER_summary!P$27)</f>
        <v>30.493173338166276</v>
      </c>
      <c r="Q17" s="133">
        <f>IF(SER_hh_tesh_in!Q17=0,0,SER_hh_tesh_in!Q17/SER_summary!Q$27)</f>
        <v>36.273843109141858</v>
      </c>
      <c r="R17" s="133">
        <f>IF(SER_hh_tesh_in!R17=0,0,SER_hh_tesh_in!R17/SER_summary!R$27)</f>
        <v>38.080502208941638</v>
      </c>
      <c r="S17" s="133">
        <f>IF(SER_hh_tesh_in!S17=0,0,SER_hh_tesh_in!S17/SER_summary!S$27)</f>
        <v>36.797445306373106</v>
      </c>
      <c r="T17" s="133">
        <f>IF(SER_hh_tesh_in!T17=0,0,SER_hh_tesh_in!T17/SER_summary!T$27)</f>
        <v>30.255519096175462</v>
      </c>
      <c r="U17" s="133">
        <f>IF(SER_hh_tesh_in!U17=0,0,SER_hh_tesh_in!U17/SER_summary!U$27)</f>
        <v>36.429380607545156</v>
      </c>
      <c r="V17" s="133">
        <f>IF(SER_hh_tesh_in!V17=0,0,SER_hh_tesh_in!V17/SER_summary!V$27)</f>
        <v>28.060687100432773</v>
      </c>
      <c r="W17" s="133">
        <f>IF(SER_hh_tesh_in!W17=0,0,SER_hh_tesh_in!W17/SER_summary!W$27)</f>
        <v>32.752616031583983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42.974844695742938</v>
      </c>
      <c r="D18" s="133">
        <f>IF(SER_hh_tesh_in!D18=0,0,SER_hh_tesh_in!D18/SER_summary!D$27)</f>
        <v>34.884814775344211</v>
      </c>
      <c r="E18" s="133">
        <f>IF(SER_hh_tesh_in!E18=0,0,SER_hh_tesh_in!E18/SER_summary!E$27)</f>
        <v>46.713286030451755</v>
      </c>
      <c r="F18" s="133">
        <f>IF(SER_hh_tesh_in!F18=0,0,SER_hh_tesh_in!F18/SER_summary!F$27)</f>
        <v>29.103963776589687</v>
      </c>
      <c r="G18" s="133">
        <f>IF(SER_hh_tesh_in!G18=0,0,SER_hh_tesh_in!G18/SER_summary!G$27)</f>
        <v>29.870138598416428</v>
      </c>
      <c r="H18" s="133">
        <f>IF(SER_hh_tesh_in!H18=0,0,SER_hh_tesh_in!H18/SER_summary!H$27)</f>
        <v>35.235595197582143</v>
      </c>
      <c r="I18" s="133">
        <f>IF(SER_hh_tesh_in!I18=0,0,SER_hh_tesh_in!I18/SER_summary!I$27)</f>
        <v>51.598479891751495</v>
      </c>
      <c r="J18" s="133">
        <f>IF(SER_hh_tesh_in!J18=0,0,SER_hh_tesh_in!J18/SER_summary!J$27)</f>
        <v>49.899681001485817</v>
      </c>
      <c r="K18" s="133">
        <f>IF(SER_hh_tesh_in!K18=0,0,SER_hh_tesh_in!K18/SER_summary!K$27)</f>
        <v>33.468290810125282</v>
      </c>
      <c r="L18" s="133">
        <f>IF(SER_hh_tesh_in!L18=0,0,SER_hh_tesh_in!L18/SER_summary!L$27)</f>
        <v>42.890922769434809</v>
      </c>
      <c r="M18" s="133">
        <f>IF(SER_hh_tesh_in!M18=0,0,SER_hh_tesh_in!M18/SER_summary!M$27)</f>
        <v>37.332502264559139</v>
      </c>
      <c r="N18" s="133">
        <f>IF(SER_hh_tesh_in!N18=0,0,SER_hh_tesh_in!N18/SER_summary!N$27)</f>
        <v>59.113681231876988</v>
      </c>
      <c r="O18" s="133">
        <f>IF(SER_hh_tesh_in!O18=0,0,SER_hh_tesh_in!O18/SER_summary!O$27)</f>
        <v>36.530270896086598</v>
      </c>
      <c r="P18" s="133">
        <f>IF(SER_hh_tesh_in!P18=0,0,SER_hh_tesh_in!P18/SER_summary!P$27)</f>
        <v>29.133558845775802</v>
      </c>
      <c r="Q18" s="133">
        <f>IF(SER_hh_tesh_in!Q18=0,0,SER_hh_tesh_in!Q18/SER_summary!Q$27)</f>
        <v>36.268398850581178</v>
      </c>
      <c r="R18" s="133">
        <f>IF(SER_hh_tesh_in!R18=0,0,SER_hh_tesh_in!R18/SER_summary!R$27)</f>
        <v>38.069023184443203</v>
      </c>
      <c r="S18" s="133">
        <f>IF(SER_hh_tesh_in!S18=0,0,SER_hh_tesh_in!S18/SER_summary!S$27)</f>
        <v>36.781324826000549</v>
      </c>
      <c r="T18" s="133">
        <f>IF(SER_hh_tesh_in!T18=0,0,SER_hh_tesh_in!T18/SER_summary!T$27)</f>
        <v>30.181562025893932</v>
      </c>
      <c r="U18" s="133">
        <f>IF(SER_hh_tesh_in!U18=0,0,SER_hh_tesh_in!U18/SER_summary!U$27)</f>
        <v>36.376700342916742</v>
      </c>
      <c r="V18" s="133">
        <f>IF(SER_hh_tesh_in!V18=0,0,SER_hh_tesh_in!V18/SER_summary!V$27)</f>
        <v>30.920208615389029</v>
      </c>
      <c r="W18" s="133">
        <f>IF(SER_hh_tesh_in!W18=0,0,SER_hh_tesh_in!W18/SER_summary!W$27)</f>
        <v>36.047857979119414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20.893099943005531</v>
      </c>
      <c r="D19" s="131">
        <f>IF(SER_hh_tesh_in!D19=0,0,SER_hh_tesh_in!D19/SER_summary!D$27)</f>
        <v>21.810454079906251</v>
      </c>
      <c r="E19" s="131">
        <f>IF(SER_hh_tesh_in!E19=0,0,SER_hh_tesh_in!E19/SER_summary!E$27)</f>
        <v>21.934255252088374</v>
      </c>
      <c r="F19" s="131">
        <f>IF(SER_hh_tesh_in!F19=0,0,SER_hh_tesh_in!F19/SER_summary!F$27)</f>
        <v>22.129083095002695</v>
      </c>
      <c r="G19" s="131">
        <f>IF(SER_hh_tesh_in!G19=0,0,SER_hh_tesh_in!G19/SER_summary!G$27)</f>
        <v>23.519487709081162</v>
      </c>
      <c r="H19" s="131">
        <f>IF(SER_hh_tesh_in!H19=0,0,SER_hh_tesh_in!H19/SER_summary!H$27)</f>
        <v>23.147196792639448</v>
      </c>
      <c r="I19" s="131">
        <f>IF(SER_hh_tesh_in!I19=0,0,SER_hh_tesh_in!I19/SER_summary!I$27)</f>
        <v>22.731209900553242</v>
      </c>
      <c r="J19" s="131">
        <f>IF(SER_hh_tesh_in!J19=0,0,SER_hh_tesh_in!J19/SER_summary!J$27)</f>
        <v>22.916889200271545</v>
      </c>
      <c r="K19" s="131">
        <f>IF(SER_hh_tesh_in!K19=0,0,SER_hh_tesh_in!K19/SER_summary!K$27)</f>
        <v>23.419228724258787</v>
      </c>
      <c r="L19" s="131">
        <f>IF(SER_hh_tesh_in!L19=0,0,SER_hh_tesh_in!L19/SER_summary!L$27)</f>
        <v>24.545773165109019</v>
      </c>
      <c r="M19" s="131">
        <f>IF(SER_hh_tesh_in!M19=0,0,SER_hh_tesh_in!M19/SER_summary!M$27)</f>
        <v>25.156853852947929</v>
      </c>
      <c r="N19" s="131">
        <f>IF(SER_hh_tesh_in!N19=0,0,SER_hh_tesh_in!N19/SER_summary!N$27)</f>
        <v>24.985431297931058</v>
      </c>
      <c r="O19" s="131">
        <f>IF(SER_hh_tesh_in!O19=0,0,SER_hh_tesh_in!O19/SER_summary!O$27)</f>
        <v>25.451714148775416</v>
      </c>
      <c r="P19" s="131">
        <f>IF(SER_hh_tesh_in!P19=0,0,SER_hh_tesh_in!P19/SER_summary!P$27)</f>
        <v>25.809636079711069</v>
      </c>
      <c r="Q19" s="131">
        <f>IF(SER_hh_tesh_in!Q19=0,0,SER_hh_tesh_in!Q19/SER_summary!Q$27)</f>
        <v>25.879958125349344</v>
      </c>
      <c r="R19" s="131">
        <f>IF(SER_hh_tesh_in!R19=0,0,SER_hh_tesh_in!R19/SER_summary!R$27)</f>
        <v>26.028193640369157</v>
      </c>
      <c r="S19" s="131">
        <f>IF(SER_hh_tesh_in!S19=0,0,SER_hh_tesh_in!S19/SER_summary!S$27)</f>
        <v>25.786638147038772</v>
      </c>
      <c r="T19" s="131">
        <f>IF(SER_hh_tesh_in!T19=0,0,SER_hh_tesh_in!T19/SER_summary!T$27)</f>
        <v>25.483675944131456</v>
      </c>
      <c r="U19" s="131">
        <f>IF(SER_hh_tesh_in!U19=0,0,SER_hh_tesh_in!U19/SER_summary!U$27)</f>
        <v>24.900605225030368</v>
      </c>
      <c r="V19" s="131">
        <f>IF(SER_hh_tesh_in!V19=0,0,SER_hh_tesh_in!V19/SER_summary!V$27)</f>
        <v>22.696541526537356</v>
      </c>
      <c r="W19" s="131">
        <f>IF(SER_hh_tesh_in!W19=0,0,SER_hh_tesh_in!W19/SER_summary!W$27)</f>
        <v>22.400631084028927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21.028109807209869</v>
      </c>
      <c r="D21" s="133">
        <f>IF(SER_hh_tesh_in!D21=0,0,SER_hh_tesh_in!D21/SER_summary!D$27)</f>
        <v>21.731522467996957</v>
      </c>
      <c r="E21" s="133">
        <f>IF(SER_hh_tesh_in!E21=0,0,SER_hh_tesh_in!E21/SER_summary!E$27)</f>
        <v>21.098661893156965</v>
      </c>
      <c r="F21" s="133">
        <f>IF(SER_hh_tesh_in!F21=0,0,SER_hh_tesh_in!F21/SER_summary!F$27)</f>
        <v>21.457821795925014</v>
      </c>
      <c r="G21" s="133">
        <f>IF(SER_hh_tesh_in!G21=0,0,SER_hh_tesh_in!G21/SER_summary!G$27)</f>
        <v>22.870116794916488</v>
      </c>
      <c r="H21" s="133">
        <f>IF(SER_hh_tesh_in!H21=0,0,SER_hh_tesh_in!H21/SER_summary!H$27)</f>
        <v>22.165879652553297</v>
      </c>
      <c r="I21" s="133">
        <f>IF(SER_hh_tesh_in!I21=0,0,SER_hh_tesh_in!I21/SER_summary!I$27)</f>
        <v>23.40251645530461</v>
      </c>
      <c r="J21" s="133">
        <f>IF(SER_hh_tesh_in!J21=0,0,SER_hh_tesh_in!J21/SER_summary!J$27)</f>
        <v>22.859178354010066</v>
      </c>
      <c r="K21" s="133">
        <f>IF(SER_hh_tesh_in!K21=0,0,SER_hh_tesh_in!K21/SER_summary!K$27)</f>
        <v>20.243043740484996</v>
      </c>
      <c r="L21" s="133">
        <f>IF(SER_hh_tesh_in!L21=0,0,SER_hh_tesh_in!L21/SER_summary!L$27)</f>
        <v>24.2689873507599</v>
      </c>
      <c r="M21" s="133">
        <f>IF(SER_hh_tesh_in!M21=0,0,SER_hh_tesh_in!M21/SER_summary!M$27)</f>
        <v>24.222450139327425</v>
      </c>
      <c r="N21" s="133">
        <f>IF(SER_hh_tesh_in!N21=0,0,SER_hh_tesh_in!N21/SER_summary!N$27)</f>
        <v>25.505842830210888</v>
      </c>
      <c r="O21" s="133">
        <f>IF(SER_hh_tesh_in!O21=0,0,SER_hh_tesh_in!O21/SER_summary!O$27)</f>
        <v>25.400676305170553</v>
      </c>
      <c r="P21" s="133">
        <f>IF(SER_hh_tesh_in!P21=0,0,SER_hh_tesh_in!P21/SER_summary!P$27)</f>
        <v>24.81431485586528</v>
      </c>
      <c r="Q21" s="133">
        <f>IF(SER_hh_tesh_in!Q21=0,0,SER_hh_tesh_in!Q21/SER_summary!Q$27)</f>
        <v>23.963811840063808</v>
      </c>
      <c r="R21" s="133">
        <f>IF(SER_hh_tesh_in!R21=0,0,SER_hh_tesh_in!R21/SER_summary!R$27)</f>
        <v>23.376340542586345</v>
      </c>
      <c r="S21" s="133">
        <f>IF(SER_hh_tesh_in!S21=0,0,SER_hh_tesh_in!S21/SER_summary!S$27)</f>
        <v>25.666959364949665</v>
      </c>
      <c r="T21" s="133">
        <f>IF(SER_hh_tesh_in!T21=0,0,SER_hh_tesh_in!T21/SER_summary!T$27)</f>
        <v>24.97347152593694</v>
      </c>
      <c r="U21" s="133">
        <f>IF(SER_hh_tesh_in!U21=0,0,SER_hh_tesh_in!U21/SER_summary!U$27)</f>
        <v>25.095548726289593</v>
      </c>
      <c r="V21" s="133">
        <f>IF(SER_hh_tesh_in!V21=0,0,SER_hh_tesh_in!V21/SER_summary!V$27)</f>
        <v>15.938699409612276</v>
      </c>
      <c r="W21" s="133">
        <f>IF(SER_hh_tesh_in!W21=0,0,SER_hh_tesh_in!W21/SER_summary!W$27)</f>
        <v>20.400091045550219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20.979071503752095</v>
      </c>
      <c r="D22" s="133">
        <f>IF(SER_hh_tesh_in!D22=0,0,SER_hh_tesh_in!D22/SER_summary!D$27)</f>
        <v>21.753260109248679</v>
      </c>
      <c r="E22" s="133">
        <f>IF(SER_hh_tesh_in!E22=0,0,SER_hh_tesh_in!E22/SER_summary!E$27)</f>
        <v>21.71203476239133</v>
      </c>
      <c r="F22" s="133">
        <f>IF(SER_hh_tesh_in!F22=0,0,SER_hh_tesh_in!F22/SER_summary!F$27)</f>
        <v>22.053307644671047</v>
      </c>
      <c r="G22" s="133">
        <f>IF(SER_hh_tesh_in!G22=0,0,SER_hh_tesh_in!G22/SER_summary!G$27)</f>
        <v>23.296447594893003</v>
      </c>
      <c r="H22" s="133">
        <f>IF(SER_hh_tesh_in!H22=0,0,SER_hh_tesh_in!H22/SER_summary!H$27)</f>
        <v>22.892259661329632</v>
      </c>
      <c r="I22" s="133">
        <f>IF(SER_hh_tesh_in!I22=0,0,SER_hh_tesh_in!I22/SER_summary!I$27)</f>
        <v>22.589253328153987</v>
      </c>
      <c r="J22" s="133">
        <f>IF(SER_hh_tesh_in!J22=0,0,SER_hh_tesh_in!J22/SER_summary!J$27)</f>
        <v>22.297834057549302</v>
      </c>
      <c r="K22" s="133">
        <f>IF(SER_hh_tesh_in!K22=0,0,SER_hh_tesh_in!K22/SER_summary!K$27)</f>
        <v>19.519854714831617</v>
      </c>
      <c r="L22" s="133">
        <f>IF(SER_hh_tesh_in!L22=0,0,SER_hh_tesh_in!L22/SER_summary!L$27)</f>
        <v>24.094314888329752</v>
      </c>
      <c r="M22" s="133">
        <f>IF(SER_hh_tesh_in!M22=0,0,SER_hh_tesh_in!M22/SER_summary!M$27)</f>
        <v>24.681915199101734</v>
      </c>
      <c r="N22" s="133">
        <f>IF(SER_hh_tesh_in!N22=0,0,SER_hh_tesh_in!N22/SER_summary!N$27)</f>
        <v>24.707666552335606</v>
      </c>
      <c r="O22" s="133">
        <f>IF(SER_hh_tesh_in!O22=0,0,SER_hh_tesh_in!O22/SER_summary!O$27)</f>
        <v>25.201481953780714</v>
      </c>
      <c r="P22" s="133">
        <f>IF(SER_hh_tesh_in!P22=0,0,SER_hh_tesh_in!P22/SER_summary!P$27)</f>
        <v>25.115662020132543</v>
      </c>
      <c r="Q22" s="133">
        <f>IF(SER_hh_tesh_in!Q22=0,0,SER_hh_tesh_in!Q22/SER_summary!Q$27)</f>
        <v>24.861196972879924</v>
      </c>
      <c r="R22" s="133">
        <f>IF(SER_hh_tesh_in!R22=0,0,SER_hh_tesh_in!R22/SER_summary!R$27)</f>
        <v>23.150899903625533</v>
      </c>
      <c r="S22" s="133">
        <f>IF(SER_hh_tesh_in!S22=0,0,SER_hh_tesh_in!S22/SER_summary!S$27)</f>
        <v>25.792493587067955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21.051410440997497</v>
      </c>
      <c r="D23" s="133">
        <f>IF(SER_hh_tesh_in!D23=0,0,SER_hh_tesh_in!D23/SER_summary!D$27)</f>
        <v>21.397620160467579</v>
      </c>
      <c r="E23" s="133">
        <f>IF(SER_hh_tesh_in!E23=0,0,SER_hh_tesh_in!E23/SER_summary!E$27)</f>
        <v>21.141453256690639</v>
      </c>
      <c r="F23" s="133">
        <f>IF(SER_hh_tesh_in!F23=0,0,SER_hh_tesh_in!F23/SER_summary!F$27)</f>
        <v>18.570606944824508</v>
      </c>
      <c r="G23" s="133">
        <f>IF(SER_hh_tesh_in!G23=0,0,SER_hh_tesh_in!G23/SER_summary!G$27)</f>
        <v>24.135463300464693</v>
      </c>
      <c r="H23" s="133">
        <f>IF(SER_hh_tesh_in!H23=0,0,SER_hh_tesh_in!H23/SER_summary!H$27)</f>
        <v>22.827744289598478</v>
      </c>
      <c r="I23" s="133">
        <f>IF(SER_hh_tesh_in!I23=0,0,SER_hh_tesh_in!I23/SER_summary!I$27)</f>
        <v>23.152425391398058</v>
      </c>
      <c r="J23" s="133">
        <f>IF(SER_hh_tesh_in!J23=0,0,SER_hh_tesh_in!J23/SER_summary!J$27)</f>
        <v>22.311309439923924</v>
      </c>
      <c r="K23" s="133">
        <f>IF(SER_hh_tesh_in!K23=0,0,SER_hh_tesh_in!K23/SER_summary!K$27)</f>
        <v>20.238411064874022</v>
      </c>
      <c r="L23" s="133">
        <f>IF(SER_hh_tesh_in!L23=0,0,SER_hh_tesh_in!L23/SER_summary!L$27)</f>
        <v>25.227406958586101</v>
      </c>
      <c r="M23" s="133">
        <f>IF(SER_hh_tesh_in!M23=0,0,SER_hh_tesh_in!M23/SER_summary!M$27)</f>
        <v>24.977059824358747</v>
      </c>
      <c r="N23" s="133">
        <f>IF(SER_hh_tesh_in!N23=0,0,SER_hh_tesh_in!N23/SER_summary!N$27)</f>
        <v>25.614844504834007</v>
      </c>
      <c r="O23" s="133">
        <f>IF(SER_hh_tesh_in!O23=0,0,SER_hh_tesh_in!O23/SER_summary!O$27)</f>
        <v>26.150987805462641</v>
      </c>
      <c r="P23" s="133">
        <f>IF(SER_hh_tesh_in!P23=0,0,SER_hh_tesh_in!P23/SER_summary!P$27)</f>
        <v>24.824838635075963</v>
      </c>
      <c r="Q23" s="133">
        <f>IF(SER_hh_tesh_in!Q23=0,0,SER_hh_tesh_in!Q23/SER_summary!Q$27)</f>
        <v>26.308995004693916</v>
      </c>
      <c r="R23" s="133">
        <f>IF(SER_hh_tesh_in!R23=0,0,SER_hh_tesh_in!R23/SER_summary!R$27)</f>
        <v>24.749958154607228</v>
      </c>
      <c r="S23" s="133">
        <f>IF(SER_hh_tesh_in!S23=0,0,SER_hh_tesh_in!S23/SER_summary!S$27)</f>
        <v>25.067284534398709</v>
      </c>
      <c r="T23" s="133">
        <f>IF(SER_hh_tesh_in!T23=0,0,SER_hh_tesh_in!T23/SER_summary!T$27)</f>
        <v>24.161981319350719</v>
      </c>
      <c r="U23" s="133">
        <f>IF(SER_hh_tesh_in!U23=0,0,SER_hh_tesh_in!U23/SER_summary!U$27)</f>
        <v>23.466010453207499</v>
      </c>
      <c r="V23" s="133">
        <f>IF(SER_hh_tesh_in!V23=0,0,SER_hh_tesh_in!V23/SER_summary!V$27)</f>
        <v>20.256419867907695</v>
      </c>
      <c r="W23" s="133">
        <f>IF(SER_hh_tesh_in!W23=0,0,SER_hh_tesh_in!W23/SER_summary!W$27)</f>
        <v>21.634263663623926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19.793949853167746</v>
      </c>
      <c r="D26" s="65">
        <f>IF(SER_hh_tesh_in!D26=0,0,SER_hh_tesh_in!D26/SER_summary!D$27)</f>
        <v>20.265599724601746</v>
      </c>
      <c r="E26" s="65">
        <f>IF(SER_hh_tesh_in!E26=0,0,SER_hh_tesh_in!E26/SER_summary!E$27)</f>
        <v>20.148086245319465</v>
      </c>
      <c r="F26" s="65">
        <f>IF(SER_hh_tesh_in!F26=0,0,SER_hh_tesh_in!F26/SER_summary!F$27)</f>
        <v>20.237884310619133</v>
      </c>
      <c r="G26" s="65">
        <f>IF(SER_hh_tesh_in!G26=0,0,SER_hh_tesh_in!G26/SER_summary!G$27)</f>
        <v>23.453353057917166</v>
      </c>
      <c r="H26" s="65">
        <f>IF(SER_hh_tesh_in!H26=0,0,SER_hh_tesh_in!H26/SER_summary!H$27)</f>
        <v>20.290906135446225</v>
      </c>
      <c r="I26" s="65">
        <f>IF(SER_hh_tesh_in!I26=0,0,SER_hh_tesh_in!I26/SER_summary!I$27)</f>
        <v>17.482969873304651</v>
      </c>
      <c r="J26" s="65">
        <f>IF(SER_hh_tesh_in!J26=0,0,SER_hh_tesh_in!J26/SER_summary!J$27)</f>
        <v>13.970202149828248</v>
      </c>
      <c r="K26" s="65">
        <f>IF(SER_hh_tesh_in!K26=0,0,SER_hh_tesh_in!K26/SER_summary!K$27)</f>
        <v>4.7410429332018955</v>
      </c>
      <c r="L26" s="65">
        <f>IF(SER_hh_tesh_in!L26=0,0,SER_hh_tesh_in!L26/SER_summary!L$27)</f>
        <v>17.215737221781136</v>
      </c>
      <c r="M26" s="65">
        <f>IF(SER_hh_tesh_in!M26=0,0,SER_hh_tesh_in!M26/SER_summary!M$27)</f>
        <v>14.605294078650349</v>
      </c>
      <c r="N26" s="65">
        <f>IF(SER_hh_tesh_in!N26=0,0,SER_hh_tesh_in!N26/SER_summary!N$27)</f>
        <v>15.223549076290311</v>
      </c>
      <c r="O26" s="65">
        <f>IF(SER_hh_tesh_in!O26=0,0,SER_hh_tesh_in!O26/SER_summary!O$27)</f>
        <v>4.5118577411368683</v>
      </c>
      <c r="P26" s="65">
        <f>IF(SER_hh_tesh_in!P26=0,0,SER_hh_tesh_in!P26/SER_summary!P$27)</f>
        <v>18.492138559372439</v>
      </c>
      <c r="Q26" s="65">
        <f>IF(SER_hh_tesh_in!Q26=0,0,SER_hh_tesh_in!Q26/SER_summary!Q$27)</f>
        <v>17.88688621139649</v>
      </c>
      <c r="R26" s="65">
        <f>IF(SER_hh_tesh_in!R26=0,0,SER_hh_tesh_in!R26/SER_summary!R$27)</f>
        <v>5.1471248398930136</v>
      </c>
      <c r="S26" s="65">
        <f>IF(SER_hh_tesh_in!S26=0,0,SER_hh_tesh_in!S26/SER_summary!S$27)</f>
        <v>15.770622680510574</v>
      </c>
      <c r="T26" s="65">
        <f>IF(SER_hh_tesh_in!T26=0,0,SER_hh_tesh_in!T26/SER_summary!T$27)</f>
        <v>16.279196266589402</v>
      </c>
      <c r="U26" s="65">
        <f>IF(SER_hh_tesh_in!U26=0,0,SER_hh_tesh_in!U26/SER_summary!U$27)</f>
        <v>15.36089406927934</v>
      </c>
      <c r="V26" s="65">
        <f>IF(SER_hh_tesh_in!V26=0,0,SER_hh_tesh_in!V26/SER_summary!V$27)</f>
        <v>4.4093147859872905</v>
      </c>
      <c r="W26" s="65">
        <f>IF(SER_hh_tesh_in!W26=0,0,SER_hh_tesh_in!W26/SER_summary!W$27)</f>
        <v>12.378475888804985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0.9927835451986099</v>
      </c>
      <c r="D27" s="146">
        <f>IF(SER_hh_tesh_in!D27=0,0,SER_hh_tesh_in!D27/SER_summary!D$27)</f>
        <v>1.4096732304074548</v>
      </c>
      <c r="E27" s="146">
        <f>IF(SER_hh_tesh_in!E27=0,0,SER_hh_tesh_in!E27/SER_summary!E$27)</f>
        <v>1.6584358397169363</v>
      </c>
      <c r="F27" s="146">
        <f>IF(SER_hh_tesh_in!F27=0,0,SER_hh_tesh_in!F27/SER_summary!F$27)</f>
        <v>1.9103729641992355</v>
      </c>
      <c r="G27" s="146">
        <f>IF(SER_hh_tesh_in!G27=0,0,SER_hh_tesh_in!G27/SER_summary!G$27)</f>
        <v>8.3995653385287115E-3</v>
      </c>
      <c r="H27" s="146">
        <f>IF(SER_hh_tesh_in!H27=0,0,SER_hh_tesh_in!H27/SER_summary!H$27)</f>
        <v>2.4454675687755887</v>
      </c>
      <c r="I27" s="146">
        <f>IF(SER_hh_tesh_in!I27=0,0,SER_hh_tesh_in!I27/SER_summary!I$27)</f>
        <v>4.2305920456240571</v>
      </c>
      <c r="J27" s="146">
        <f>IF(SER_hh_tesh_in!J27=0,0,SER_hh_tesh_in!J27/SER_summary!J$27)</f>
        <v>7.657404290276097</v>
      </c>
      <c r="K27" s="146">
        <f>IF(SER_hh_tesh_in!K27=0,0,SER_hh_tesh_in!K27/SER_summary!K$27)</f>
        <v>16.267956829428236</v>
      </c>
      <c r="L27" s="146">
        <f>IF(SER_hh_tesh_in!L27=0,0,SER_hh_tesh_in!L27/SER_summary!L$27)</f>
        <v>5.3772023979813399</v>
      </c>
      <c r="M27" s="146">
        <f>IF(SER_hh_tesh_in!M27=0,0,SER_hh_tesh_in!M27/SER_summary!M$27)</f>
        <v>8.7803786074995482</v>
      </c>
      <c r="N27" s="146">
        <f>IF(SER_hh_tesh_in!N27=0,0,SER_hh_tesh_in!N27/SER_summary!N$27)</f>
        <v>8.5082591097077742</v>
      </c>
      <c r="O27" s="146">
        <f>IF(SER_hh_tesh_in!O27=0,0,SER_hh_tesh_in!O27/SER_summary!O$27)</f>
        <v>18.519469027699554</v>
      </c>
      <c r="P27" s="146">
        <f>IF(SER_hh_tesh_in!P27=0,0,SER_hh_tesh_in!P27/SER_summary!P$27)</f>
        <v>6.5673775752263959</v>
      </c>
      <c r="Q27" s="146">
        <f>IF(SER_hh_tesh_in!Q27=0,0,SER_hh_tesh_in!Q27/SER_summary!Q$27)</f>
        <v>6.9136239408997664</v>
      </c>
      <c r="R27" s="146">
        <f>IF(SER_hh_tesh_in!R27=0,0,SER_hh_tesh_in!R27/SER_summary!R$27)</f>
        <v>17.965565349408831</v>
      </c>
      <c r="S27" s="146">
        <f>IF(SER_hh_tesh_in!S27=0,0,SER_hh_tesh_in!S27/SER_summary!S$27)</f>
        <v>8.5135289530796907</v>
      </c>
      <c r="T27" s="146">
        <f>IF(SER_hh_tesh_in!T27=0,0,SER_hh_tesh_in!T27/SER_summary!T$27)</f>
        <v>8.1402354853007477</v>
      </c>
      <c r="U27" s="146">
        <f>IF(SER_hh_tesh_in!U27=0,0,SER_hh_tesh_in!U27/SER_summary!U$27)</f>
        <v>8.4020063683029562</v>
      </c>
      <c r="V27" s="146">
        <f>IF(SER_hh_tesh_in!V27=0,0,SER_hh_tesh_in!V27/SER_summary!V$27)</f>
        <v>16.024800663720004</v>
      </c>
      <c r="W27" s="146">
        <f>IF(SER_hh_tesh_in!W27=0,0,SER_hh_tesh_in!W27/SER_summary!W$27)</f>
        <v>8.6849446249287414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16.798352203655782</v>
      </c>
      <c r="D28" s="147">
        <f>IF(SER_hh_tesh_in!D28=0,0,SER_hh_tesh_in!D28/SER_summary!D$27)</f>
        <v>17.434349665403019</v>
      </c>
      <c r="E28" s="147">
        <f>IF(SER_hh_tesh_in!E28=0,0,SER_hh_tesh_in!E28/SER_summary!E$27)</f>
        <v>17.692970268446008</v>
      </c>
      <c r="F28" s="147">
        <f>IF(SER_hh_tesh_in!F28=0,0,SER_hh_tesh_in!F28/SER_summary!F$27)</f>
        <v>17.863025851442643</v>
      </c>
      <c r="G28" s="147">
        <f>IF(SER_hh_tesh_in!G28=0,0,SER_hh_tesh_in!G28/SER_summary!G$27)</f>
        <v>20.253162870099384</v>
      </c>
      <c r="H28" s="147">
        <f>IF(SER_hh_tesh_in!H28=0,0,SER_hh_tesh_in!H28/SER_summary!H$27)</f>
        <v>18.48689586307033</v>
      </c>
      <c r="I28" s="147">
        <f>IF(SER_hh_tesh_in!I28=0,0,SER_hh_tesh_in!I28/SER_summary!I$27)</f>
        <v>18.069460722778526</v>
      </c>
      <c r="J28" s="147">
        <f>IF(SER_hh_tesh_in!J28=0,0,SER_hh_tesh_in!J28/SER_summary!J$27)</f>
        <v>18.377700098586143</v>
      </c>
      <c r="K28" s="147">
        <f>IF(SER_hh_tesh_in!K28=0,0,SER_hh_tesh_in!K28/SER_summary!K$27)</f>
        <v>18.692735656688892</v>
      </c>
      <c r="L28" s="147">
        <f>IF(SER_hh_tesh_in!L28=0,0,SER_hh_tesh_in!L28/SER_summary!L$27)</f>
        <v>19.579911085878436</v>
      </c>
      <c r="M28" s="147">
        <f>IF(SER_hh_tesh_in!M28=0,0,SER_hh_tesh_in!M28/SER_summary!M$27)</f>
        <v>20.268277368787103</v>
      </c>
      <c r="N28" s="147">
        <f>IF(SER_hh_tesh_in!N28=0,0,SER_hh_tesh_in!N28/SER_summary!N$27)</f>
        <v>20.997960175502786</v>
      </c>
      <c r="O28" s="147">
        <f>IF(SER_hh_tesh_in!O28=0,0,SER_hh_tesh_in!O28/SER_summary!O$27)</f>
        <v>20.917671900241313</v>
      </c>
      <c r="P28" s="147">
        <f>IF(SER_hh_tesh_in!P28=0,0,SER_hh_tesh_in!P28/SER_summary!P$27)</f>
        <v>21.438465815985388</v>
      </c>
      <c r="Q28" s="147">
        <f>IF(SER_hh_tesh_in!Q28=0,0,SER_hh_tesh_in!Q28/SER_summary!Q$27)</f>
        <v>21.795296290822229</v>
      </c>
      <c r="R28" s="147">
        <f>IF(SER_hh_tesh_in!R28=0,0,SER_hh_tesh_in!R28/SER_summary!R$27)</f>
        <v>20.940892317153697</v>
      </c>
      <c r="S28" s="147">
        <f>IF(SER_hh_tesh_in!S28=0,0,SER_hh_tesh_in!S28/SER_summary!S$27)</f>
        <v>20.843437256630757</v>
      </c>
      <c r="T28" s="147">
        <f>IF(SER_hh_tesh_in!T28=0,0,SER_hh_tesh_in!T28/SER_summary!T$27)</f>
        <v>20.821818112299706</v>
      </c>
      <c r="U28" s="147">
        <f>IF(SER_hh_tesh_in!U28=0,0,SER_hh_tesh_in!U28/SER_summary!U$27)</f>
        <v>20.651425674036044</v>
      </c>
      <c r="V28" s="147">
        <f>IF(SER_hh_tesh_in!V28=0,0,SER_hh_tesh_in!V28/SER_summary!V$27)</f>
        <v>18.600201538396934</v>
      </c>
      <c r="W28" s="147">
        <f>IF(SER_hh_tesh_in!W28=0,0,SER_hh_tesh_in!W28/SER_summary!W$27)</f>
        <v>18.592400015861024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27.468352771038788</v>
      </c>
      <c r="D29" s="131">
        <f>IF(SER_hh_tesh_in!D29=0,0,SER_hh_tesh_in!D29/SER_summary!D$27)</f>
        <v>28.68013099969976</v>
      </c>
      <c r="E29" s="131">
        <f>IF(SER_hh_tesh_in!E29=0,0,SER_hh_tesh_in!E29/SER_summary!E$27)</f>
        <v>27.394520577693957</v>
      </c>
      <c r="F29" s="131">
        <f>IF(SER_hh_tesh_in!F29=0,0,SER_hh_tesh_in!F29/SER_summary!F$27)</f>
        <v>30.330509651259934</v>
      </c>
      <c r="G29" s="131">
        <f>IF(SER_hh_tesh_in!G29=0,0,SER_hh_tesh_in!G29/SER_summary!G$27)</f>
        <v>29.271691401634474</v>
      </c>
      <c r="H29" s="131">
        <f>IF(SER_hh_tesh_in!H29=0,0,SER_hh_tesh_in!H29/SER_summary!H$27)</f>
        <v>28.56810951002667</v>
      </c>
      <c r="I29" s="131">
        <f>IF(SER_hh_tesh_in!I29=0,0,SER_hh_tesh_in!I29/SER_summary!I$27)</f>
        <v>27.774537577739899</v>
      </c>
      <c r="J29" s="131">
        <f>IF(SER_hh_tesh_in!J29=0,0,SER_hh_tesh_in!J29/SER_summary!J$27)</f>
        <v>27.55904508999518</v>
      </c>
      <c r="K29" s="131">
        <f>IF(SER_hh_tesh_in!K29=0,0,SER_hh_tesh_in!K29/SER_summary!K$27)</f>
        <v>28.388819354311199</v>
      </c>
      <c r="L29" s="131">
        <f>IF(SER_hh_tesh_in!L29=0,0,SER_hh_tesh_in!L29/SER_summary!L$27)</f>
        <v>29.523295955129441</v>
      </c>
      <c r="M29" s="131">
        <f>IF(SER_hh_tesh_in!M29=0,0,SER_hh_tesh_in!M29/SER_summary!M$27)</f>
        <v>26.011306567609257</v>
      </c>
      <c r="N29" s="131">
        <f>IF(SER_hh_tesh_in!N29=0,0,SER_hh_tesh_in!N29/SER_summary!N$27)</f>
        <v>34.147231225640461</v>
      </c>
      <c r="O29" s="131">
        <f>IF(SER_hh_tesh_in!O29=0,0,SER_hh_tesh_in!O29/SER_summary!O$27)</f>
        <v>30.829017862895206</v>
      </c>
      <c r="P29" s="131">
        <f>IF(SER_hh_tesh_in!P29=0,0,SER_hh_tesh_in!P29/SER_summary!P$27)</f>
        <v>32.253787842911905</v>
      </c>
      <c r="Q29" s="131">
        <f>IF(SER_hh_tesh_in!Q29=0,0,SER_hh_tesh_in!Q29/SER_summary!Q$27)</f>
        <v>30.713724946552983</v>
      </c>
      <c r="R29" s="131">
        <f>IF(SER_hh_tesh_in!R29=0,0,SER_hh_tesh_in!R29/SER_summary!R$27)</f>
        <v>30.596129490809783</v>
      </c>
      <c r="S29" s="131">
        <f>IF(SER_hh_tesh_in!S29=0,0,SER_hh_tesh_in!S29/SER_summary!S$27)</f>
        <v>30.794933507519882</v>
      </c>
      <c r="T29" s="131">
        <f>IF(SER_hh_tesh_in!T29=0,0,SER_hh_tesh_in!T29/SER_summary!T$27)</f>
        <v>30.496783270910811</v>
      </c>
      <c r="U29" s="131">
        <f>IF(SER_hh_tesh_in!U29=0,0,SER_hh_tesh_in!U29/SER_summary!U$27)</f>
        <v>29.891600685077634</v>
      </c>
      <c r="V29" s="131">
        <f>IF(SER_hh_tesh_in!V29=0,0,SER_hh_tesh_in!V29/SER_summary!V$27)</f>
        <v>25.781369223829003</v>
      </c>
      <c r="W29" s="131">
        <f>IF(SER_hh_tesh_in!W29=0,0,SER_hh_tesh_in!W29/SER_summary!W$27)</f>
        <v>28.983421820921151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30.96313050367667</v>
      </c>
      <c r="D30" s="133">
        <f>IF(SER_hh_tesh_in!D30=0,0,SER_hh_tesh_in!D30/SER_summary!D$27)</f>
        <v>18.945632167422421</v>
      </c>
      <c r="E30" s="133">
        <f>IF(SER_hh_tesh_in!E30=0,0,SER_hh_tesh_in!E30/SER_summary!E$27)</f>
        <v>19.094490854773618</v>
      </c>
      <c r="F30" s="133">
        <f>IF(SER_hh_tesh_in!F30=0,0,SER_hh_tesh_in!F30/SER_summary!F$27)</f>
        <v>38.105015453136261</v>
      </c>
      <c r="G30" s="133">
        <f>IF(SER_hh_tesh_in!G30=0,0,SER_hh_tesh_in!G30/SER_summary!G$27)</f>
        <v>30.280558461411601</v>
      </c>
      <c r="H30" s="133">
        <f>IF(SER_hh_tesh_in!H30=0,0,SER_hh_tesh_in!H30/SER_summary!H$27)</f>
        <v>28.533545804544598</v>
      </c>
      <c r="I30" s="133">
        <f>IF(SER_hh_tesh_in!I30=0,0,SER_hh_tesh_in!I30/SER_summary!I$27)</f>
        <v>27.64749316056767</v>
      </c>
      <c r="J30" s="133">
        <f>IF(SER_hh_tesh_in!J30=0,0,SER_hh_tesh_in!J30/SER_summary!J$27)</f>
        <v>26.252326622009157</v>
      </c>
      <c r="K30" s="133">
        <f>IF(SER_hh_tesh_in!K30=0,0,SER_hh_tesh_in!K30/SER_summary!K$27)</f>
        <v>24.582622424901565</v>
      </c>
      <c r="L30" s="133">
        <f>IF(SER_hh_tesh_in!L30=0,0,SER_hh_tesh_in!L30/SER_summary!L$27)</f>
        <v>26.152122535055451</v>
      </c>
      <c r="M30" s="133">
        <f>IF(SER_hh_tesh_in!M30=0,0,SER_hh_tesh_in!M30/SER_summary!M$27)</f>
        <v>18.820723166363567</v>
      </c>
      <c r="N30" s="133">
        <f>IF(SER_hh_tesh_in!N30=0,0,SER_hh_tesh_in!N30/SER_summary!N$27)</f>
        <v>51.664152247621246</v>
      </c>
      <c r="O30" s="133">
        <f>IF(SER_hh_tesh_in!O30=0,0,SER_hh_tesh_in!O30/SER_summary!O$27)</f>
        <v>35.553410920889633</v>
      </c>
      <c r="P30" s="133">
        <f>IF(SER_hh_tesh_in!P30=0,0,SER_hh_tesh_in!P30/SER_summary!P$27)</f>
        <v>0</v>
      </c>
      <c r="Q30" s="133">
        <f>IF(SER_hh_tesh_in!Q30=0,0,SER_hh_tesh_in!Q30/SER_summary!Q$27)</f>
        <v>24.944057859307222</v>
      </c>
      <c r="R30" s="133">
        <f>IF(SER_hh_tesh_in!R30=0,0,SER_hh_tesh_in!R30/SER_summary!R$27)</f>
        <v>28.120188928999362</v>
      </c>
      <c r="S30" s="133">
        <f>IF(SER_hh_tesh_in!S30=0,0,SER_hh_tesh_in!S30/SER_summary!S$27)</f>
        <v>30.624902648970263</v>
      </c>
      <c r="T30" s="133">
        <f>IF(SER_hh_tesh_in!T30=0,0,SER_hh_tesh_in!T30/SER_summary!T$27)</f>
        <v>31.028707177782923</v>
      </c>
      <c r="U30" s="133">
        <f>IF(SER_hh_tesh_in!U30=0,0,SER_hh_tesh_in!U30/SER_summary!U$27)</f>
        <v>33.359610903083357</v>
      </c>
      <c r="V30" s="133">
        <f>IF(SER_hh_tesh_in!V30=0,0,SER_hh_tesh_in!V30/SER_summary!V$27)</f>
        <v>21.74275685830694</v>
      </c>
      <c r="W30" s="133">
        <f>IF(SER_hh_tesh_in!W30=0,0,SER_hh_tesh_in!W30/SER_summary!W$27)</f>
        <v>31.513414450395057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26.432654768390389</v>
      </c>
      <c r="D31" s="133">
        <f>IF(SER_hh_tesh_in!D31=0,0,SER_hh_tesh_in!D31/SER_summary!D$27)</f>
        <v>25.367463786469415</v>
      </c>
      <c r="E31" s="133">
        <f>IF(SER_hh_tesh_in!E31=0,0,SER_hh_tesh_in!E31/SER_summary!E$27)</f>
        <v>26.628153542476184</v>
      </c>
      <c r="F31" s="133">
        <f>IF(SER_hh_tesh_in!F31=0,0,SER_hh_tesh_in!F31/SER_summary!F$27)</f>
        <v>27.230509892472199</v>
      </c>
      <c r="G31" s="133">
        <f>IF(SER_hh_tesh_in!G31=0,0,SER_hh_tesh_in!G31/SER_summary!G$27)</f>
        <v>30.460950370381841</v>
      </c>
      <c r="H31" s="133">
        <f>IF(SER_hh_tesh_in!H31=0,0,SER_hh_tesh_in!H31/SER_summary!H$27)</f>
        <v>28.360393169645825</v>
      </c>
      <c r="I31" s="133">
        <f>IF(SER_hh_tesh_in!I31=0,0,SER_hh_tesh_in!I31/SER_summary!I$27)</f>
        <v>27.175383471092754</v>
      </c>
      <c r="J31" s="133">
        <f>IF(SER_hh_tesh_in!J31=0,0,SER_hh_tesh_in!J31/SER_summary!J$27)</f>
        <v>26.986924196854446</v>
      </c>
      <c r="K31" s="133">
        <f>IF(SER_hh_tesh_in!K31=0,0,SER_hh_tesh_in!K31/SER_summary!K$27)</f>
        <v>28.818091491727245</v>
      </c>
      <c r="L31" s="133">
        <f>IF(SER_hh_tesh_in!L31=0,0,SER_hh_tesh_in!L31/SER_summary!L$27)</f>
        <v>30.112249870539372</v>
      </c>
      <c r="M31" s="133">
        <f>IF(SER_hh_tesh_in!M31=0,0,SER_hh_tesh_in!M31/SER_summary!M$27)</f>
        <v>31.378649496154161</v>
      </c>
      <c r="N31" s="133">
        <f>IF(SER_hh_tesh_in!N31=0,0,SER_hh_tesh_in!N31/SER_summary!N$27)</f>
        <v>31.008748518163788</v>
      </c>
      <c r="O31" s="133">
        <f>IF(SER_hh_tesh_in!O31=0,0,SER_hh_tesh_in!O31/SER_summary!O$27)</f>
        <v>30.584690825536711</v>
      </c>
      <c r="P31" s="133">
        <f>IF(SER_hh_tesh_in!P31=0,0,SER_hh_tesh_in!P31/SER_summary!P$27)</f>
        <v>31.570372033256206</v>
      </c>
      <c r="Q31" s="133">
        <f>IF(SER_hh_tesh_in!Q31=0,0,SER_hh_tesh_in!Q31/SER_summary!Q$27)</f>
        <v>31.45116356452008</v>
      </c>
      <c r="R31" s="133">
        <f>IF(SER_hh_tesh_in!R31=0,0,SER_hh_tesh_in!R31/SER_summary!R$27)</f>
        <v>30.761199715553854</v>
      </c>
      <c r="S31" s="133">
        <f>IF(SER_hh_tesh_in!S31=0,0,SER_hh_tesh_in!S31/SER_summary!S$27)</f>
        <v>30.279554375598813</v>
      </c>
      <c r="T31" s="133">
        <f>IF(SER_hh_tesh_in!T31=0,0,SER_hh_tesh_in!T31/SER_summary!T$27)</f>
        <v>29.63789139489678</v>
      </c>
      <c r="U31" s="133">
        <f>IF(SER_hh_tesh_in!U31=0,0,SER_hh_tesh_in!U31/SER_summary!U$27)</f>
        <v>29.390961194633434</v>
      </c>
      <c r="V31" s="133">
        <f>IF(SER_hh_tesh_in!V31=0,0,SER_hh_tesh_in!V31/SER_summary!V$27)</f>
        <v>26.456631914788119</v>
      </c>
      <c r="W31" s="133">
        <f>IF(SER_hh_tesh_in!W31=0,0,SER_hh_tesh_in!W31/SER_summary!W$27)</f>
        <v>28.413396507096959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27.479754600056339</v>
      </c>
      <c r="D33" s="68">
        <f>IF(SER_hh_tesh_in!D33=0,0,SER_hh_tesh_in!D33/SER_summary!D$27)</f>
        <v>29.268086805203236</v>
      </c>
      <c r="E33" s="68">
        <f>IF(SER_hh_tesh_in!E33=0,0,SER_hh_tesh_in!E33/SER_summary!E$27)</f>
        <v>28.811834207997499</v>
      </c>
      <c r="F33" s="68">
        <f>IF(SER_hh_tesh_in!F33=0,0,SER_hh_tesh_in!F33/SER_summary!F$27)</f>
        <v>27.958264150297012</v>
      </c>
      <c r="G33" s="68">
        <f>IF(SER_hh_tesh_in!G33=0,0,SER_hh_tesh_in!G33/SER_summary!G$27)</f>
        <v>29.040937716962617</v>
      </c>
      <c r="H33" s="68">
        <f>IF(SER_hh_tesh_in!H33=0,0,SER_hh_tesh_in!H33/SER_summary!H$27)</f>
        <v>28.582466630457773</v>
      </c>
      <c r="I33" s="68">
        <f>IF(SER_hh_tesh_in!I33=0,0,SER_hh_tesh_in!I33/SER_summary!I$27)</f>
        <v>27.814027554704651</v>
      </c>
      <c r="J33" s="68">
        <f>IF(SER_hh_tesh_in!J33=0,0,SER_hh_tesh_in!J33/SER_summary!J$27)</f>
        <v>27.70231315147781</v>
      </c>
      <c r="K33" s="68">
        <f>IF(SER_hh_tesh_in!K33=0,0,SER_hh_tesh_in!K33/SER_summary!K$27)</f>
        <v>28.639827164453077</v>
      </c>
      <c r="L33" s="68">
        <f>IF(SER_hh_tesh_in!L33=0,0,SER_hh_tesh_in!L33/SER_summary!L$27)</f>
        <v>29.90783850264949</v>
      </c>
      <c r="M33" s="68">
        <f>IF(SER_hh_tesh_in!M33=0,0,SER_hh_tesh_in!M33/SER_summary!M$27)</f>
        <v>31.879739482202503</v>
      </c>
      <c r="N33" s="68">
        <f>IF(SER_hh_tesh_in!N33=0,0,SER_hh_tesh_in!N33/SER_summary!N$27)</f>
        <v>27.42379143090659</v>
      </c>
      <c r="O33" s="68">
        <f>IF(SER_hh_tesh_in!O33=0,0,SER_hh_tesh_in!O33/SER_summary!O$27)</f>
        <v>30.552122663831405</v>
      </c>
      <c r="P33" s="68">
        <f>IF(SER_hh_tesh_in!P33=0,0,SER_hh_tesh_in!P33/SER_summary!P$27)</f>
        <v>32.300807774464005</v>
      </c>
      <c r="Q33" s="68">
        <f>IF(SER_hh_tesh_in!Q33=0,0,SER_hh_tesh_in!Q33/SER_summary!Q$27)</f>
        <v>31.252209516969156</v>
      </c>
      <c r="R33" s="68">
        <f>IF(SER_hh_tesh_in!R33=0,0,SER_hh_tesh_in!R33/SER_summary!R$27)</f>
        <v>31.055574625135304</v>
      </c>
      <c r="S33" s="68">
        <f>IF(SER_hh_tesh_in!S33=0,0,SER_hh_tesh_in!S33/SER_summary!S$27)</f>
        <v>30.848992114069954</v>
      </c>
      <c r="T33" s="68">
        <f>IF(SER_hh_tesh_in!T33=0,0,SER_hh_tesh_in!T33/SER_summary!T$27)</f>
        <v>30.482297199591958</v>
      </c>
      <c r="U33" s="68">
        <f>IF(SER_hh_tesh_in!U33=0,0,SER_hh_tesh_in!U33/SER_summary!U$27)</f>
        <v>29.318010743756588</v>
      </c>
      <c r="V33" s="68">
        <f>IF(SER_hh_tesh_in!V33=0,0,SER_hh_tesh_in!V33/SER_summary!V$27)</f>
        <v>26.007502741739611</v>
      </c>
      <c r="W33" s="68">
        <f>IF(SER_hh_tesh_in!W33=0,0,SER_hh_tesh_in!W33/SER_summary!W$27)</f>
        <v>28.478511265604197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14.843858735407332</v>
      </c>
      <c r="D3" s="126">
        <f>IF(SER_hh_emih_in!D3=0,0,SER_hh_emih_in!D3/SER_summary!D$27)</f>
        <v>8.7319499519295007</v>
      </c>
      <c r="E3" s="126">
        <f>IF(SER_hh_emih_in!E3=0,0,SER_hh_emih_in!E3/SER_summary!E$27)</f>
        <v>10.693291201843124</v>
      </c>
      <c r="F3" s="126">
        <f>IF(SER_hh_emih_in!F3=0,0,SER_hh_emih_in!F3/SER_summary!F$27)</f>
        <v>9.6300008558277153</v>
      </c>
      <c r="G3" s="126">
        <f>IF(SER_hh_emih_in!G3=0,0,SER_hh_emih_in!G3/SER_summary!G$27)</f>
        <v>16.153448400035746</v>
      </c>
      <c r="H3" s="126">
        <f>IF(SER_hh_emih_in!H3=0,0,SER_hh_emih_in!H3/SER_summary!H$27)</f>
        <v>7.7739323084365717</v>
      </c>
      <c r="I3" s="126">
        <f>IF(SER_hh_emih_in!I3=0,0,SER_hh_emih_in!I3/SER_summary!I$27)</f>
        <v>4.4140893189710848</v>
      </c>
      <c r="J3" s="126">
        <f>IF(SER_hh_emih_in!J3=0,0,SER_hh_emih_in!J3/SER_summary!J$27)</f>
        <v>5.2135558373971191</v>
      </c>
      <c r="K3" s="126">
        <f>IF(SER_hh_emih_in!K3=0,0,SER_hh_emih_in!K3/SER_summary!K$27)</f>
        <v>6.7374183110218038</v>
      </c>
      <c r="L3" s="126">
        <f>IF(SER_hh_emih_in!L3=0,0,SER_hh_emih_in!L3/SER_summary!L$27)</f>
        <v>7.6552749361178263</v>
      </c>
      <c r="M3" s="126">
        <f>IF(SER_hh_emih_in!M3=0,0,SER_hh_emih_in!M3/SER_summary!M$27)</f>
        <v>8.5959166233606421</v>
      </c>
      <c r="N3" s="126">
        <f>IF(SER_hh_emih_in!N3=0,0,SER_hh_emih_in!N3/SER_summary!N$27)</f>
        <v>8.1487259424652283</v>
      </c>
      <c r="O3" s="126">
        <f>IF(SER_hh_emih_in!O3=0,0,SER_hh_emih_in!O3/SER_summary!O$27)</f>
        <v>2.9060628470524659</v>
      </c>
      <c r="P3" s="126">
        <f>IF(SER_hh_emih_in!P3=0,0,SER_hh_emih_in!P3/SER_summary!P$27)</f>
        <v>2.2032402505768975</v>
      </c>
      <c r="Q3" s="126">
        <f>IF(SER_hh_emih_in!Q3=0,0,SER_hh_emih_in!Q3/SER_summary!Q$27)</f>
        <v>4.1192708954487234</v>
      </c>
      <c r="R3" s="126">
        <f>IF(SER_hh_emih_in!R3=0,0,SER_hh_emih_in!R3/SER_summary!R$27)</f>
        <v>6.981826192825781</v>
      </c>
      <c r="S3" s="126">
        <f>IF(SER_hh_emih_in!S3=0,0,SER_hh_emih_in!S3/SER_summary!S$27)</f>
        <v>5.8628074111640514</v>
      </c>
      <c r="T3" s="126">
        <f>IF(SER_hh_emih_in!T3=0,0,SER_hh_emih_in!T3/SER_summary!T$27)</f>
        <v>5.868641182680653</v>
      </c>
      <c r="U3" s="126">
        <f>IF(SER_hh_emih_in!U3=0,0,SER_hh_emih_in!U3/SER_summary!U$27)</f>
        <v>6.2308917395790671</v>
      </c>
      <c r="V3" s="126">
        <f>IF(SER_hh_emih_in!V3=0,0,SER_hh_emih_in!V3/SER_summary!V$27)</f>
        <v>3.7759895369959393</v>
      </c>
      <c r="W3" s="126">
        <f>IF(SER_hh_emih_in!W3=0,0,SER_hh_emih_in!W3/SER_summary!W$27)</f>
        <v>5.0155942316610655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13.74852531328469</v>
      </c>
      <c r="D4" s="131">
        <f>IF(SER_hh_emih_in!D4=0,0,SER_hh_emih_in!D4/SER_summary!D$27)</f>
        <v>6.9333140162148874</v>
      </c>
      <c r="E4" s="131">
        <f>IF(SER_hh_emih_in!E4=0,0,SER_hh_emih_in!E4/SER_summary!E$27)</f>
        <v>8.0719698401064441</v>
      </c>
      <c r="F4" s="131">
        <f>IF(SER_hh_emih_in!F4=0,0,SER_hh_emih_in!F4/SER_summary!F$27)</f>
        <v>3.9384394458523078</v>
      </c>
      <c r="G4" s="131">
        <f>IF(SER_hh_emih_in!G4=0,0,SER_hh_emih_in!G4/SER_summary!G$27)</f>
        <v>11.86299780207028</v>
      </c>
      <c r="H4" s="131">
        <f>IF(SER_hh_emih_in!H4=0,0,SER_hh_emih_in!H4/SER_summary!H$27)</f>
        <v>4.7925718683850667</v>
      </c>
      <c r="I4" s="131">
        <f>IF(SER_hh_emih_in!I4=0,0,SER_hh_emih_in!I4/SER_summary!I$27)</f>
        <v>1.8410658692862985</v>
      </c>
      <c r="J4" s="131">
        <f>IF(SER_hh_emih_in!J4=0,0,SER_hh_emih_in!J4/SER_summary!J$27)</f>
        <v>2.1796161570439523</v>
      </c>
      <c r="K4" s="131">
        <f>IF(SER_hh_emih_in!K4=0,0,SER_hh_emih_in!K4/SER_summary!K$27)</f>
        <v>3.6659212648212565</v>
      </c>
      <c r="L4" s="131">
        <f>IF(SER_hh_emih_in!L4=0,0,SER_hh_emih_in!L4/SER_summary!L$27)</f>
        <v>2.0032923513889038</v>
      </c>
      <c r="M4" s="131">
        <f>IF(SER_hh_emih_in!M4=0,0,SER_hh_emih_in!M4/SER_summary!M$27)</f>
        <v>1.0967580106204367</v>
      </c>
      <c r="N4" s="131">
        <f>IF(SER_hh_emih_in!N4=0,0,SER_hh_emih_in!N4/SER_summary!N$27)</f>
        <v>2.0649043770144697E-2</v>
      </c>
      <c r="O4" s="131">
        <f>IF(SER_hh_emih_in!O4=0,0,SER_hh_emih_in!O4/SER_summary!O$27)</f>
        <v>5.6967472505244997E-2</v>
      </c>
      <c r="P4" s="131">
        <f>IF(SER_hh_emih_in!P4=0,0,SER_hh_emih_in!P4/SER_summary!P$27)</f>
        <v>0.13363278425851077</v>
      </c>
      <c r="Q4" s="131">
        <f>IF(SER_hh_emih_in!Q4=0,0,SER_hh_emih_in!Q4/SER_summary!Q$27)</f>
        <v>0.97764744677011195</v>
      </c>
      <c r="R4" s="131">
        <f>IF(SER_hh_emih_in!R4=0,0,SER_hh_emih_in!R4/SER_summary!R$27)</f>
        <v>3.1226697486761559</v>
      </c>
      <c r="S4" s="131">
        <f>IF(SER_hh_emih_in!S4=0,0,SER_hh_emih_in!S4/SER_summary!S$27)</f>
        <v>2.5641871195506387</v>
      </c>
      <c r="T4" s="131">
        <f>IF(SER_hh_emih_in!T4=0,0,SER_hh_emih_in!T4/SER_summary!T$27)</f>
        <v>2.2273224732443686</v>
      </c>
      <c r="U4" s="131">
        <f>IF(SER_hh_emih_in!U4=0,0,SER_hh_emih_in!U4/SER_summary!U$27)</f>
        <v>2.4008056062212306</v>
      </c>
      <c r="V4" s="131">
        <f>IF(SER_hh_emih_in!V4=0,0,SER_hh_emih_in!V4/SER_summary!V$27)</f>
        <v>1.2167181696598186</v>
      </c>
      <c r="W4" s="131">
        <f>IF(SER_hh_emih_in!W4=0,0,SER_hh_emih_in!W4/SER_summary!W$27)</f>
        <v>1.0549076806216031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20.359175778602108</v>
      </c>
      <c r="D7" s="133">
        <f>IF(SER_hh_emih_in!D7=0,0,SER_hh_emih_in!D7/SER_summary!D$27)</f>
        <v>20.81332829917444</v>
      </c>
      <c r="E7" s="133">
        <f>IF(SER_hh_emih_in!E7=0,0,SER_hh_emih_in!E7/SER_summary!E$27)</f>
        <v>22.031433017513162</v>
      </c>
      <c r="F7" s="133">
        <f>IF(SER_hh_emih_in!F7=0,0,SER_hh_emih_in!F7/SER_summary!F$27)</f>
        <v>22.022562107608373</v>
      </c>
      <c r="G7" s="133">
        <f>IF(SER_hh_emih_in!G7=0,0,SER_hh_emih_in!G7/SER_summary!G$27)</f>
        <v>27.710505616278613</v>
      </c>
      <c r="H7" s="133">
        <f>IF(SER_hh_emih_in!H7=0,0,SER_hh_emih_in!H7/SER_summary!H$27)</f>
        <v>29.440246903425532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22.041260702802905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28.903616259917751</v>
      </c>
      <c r="S7" s="133">
        <f>IF(SER_hh_emih_in!S7=0,0,SER_hh_emih_in!S7/SER_summary!S$27)</f>
        <v>15.410644428988205</v>
      </c>
      <c r="T7" s="133">
        <f>IF(SER_hh_emih_in!T7=0,0,SER_hh_emih_in!T7/SER_summary!T$27)</f>
        <v>15.270224061866726</v>
      </c>
      <c r="U7" s="133">
        <f>IF(SER_hh_emih_in!U7=0,0,SER_hh_emih_in!U7/SER_summary!U$27)</f>
        <v>17.383257228898231</v>
      </c>
      <c r="V7" s="133">
        <f>IF(SER_hh_emih_in!V7=0,0,SER_hh_emih_in!V7/SER_summary!V$27)</f>
        <v>16.763336758036797</v>
      </c>
      <c r="W7" s="133">
        <f>IF(SER_hh_emih_in!W7=0,0,SER_hh_emih_in!W7/SER_summary!W$27)</f>
        <v>12.584847251181325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4.6741589405436788</v>
      </c>
      <c r="D8" s="133">
        <f>IF(SER_hh_emih_in!D8=0,0,SER_hh_emih_in!D8/SER_summary!D$27)</f>
        <v>4.67263200355778</v>
      </c>
      <c r="E8" s="133">
        <f>IF(SER_hh_emih_in!E8=0,0,SER_hh_emih_in!E8/SER_summary!E$27)</f>
        <v>4.6761269184732352</v>
      </c>
      <c r="F8" s="133">
        <f>IF(SER_hh_emih_in!F8=0,0,SER_hh_emih_in!F8/SER_summary!F$27)</f>
        <v>5.3389324198221733</v>
      </c>
      <c r="G8" s="133">
        <f>IF(SER_hh_emih_in!G8=0,0,SER_hh_emih_in!G8/SER_summary!G$27)</f>
        <v>6.226438108667125</v>
      </c>
      <c r="H8" s="133">
        <f>IF(SER_hh_emih_in!H8=0,0,SER_hh_emih_in!H8/SER_summary!H$27)</f>
        <v>5.9336541618864178</v>
      </c>
      <c r="I8" s="133">
        <f>IF(SER_hh_emih_in!I8=0,0,SER_hh_emih_in!I8/SER_summary!I$27)</f>
        <v>5.7438458258218059</v>
      </c>
      <c r="J8" s="133">
        <f>IF(SER_hh_emih_in!J8=0,0,SER_hh_emih_in!J8/SER_summary!J$27)</f>
        <v>5.4395709463967323</v>
      </c>
      <c r="K8" s="133">
        <f>IF(SER_hh_emih_in!K8=0,0,SER_hh_emih_in!K8/SER_summary!K$27)</f>
        <v>4.6781579000956404</v>
      </c>
      <c r="L8" s="133">
        <f>IF(SER_hh_emih_in!L8=0,0,SER_hh_emih_in!L8/SER_summary!L$27)</f>
        <v>3.5949403012715644</v>
      </c>
      <c r="M8" s="133">
        <f>IF(SER_hh_emih_in!M8=0,0,SER_hh_emih_in!M8/SER_summary!M$27)</f>
        <v>2.5047837988054442</v>
      </c>
      <c r="N8" s="133">
        <f>IF(SER_hh_emih_in!N8=0,0,SER_hh_emih_in!N8/SER_summary!N$27)</f>
        <v>1.6099572322178155</v>
      </c>
      <c r="O8" s="133">
        <f>IF(SER_hh_emih_in!O8=0,0,SER_hh_emih_in!O8/SER_summary!O$27)</f>
        <v>1.8555798753063446</v>
      </c>
      <c r="P8" s="133">
        <f>IF(SER_hh_emih_in!P8=0,0,SER_hh_emih_in!P8/SER_summary!P$27)</f>
        <v>2.6939749864717579</v>
      </c>
      <c r="Q8" s="133">
        <f>IF(SER_hh_emih_in!Q8=0,0,SER_hh_emih_in!Q8/SER_summary!Q$27)</f>
        <v>4.1906955707578346</v>
      </c>
      <c r="R8" s="133">
        <f>IF(SER_hh_emih_in!R8=0,0,SER_hh_emih_in!R8/SER_summary!R$27)</f>
        <v>3.5383122627015973</v>
      </c>
      <c r="S8" s="133">
        <f>IF(SER_hh_emih_in!S8=0,0,SER_hh_emih_in!S8/SER_summary!S$27)</f>
        <v>3.165609225869876</v>
      </c>
      <c r="T8" s="133">
        <f>IF(SER_hh_emih_in!T8=0,0,SER_hh_emih_in!T8/SER_summary!T$27)</f>
        <v>2.8730633999217727</v>
      </c>
      <c r="U8" s="133">
        <f>IF(SER_hh_emih_in!U8=0,0,SER_hh_emih_in!U8/SER_summary!U$27)</f>
        <v>2.5179907800563819</v>
      </c>
      <c r="V8" s="133">
        <f>IF(SER_hh_emih_in!V8=0,0,SER_hh_emih_in!V8/SER_summary!V$27)</f>
        <v>2.4579235780148529</v>
      </c>
      <c r="W8" s="133">
        <f>IF(SER_hh_emih_in!W8=0,0,SER_hh_emih_in!W8/SER_summary!W$27)</f>
        <v>2.122007511855716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10.423561439245487</v>
      </c>
      <c r="D9" s="133">
        <f>IF(SER_hh_emih_in!D9=0,0,SER_hh_emih_in!D9/SER_summary!D$27)</f>
        <v>10.372092342715586</v>
      </c>
      <c r="E9" s="133">
        <f>IF(SER_hh_emih_in!E9=0,0,SER_hh_emih_in!E9/SER_summary!E$27)</f>
        <v>11.628428580261504</v>
      </c>
      <c r="F9" s="133">
        <f>IF(SER_hh_emih_in!F9=0,0,SER_hh_emih_in!F9/SER_summary!F$27)</f>
        <v>14.199749731644316</v>
      </c>
      <c r="G9" s="133">
        <f>IF(SER_hh_emih_in!G9=0,0,SER_hh_emih_in!G9/SER_summary!G$27)</f>
        <v>17.948415121295216</v>
      </c>
      <c r="H9" s="133">
        <f>IF(SER_hh_emih_in!H9=0,0,SER_hh_emih_in!H9/SER_summary!H$27)</f>
        <v>18.308666016704812</v>
      </c>
      <c r="I9" s="133">
        <f>IF(SER_hh_emih_in!I9=0,0,SER_hh_emih_in!I9/SER_summary!I$27)</f>
        <v>18.0195819030771</v>
      </c>
      <c r="J9" s="133">
        <f>IF(SER_hh_emih_in!J9=0,0,SER_hh_emih_in!J9/SER_summary!J$27)</f>
        <v>19.991724421426596</v>
      </c>
      <c r="K9" s="133">
        <f>IF(SER_hh_emih_in!K9=0,0,SER_hh_emih_in!K9/SER_summary!K$27)</f>
        <v>18.448973319072337</v>
      </c>
      <c r="L9" s="133">
        <f>IF(SER_hh_emih_in!L9=0,0,SER_hh_emih_in!L9/SER_summary!L$27)</f>
        <v>13.666135748793751</v>
      </c>
      <c r="M9" s="133">
        <f>IF(SER_hh_emih_in!M9=0,0,SER_hh_emih_in!M9/SER_summary!M$27)</f>
        <v>17.115150414344601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15.827662886064671</v>
      </c>
      <c r="R9" s="133">
        <f>IF(SER_hh_emih_in!R9=0,0,SER_hh_emih_in!R9/SER_summary!R$27)</f>
        <v>0</v>
      </c>
      <c r="S9" s="133">
        <f>IF(SER_hh_emih_in!S9=0,0,SER_hh_emih_in!S9/SER_summary!S$27)</f>
        <v>13.201344724340011</v>
      </c>
      <c r="T9" s="133">
        <f>IF(SER_hh_emih_in!T9=0,0,SER_hh_emih_in!T9/SER_summary!T$27)</f>
        <v>11.657700672900438</v>
      </c>
      <c r="U9" s="133">
        <f>IF(SER_hh_emih_in!U9=0,0,SER_hh_emih_in!U9/SER_summary!U$27)</f>
        <v>12.183407817859077</v>
      </c>
      <c r="V9" s="133">
        <f>IF(SER_hh_emih_in!V9=0,0,SER_hh_emih_in!V9/SER_summary!V$27)</f>
        <v>9.8565959498750217</v>
      </c>
      <c r="W9" s="133">
        <f>IF(SER_hh_emih_in!W9=0,0,SER_hh_emih_in!W9/SER_summary!W$27)</f>
        <v>8.8707727529225515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4.6574369801486749E-3</v>
      </c>
      <c r="D16" s="131">
        <f>IF(SER_hh_emih_in!D16=0,0,SER_hh_emih_in!D16/SER_summary!D$27)</f>
        <v>1.191424159015057E-2</v>
      </c>
      <c r="E16" s="131">
        <f>IF(SER_hh_emih_in!E16=0,0,SER_hh_emih_in!E16/SER_summary!E$27)</f>
        <v>1.0296250667667518E-3</v>
      </c>
      <c r="F16" s="131">
        <f>IF(SER_hh_emih_in!F16=0,0,SER_hh_emih_in!F16/SER_summary!F$27)</f>
        <v>2.8716271603850256E-2</v>
      </c>
      <c r="G16" s="131">
        <f>IF(SER_hh_emih_in!G16=0,0,SER_hh_emih_in!G16/SER_summary!G$27)</f>
        <v>3.1710217560404985E-2</v>
      </c>
      <c r="H16" s="131">
        <f>IF(SER_hh_emih_in!H16=0,0,SER_hh_emih_in!H16/SER_summary!H$27)</f>
        <v>2.9934552648617632E-2</v>
      </c>
      <c r="I16" s="131">
        <f>IF(SER_hh_emih_in!I16=0,0,SER_hh_emih_in!I16/SER_summary!I$27)</f>
        <v>1.4637278392830709E-4</v>
      </c>
      <c r="J16" s="131">
        <f>IF(SER_hh_emih_in!J16=0,0,SER_hh_emih_in!J16/SER_summary!J$27)</f>
        <v>5.7707106790656111E-2</v>
      </c>
      <c r="K16" s="131">
        <f>IF(SER_hh_emih_in!K16=0,0,SER_hh_emih_in!K16/SER_summary!K$27)</f>
        <v>9.5347959419947795E-2</v>
      </c>
      <c r="L16" s="131">
        <f>IF(SER_hh_emih_in!L16=0,0,SER_hh_emih_in!L16/SER_summary!L$27)</f>
        <v>0.13347086791387983</v>
      </c>
      <c r="M16" s="131">
        <f>IF(SER_hh_emih_in!M16=0,0,SER_hh_emih_in!M16/SER_summary!M$27)</f>
        <v>0.12915000055404943</v>
      </c>
      <c r="N16" s="131">
        <f>IF(SER_hh_emih_in!N16=0,0,SER_hh_emih_in!N16/SER_summary!N$27)</f>
        <v>9.7295910486995527E-2</v>
      </c>
      <c r="O16" s="131">
        <f>IF(SER_hh_emih_in!O16=0,0,SER_hh_emih_in!O16/SER_summary!O$27)</f>
        <v>0.20426558510076792</v>
      </c>
      <c r="P16" s="131">
        <f>IF(SER_hh_emih_in!P16=0,0,SER_hh_emih_in!P16/SER_summary!P$27)</f>
        <v>0.16151523205980059</v>
      </c>
      <c r="Q16" s="131">
        <f>IF(SER_hh_emih_in!Q16=0,0,SER_hh_emih_in!Q16/SER_summary!Q$27)</f>
        <v>0.13686781811434778</v>
      </c>
      <c r="R16" s="131">
        <f>IF(SER_hh_emih_in!R16=0,0,SER_hh_emih_in!R16/SER_summary!R$27)</f>
        <v>0.11285733423556346</v>
      </c>
      <c r="S16" s="131">
        <f>IF(SER_hh_emih_in!S16=0,0,SER_hh_emih_in!S16/SER_summary!S$27)</f>
        <v>0.13439852190906676</v>
      </c>
      <c r="T16" s="131">
        <f>IF(SER_hh_emih_in!T16=0,0,SER_hh_emih_in!T16/SER_summary!T$27)</f>
        <v>0.17883466506527834</v>
      </c>
      <c r="U16" s="131">
        <f>IF(SER_hh_emih_in!U16=0,0,SER_hh_emih_in!U16/SER_summary!U$27)</f>
        <v>0.12182380606926727</v>
      </c>
      <c r="V16" s="131">
        <f>IF(SER_hh_emih_in!V16=0,0,SER_hh_emih_in!V16/SER_summary!V$27)</f>
        <v>0.18331737955674052</v>
      </c>
      <c r="W16" s="131">
        <f>IF(SER_hh_emih_in!W16=0,0,SER_hh_emih_in!W16/SER_summary!W$27)</f>
        <v>0.10301928943352154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6.4300579340189241</v>
      </c>
      <c r="D17" s="133">
        <f>IF(SER_hh_emih_in!D17=0,0,SER_hh_emih_in!D17/SER_summary!D$27)</f>
        <v>5.291121743102396</v>
      </c>
      <c r="E17" s="133">
        <f>IF(SER_hh_emih_in!E17=0,0,SER_hh_emih_in!E17/SER_summary!E$27)</f>
        <v>6.7263344944335435</v>
      </c>
      <c r="F17" s="133">
        <f>IF(SER_hh_emih_in!F17=0,0,SER_hh_emih_in!F17/SER_summary!F$27)</f>
        <v>4.369909645483018</v>
      </c>
      <c r="G17" s="133">
        <f>IF(SER_hh_emih_in!G17=0,0,SER_hh_emih_in!G17/SER_summary!G$27)</f>
        <v>4.5631078091786277</v>
      </c>
      <c r="H17" s="133">
        <f>IF(SER_hh_emih_in!H17=0,0,SER_hh_emih_in!H17/SER_summary!H$27)</f>
        <v>5.3966178620515368</v>
      </c>
      <c r="I17" s="133">
        <f>IF(SER_hh_emih_in!I17=0,0,SER_hh_emih_in!I17/SER_summary!I$27)</f>
        <v>8.1902530264245463</v>
      </c>
      <c r="J17" s="133">
        <f>IF(SER_hh_emih_in!J17=0,0,SER_hh_emih_in!J17/SER_summary!J$27)</f>
        <v>7.8346432507269004</v>
      </c>
      <c r="K17" s="133">
        <f>IF(SER_hh_emih_in!K17=0,0,SER_hh_emih_in!K17/SER_summary!K$27)</f>
        <v>6.6078493143418671</v>
      </c>
      <c r="L17" s="133">
        <f>IF(SER_hh_emih_in!L17=0,0,SER_hh_emih_in!L17/SER_summary!L$27)</f>
        <v>6.8174878514008137</v>
      </c>
      <c r="M17" s="133">
        <f>IF(SER_hh_emih_in!M17=0,0,SER_hh_emih_in!M17/SER_summary!M$27)</f>
        <v>5.4945330042691722</v>
      </c>
      <c r="N17" s="133">
        <f>IF(SER_hh_emih_in!N17=0,0,SER_hh_emih_in!N17/SER_summary!N$27)</f>
        <v>8.5019477522337752</v>
      </c>
      <c r="O17" s="133">
        <f>IF(SER_hh_emih_in!O17=0,0,SER_hh_emih_in!O17/SER_summary!O$27)</f>
        <v>5.0767689788248864</v>
      </c>
      <c r="P17" s="133">
        <f>IF(SER_hh_emih_in!P17=0,0,SER_hh_emih_in!P17/SER_summary!P$27)</f>
        <v>4.192097965739686</v>
      </c>
      <c r="Q17" s="133">
        <f>IF(SER_hh_emih_in!Q17=0,0,SER_hh_emih_in!Q17/SER_summary!Q$27)</f>
        <v>4.9597646906038753</v>
      </c>
      <c r="R17" s="133">
        <f>IF(SER_hh_emih_in!R17=0,0,SER_hh_emih_in!R17/SER_summary!R$27)</f>
        <v>5.1272894177268151</v>
      </c>
      <c r="S17" s="133">
        <f>IF(SER_hh_emih_in!S17=0,0,SER_hh_emih_in!S17/SER_summary!S$27)</f>
        <v>4.9215413145555429</v>
      </c>
      <c r="T17" s="133">
        <f>IF(SER_hh_emih_in!T17=0,0,SER_hh_emih_in!T17/SER_summary!T$27)</f>
        <v>3.8848883377720824</v>
      </c>
      <c r="U17" s="133">
        <f>IF(SER_hh_emih_in!U17=0,0,SER_hh_emih_in!U17/SER_summary!U$27)</f>
        <v>4.4100155610574348</v>
      </c>
      <c r="V17" s="133">
        <f>IF(SER_hh_emih_in!V17=0,0,SER_hh_emih_in!V17/SER_summary!V$27)</f>
        <v>3.3970488282455862</v>
      </c>
      <c r="W17" s="133">
        <f>IF(SER_hh_emih_in!W17=0,0,SER_hh_emih_in!W17/SER_summary!W$27)</f>
        <v>3.9480023640450108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0.93375104256454355</v>
      </c>
      <c r="D19" s="131">
        <f>IF(SER_hh_emih_in!D19=0,0,SER_hh_emih_in!D19/SER_summary!D$27)</f>
        <v>1.097839786451444</v>
      </c>
      <c r="E19" s="131">
        <f>IF(SER_hh_emih_in!E19=0,0,SER_hh_emih_in!E19/SER_summary!E$27)</f>
        <v>1.0832114369941828</v>
      </c>
      <c r="F19" s="131">
        <f>IF(SER_hh_emih_in!F19=0,0,SER_hh_emih_in!F19/SER_summary!F$27)</f>
        <v>1.1887299727293754</v>
      </c>
      <c r="G19" s="131">
        <f>IF(SER_hh_emih_in!G19=0,0,SER_hh_emih_in!G19/SER_summary!G$27)</f>
        <v>2.047110548486315</v>
      </c>
      <c r="H19" s="131">
        <f>IF(SER_hh_emih_in!H19=0,0,SER_hh_emih_in!H19/SER_summary!H$27)</f>
        <v>1.7084470919837689</v>
      </c>
      <c r="I19" s="131">
        <f>IF(SER_hh_emih_in!I19=0,0,SER_hh_emih_in!I19/SER_summary!I$27)</f>
        <v>1.875541210263969</v>
      </c>
      <c r="J19" s="131">
        <f>IF(SER_hh_emih_in!J19=0,0,SER_hh_emih_in!J19/SER_summary!J$27)</f>
        <v>1.5195663923488376</v>
      </c>
      <c r="K19" s="131">
        <f>IF(SER_hh_emih_in!K19=0,0,SER_hh_emih_in!K19/SER_summary!K$27)</f>
        <v>1.3441846445258614</v>
      </c>
      <c r="L19" s="131">
        <f>IF(SER_hh_emih_in!L19=0,0,SER_hh_emih_in!L19/SER_summary!L$27)</f>
        <v>2.6243527886460614</v>
      </c>
      <c r="M19" s="131">
        <f>IF(SER_hh_emih_in!M19=0,0,SER_hh_emih_in!M19/SER_summary!M$27)</f>
        <v>1.7644561570008084</v>
      </c>
      <c r="N19" s="131">
        <f>IF(SER_hh_emih_in!N19=0,0,SER_hh_emih_in!N19/SER_summary!N$27)</f>
        <v>1.237421293618129</v>
      </c>
      <c r="O19" s="131">
        <f>IF(SER_hh_emih_in!O19=0,0,SER_hh_emih_in!O19/SER_summary!O$27)</f>
        <v>1.1715368951669272</v>
      </c>
      <c r="P19" s="131">
        <f>IF(SER_hh_emih_in!P19=0,0,SER_hh_emih_in!P19/SER_summary!P$27)</f>
        <v>1.2012548131124412</v>
      </c>
      <c r="Q19" s="131">
        <f>IF(SER_hh_emih_in!Q19=0,0,SER_hh_emih_in!Q19/SER_summary!Q$27)</f>
        <v>1.3543991113112839</v>
      </c>
      <c r="R19" s="131">
        <f>IF(SER_hh_emih_in!R19=0,0,SER_hh_emih_in!R19/SER_summary!R$27)</f>
        <v>1.295142039536521</v>
      </c>
      <c r="S19" s="131">
        <f>IF(SER_hh_emih_in!S19=0,0,SER_hh_emih_in!S19/SER_summary!S$27)</f>
        <v>1.2890888115544403</v>
      </c>
      <c r="T19" s="131">
        <f>IF(SER_hh_emih_in!T19=0,0,SER_hh_emih_in!T19/SER_summary!T$27)</f>
        <v>0.92162600980586085</v>
      </c>
      <c r="U19" s="131">
        <f>IF(SER_hh_emih_in!U19=0,0,SER_hh_emih_in!U19/SER_summary!U$27)</f>
        <v>0.87019686537125118</v>
      </c>
      <c r="V19" s="131">
        <f>IF(SER_hh_emih_in!V19=0,0,SER_hh_emih_in!V19/SER_summary!V$27)</f>
        <v>0.78804857362377145</v>
      </c>
      <c r="W19" s="131">
        <f>IF(SER_hh_emih_in!W19=0,0,SER_hh_emih_in!W19/SER_summary!W$27)</f>
        <v>0.86508008761833644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10.376605374496226</v>
      </c>
      <c r="D21" s="133">
        <f>IF(SER_hh_emih_in!D21=0,0,SER_hh_emih_in!D21/SER_summary!D$27)</f>
        <v>10.681312088839366</v>
      </c>
      <c r="E21" s="133">
        <f>IF(SER_hh_emih_in!E21=0,0,SER_hh_emih_in!E21/SER_summary!E$27)</f>
        <v>10.322680344617096</v>
      </c>
      <c r="F21" s="133">
        <f>IF(SER_hh_emih_in!F21=0,0,SER_hh_emih_in!F21/SER_summary!F$27)</f>
        <v>10.449536964028804</v>
      </c>
      <c r="G21" s="133">
        <f>IF(SER_hh_emih_in!G21=0,0,SER_hh_emih_in!G21/SER_summary!G$27)</f>
        <v>11.079111748282454</v>
      </c>
      <c r="H21" s="133">
        <f>IF(SER_hh_emih_in!H21=0,0,SER_hh_emih_in!H21/SER_summary!H$27)</f>
        <v>10.676494201079876</v>
      </c>
      <c r="I21" s="133">
        <f>IF(SER_hh_emih_in!I21=0,0,SER_hh_emih_in!I21/SER_summary!I$27)</f>
        <v>11.200712996866368</v>
      </c>
      <c r="J21" s="133">
        <f>IF(SER_hh_emih_in!J21=0,0,SER_hh_emih_in!J21/SER_summary!J$27)</f>
        <v>10.859327463770391</v>
      </c>
      <c r="K21" s="133">
        <f>IF(SER_hh_emih_in!K21=0,0,SER_hh_emih_in!K21/SER_summary!K$27)</f>
        <v>9.5306939613874366</v>
      </c>
      <c r="L21" s="133">
        <f>IF(SER_hh_emih_in!L21=0,0,SER_hh_emih_in!L21/SER_summary!L$27)</f>
        <v>11.30636577975935</v>
      </c>
      <c r="M21" s="133">
        <f>IF(SER_hh_emih_in!M21=0,0,SER_hh_emih_in!M21/SER_summary!M$27)</f>
        <v>11.041214743621268</v>
      </c>
      <c r="N21" s="133">
        <f>IF(SER_hh_emih_in!N21=0,0,SER_hh_emih_in!N21/SER_summary!N$27)</f>
        <v>11.222529542929019</v>
      </c>
      <c r="O21" s="133">
        <f>IF(SER_hh_emih_in!O21=0,0,SER_hh_emih_in!O21/SER_summary!O$27)</f>
        <v>10.632922180988313</v>
      </c>
      <c r="P21" s="133">
        <f>IF(SER_hh_emih_in!P21=0,0,SER_hh_emih_in!P21/SER_summary!P$27)</f>
        <v>9.8065720300009822</v>
      </c>
      <c r="Q21" s="133">
        <f>IF(SER_hh_emih_in!Q21=0,0,SER_hh_emih_in!Q21/SER_summary!Q$27)</f>
        <v>9.0128277497396496</v>
      </c>
      <c r="R21" s="133">
        <f>IF(SER_hh_emih_in!R21=0,0,SER_hh_emih_in!R21/SER_summary!R$27)</f>
        <v>8.5142204780998831</v>
      </c>
      <c r="S21" s="133">
        <f>IF(SER_hh_emih_in!S21=0,0,SER_hh_emih_in!S21/SER_summary!S$27)</f>
        <v>9.0724191114405386</v>
      </c>
      <c r="T21" s="133">
        <f>IF(SER_hh_emih_in!T21=0,0,SER_hh_emih_in!T21/SER_summary!T$27)</f>
        <v>8.5973344307811672</v>
      </c>
      <c r="U21" s="133">
        <f>IF(SER_hh_emih_in!U21=0,0,SER_hh_emih_in!U21/SER_summary!U$27)</f>
        <v>8.4557924527042658</v>
      </c>
      <c r="V21" s="133">
        <f>IF(SER_hh_emih_in!V21=0,0,SER_hh_emih_in!V21/SER_summary!V$27)</f>
        <v>5.2889726751097781</v>
      </c>
      <c r="W21" s="133">
        <f>IF(SER_hh_emih_in!W21=0,0,SER_hh_emih_in!W21/SER_summary!W$27)</f>
        <v>6.7214398324465501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12.923558310533952</v>
      </c>
      <c r="D22" s="133">
        <f>IF(SER_hh_emih_in!D22=0,0,SER_hh_emih_in!D22/SER_summary!D$27)</f>
        <v>13.341218698258739</v>
      </c>
      <c r="E22" s="133">
        <f>IF(SER_hh_emih_in!E22=0,0,SER_hh_emih_in!E22/SER_summary!E$27)</f>
        <v>13.244349010749731</v>
      </c>
      <c r="F22" s="133">
        <f>IF(SER_hh_emih_in!F22=0,0,SER_hh_emih_in!F22/SER_summary!F$27)</f>
        <v>13.393324046433188</v>
      </c>
      <c r="G22" s="133">
        <f>IF(SER_hh_emih_in!G22=0,0,SER_hh_emih_in!G22/SER_summary!G$27)</f>
        <v>14.056810297260604</v>
      </c>
      <c r="H22" s="133">
        <f>IF(SER_hh_emih_in!H22=0,0,SER_hh_emih_in!H22/SER_summary!H$27)</f>
        <v>13.729586223745248</v>
      </c>
      <c r="I22" s="133">
        <f>IF(SER_hh_emih_in!I22=0,0,SER_hh_emih_in!I22/SER_summary!I$27)</f>
        <v>13.455109841088246</v>
      </c>
      <c r="J22" s="133">
        <f>IF(SER_hh_emih_in!J22=0,0,SER_hh_emih_in!J22/SER_summary!J$27)</f>
        <v>13.160881690419822</v>
      </c>
      <c r="K22" s="133">
        <f>IF(SER_hh_emih_in!K22=0,0,SER_hh_emih_in!K22/SER_summary!K$27)</f>
        <v>11.403296322451078</v>
      </c>
      <c r="L22" s="133">
        <f>IF(SER_hh_emih_in!L22=0,0,SER_hh_emih_in!L22/SER_summary!L$27)</f>
        <v>13.873943238721878</v>
      </c>
      <c r="M22" s="133">
        <f>IF(SER_hh_emih_in!M22=0,0,SER_hh_emih_in!M22/SER_summary!M$27)</f>
        <v>13.867319874379838</v>
      </c>
      <c r="N22" s="133">
        <f>IF(SER_hh_emih_in!N22=0,0,SER_hh_emih_in!N22/SER_summary!N$27)</f>
        <v>11.842453828170246</v>
      </c>
      <c r="O22" s="133">
        <f>IF(SER_hh_emih_in!O22=0,0,SER_hh_emih_in!O22/SER_summary!O$27)</f>
        <v>12.182296571720759</v>
      </c>
      <c r="P22" s="133">
        <f>IF(SER_hh_emih_in!P22=0,0,SER_hh_emih_in!P22/SER_summary!P$27)</f>
        <v>12.084254323262568</v>
      </c>
      <c r="Q22" s="133">
        <f>IF(SER_hh_emih_in!Q22=0,0,SER_hh_emih_in!Q22/SER_summary!Q$27)</f>
        <v>10.805973916759104</v>
      </c>
      <c r="R22" s="133">
        <f>IF(SER_hh_emih_in!R22=0,0,SER_hh_emih_in!R22/SER_summary!R$27)</f>
        <v>9.8803650075110774</v>
      </c>
      <c r="S22" s="133">
        <f>IF(SER_hh_emih_in!S22=0,0,SER_hh_emih_in!S22/SER_summary!S$27)</f>
        <v>10.945521066304025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8.2490443641699631</v>
      </c>
      <c r="D23" s="133">
        <f>IF(SER_hh_emih_in!D23=0,0,SER_hh_emih_in!D23/SER_summary!D$27)</f>
        <v>8.3985192524161487</v>
      </c>
      <c r="E23" s="133">
        <f>IF(SER_hh_emih_in!E23=0,0,SER_hh_emih_in!E23/SER_summary!E$27)</f>
        <v>7.8156783297554719</v>
      </c>
      <c r="F23" s="133">
        <f>IF(SER_hh_emih_in!F23=0,0,SER_hh_emih_in!F23/SER_summary!F$27)</f>
        <v>6.9982165891893304</v>
      </c>
      <c r="G23" s="133">
        <f>IF(SER_hh_emih_in!G23=0,0,SER_hh_emih_in!G23/SER_summary!G$27)</f>
        <v>9.1313138943209058</v>
      </c>
      <c r="H23" s="133">
        <f>IF(SER_hh_emih_in!H23=0,0,SER_hh_emih_in!H23/SER_summary!H$27)</f>
        <v>8.5596063386919443</v>
      </c>
      <c r="I23" s="133">
        <f>IF(SER_hh_emih_in!I23=0,0,SER_hh_emih_in!I23/SER_summary!I$27)</f>
        <v>8.9229812370083277</v>
      </c>
      <c r="J23" s="133">
        <f>IF(SER_hh_emih_in!J23=0,0,SER_hh_emih_in!J23/SER_summary!J$27)</f>
        <v>8.624446789723466</v>
      </c>
      <c r="K23" s="133">
        <f>IF(SER_hh_emih_in!K23=0,0,SER_hh_emih_in!K23/SER_summary!K$27)</f>
        <v>7.6768342833456238</v>
      </c>
      <c r="L23" s="133">
        <f>IF(SER_hh_emih_in!L23=0,0,SER_hh_emih_in!L23/SER_summary!L$27)</f>
        <v>9.3954218754866279</v>
      </c>
      <c r="M23" s="133">
        <f>IF(SER_hh_emih_in!M23=0,0,SER_hh_emih_in!M23/SER_summary!M$27)</f>
        <v>8.4577941256403779</v>
      </c>
      <c r="N23" s="133">
        <f>IF(SER_hh_emih_in!N23=0,0,SER_hh_emih_in!N23/SER_summary!N$27)</f>
        <v>8.2876812177165107</v>
      </c>
      <c r="O23" s="133">
        <f>IF(SER_hh_emih_in!O23=0,0,SER_hh_emih_in!O23/SER_summary!O$27)</f>
        <v>7.9649785526238439</v>
      </c>
      <c r="P23" s="133">
        <f>IF(SER_hh_emih_in!P23=0,0,SER_hh_emih_in!P23/SER_summary!P$27)</f>
        <v>7.2838149690774605</v>
      </c>
      <c r="Q23" s="133">
        <f>IF(SER_hh_emih_in!Q23=0,0,SER_hh_emih_in!Q23/SER_summary!Q$27)</f>
        <v>7.5528124429681949</v>
      </c>
      <c r="R23" s="133">
        <f>IF(SER_hh_emih_in!R23=0,0,SER_hh_emih_in!R23/SER_summary!R$27)</f>
        <v>6.9539272239910765</v>
      </c>
      <c r="S23" s="133">
        <f>IF(SER_hh_emih_in!S23=0,0,SER_hh_emih_in!S23/SER_summary!S$27)</f>
        <v>6.9695020657864788</v>
      </c>
      <c r="T23" s="133">
        <f>IF(SER_hh_emih_in!T23=0,0,SER_hh_emih_in!T23/SER_summary!T$27)</f>
        <v>6.4640864822808899</v>
      </c>
      <c r="U23" s="133">
        <f>IF(SER_hh_emih_in!U23=0,0,SER_hh_emih_in!U23/SER_summary!U$27)</f>
        <v>5.9590301486597168</v>
      </c>
      <c r="V23" s="133">
        <f>IF(SER_hh_emih_in!V23=0,0,SER_hh_emih_in!V23/SER_summary!V$27)</f>
        <v>5.1946342995532158</v>
      </c>
      <c r="W23" s="133">
        <f>IF(SER_hh_emih_in!W23=0,0,SER_hh_emih_in!W23/SER_summary!W$27)</f>
        <v>5.5865557038049589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0.15692494257795433</v>
      </c>
      <c r="D29" s="131">
        <f>IF(SER_hh_emih_in!D29=0,0,SER_hh_emih_in!D29/SER_summary!D$27)</f>
        <v>0.6888819076730176</v>
      </c>
      <c r="E29" s="131">
        <f>IF(SER_hh_emih_in!E29=0,0,SER_hh_emih_in!E29/SER_summary!E$27)</f>
        <v>1.5370802996757329</v>
      </c>
      <c r="F29" s="131">
        <f>IF(SER_hh_emih_in!F29=0,0,SER_hh_emih_in!F29/SER_summary!F$27)</f>
        <v>4.474115165642182</v>
      </c>
      <c r="G29" s="131">
        <f>IF(SER_hh_emih_in!G29=0,0,SER_hh_emih_in!G29/SER_summary!G$27)</f>
        <v>2.2116298319187431</v>
      </c>
      <c r="H29" s="131">
        <f>IF(SER_hh_emih_in!H29=0,0,SER_hh_emih_in!H29/SER_summary!H$27)</f>
        <v>1.2429787954191203</v>
      </c>
      <c r="I29" s="131">
        <f>IF(SER_hh_emih_in!I29=0,0,SER_hh_emih_in!I29/SER_summary!I$27)</f>
        <v>0.69733586663688829</v>
      </c>
      <c r="J29" s="131">
        <f>IF(SER_hh_emih_in!J29=0,0,SER_hh_emih_in!J29/SER_summary!J$27)</f>
        <v>1.4566661812136734</v>
      </c>
      <c r="K29" s="131">
        <f>IF(SER_hh_emih_in!K29=0,0,SER_hh_emih_in!K29/SER_summary!K$27)</f>
        <v>1.631964442254739</v>
      </c>
      <c r="L29" s="131">
        <f>IF(SER_hh_emih_in!L29=0,0,SER_hh_emih_in!L29/SER_summary!L$27)</f>
        <v>2.8941589281689803</v>
      </c>
      <c r="M29" s="131">
        <f>IF(SER_hh_emih_in!M29=0,0,SER_hh_emih_in!M29/SER_summary!M$27)</f>
        <v>5.6055524551853466</v>
      </c>
      <c r="N29" s="131">
        <f>IF(SER_hh_emih_in!N29=0,0,SER_hh_emih_in!N29/SER_summary!N$27)</f>
        <v>6.7933596945899586</v>
      </c>
      <c r="O29" s="131">
        <f>IF(SER_hh_emih_in!O29=0,0,SER_hh_emih_in!O29/SER_summary!O$27)</f>
        <v>1.4732928942795256</v>
      </c>
      <c r="P29" s="131">
        <f>IF(SER_hh_emih_in!P29=0,0,SER_hh_emih_in!P29/SER_summary!P$27)</f>
        <v>0.70683742114614545</v>
      </c>
      <c r="Q29" s="131">
        <f>IF(SER_hh_emih_in!Q29=0,0,SER_hh_emih_in!Q29/SER_summary!Q$27)</f>
        <v>1.6503565192529799</v>
      </c>
      <c r="R29" s="131">
        <f>IF(SER_hh_emih_in!R29=0,0,SER_hh_emih_in!R29/SER_summary!R$27)</f>
        <v>2.4511570703775423</v>
      </c>
      <c r="S29" s="131">
        <f>IF(SER_hh_emih_in!S29=0,0,SER_hh_emih_in!S29/SER_summary!S$27)</f>
        <v>1.8751329581499052</v>
      </c>
      <c r="T29" s="131">
        <f>IF(SER_hh_emih_in!T29=0,0,SER_hh_emih_in!T29/SER_summary!T$27)</f>
        <v>2.5408580345651459</v>
      </c>
      <c r="U29" s="131">
        <f>IF(SER_hh_emih_in!U29=0,0,SER_hh_emih_in!U29/SER_summary!U$27)</f>
        <v>2.8380654619173185</v>
      </c>
      <c r="V29" s="131">
        <f>IF(SER_hh_emih_in!V29=0,0,SER_hh_emih_in!V29/SER_summary!V$27)</f>
        <v>1.5879054141556084</v>
      </c>
      <c r="W29" s="131">
        <f>IF(SER_hh_emih_in!W29=0,0,SER_hh_emih_in!W29/SER_summary!W$27)</f>
        <v>2.9925871739876055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13.730458493432769</v>
      </c>
      <c r="D30" s="133">
        <f>IF(SER_hh_emih_in!D30=0,0,SER_hh_emih_in!D30/SER_summary!D$27)</f>
        <v>8.3821030360059172</v>
      </c>
      <c r="E30" s="133">
        <f>IF(SER_hh_emih_in!E30=0,0,SER_hh_emih_in!E30/SER_summary!E$27)</f>
        <v>8.4289208738821468</v>
      </c>
      <c r="F30" s="133">
        <f>IF(SER_hh_emih_in!F30=0,0,SER_hh_emih_in!F30/SER_summary!F$27)</f>
        <v>16.78302140434165</v>
      </c>
      <c r="G30" s="133">
        <f>IF(SER_hh_emih_in!G30=0,0,SER_hh_emih_in!G30/SER_summary!G$27)</f>
        <v>13.307333014742682</v>
      </c>
      <c r="H30" s="133">
        <f>IF(SER_hh_emih_in!H30=0,0,SER_hh_emih_in!H30/SER_summary!H$27)</f>
        <v>12.512256033744729</v>
      </c>
      <c r="I30" s="133">
        <f>IF(SER_hh_emih_in!I30=0,0,SER_hh_emih_in!I30/SER_summary!I$27)</f>
        <v>12.097748928599525</v>
      </c>
      <c r="J30" s="133">
        <f>IF(SER_hh_emih_in!J30=0,0,SER_hh_emih_in!J30/SER_summary!J$27)</f>
        <v>11.463377676096586</v>
      </c>
      <c r="K30" s="133">
        <f>IF(SER_hh_emih_in!K30=0,0,SER_hh_emih_in!K30/SER_summary!K$27)</f>
        <v>10.712854742744113</v>
      </c>
      <c r="L30" s="133">
        <f>IF(SER_hh_emih_in!L30=0,0,SER_hh_emih_in!L30/SER_summary!L$27)</f>
        <v>11.375084552674434</v>
      </c>
      <c r="M30" s="133">
        <f>IF(SER_hh_emih_in!M30=0,0,SER_hh_emih_in!M30/SER_summary!M$27)</f>
        <v>8.1778355183842173</v>
      </c>
      <c r="N30" s="133">
        <f>IF(SER_hh_emih_in!N30=0,0,SER_hh_emih_in!N30/SER_summary!N$27)</f>
        <v>22.448709092799437</v>
      </c>
      <c r="O30" s="133">
        <f>IF(SER_hh_emih_in!O30=0,0,SER_hh_emih_in!O30/SER_summary!O$27)</f>
        <v>15.448393988823415</v>
      </c>
      <c r="P30" s="133">
        <f>IF(SER_hh_emih_in!P30=0,0,SER_hh_emih_in!P30/SER_summary!P$27)</f>
        <v>0</v>
      </c>
      <c r="Q30" s="133">
        <f>IF(SER_hh_emih_in!Q30=0,0,SER_hh_emih_in!Q30/SER_summary!Q$27)</f>
        <v>10.838499696921424</v>
      </c>
      <c r="R30" s="133">
        <f>IF(SER_hh_emih_in!R30=0,0,SER_hh_emih_in!R30/SER_summary!R$27)</f>
        <v>12.139910519614043</v>
      </c>
      <c r="S30" s="133">
        <f>IF(SER_hh_emih_in!S30=0,0,SER_hh_emih_in!S30/SER_summary!S$27)</f>
        <v>13.083505981627612</v>
      </c>
      <c r="T30" s="133">
        <f>IF(SER_hh_emih_in!T30=0,0,SER_hh_emih_in!T30/SER_summary!T$27)</f>
        <v>13.096848333013204</v>
      </c>
      <c r="U30" s="133">
        <f>IF(SER_hh_emih_in!U30=0,0,SER_hh_emih_in!U30/SER_summary!U$27)</f>
        <v>13.90773536950967</v>
      </c>
      <c r="V30" s="133">
        <f>IF(SER_hh_emih_in!V30=0,0,SER_hh_emih_in!V30/SER_summary!V$27)</f>
        <v>8.9621354406600133</v>
      </c>
      <c r="W30" s="133">
        <f>IF(SER_hh_emih_in!W30=0,0,SER_hh_emih_in!W30/SER_summary!W$27)</f>
        <v>12.854913608008495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9.5440581519179482</v>
      </c>
      <c r="D31" s="133">
        <f>IF(SER_hh_emih_in!D31=0,0,SER_hh_emih_in!D31/SER_summary!D$27)</f>
        <v>9.2687617079962088</v>
      </c>
      <c r="E31" s="133">
        <f>IF(SER_hh_emih_in!E31=0,0,SER_hh_emih_in!E31/SER_summary!E$27)</f>
        <v>9.2618296425945097</v>
      </c>
      <c r="F31" s="133">
        <f>IF(SER_hh_emih_in!F31=0,0,SER_hh_emih_in!F31/SER_summary!F$27)</f>
        <v>9.7574188815793921</v>
      </c>
      <c r="G31" s="133">
        <f>IF(SER_hh_emih_in!G31=0,0,SER_hh_emih_in!G31/SER_summary!G$27)</f>
        <v>11.078523570837101</v>
      </c>
      <c r="H31" s="133">
        <f>IF(SER_hh_emih_in!H31=0,0,SER_hh_emih_in!H31/SER_summary!H$27)</f>
        <v>10.33776598632598</v>
      </c>
      <c r="I31" s="133">
        <f>IF(SER_hh_emih_in!I31=0,0,SER_hh_emih_in!I31/SER_summary!I$27)</f>
        <v>10.299815306811176</v>
      </c>
      <c r="J31" s="133">
        <f>IF(SER_hh_emih_in!J31=0,0,SER_hh_emih_in!J31/SER_summary!J$27)</f>
        <v>10.385470020862375</v>
      </c>
      <c r="K31" s="133">
        <f>IF(SER_hh_emih_in!K31=0,0,SER_hh_emih_in!K31/SER_summary!K$27)</f>
        <v>11.027933290518517</v>
      </c>
      <c r="L31" s="133">
        <f>IF(SER_hh_emih_in!L31=0,0,SER_hh_emih_in!L31/SER_summary!L$27)</f>
        <v>11.476478377205694</v>
      </c>
      <c r="M31" s="133">
        <f>IF(SER_hh_emih_in!M31=0,0,SER_hh_emih_in!M31/SER_summary!M$27)</f>
        <v>11.125677376054625</v>
      </c>
      <c r="N31" s="133">
        <f>IF(SER_hh_emih_in!N31=0,0,SER_hh_emih_in!N31/SER_summary!N$27)</f>
        <v>10.859868261598272</v>
      </c>
      <c r="O31" s="133">
        <f>IF(SER_hh_emih_in!O31=0,0,SER_hh_emih_in!O31/SER_summary!O$27)</f>
        <v>10.526591408762211</v>
      </c>
      <c r="P31" s="133">
        <f>IF(SER_hh_emih_in!P31=0,0,SER_hh_emih_in!P31/SER_summary!P$27)</f>
        <v>10.980435287453846</v>
      </c>
      <c r="Q31" s="133">
        <f>IF(SER_hh_emih_in!Q31=0,0,SER_hh_emih_in!Q31/SER_summary!Q$27)</f>
        <v>11.147444293118413</v>
      </c>
      <c r="R31" s="133">
        <f>IF(SER_hh_emih_in!R31=0,0,SER_hh_emih_in!R31/SER_summary!R$27)</f>
        <v>10.881397766297152</v>
      </c>
      <c r="S31" s="133">
        <f>IF(SER_hh_emih_in!S31=0,0,SER_hh_emih_in!S31/SER_summary!S$27)</f>
        <v>10.735519147416843</v>
      </c>
      <c r="T31" s="133">
        <f>IF(SER_hh_emih_in!T31=0,0,SER_hh_emih_in!T31/SER_summary!T$27)</f>
        <v>10.192094929892077</v>
      </c>
      <c r="U31" s="133">
        <f>IF(SER_hh_emih_in!U31=0,0,SER_hh_emih_in!U31/SER_summary!U$27)</f>
        <v>9.6322985853507124</v>
      </c>
      <c r="V31" s="133">
        <f>IF(SER_hh_emih_in!V31=0,0,SER_hh_emih_in!V31/SER_summary!V$27)</f>
        <v>8.7626385259391064</v>
      </c>
      <c r="W31" s="133">
        <f>IF(SER_hh_emih_in!W31=0,0,SER_hh_emih_in!W31/SER_summary!W$27)</f>
        <v>9.4372134174857329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413.93629551489056</v>
      </c>
      <c r="C3" s="180">
        <f t="shared" ref="C3:W3" si="1">SUM(C4:C9)</f>
        <v>432.94026137367894</v>
      </c>
      <c r="D3" s="180">
        <f t="shared" si="1"/>
        <v>453.86908421411135</v>
      </c>
      <c r="E3" s="180">
        <f t="shared" si="1"/>
        <v>478.47752249452515</v>
      </c>
      <c r="F3" s="180">
        <f t="shared" si="1"/>
        <v>505.13499727829378</v>
      </c>
      <c r="G3" s="180">
        <f t="shared" si="1"/>
        <v>528.54661486716702</v>
      </c>
      <c r="H3" s="180">
        <f t="shared" si="1"/>
        <v>553.5125712304648</v>
      </c>
      <c r="I3" s="180">
        <f t="shared" si="1"/>
        <v>575.90810712332859</v>
      </c>
      <c r="J3" s="180">
        <f t="shared" si="1"/>
        <v>595.72934939541574</v>
      </c>
      <c r="K3" s="180">
        <f t="shared" si="1"/>
        <v>605.73171841766316</v>
      </c>
      <c r="L3" s="180">
        <f t="shared" si="1"/>
        <v>600.85118469553856</v>
      </c>
      <c r="M3" s="180">
        <f t="shared" si="1"/>
        <v>598.02800872981129</v>
      </c>
      <c r="N3" s="180">
        <f t="shared" si="1"/>
        <v>607.08650343133172</v>
      </c>
      <c r="O3" s="180">
        <f t="shared" si="1"/>
        <v>609.88067183530552</v>
      </c>
      <c r="P3" s="180">
        <f t="shared" si="1"/>
        <v>618.39260609559824</v>
      </c>
      <c r="Q3" s="180">
        <f t="shared" si="1"/>
        <v>632.72330021135872</v>
      </c>
      <c r="R3" s="180">
        <f t="shared" si="1"/>
        <v>650.78337235278286</v>
      </c>
      <c r="S3" s="180">
        <f t="shared" si="1"/>
        <v>644.38099317694378</v>
      </c>
      <c r="T3" s="180">
        <f t="shared" si="1"/>
        <v>636.03372611900943</v>
      </c>
      <c r="U3" s="180">
        <f t="shared" si="1"/>
        <v>622.15715376225319</v>
      </c>
      <c r="V3" s="180">
        <f t="shared" si="1"/>
        <v>569.1840319444126</v>
      </c>
      <c r="W3" s="180">
        <f t="shared" si="1"/>
        <v>570.56435478542198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17.354249976045949</v>
      </c>
      <c r="C4" s="181">
        <f t="shared" ref="C4:R9" si="3">C12*C44/11630</f>
        <v>18.216337186969881</v>
      </c>
      <c r="D4" s="181">
        <f t="shared" si="3"/>
        <v>19.005883779956736</v>
      </c>
      <c r="E4" s="181">
        <f t="shared" si="3"/>
        <v>19.938304774947298</v>
      </c>
      <c r="F4" s="181">
        <f t="shared" si="3"/>
        <v>20.956322376684998</v>
      </c>
      <c r="G4" s="181">
        <f t="shared" si="3"/>
        <v>21.850359431351855</v>
      </c>
      <c r="H4" s="181">
        <f t="shared" si="3"/>
        <v>22.821542795729027</v>
      </c>
      <c r="I4" s="181">
        <f t="shared" si="3"/>
        <v>23.71744020566231</v>
      </c>
      <c r="J4" s="181">
        <f t="shared" si="3"/>
        <v>24.267780872497404</v>
      </c>
      <c r="K4" s="181">
        <f t="shared" si="3"/>
        <v>24.429844824634607</v>
      </c>
      <c r="L4" s="181">
        <f t="shared" si="3"/>
        <v>23.77879372402246</v>
      </c>
      <c r="M4" s="181">
        <f t="shared" si="3"/>
        <v>23.418363320846371</v>
      </c>
      <c r="N4" s="181">
        <f t="shared" si="3"/>
        <v>23.584601800746004</v>
      </c>
      <c r="O4" s="181">
        <f t="shared" si="3"/>
        <v>23.628066290707451</v>
      </c>
      <c r="P4" s="181">
        <f t="shared" si="3"/>
        <v>23.681734638952548</v>
      </c>
      <c r="Q4" s="181">
        <f t="shared" si="3"/>
        <v>23.760009173347935</v>
      </c>
      <c r="R4" s="181">
        <f t="shared" si="3"/>
        <v>23.970548247449486</v>
      </c>
      <c r="S4" s="181">
        <f t="shared" ref="D4:W9" si="4">S12*S44/11630</f>
        <v>24.288463651587694</v>
      </c>
      <c r="T4" s="181">
        <f t="shared" si="4"/>
        <v>24.593381091263087</v>
      </c>
      <c r="U4" s="181">
        <f t="shared" si="4"/>
        <v>24.917643861860526</v>
      </c>
      <c r="V4" s="181">
        <f t="shared" si="4"/>
        <v>25.249486964197494</v>
      </c>
      <c r="W4" s="181">
        <f t="shared" si="4"/>
        <v>25.547772607223951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72.678483200776483</v>
      </c>
      <c r="C5" s="181">
        <f t="shared" si="3"/>
        <v>73.329853921745908</v>
      </c>
      <c r="D5" s="181">
        <f t="shared" si="4"/>
        <v>74.937480885423511</v>
      </c>
      <c r="E5" s="181">
        <f t="shared" si="4"/>
        <v>76.740723349143309</v>
      </c>
      <c r="F5" s="181">
        <f t="shared" si="4"/>
        <v>78.809332917005719</v>
      </c>
      <c r="G5" s="181">
        <f t="shared" si="4"/>
        <v>80.45040631360007</v>
      </c>
      <c r="H5" s="181">
        <f t="shared" si="4"/>
        <v>82.060359617783107</v>
      </c>
      <c r="I5" s="181">
        <f t="shared" si="4"/>
        <v>82.885945424193366</v>
      </c>
      <c r="J5" s="181">
        <f t="shared" si="4"/>
        <v>84.582238883239896</v>
      </c>
      <c r="K5" s="181">
        <f t="shared" si="4"/>
        <v>86.170506851911369</v>
      </c>
      <c r="L5" s="181">
        <f t="shared" si="4"/>
        <v>87.393744689491797</v>
      </c>
      <c r="M5" s="181">
        <f t="shared" si="4"/>
        <v>88.396563962780547</v>
      </c>
      <c r="N5" s="181">
        <f t="shared" si="4"/>
        <v>89.4760252871597</v>
      </c>
      <c r="O5" s="181">
        <f t="shared" si="4"/>
        <v>90.371050624159963</v>
      </c>
      <c r="P5" s="181">
        <f t="shared" si="4"/>
        <v>91.769508899441789</v>
      </c>
      <c r="Q5" s="181">
        <f t="shared" si="4"/>
        <v>93.497818719411995</v>
      </c>
      <c r="R5" s="181">
        <f t="shared" si="4"/>
        <v>95.350570129282147</v>
      </c>
      <c r="S5" s="181">
        <f t="shared" si="4"/>
        <v>93.509383085749434</v>
      </c>
      <c r="T5" s="181">
        <f t="shared" si="4"/>
        <v>91.249243315876086</v>
      </c>
      <c r="U5" s="181">
        <f t="shared" si="4"/>
        <v>87.735850246132216</v>
      </c>
      <c r="V5" s="181">
        <f t="shared" si="4"/>
        <v>83.635087520775272</v>
      </c>
      <c r="W5" s="181">
        <f t="shared" si="4"/>
        <v>81.296428032071574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127.78834919148746</v>
      </c>
      <c r="C6" s="181">
        <f t="shared" si="3"/>
        <v>134.37994512745163</v>
      </c>
      <c r="D6" s="181">
        <f t="shared" si="4"/>
        <v>139.98565063501692</v>
      </c>
      <c r="E6" s="181">
        <f t="shared" si="4"/>
        <v>147.09926917584113</v>
      </c>
      <c r="F6" s="181">
        <f t="shared" si="4"/>
        <v>153.86117944010081</v>
      </c>
      <c r="G6" s="181">
        <f t="shared" si="4"/>
        <v>158.68589887882547</v>
      </c>
      <c r="H6" s="181">
        <f t="shared" si="4"/>
        <v>164.38258107258736</v>
      </c>
      <c r="I6" s="181">
        <f t="shared" si="4"/>
        <v>169.18850402213386</v>
      </c>
      <c r="J6" s="181">
        <f t="shared" si="4"/>
        <v>173.37134767062881</v>
      </c>
      <c r="K6" s="181">
        <f t="shared" si="4"/>
        <v>174.3144056036584</v>
      </c>
      <c r="L6" s="181">
        <f t="shared" si="4"/>
        <v>169.68618977441625</v>
      </c>
      <c r="M6" s="181">
        <f t="shared" si="4"/>
        <v>167.07436418043258</v>
      </c>
      <c r="N6" s="181">
        <f t="shared" si="4"/>
        <v>167.65071596796761</v>
      </c>
      <c r="O6" s="181">
        <f t="shared" si="4"/>
        <v>166.25641736366455</v>
      </c>
      <c r="P6" s="181">
        <f t="shared" si="4"/>
        <v>164.76797915184272</v>
      </c>
      <c r="Q6" s="181">
        <f t="shared" si="4"/>
        <v>164.18007674578504</v>
      </c>
      <c r="R6" s="181">
        <f t="shared" si="4"/>
        <v>164.40701470784401</v>
      </c>
      <c r="S6" s="181">
        <f t="shared" si="4"/>
        <v>158.83851247075611</v>
      </c>
      <c r="T6" s="181">
        <f t="shared" si="4"/>
        <v>148.88395086462774</v>
      </c>
      <c r="U6" s="181">
        <f t="shared" si="4"/>
        <v>136.98023784345619</v>
      </c>
      <c r="V6" s="181">
        <f t="shared" si="4"/>
        <v>111.17648497782321</v>
      </c>
      <c r="W6" s="181">
        <f t="shared" si="4"/>
        <v>108.30276803065286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122.23398189403426</v>
      </c>
      <c r="C7" s="181">
        <f t="shared" si="3"/>
        <v>122.99093191670502</v>
      </c>
      <c r="D7" s="181">
        <f t="shared" si="4"/>
        <v>125.1050883256014</v>
      </c>
      <c r="E7" s="181">
        <f t="shared" si="4"/>
        <v>127.66841810242343</v>
      </c>
      <c r="F7" s="181">
        <f t="shared" si="4"/>
        <v>132.15242064310644</v>
      </c>
      <c r="G7" s="181">
        <f t="shared" si="4"/>
        <v>136.82111680327776</v>
      </c>
      <c r="H7" s="181">
        <f t="shared" si="4"/>
        <v>142.67144868118982</v>
      </c>
      <c r="I7" s="181">
        <f t="shared" si="4"/>
        <v>147.1389333616188</v>
      </c>
      <c r="J7" s="181">
        <f t="shared" si="4"/>
        <v>150.53417400095603</v>
      </c>
      <c r="K7" s="181">
        <f t="shared" si="4"/>
        <v>151.7781295431368</v>
      </c>
      <c r="L7" s="181">
        <f t="shared" si="4"/>
        <v>152.35977162499398</v>
      </c>
      <c r="M7" s="181">
        <f t="shared" si="4"/>
        <v>152.5448779106959</v>
      </c>
      <c r="N7" s="181">
        <f t="shared" si="4"/>
        <v>152.4765277269442</v>
      </c>
      <c r="O7" s="181">
        <f t="shared" si="4"/>
        <v>152.0920591451239</v>
      </c>
      <c r="P7" s="181">
        <f t="shared" si="4"/>
        <v>152.26075697306541</v>
      </c>
      <c r="Q7" s="181">
        <f t="shared" si="4"/>
        <v>153.33253273389425</v>
      </c>
      <c r="R7" s="181">
        <f t="shared" si="4"/>
        <v>151.25626955956767</v>
      </c>
      <c r="S7" s="181">
        <f t="shared" si="4"/>
        <v>149.71672997435695</v>
      </c>
      <c r="T7" s="181">
        <f t="shared" si="4"/>
        <v>148.19041204314345</v>
      </c>
      <c r="U7" s="181">
        <f t="shared" si="4"/>
        <v>146.95082001537904</v>
      </c>
      <c r="V7" s="181">
        <f t="shared" si="4"/>
        <v>145.64084764438937</v>
      </c>
      <c r="W7" s="181">
        <f t="shared" si="4"/>
        <v>144.55336671081963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24.964619105795375</v>
      </c>
      <c r="C8" s="55">
        <f t="shared" si="3"/>
        <v>27.587047202327302</v>
      </c>
      <c r="D8" s="55">
        <f t="shared" si="4"/>
        <v>30.15244021273551</v>
      </c>
      <c r="E8" s="55">
        <f t="shared" si="4"/>
        <v>33.413329278290938</v>
      </c>
      <c r="F8" s="55">
        <f t="shared" si="4"/>
        <v>37.047788597345452</v>
      </c>
      <c r="G8" s="55">
        <f t="shared" si="4"/>
        <v>41.107842693141812</v>
      </c>
      <c r="H8" s="55">
        <f t="shared" si="4"/>
        <v>45.677316035590806</v>
      </c>
      <c r="I8" s="55">
        <f t="shared" si="4"/>
        <v>49.953124382835711</v>
      </c>
      <c r="J8" s="55">
        <f t="shared" si="4"/>
        <v>53.354833746656752</v>
      </c>
      <c r="K8" s="55">
        <f t="shared" si="4"/>
        <v>55.303425217668121</v>
      </c>
      <c r="L8" s="55">
        <f t="shared" si="4"/>
        <v>55.270212109850732</v>
      </c>
      <c r="M8" s="55">
        <f t="shared" si="4"/>
        <v>55.352216671530904</v>
      </c>
      <c r="N8" s="55">
        <f t="shared" si="4"/>
        <v>56.267777319026088</v>
      </c>
      <c r="O8" s="55">
        <f t="shared" si="4"/>
        <v>56.473865674683104</v>
      </c>
      <c r="P8" s="55">
        <f t="shared" si="4"/>
        <v>56.71771520328501</v>
      </c>
      <c r="Q8" s="55">
        <f t="shared" si="4"/>
        <v>56.702228483002273</v>
      </c>
      <c r="R8" s="55">
        <f t="shared" si="4"/>
        <v>59.153791796615963</v>
      </c>
      <c r="S8" s="55">
        <f t="shared" si="4"/>
        <v>59.985972562119059</v>
      </c>
      <c r="T8" s="55">
        <f t="shared" si="4"/>
        <v>60.740314332668319</v>
      </c>
      <c r="U8" s="55">
        <f t="shared" si="4"/>
        <v>60.904596444937461</v>
      </c>
      <c r="V8" s="55">
        <f t="shared" si="4"/>
        <v>53.627017479588403</v>
      </c>
      <c r="W8" s="55">
        <f t="shared" si="4"/>
        <v>57.353032306297635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48.916612146751106</v>
      </c>
      <c r="C9" s="63">
        <f t="shared" si="3"/>
        <v>56.436146018479207</v>
      </c>
      <c r="D9" s="63">
        <f t="shared" si="4"/>
        <v>64.682540375377272</v>
      </c>
      <c r="E9" s="63">
        <f t="shared" si="4"/>
        <v>73.617477813879063</v>
      </c>
      <c r="F9" s="63">
        <f t="shared" si="4"/>
        <v>82.307953304050386</v>
      </c>
      <c r="G9" s="63">
        <f t="shared" si="4"/>
        <v>89.630990746970042</v>
      </c>
      <c r="H9" s="63">
        <f t="shared" si="4"/>
        <v>95.899323027584714</v>
      </c>
      <c r="I9" s="63">
        <f t="shared" si="4"/>
        <v>103.02415972688453</v>
      </c>
      <c r="J9" s="63">
        <f t="shared" si="4"/>
        <v>109.61897422143682</v>
      </c>
      <c r="K9" s="63">
        <f t="shared" si="4"/>
        <v>113.73540637665383</v>
      </c>
      <c r="L9" s="63">
        <f t="shared" si="4"/>
        <v>112.36247277276335</v>
      </c>
      <c r="M9" s="63">
        <f t="shared" si="4"/>
        <v>111.24162268352494</v>
      </c>
      <c r="N9" s="63">
        <f t="shared" si="4"/>
        <v>117.63085532948807</v>
      </c>
      <c r="O9" s="63">
        <f t="shared" si="4"/>
        <v>121.05921273696651</v>
      </c>
      <c r="P9" s="63">
        <f t="shared" si="4"/>
        <v>129.19491122901064</v>
      </c>
      <c r="Q9" s="63">
        <f t="shared" si="4"/>
        <v>141.25063435591721</v>
      </c>
      <c r="R9" s="63">
        <f t="shared" si="4"/>
        <v>156.64517791202354</v>
      </c>
      <c r="S9" s="63">
        <f t="shared" si="4"/>
        <v>158.04193143237444</v>
      </c>
      <c r="T9" s="63">
        <f t="shared" si="4"/>
        <v>162.37642447143071</v>
      </c>
      <c r="U9" s="63">
        <f t="shared" si="4"/>
        <v>164.66800535048779</v>
      </c>
      <c r="V9" s="63">
        <f t="shared" si="4"/>
        <v>149.85510735763887</v>
      </c>
      <c r="W9" s="63">
        <f t="shared" si="4"/>
        <v>153.51098709835628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1730.5325231667796</v>
      </c>
      <c r="C11" s="180">
        <f t="shared" ref="C11:W11" si="6">SUM(C12:C17)</f>
        <v>1843.6456086582057</v>
      </c>
      <c r="D11" s="180">
        <f t="shared" si="6"/>
        <v>1954.2953251509521</v>
      </c>
      <c r="E11" s="180">
        <f t="shared" si="6"/>
        <v>2085.9375254076567</v>
      </c>
      <c r="F11" s="180">
        <f t="shared" si="6"/>
        <v>2220.8944751163672</v>
      </c>
      <c r="G11" s="180">
        <f t="shared" si="6"/>
        <v>2341.898798091077</v>
      </c>
      <c r="H11" s="180">
        <f t="shared" si="6"/>
        <v>2469.104751117558</v>
      </c>
      <c r="I11" s="180">
        <f t="shared" si="6"/>
        <v>2585.6421020380026</v>
      </c>
      <c r="J11" s="180">
        <f t="shared" si="6"/>
        <v>2688.8476248186221</v>
      </c>
      <c r="K11" s="180">
        <f t="shared" si="6"/>
        <v>2739.8292155227996</v>
      </c>
      <c r="L11" s="180">
        <f t="shared" si="6"/>
        <v>2699.3630329488942</v>
      </c>
      <c r="M11" s="180">
        <f t="shared" si="6"/>
        <v>2673.3977435207007</v>
      </c>
      <c r="N11" s="180">
        <f t="shared" si="6"/>
        <v>2721.7445993077577</v>
      </c>
      <c r="O11" s="180">
        <f t="shared" si="6"/>
        <v>2732.6626144279626</v>
      </c>
      <c r="P11" s="180">
        <f t="shared" si="6"/>
        <v>2770.8917399572624</v>
      </c>
      <c r="Q11" s="180">
        <f t="shared" si="6"/>
        <v>2835.5869559313405</v>
      </c>
      <c r="R11" s="180">
        <f t="shared" si="6"/>
        <v>2872.4059087808105</v>
      </c>
      <c r="S11" s="180">
        <f t="shared" si="6"/>
        <v>2860.4055890990439</v>
      </c>
      <c r="T11" s="180">
        <f t="shared" si="6"/>
        <v>2843.5276474514822</v>
      </c>
      <c r="U11" s="180">
        <f t="shared" si="6"/>
        <v>2814.5895397163554</v>
      </c>
      <c r="V11" s="180">
        <f t="shared" si="6"/>
        <v>2754.230324995498</v>
      </c>
      <c r="W11" s="180">
        <f t="shared" si="6"/>
        <v>2692.6218404248398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23.039946029841829</v>
      </c>
      <c r="C12" s="181">
        <f t="shared" ref="C12:W12" si="7">C20*C52</f>
        <v>24.184475055303615</v>
      </c>
      <c r="D12" s="181">
        <f t="shared" si="7"/>
        <v>25.232697301472239</v>
      </c>
      <c r="E12" s="181">
        <f t="shared" si="7"/>
        <v>26.470603257150358</v>
      </c>
      <c r="F12" s="181">
        <f t="shared" si="7"/>
        <v>27.822149456717629</v>
      </c>
      <c r="G12" s="181">
        <f t="shared" si="7"/>
        <v>29.009095911714844</v>
      </c>
      <c r="H12" s="181">
        <f t="shared" si="7"/>
        <v>30.29846378017449</v>
      </c>
      <c r="I12" s="181">
        <f t="shared" si="7"/>
        <v>31.487880090394146</v>
      </c>
      <c r="J12" s="181">
        <f t="shared" si="7"/>
        <v>32.218526432322463</v>
      </c>
      <c r="K12" s="181">
        <f t="shared" si="7"/>
        <v>32.433686679280882</v>
      </c>
      <c r="L12" s="181">
        <f t="shared" si="7"/>
        <v>31.56933459022617</v>
      </c>
      <c r="M12" s="181">
        <f t="shared" si="7"/>
        <v>31.090817970484398</v>
      </c>
      <c r="N12" s="181">
        <f t="shared" si="7"/>
        <v>31.311520427246116</v>
      </c>
      <c r="O12" s="181">
        <f t="shared" si="7"/>
        <v>31.369224995539689</v>
      </c>
      <c r="P12" s="181">
        <f t="shared" si="7"/>
        <v>31.440476467011202</v>
      </c>
      <c r="Q12" s="181">
        <f t="shared" si="7"/>
        <v>31.544395740415123</v>
      </c>
      <c r="R12" s="181">
        <f t="shared" si="7"/>
        <v>31.823912798839899</v>
      </c>
      <c r="S12" s="181">
        <f t="shared" si="7"/>
        <v>32.245985418717453</v>
      </c>
      <c r="T12" s="181">
        <f t="shared" si="7"/>
        <v>32.650801608606137</v>
      </c>
      <c r="U12" s="181">
        <f t="shared" si="7"/>
        <v>33.081301154502036</v>
      </c>
      <c r="V12" s="181">
        <f t="shared" si="7"/>
        <v>33.521864542650334</v>
      </c>
      <c r="W12" s="181">
        <f t="shared" si="7"/>
        <v>33.917876189727686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223.74750378630756</v>
      </c>
      <c r="C13" s="181">
        <f t="shared" ref="C13:W13" si="8">C21*C53/1000</f>
        <v>225.74784115213174</v>
      </c>
      <c r="D13" s="181">
        <f t="shared" si="8"/>
        <v>230.62324126102442</v>
      </c>
      <c r="E13" s="181">
        <f t="shared" si="8"/>
        <v>235.84113476482293</v>
      </c>
      <c r="F13" s="181">
        <f t="shared" si="8"/>
        <v>241.95048692341439</v>
      </c>
      <c r="G13" s="181">
        <f t="shared" si="8"/>
        <v>246.79497278532614</v>
      </c>
      <c r="H13" s="181">
        <f t="shared" si="8"/>
        <v>251.56602426607225</v>
      </c>
      <c r="I13" s="181">
        <f t="shared" si="8"/>
        <v>254.12134161660245</v>
      </c>
      <c r="J13" s="181">
        <f t="shared" si="8"/>
        <v>259.53770150212483</v>
      </c>
      <c r="K13" s="181">
        <f t="shared" si="8"/>
        <v>264.64382154093852</v>
      </c>
      <c r="L13" s="181">
        <f t="shared" si="8"/>
        <v>268.89477246652791</v>
      </c>
      <c r="M13" s="181">
        <f t="shared" si="8"/>
        <v>272.79965766082228</v>
      </c>
      <c r="N13" s="181">
        <f t="shared" si="8"/>
        <v>277.69675903793473</v>
      </c>
      <c r="O13" s="181">
        <f t="shared" si="8"/>
        <v>282.58409297843247</v>
      </c>
      <c r="P13" s="181">
        <f t="shared" si="8"/>
        <v>288.8305258804682</v>
      </c>
      <c r="Q13" s="181">
        <f t="shared" si="8"/>
        <v>295.94480096474331</v>
      </c>
      <c r="R13" s="181">
        <f t="shared" si="8"/>
        <v>293.26892814230536</v>
      </c>
      <c r="S13" s="181">
        <f t="shared" si="8"/>
        <v>289.73096528008477</v>
      </c>
      <c r="T13" s="181">
        <f t="shared" si="8"/>
        <v>284.0598204304041</v>
      </c>
      <c r="U13" s="181">
        <f t="shared" si="8"/>
        <v>276.57267138087155</v>
      </c>
      <c r="V13" s="181">
        <f t="shared" si="8"/>
        <v>266.93795109807553</v>
      </c>
      <c r="W13" s="181">
        <f t="shared" si="8"/>
        <v>256.69378702983062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650.07726272597995</v>
      </c>
      <c r="C14" s="181">
        <f t="shared" ref="C14:W14" si="9">C22*C54</f>
        <v>676.8054823105266</v>
      </c>
      <c r="D14" s="181">
        <f t="shared" si="9"/>
        <v>697.21396696806005</v>
      </c>
      <c r="E14" s="181">
        <f t="shared" si="9"/>
        <v>725.16209437747079</v>
      </c>
      <c r="F14" s="181">
        <f t="shared" si="9"/>
        <v>751.90104346913608</v>
      </c>
      <c r="G14" s="181">
        <f t="shared" si="9"/>
        <v>771.44084245532292</v>
      </c>
      <c r="H14" s="181">
        <f t="shared" si="9"/>
        <v>797.08772490806325</v>
      </c>
      <c r="I14" s="181">
        <f t="shared" si="9"/>
        <v>816.40026908290406</v>
      </c>
      <c r="J14" s="181">
        <f t="shared" si="9"/>
        <v>833.37183320610984</v>
      </c>
      <c r="K14" s="181">
        <f t="shared" si="9"/>
        <v>835.19907059386355</v>
      </c>
      <c r="L14" s="181">
        <f t="shared" si="9"/>
        <v>810.52588828343323</v>
      </c>
      <c r="M14" s="181">
        <f t="shared" si="9"/>
        <v>796.84888277327821</v>
      </c>
      <c r="N14" s="181">
        <f t="shared" si="9"/>
        <v>796.44726550319581</v>
      </c>
      <c r="O14" s="181">
        <f t="shared" si="9"/>
        <v>787.06130273859878</v>
      </c>
      <c r="P14" s="181">
        <f t="shared" si="9"/>
        <v>775.4025140300879</v>
      </c>
      <c r="Q14" s="181">
        <f t="shared" si="9"/>
        <v>768.51937205634431</v>
      </c>
      <c r="R14" s="181">
        <f t="shared" si="9"/>
        <v>744.45514866263511</v>
      </c>
      <c r="S14" s="181">
        <f t="shared" si="9"/>
        <v>719.7098377930389</v>
      </c>
      <c r="T14" s="181">
        <f t="shared" si="9"/>
        <v>680.6031408614424</v>
      </c>
      <c r="U14" s="181">
        <f t="shared" si="9"/>
        <v>637.77436768850657</v>
      </c>
      <c r="V14" s="181">
        <f t="shared" si="9"/>
        <v>593.97830868383517</v>
      </c>
      <c r="W14" s="181">
        <f t="shared" si="9"/>
        <v>545.83970887309249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162.28095998032177</v>
      </c>
      <c r="C15" s="181">
        <f t="shared" ref="C15:W15" si="10">C23*C55/1000</f>
        <v>163.28590618621911</v>
      </c>
      <c r="D15" s="181">
        <f t="shared" si="10"/>
        <v>166.09271429529042</v>
      </c>
      <c r="E15" s="181">
        <f t="shared" si="10"/>
        <v>169.49585645333161</v>
      </c>
      <c r="F15" s="181">
        <f t="shared" si="10"/>
        <v>175.44893288576804</v>
      </c>
      <c r="G15" s="181">
        <f t="shared" si="10"/>
        <v>181.64721329019633</v>
      </c>
      <c r="H15" s="181">
        <f t="shared" si="10"/>
        <v>189.41426348883985</v>
      </c>
      <c r="I15" s="181">
        <f t="shared" si="10"/>
        <v>195.34541038762865</v>
      </c>
      <c r="J15" s="181">
        <f t="shared" si="10"/>
        <v>199.85301867935149</v>
      </c>
      <c r="K15" s="181">
        <f t="shared" si="10"/>
        <v>201.50452586605948</v>
      </c>
      <c r="L15" s="181">
        <f t="shared" si="10"/>
        <v>202.27672876697258</v>
      </c>
      <c r="M15" s="181">
        <f t="shared" si="10"/>
        <v>202.5224806051819</v>
      </c>
      <c r="N15" s="181">
        <f t="shared" si="10"/>
        <v>202.43173715346589</v>
      </c>
      <c r="O15" s="181">
        <f t="shared" si="10"/>
        <v>201.92130683308119</v>
      </c>
      <c r="P15" s="181">
        <f t="shared" si="10"/>
        <v>202.14527438319067</v>
      </c>
      <c r="Q15" s="181">
        <f t="shared" si="10"/>
        <v>203.56819128940532</v>
      </c>
      <c r="R15" s="181">
        <f t="shared" si="10"/>
        <v>200.81169120750829</v>
      </c>
      <c r="S15" s="181">
        <f t="shared" si="10"/>
        <v>198.76775908696027</v>
      </c>
      <c r="T15" s="181">
        <f t="shared" si="10"/>
        <v>196.7413803723469</v>
      </c>
      <c r="U15" s="181">
        <f t="shared" si="10"/>
        <v>195.09566629895642</v>
      </c>
      <c r="V15" s="181">
        <f t="shared" si="10"/>
        <v>193.35651348222018</v>
      </c>
      <c r="W15" s="181">
        <f t="shared" si="10"/>
        <v>191.91274598708137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313.5835908305246</v>
      </c>
      <c r="C16" s="55">
        <f t="shared" ref="C16:W16" si="11">C24*C56</f>
        <v>344.87679060105722</v>
      </c>
      <c r="D16" s="55">
        <f t="shared" si="11"/>
        <v>375.31142689727113</v>
      </c>
      <c r="E16" s="55">
        <f t="shared" si="11"/>
        <v>414.23898369428713</v>
      </c>
      <c r="F16" s="55">
        <f t="shared" si="11"/>
        <v>457.59816334570394</v>
      </c>
      <c r="G16" s="55">
        <f t="shared" si="11"/>
        <v>505.99765906293857</v>
      </c>
      <c r="H16" s="55">
        <f t="shared" si="11"/>
        <v>560.43204859500838</v>
      </c>
      <c r="I16" s="55">
        <f t="shared" si="11"/>
        <v>611.03852895746229</v>
      </c>
      <c r="J16" s="55">
        <f t="shared" si="11"/>
        <v>650.78649261099872</v>
      </c>
      <c r="K16" s="55">
        <f t="shared" si="11"/>
        <v>672.73300437848991</v>
      </c>
      <c r="L16" s="55">
        <f t="shared" si="11"/>
        <v>670.60689764081451</v>
      </c>
      <c r="M16" s="55">
        <f t="shared" si="11"/>
        <v>670.51051439741457</v>
      </c>
      <c r="N16" s="55">
        <f t="shared" si="11"/>
        <v>680.5450645488761</v>
      </c>
      <c r="O16" s="55">
        <f t="shared" si="11"/>
        <v>682.02632820989436</v>
      </c>
      <c r="P16" s="55">
        <f t="shared" si="11"/>
        <v>684.00021391928715</v>
      </c>
      <c r="Q16" s="55">
        <f t="shared" si="11"/>
        <v>682.88359344388596</v>
      </c>
      <c r="R16" s="55">
        <f t="shared" si="11"/>
        <v>692.82641703631282</v>
      </c>
      <c r="S16" s="55">
        <f t="shared" si="11"/>
        <v>705.98132232258126</v>
      </c>
      <c r="T16" s="55">
        <f t="shared" si="11"/>
        <v>716.4643530097801</v>
      </c>
      <c r="U16" s="55">
        <f t="shared" si="11"/>
        <v>725.92884071407298</v>
      </c>
      <c r="V16" s="55">
        <f t="shared" si="11"/>
        <v>733.45948048806247</v>
      </c>
      <c r="W16" s="55">
        <f t="shared" si="11"/>
        <v>739.97456258247087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357.80325981380378</v>
      </c>
      <c r="C17" s="63">
        <f t="shared" ref="C17:W17" si="12">C25*C57/1000</f>
        <v>408.74511335296751</v>
      </c>
      <c r="D17" s="63">
        <f t="shared" si="12"/>
        <v>459.8212784278337</v>
      </c>
      <c r="E17" s="63">
        <f t="shared" si="12"/>
        <v>514.72885286059409</v>
      </c>
      <c r="F17" s="63">
        <f t="shared" si="12"/>
        <v>566.1736990356269</v>
      </c>
      <c r="G17" s="63">
        <f t="shared" si="12"/>
        <v>607.00901458557848</v>
      </c>
      <c r="H17" s="63">
        <f t="shared" si="12"/>
        <v>640.30622607939961</v>
      </c>
      <c r="I17" s="63">
        <f t="shared" si="12"/>
        <v>677.24867190301109</v>
      </c>
      <c r="J17" s="63">
        <f t="shared" si="12"/>
        <v>713.080052387715</v>
      </c>
      <c r="K17" s="63">
        <f t="shared" si="12"/>
        <v>733.315106464167</v>
      </c>
      <c r="L17" s="63">
        <f t="shared" si="12"/>
        <v>715.48941120091945</v>
      </c>
      <c r="M17" s="63">
        <f t="shared" si="12"/>
        <v>699.62539011351919</v>
      </c>
      <c r="N17" s="63">
        <f t="shared" si="12"/>
        <v>733.31225263703891</v>
      </c>
      <c r="O17" s="63">
        <f t="shared" si="12"/>
        <v>747.7003586724162</v>
      </c>
      <c r="P17" s="63">
        <f t="shared" si="12"/>
        <v>789.07273527721748</v>
      </c>
      <c r="Q17" s="63">
        <f t="shared" si="12"/>
        <v>853.12660243654659</v>
      </c>
      <c r="R17" s="63">
        <f t="shared" si="12"/>
        <v>909.21981093320903</v>
      </c>
      <c r="S17" s="63">
        <f t="shared" si="12"/>
        <v>913.96971919766156</v>
      </c>
      <c r="T17" s="63">
        <f t="shared" si="12"/>
        <v>933.00815116890249</v>
      </c>
      <c r="U17" s="63">
        <f t="shared" si="12"/>
        <v>946.13669247944563</v>
      </c>
      <c r="V17" s="63">
        <f t="shared" si="12"/>
        <v>932.97620670065396</v>
      </c>
      <c r="W17" s="63">
        <f t="shared" si="12"/>
        <v>924.28315976263684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29.319407614193906</v>
      </c>
      <c r="C20" s="182">
        <v>31.107433524158772</v>
      </c>
      <c r="D20" s="182">
        <v>32.803626288203006</v>
      </c>
      <c r="E20" s="182">
        <v>34.818585386471533</v>
      </c>
      <c r="F20" s="182">
        <v>37.047707263148993</v>
      </c>
      <c r="G20" s="182">
        <v>39.080050484804374</v>
      </c>
      <c r="H20" s="182">
        <v>41.320852409148294</v>
      </c>
      <c r="I20" s="182">
        <v>43.457883727493439</v>
      </c>
      <c r="J20" s="182">
        <v>44.928234618473546</v>
      </c>
      <c r="K20" s="182">
        <v>45.634205470492823</v>
      </c>
      <c r="L20" s="182">
        <v>44.666255518666617</v>
      </c>
      <c r="M20" s="182">
        <v>44.339372261157081</v>
      </c>
      <c r="N20" s="182">
        <v>45.204262135030191</v>
      </c>
      <c r="O20" s="182">
        <v>45.889246253125904</v>
      </c>
      <c r="P20" s="182">
        <v>46.687776583663158</v>
      </c>
      <c r="Q20" s="182">
        <v>47.645114862494736</v>
      </c>
      <c r="R20" s="182">
        <v>48.961180657740485</v>
      </c>
      <c r="S20" s="182">
        <v>50.595128282370148</v>
      </c>
      <c r="T20" s="182">
        <v>52.260076986097239</v>
      </c>
      <c r="U20" s="182">
        <v>53.994657295975415</v>
      </c>
      <c r="V20" s="182">
        <v>55.721972357403075</v>
      </c>
      <c r="W20" s="182">
        <v>57.440586453574412</v>
      </c>
      <c r="DA20" s="191" t="s">
        <v>921</v>
      </c>
    </row>
    <row r="21" spans="1:105" ht="12" customHeight="1" x14ac:dyDescent="0.25">
      <c r="A21" s="132" t="s">
        <v>163</v>
      </c>
      <c r="B21" s="182">
        <v>1152.849629608804</v>
      </c>
      <c r="C21" s="182">
        <v>1174.8243392335964</v>
      </c>
      <c r="D21" s="182">
        <v>1215.2784567864007</v>
      </c>
      <c r="E21" s="182">
        <v>1259.6733590760248</v>
      </c>
      <c r="F21" s="182">
        <v>1312.1966090972505</v>
      </c>
      <c r="G21" s="182">
        <v>1361.7472230230376</v>
      </c>
      <c r="H21" s="182">
        <v>1415.6477234516301</v>
      </c>
      <c r="I21" s="182">
        <v>1460.4867998461814</v>
      </c>
      <c r="J21" s="182">
        <v>1507.9544424985263</v>
      </c>
      <c r="K21" s="182">
        <v>1557.1952379352122</v>
      </c>
      <c r="L21" s="182">
        <v>1604.9662846422723</v>
      </c>
      <c r="M21" s="182">
        <v>1655.9772573666132</v>
      </c>
      <c r="N21" s="182">
        <v>1718.6384844070262</v>
      </c>
      <c r="O21" s="182">
        <v>1789.3134635312329</v>
      </c>
      <c r="P21" s="182">
        <v>1880.2164320387083</v>
      </c>
      <c r="Q21" s="182">
        <v>1990.3726391757755</v>
      </c>
      <c r="R21" s="182">
        <v>2045.2769590037237</v>
      </c>
      <c r="S21" s="182">
        <v>2104.6690989880622</v>
      </c>
      <c r="T21" s="182">
        <v>2159.4478771805339</v>
      </c>
      <c r="U21" s="182">
        <v>2209.4077083387915</v>
      </c>
      <c r="V21" s="182">
        <v>2250.900748164544</v>
      </c>
      <c r="W21" s="182">
        <v>2281.2792522298814</v>
      </c>
      <c r="DA21" s="191" t="s">
        <v>922</v>
      </c>
    </row>
    <row r="22" spans="1:105" ht="12" customHeight="1" x14ac:dyDescent="0.25">
      <c r="A22" s="132" t="s">
        <v>167</v>
      </c>
      <c r="B22" s="182">
        <v>13.853646249506056</v>
      </c>
      <c r="C22" s="182">
        <v>14.518173197638911</v>
      </c>
      <c r="D22" s="182">
        <v>15.122484366981595</v>
      </c>
      <c r="E22" s="182">
        <v>15.977897141527956</v>
      </c>
      <c r="F22" s="182">
        <v>16.865302070751287</v>
      </c>
      <c r="G22" s="182">
        <v>17.63032546911499</v>
      </c>
      <c r="H22" s="182">
        <v>18.638040608534311</v>
      </c>
      <c r="I22" s="182">
        <v>19.533151610159052</v>
      </c>
      <c r="J22" s="182">
        <v>20.398248174477175</v>
      </c>
      <c r="K22" s="182">
        <v>20.972892055824872</v>
      </c>
      <c r="L22" s="182">
        <v>20.898798465493229</v>
      </c>
      <c r="M22" s="182">
        <v>21.2205876782497</v>
      </c>
      <c r="N22" s="182">
        <v>22.150523501074879</v>
      </c>
      <c r="O22" s="182">
        <v>23.026182903604081</v>
      </c>
      <c r="P22" s="182">
        <v>23.934123935989653</v>
      </c>
      <c r="Q22" s="182">
        <v>25.146655271835201</v>
      </c>
      <c r="R22" s="182">
        <v>25.781856070674582</v>
      </c>
      <c r="S22" s="182">
        <v>26.593096580695022</v>
      </c>
      <c r="T22" s="182">
        <v>27.39058067424935</v>
      </c>
      <c r="U22" s="182">
        <v>28.170027140832275</v>
      </c>
      <c r="V22" s="182">
        <v>28.845243673792364</v>
      </c>
      <c r="W22" s="182">
        <v>29.328410752390706</v>
      </c>
      <c r="DA22" s="191" t="s">
        <v>923</v>
      </c>
    </row>
    <row r="23" spans="1:105" ht="12" customHeight="1" x14ac:dyDescent="0.25">
      <c r="A23" s="132" t="s">
        <v>180</v>
      </c>
      <c r="B23" s="182">
        <v>232.30074374755696</v>
      </c>
      <c r="C23" s="182">
        <v>235.94309418469453</v>
      </c>
      <c r="D23" s="182">
        <v>243.02287455014442</v>
      </c>
      <c r="E23" s="182">
        <v>251.61764605323896</v>
      </c>
      <c r="F23" s="182">
        <v>264.84428802598228</v>
      </c>
      <c r="G23" s="182">
        <v>279.05620639286968</v>
      </c>
      <c r="H23" s="182">
        <v>296.61683028922545</v>
      </c>
      <c r="I23" s="182">
        <v>312.03001025414738</v>
      </c>
      <c r="J23" s="182">
        <v>325.9528211418953</v>
      </c>
      <c r="K23" s="182">
        <v>335.77386346668123</v>
      </c>
      <c r="L23" s="182">
        <v>344.9112295875376</v>
      </c>
      <c r="M23" s="182">
        <v>350.97856523013888</v>
      </c>
      <c r="N23" s="182">
        <v>356.80036435482407</v>
      </c>
      <c r="O23" s="182">
        <v>362.15167919597883</v>
      </c>
      <c r="P23" s="182">
        <v>370.60023622892663</v>
      </c>
      <c r="Q23" s="182">
        <v>381.42057394406874</v>
      </c>
      <c r="R23" s="182">
        <v>384.44540852568281</v>
      </c>
      <c r="S23" s="182">
        <v>388.31922031273274</v>
      </c>
      <c r="T23" s="182">
        <v>391.73510853219716</v>
      </c>
      <c r="U23" s="182">
        <v>394.89545013523713</v>
      </c>
      <c r="V23" s="182">
        <v>397.56655781519476</v>
      </c>
      <c r="W23" s="182">
        <v>399.74628823721451</v>
      </c>
      <c r="DA23" s="191" t="s">
        <v>924</v>
      </c>
    </row>
    <row r="24" spans="1:105" ht="12" customHeight="1" x14ac:dyDescent="0.25">
      <c r="A24" s="60" t="s">
        <v>166</v>
      </c>
      <c r="B24" s="36">
        <v>5.7781337285516781</v>
      </c>
      <c r="C24" s="36">
        <v>6.4077851656628031</v>
      </c>
      <c r="D24" s="36">
        <v>7.032504256722361</v>
      </c>
      <c r="E24" s="36">
        <v>7.8427679143251057</v>
      </c>
      <c r="F24" s="36">
        <v>8.7599273375529432</v>
      </c>
      <c r="G24" s="36">
        <v>9.8011532200416323</v>
      </c>
      <c r="H24" s="36">
        <v>10.994672442872155</v>
      </c>
      <c r="I24" s="36">
        <v>12.139196883332547</v>
      </c>
      <c r="J24" s="36">
        <v>13.084010559267606</v>
      </c>
      <c r="K24" s="36">
        <v>13.668419542231652</v>
      </c>
      <c r="L24" s="36">
        <v>13.732623514554099</v>
      </c>
      <c r="M24" s="36">
        <v>13.877214166173795</v>
      </c>
      <c r="N24" s="36">
        <v>14.314347056127128</v>
      </c>
      <c r="O24" s="36">
        <v>14.588856659195713</v>
      </c>
      <c r="P24" s="36">
        <v>14.93381305659809</v>
      </c>
      <c r="Q24" s="36">
        <v>15.262541369063483</v>
      </c>
      <c r="R24" s="36">
        <v>15.864000259856944</v>
      </c>
      <c r="S24" s="36">
        <v>16.568878461563759</v>
      </c>
      <c r="T24" s="36">
        <v>17.289780105479739</v>
      </c>
      <c r="U24" s="36">
        <v>18.042542636789367</v>
      </c>
      <c r="V24" s="36">
        <v>18.806981196239647</v>
      </c>
      <c r="W24" s="36">
        <v>19.601730069943383</v>
      </c>
      <c r="DA24" s="89" t="s">
        <v>925</v>
      </c>
    </row>
    <row r="25" spans="1:105" ht="12" customHeight="1" x14ac:dyDescent="0.25">
      <c r="A25" s="62" t="s">
        <v>164</v>
      </c>
      <c r="B25" s="38">
        <v>968.91979069321769</v>
      </c>
      <c r="C25" s="38">
        <v>1138.6050006946309</v>
      </c>
      <c r="D25" s="38">
        <v>1326.3440704877166</v>
      </c>
      <c r="E25" s="38">
        <v>1543.9658341388647</v>
      </c>
      <c r="F25" s="38">
        <v>1770.155341533213</v>
      </c>
      <c r="G25" s="38">
        <v>1974.9256023325888</v>
      </c>
      <c r="H25" s="38">
        <v>2194.6219356414963</v>
      </c>
      <c r="I25" s="38">
        <v>2451.5290986505493</v>
      </c>
      <c r="J25" s="38">
        <v>2731.2054734060607</v>
      </c>
      <c r="K25" s="38">
        <v>2965.8337745019289</v>
      </c>
      <c r="L25" s="38">
        <v>3041.9029433753021</v>
      </c>
      <c r="M25" s="38">
        <v>3204.3481632648327</v>
      </c>
      <c r="N25" s="38">
        <v>3639.7832690240721</v>
      </c>
      <c r="O25" s="38">
        <v>3966.8680970669002</v>
      </c>
      <c r="P25" s="38">
        <v>4377.2170139191803</v>
      </c>
      <c r="Q25" s="38">
        <v>4818.5389605590672</v>
      </c>
      <c r="R25" s="38">
        <v>5207.2681808706675</v>
      </c>
      <c r="S25" s="38">
        <v>5310.046651932169</v>
      </c>
      <c r="T25" s="38">
        <v>5486.4777577012919</v>
      </c>
      <c r="U25" s="38">
        <v>5660.7091426189563</v>
      </c>
      <c r="V25" s="38">
        <v>5681.1239092536534</v>
      </c>
      <c r="W25" s="38">
        <v>5775.8515883572563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3.0597061681494182</v>
      </c>
      <c r="D28" s="183">
        <v>3.0038432540884301</v>
      </c>
      <c r="E28" s="183">
        <v>3.3595972595575496</v>
      </c>
      <c r="F28" s="183">
        <v>3.6117939274741673</v>
      </c>
      <c r="G28" s="183">
        <v>3.4541249731279535</v>
      </c>
      <c r="H28" s="183">
        <v>3.702799617618787</v>
      </c>
      <c r="I28" s="183">
        <v>3.6403824852364366</v>
      </c>
      <c r="J28" s="183">
        <v>3.0162252390653421</v>
      </c>
      <c r="K28" s="183">
        <v>2.2955711747499663</v>
      </c>
      <c r="L28" s="183">
        <v>0.66661316072903531</v>
      </c>
      <c r="M28" s="183">
        <v>1.3539144441017399</v>
      </c>
      <c r="N28" s="183">
        <v>2.5932299373689887</v>
      </c>
      <c r="O28" s="183">
        <v>2.4622113074364265</v>
      </c>
      <c r="P28" s="183">
        <v>2.6260274471308378</v>
      </c>
      <c r="Q28" s="183">
        <v>2.8365272374456936</v>
      </c>
      <c r="R28" s="183">
        <v>3.2484087303522955</v>
      </c>
      <c r="S28" s="183">
        <v>3.6209480280430242</v>
      </c>
      <c r="T28" s="183">
        <v>3.7081525944211435</v>
      </c>
      <c r="U28" s="183">
        <v>4.794286478027594</v>
      </c>
      <c r="V28" s="183">
        <v>4.7311583155160903</v>
      </c>
      <c r="W28" s="183">
        <v>5.0782113557288824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166.59327377726936</v>
      </c>
      <c r="D29" s="183">
        <v>191.29777066346242</v>
      </c>
      <c r="E29" s="183">
        <v>201.73160257506152</v>
      </c>
      <c r="F29" s="183">
        <v>216.63248992772378</v>
      </c>
      <c r="G29" s="183">
        <v>220.72391661886013</v>
      </c>
      <c r="H29" s="183">
        <v>232.44193765387263</v>
      </c>
      <c r="I29" s="183">
        <v>231.06580862993155</v>
      </c>
      <c r="J29" s="183">
        <v>214.06091642961428</v>
      </c>
      <c r="K29" s="183">
        <v>240.53856610014827</v>
      </c>
      <c r="L29" s="183">
        <v>249.50264928212164</v>
      </c>
      <c r="M29" s="183">
        <v>267.64346265206473</v>
      </c>
      <c r="N29" s="183">
        <v>283.38514365927313</v>
      </c>
      <c r="O29" s="183">
        <v>303.11691677807926</v>
      </c>
      <c r="P29" s="183">
        <v>321.96877713740696</v>
      </c>
      <c r="Q29" s="183">
        <v>324.21712356668149</v>
      </c>
      <c r="R29" s="183">
        <v>295.44288592809653</v>
      </c>
      <c r="S29" s="183">
        <v>308.89478926646007</v>
      </c>
      <c r="T29" s="183">
        <v>322.42224084453642</v>
      </c>
      <c r="U29" s="183">
        <v>333.34497481753078</v>
      </c>
      <c r="V29" s="183">
        <v>344.60995660383173</v>
      </c>
      <c r="W29" s="183">
        <v>352.3472812027444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2.8279968154767356</v>
      </c>
      <c r="D30" s="183">
        <v>2.823984418626047</v>
      </c>
      <c r="E30" s="183">
        <v>3.1327494770136042</v>
      </c>
      <c r="F30" s="183">
        <v>3.2239030863637126</v>
      </c>
      <c r="G30" s="183">
        <v>3.1622199272765918</v>
      </c>
      <c r="H30" s="183">
        <v>3.4671868837776181</v>
      </c>
      <c r="I30" s="183">
        <v>3.7231078171014769</v>
      </c>
      <c r="J30" s="183">
        <v>3.6890809829441693</v>
      </c>
      <c r="K30" s="183">
        <v>3.7073933583613012</v>
      </c>
      <c r="L30" s="183">
        <v>3.1498094960320699</v>
      </c>
      <c r="M30" s="183">
        <v>3.4840091400330628</v>
      </c>
      <c r="N30" s="183">
        <v>4.3971227066027971</v>
      </c>
      <c r="O30" s="183">
        <v>4.5987672196306804</v>
      </c>
      <c r="P30" s="183">
        <v>4.5970220153297419</v>
      </c>
      <c r="Q30" s="183">
        <v>4.9199246942068484</v>
      </c>
      <c r="R30" s="183">
        <v>3.7850102948714515</v>
      </c>
      <c r="S30" s="183">
        <v>4.2952496500535027</v>
      </c>
      <c r="T30" s="183">
        <v>5.1946068001571248</v>
      </c>
      <c r="U30" s="183">
        <v>5.3782136862136056</v>
      </c>
      <c r="V30" s="183">
        <v>5.2722385482898311</v>
      </c>
      <c r="W30" s="183">
        <v>5.4030917728051904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24.754562714270605</v>
      </c>
      <c r="D31" s="183">
        <v>28.636704191838191</v>
      </c>
      <c r="E31" s="183">
        <v>30.605774365169424</v>
      </c>
      <c r="F31" s="183">
        <v>35.701288675405067</v>
      </c>
      <c r="G31" s="183">
        <v>37.159975189858102</v>
      </c>
      <c r="H31" s="183">
        <v>40.992062838082177</v>
      </c>
      <c r="I31" s="183">
        <v>39.338183075872905</v>
      </c>
      <c r="J31" s="183">
        <v>38.351774694988933</v>
      </c>
      <c r="K31" s="183">
        <v>34.76458234975405</v>
      </c>
      <c r="L31" s="183">
        <v>34.606321492298093</v>
      </c>
      <c r="M31" s="183">
        <v>30.821898356871884</v>
      </c>
      <c r="N31" s="183">
        <v>34.458503316523377</v>
      </c>
      <c r="O31" s="183">
        <v>35.957089206324156</v>
      </c>
      <c r="P31" s="183">
        <v>44.149845708352871</v>
      </c>
      <c r="Q31" s="183">
        <v>47.980312905000176</v>
      </c>
      <c r="R31" s="183">
        <v>44.016897419696249</v>
      </c>
      <c r="S31" s="183">
        <v>43.211994862922836</v>
      </c>
      <c r="T31" s="183">
        <v>41.767662914453354</v>
      </c>
      <c r="U31" s="183">
        <v>37.924923952794018</v>
      </c>
      <c r="V31" s="183">
        <v>37.277429172255722</v>
      </c>
      <c r="W31" s="183">
        <v>33.001628778891643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0.79422686838957723</v>
      </c>
      <c r="D32" s="41">
        <v>0.80781443854899049</v>
      </c>
      <c r="E32" s="41">
        <v>1.0139629948115623</v>
      </c>
      <c r="F32" s="41">
        <v>1.1437813475326397</v>
      </c>
      <c r="G32" s="41">
        <v>1.2933499064513363</v>
      </c>
      <c r="H32" s="41">
        <v>1.474015135369072</v>
      </c>
      <c r="I32" s="41">
        <v>1.4565849720759374</v>
      </c>
      <c r="J32" s="41">
        <v>1.2919908398047557</v>
      </c>
      <c r="K32" s="41">
        <v>0.97065450555099098</v>
      </c>
      <c r="L32" s="41">
        <v>0.49391427370176011</v>
      </c>
      <c r="M32" s="41">
        <v>0.62265688750708925</v>
      </c>
      <c r="N32" s="41">
        <v>0.96899662503702544</v>
      </c>
      <c r="O32" s="41">
        <v>0.86622474934343785</v>
      </c>
      <c r="P32" s="41">
        <v>1.0032581225161863</v>
      </c>
      <c r="Q32" s="41">
        <v>1.0611097024231224</v>
      </c>
      <c r="R32" s="41">
        <v>1.3956857591830385</v>
      </c>
      <c r="S32" s="41">
        <v>1.512692640255807</v>
      </c>
      <c r="T32" s="41">
        <v>1.7348646387275419</v>
      </c>
      <c r="U32" s="41">
        <v>1.8965438788422695</v>
      </c>
      <c r="V32" s="41">
        <v>2.0577884659016163</v>
      </c>
      <c r="W32" s="41">
        <v>2.2687640090728074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363.46916814005681</v>
      </c>
      <c r="D33" s="42">
        <v>381.5230279317293</v>
      </c>
      <c r="E33" s="42">
        <v>411.40572178979164</v>
      </c>
      <c r="F33" s="42">
        <v>419.9734655329919</v>
      </c>
      <c r="G33" s="42">
        <v>398.5542189380194</v>
      </c>
      <c r="H33" s="42">
        <v>583.16550144896428</v>
      </c>
      <c r="I33" s="42">
        <v>638.43019094078227</v>
      </c>
      <c r="J33" s="42">
        <v>691.0820965453031</v>
      </c>
      <c r="K33" s="42">
        <v>654.60176662885988</v>
      </c>
      <c r="L33" s="42">
        <v>474.6233878113926</v>
      </c>
      <c r="M33" s="42">
        <v>745.61072133849484</v>
      </c>
      <c r="N33" s="42">
        <v>1073.8652967000216</v>
      </c>
      <c r="O33" s="42">
        <v>1018.1669245881312</v>
      </c>
      <c r="P33" s="42">
        <v>1064.95068348114</v>
      </c>
      <c r="Q33" s="42">
        <v>915.94533445127945</v>
      </c>
      <c r="R33" s="42">
        <v>1134.3399416500952</v>
      </c>
      <c r="S33" s="42">
        <v>1176.6437677615231</v>
      </c>
      <c r="T33" s="42">
        <v>1194.5980303572542</v>
      </c>
      <c r="U33" s="42">
        <v>1239.1820683988044</v>
      </c>
      <c r="V33" s="42">
        <v>936.36010108597657</v>
      </c>
      <c r="W33" s="42">
        <v>1229.0676207536981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1.2716802581845528</v>
      </c>
      <c r="D36" s="183">
        <v>1.3076504900441961</v>
      </c>
      <c r="E36" s="183">
        <v>1.3446381612890193</v>
      </c>
      <c r="F36" s="183">
        <v>1.3826720507967067</v>
      </c>
      <c r="G36" s="183">
        <v>1.4217817514725724</v>
      </c>
      <c r="H36" s="183">
        <v>1.4619976932748671</v>
      </c>
      <c r="I36" s="183">
        <v>1.5033511668912922</v>
      </c>
      <c r="J36" s="183">
        <v>1.5458743480852348</v>
      </c>
      <c r="K36" s="183">
        <v>1.5896003227306892</v>
      </c>
      <c r="L36" s="183">
        <v>1.6345631125552416</v>
      </c>
      <c r="M36" s="183">
        <v>1.6807977016112758</v>
      </c>
      <c r="N36" s="183">
        <v>1.7283400634958781</v>
      </c>
      <c r="O36" s="183">
        <v>1.7772271893407137</v>
      </c>
      <c r="P36" s="183">
        <v>1.8274971165935838</v>
      </c>
      <c r="Q36" s="183">
        <v>1.8791889586141153</v>
      </c>
      <c r="R36" s="183">
        <v>1.9323429351065471</v>
      </c>
      <c r="S36" s="183">
        <v>1.9870004034133615</v>
      </c>
      <c r="T36" s="183">
        <v>2.0432038906940519</v>
      </c>
      <c r="U36" s="183">
        <v>3.0597061681494182</v>
      </c>
      <c r="V36" s="183">
        <v>3.0038432540884301</v>
      </c>
      <c r="W36" s="183">
        <v>3.3595972595575461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144.61856415247689</v>
      </c>
      <c r="D37" s="183">
        <v>150.84365311065812</v>
      </c>
      <c r="E37" s="183">
        <v>157.33670028543747</v>
      </c>
      <c r="F37" s="183">
        <v>164.10923990649803</v>
      </c>
      <c r="G37" s="183">
        <v>171.17330269307308</v>
      </c>
      <c r="H37" s="183">
        <v>178.54143722528011</v>
      </c>
      <c r="I37" s="183">
        <v>186.22673223538027</v>
      </c>
      <c r="J37" s="183">
        <v>166.59327377726936</v>
      </c>
      <c r="K37" s="183">
        <v>191.29777066346242</v>
      </c>
      <c r="L37" s="183">
        <v>201.73160257506152</v>
      </c>
      <c r="M37" s="183">
        <v>216.63248992772378</v>
      </c>
      <c r="N37" s="183">
        <v>220.72391661886013</v>
      </c>
      <c r="O37" s="183">
        <v>232.44193765387263</v>
      </c>
      <c r="P37" s="183">
        <v>231.06580862993178</v>
      </c>
      <c r="Q37" s="183">
        <v>214.06091642961428</v>
      </c>
      <c r="R37" s="183">
        <v>240.53856610014827</v>
      </c>
      <c r="S37" s="183">
        <v>249.50264928212164</v>
      </c>
      <c r="T37" s="183">
        <v>267.6434626520645</v>
      </c>
      <c r="U37" s="183">
        <v>283.38514365927313</v>
      </c>
      <c r="V37" s="183">
        <v>303.11691677807903</v>
      </c>
      <c r="W37" s="183">
        <v>321.96877713740696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2.163469867343883</v>
      </c>
      <c r="D38" s="183">
        <v>2.2196732492833604</v>
      </c>
      <c r="E38" s="183">
        <v>2.2773367024672435</v>
      </c>
      <c r="F38" s="183">
        <v>2.3364981571403796</v>
      </c>
      <c r="G38" s="183">
        <v>2.3971965289128896</v>
      </c>
      <c r="H38" s="183">
        <v>2.4594717443582965</v>
      </c>
      <c r="I38" s="183">
        <v>2.8279968154767374</v>
      </c>
      <c r="J38" s="183">
        <v>2.823984418626047</v>
      </c>
      <c r="K38" s="183">
        <v>3.1327494770136042</v>
      </c>
      <c r="L38" s="183">
        <v>3.2239030863637126</v>
      </c>
      <c r="M38" s="183">
        <v>3.1622199272765918</v>
      </c>
      <c r="N38" s="183">
        <v>3.4671868837776181</v>
      </c>
      <c r="O38" s="183">
        <v>3.7231078171014786</v>
      </c>
      <c r="P38" s="183">
        <v>3.6890809829441693</v>
      </c>
      <c r="Q38" s="183">
        <v>3.7073933583613012</v>
      </c>
      <c r="R38" s="183">
        <v>3.1498094960320699</v>
      </c>
      <c r="S38" s="183">
        <v>3.4840091400330628</v>
      </c>
      <c r="T38" s="183">
        <v>4.3971227066027971</v>
      </c>
      <c r="U38" s="183">
        <v>4.5987672196306804</v>
      </c>
      <c r="V38" s="183">
        <v>4.5970220153297454</v>
      </c>
      <c r="W38" s="183">
        <v>4.9199246942068449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21.11221227713304</v>
      </c>
      <c r="D39" s="183">
        <v>21.556923826388299</v>
      </c>
      <c r="E39" s="183">
        <v>22.011002862074918</v>
      </c>
      <c r="F39" s="183">
        <v>22.474646702661744</v>
      </c>
      <c r="G39" s="183">
        <v>22.948056822970727</v>
      </c>
      <c r="H39" s="183">
        <v>23.431438941726412</v>
      </c>
      <c r="I39" s="183">
        <v>23.925003110950968</v>
      </c>
      <c r="J39" s="183">
        <v>24.428963807241018</v>
      </c>
      <c r="K39" s="183">
        <v>24.943540024968115</v>
      </c>
      <c r="L39" s="183">
        <v>25.468955371441723</v>
      </c>
      <c r="M39" s="183">
        <v>24.754562714270605</v>
      </c>
      <c r="N39" s="183">
        <v>28.636704191838191</v>
      </c>
      <c r="O39" s="183">
        <v>30.605774365169395</v>
      </c>
      <c r="P39" s="183">
        <v>35.701288675405067</v>
      </c>
      <c r="Q39" s="183">
        <v>37.159975189858073</v>
      </c>
      <c r="R39" s="183">
        <v>40.992062838082177</v>
      </c>
      <c r="S39" s="183">
        <v>39.338183075872905</v>
      </c>
      <c r="T39" s="183">
        <v>38.351774694988933</v>
      </c>
      <c r="U39" s="183">
        <v>34.76458234975405</v>
      </c>
      <c r="V39" s="183">
        <v>34.606321492298093</v>
      </c>
      <c r="W39" s="183">
        <v>30.821898356871884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0.1645754312784522</v>
      </c>
      <c r="D40" s="41">
        <v>0.18309534748943257</v>
      </c>
      <c r="E40" s="41">
        <v>0.20369933720881672</v>
      </c>
      <c r="F40" s="41">
        <v>0.2266219243048031</v>
      </c>
      <c r="G40" s="41">
        <v>0.25212402396264721</v>
      </c>
      <c r="H40" s="41">
        <v>0.28049591253854977</v>
      </c>
      <c r="I40" s="41">
        <v>0.31206053161554514</v>
      </c>
      <c r="J40" s="41">
        <v>0.34717716386969677</v>
      </c>
      <c r="K40" s="41">
        <v>0.386245522586945</v>
      </c>
      <c r="L40" s="41">
        <v>0.42971030137931265</v>
      </c>
      <c r="M40" s="41">
        <v>0.47806623588739328</v>
      </c>
      <c r="N40" s="41">
        <v>0.531863735083693</v>
      </c>
      <c r="O40" s="41">
        <v>0.59171514627485244</v>
      </c>
      <c r="P40" s="41">
        <v>0.6583017251138088</v>
      </c>
      <c r="Q40" s="41">
        <v>0.73238138995773028</v>
      </c>
      <c r="R40" s="41">
        <v>0.79422686838957901</v>
      </c>
      <c r="S40" s="41">
        <v>0.80781443854899138</v>
      </c>
      <c r="T40" s="41">
        <v>1.0139629948115605</v>
      </c>
      <c r="U40" s="41">
        <v>1.1437813475326415</v>
      </c>
      <c r="V40" s="41">
        <v>1.2933499064513363</v>
      </c>
      <c r="W40" s="41">
        <v>1.474015135369072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193.78395813864358</v>
      </c>
      <c r="D41" s="42">
        <v>193.78395813864358</v>
      </c>
      <c r="E41" s="42">
        <v>193.78395813864358</v>
      </c>
      <c r="F41" s="42">
        <v>193.78395813864358</v>
      </c>
      <c r="G41" s="42">
        <v>193.78395813864336</v>
      </c>
      <c r="H41" s="42">
        <v>363.46916814005681</v>
      </c>
      <c r="I41" s="42">
        <v>381.5230279317293</v>
      </c>
      <c r="J41" s="42">
        <v>411.40572178979164</v>
      </c>
      <c r="K41" s="42">
        <v>419.97346553299167</v>
      </c>
      <c r="L41" s="42">
        <v>398.5542189380194</v>
      </c>
      <c r="M41" s="42">
        <v>583.16550144896428</v>
      </c>
      <c r="N41" s="42">
        <v>638.43019094078227</v>
      </c>
      <c r="O41" s="42">
        <v>691.0820965453031</v>
      </c>
      <c r="P41" s="42">
        <v>654.60176662885988</v>
      </c>
      <c r="Q41" s="42">
        <v>474.6233878113926</v>
      </c>
      <c r="R41" s="42">
        <v>745.61072133849484</v>
      </c>
      <c r="S41" s="42">
        <v>1073.8652967000216</v>
      </c>
      <c r="T41" s="42">
        <v>1018.1669245881312</v>
      </c>
      <c r="U41" s="42">
        <v>1064.95068348114</v>
      </c>
      <c r="V41" s="42">
        <v>915.94533445127945</v>
      </c>
      <c r="W41" s="42">
        <v>1134.3399416500952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8760.0000000000018</v>
      </c>
      <c r="D44" s="185">
        <v>8760</v>
      </c>
      <c r="E44" s="185">
        <v>8759.9999999999982</v>
      </c>
      <c r="F44" s="185">
        <v>8760.0000000000036</v>
      </c>
      <c r="G44" s="185">
        <v>8760.0000000000018</v>
      </c>
      <c r="H44" s="185">
        <v>8760.0000000000018</v>
      </c>
      <c r="I44" s="185">
        <v>8759.9999999999982</v>
      </c>
      <c r="J44" s="185">
        <v>8760.0000000000018</v>
      </c>
      <c r="K44" s="185">
        <v>8759.9999999999982</v>
      </c>
      <c r="L44" s="185">
        <v>8759.9999999999982</v>
      </c>
      <c r="M44" s="185">
        <v>8760</v>
      </c>
      <c r="N44" s="185">
        <v>8760.0000000000018</v>
      </c>
      <c r="O44" s="185">
        <v>8760</v>
      </c>
      <c r="P44" s="185">
        <v>8760</v>
      </c>
      <c r="Q44" s="185">
        <v>8760</v>
      </c>
      <c r="R44" s="185">
        <v>8760</v>
      </c>
      <c r="S44" s="185">
        <v>8760</v>
      </c>
      <c r="T44" s="185">
        <v>8759.9999999999982</v>
      </c>
      <c r="U44" s="185">
        <v>8760.0000000000018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3777.6991712600125</v>
      </c>
      <c r="C45" s="185">
        <v>3777.7823112611045</v>
      </c>
      <c r="D45" s="185">
        <v>3778.9899141650981</v>
      </c>
      <c r="E45" s="185">
        <v>3784.3042666857855</v>
      </c>
      <c r="F45" s="185">
        <v>3788.1822577811004</v>
      </c>
      <c r="G45" s="185">
        <v>3791.1559334761282</v>
      </c>
      <c r="H45" s="185">
        <v>3793.6839250813273</v>
      </c>
      <c r="I45" s="185">
        <v>3793.3199122556125</v>
      </c>
      <c r="J45" s="185">
        <v>3790.1677965042259</v>
      </c>
      <c r="K45" s="185">
        <v>3786.8369223677555</v>
      </c>
      <c r="L45" s="185">
        <v>3779.8773156339807</v>
      </c>
      <c r="M45" s="185">
        <v>3768.5239332863721</v>
      </c>
      <c r="N45" s="185">
        <v>3747.2751849707956</v>
      </c>
      <c r="O45" s="185">
        <v>3719.3010678035457</v>
      </c>
      <c r="P45" s="185">
        <v>3695.1751732162784</v>
      </c>
      <c r="Q45" s="185">
        <v>3674.265025646806</v>
      </c>
      <c r="R45" s="185">
        <v>3781.2636259421838</v>
      </c>
      <c r="S45" s="185">
        <v>3753.5308807464166</v>
      </c>
      <c r="T45" s="185">
        <v>3735.9338541990123</v>
      </c>
      <c r="U45" s="185">
        <v>3689.3303060928852</v>
      </c>
      <c r="V45" s="185">
        <v>3643.8283273900083</v>
      </c>
      <c r="W45" s="185">
        <v>3683.2892176822247</v>
      </c>
      <c r="DA45" s="194" t="s">
        <v>940</v>
      </c>
    </row>
    <row r="46" spans="1:105" ht="12" customHeight="1" x14ac:dyDescent="0.25">
      <c r="A46" s="132" t="s">
        <v>5</v>
      </c>
      <c r="B46" s="185">
        <v>2286.1567175338232</v>
      </c>
      <c r="C46" s="185">
        <v>2309.1402222348029</v>
      </c>
      <c r="D46" s="185">
        <v>2335.0552255357047</v>
      </c>
      <c r="E46" s="185">
        <v>2359.14771852998</v>
      </c>
      <c r="F46" s="185">
        <v>2379.8417789558816</v>
      </c>
      <c r="G46" s="185">
        <v>2392.2988029605408</v>
      </c>
      <c r="H46" s="185">
        <v>2398.4429293459461</v>
      </c>
      <c r="I46" s="185">
        <v>2410.1686100468496</v>
      </c>
      <c r="J46" s="185">
        <v>2419.4587494664447</v>
      </c>
      <c r="K46" s="185">
        <v>2427.2974055503482</v>
      </c>
      <c r="L46" s="185">
        <v>2434.77773579314</v>
      </c>
      <c r="M46" s="185">
        <v>2438.448365085153</v>
      </c>
      <c r="N46" s="185">
        <v>2448.0940686959266</v>
      </c>
      <c r="O46" s="185">
        <v>2456.6855557648973</v>
      </c>
      <c r="P46" s="185">
        <v>2471.2991805718784</v>
      </c>
      <c r="Q46" s="185">
        <v>2484.5363200727365</v>
      </c>
      <c r="R46" s="185">
        <v>2568.3932530886582</v>
      </c>
      <c r="S46" s="185">
        <v>2566.7175895490595</v>
      </c>
      <c r="T46" s="185">
        <v>2544.0969114013014</v>
      </c>
      <c r="U46" s="185">
        <v>2497.8742433522616</v>
      </c>
      <c r="V46" s="185">
        <v>2176.8177413029357</v>
      </c>
      <c r="W46" s="185">
        <v>2307.566070627046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8760.0000000000018</v>
      </c>
      <c r="E47" s="185">
        <v>8759.9999999999982</v>
      </c>
      <c r="F47" s="185">
        <v>8760</v>
      </c>
      <c r="G47" s="185">
        <v>8760.0000000000018</v>
      </c>
      <c r="H47" s="185">
        <v>8760.0000000000018</v>
      </c>
      <c r="I47" s="185">
        <v>8759.9999999999982</v>
      </c>
      <c r="J47" s="185">
        <v>8759.9999999999982</v>
      </c>
      <c r="K47" s="185">
        <v>8760</v>
      </c>
      <c r="L47" s="185">
        <v>8760.0000000000018</v>
      </c>
      <c r="M47" s="185">
        <v>8760</v>
      </c>
      <c r="N47" s="185">
        <v>8760</v>
      </c>
      <c r="O47" s="185">
        <v>8759.9999999999982</v>
      </c>
      <c r="P47" s="185">
        <v>8760.0000000000018</v>
      </c>
      <c r="Q47" s="185">
        <v>8759.9999999999982</v>
      </c>
      <c r="R47" s="185">
        <v>8759.9999999999964</v>
      </c>
      <c r="S47" s="185">
        <v>8759.9999999999964</v>
      </c>
      <c r="T47" s="185">
        <v>8759.9999999999982</v>
      </c>
      <c r="U47" s="185">
        <v>8760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925.87280932474835</v>
      </c>
      <c r="C48" s="44">
        <v>930.29559456264269</v>
      </c>
      <c r="D48" s="44">
        <v>934.35172643997032</v>
      </c>
      <c r="E48" s="44">
        <v>938.09862133427896</v>
      </c>
      <c r="F48" s="44">
        <v>941.58109865842994</v>
      </c>
      <c r="G48" s="44">
        <v>944.83482671956926</v>
      </c>
      <c r="H48" s="44">
        <v>947.888663444028</v>
      </c>
      <c r="I48" s="44">
        <v>950.76629220679274</v>
      </c>
      <c r="J48" s="44">
        <v>953.48739336009226</v>
      </c>
      <c r="K48" s="44">
        <v>956.06850131529734</v>
      </c>
      <c r="L48" s="44">
        <v>958.52364343238798</v>
      </c>
      <c r="M48" s="44">
        <v>960.08379595424674</v>
      </c>
      <c r="N48" s="44">
        <v>961.57372128480915</v>
      </c>
      <c r="O48" s="44">
        <v>962.99956560391956</v>
      </c>
      <c r="P48" s="44">
        <v>964.36669812509956</v>
      </c>
      <c r="Q48" s="44">
        <v>965.67983707387839</v>
      </c>
      <c r="R48" s="44">
        <v>992.97397108139717</v>
      </c>
      <c r="S48" s="44">
        <v>988.18033684278714</v>
      </c>
      <c r="T48" s="44">
        <v>985.96650722592153</v>
      </c>
      <c r="U48" s="44">
        <v>975.7436499669451</v>
      </c>
      <c r="V48" s="44">
        <v>850.32947269643205</v>
      </c>
      <c r="W48" s="44">
        <v>901.40364203114336</v>
      </c>
      <c r="DA48" s="95" t="s">
        <v>943</v>
      </c>
    </row>
    <row r="49" spans="1:105" ht="12" customHeight="1" x14ac:dyDescent="0.25">
      <c r="A49" s="62" t="s">
        <v>3</v>
      </c>
      <c r="B49" s="186">
        <v>1589.980481348224</v>
      </c>
      <c r="C49" s="186">
        <v>1605.7742508792442</v>
      </c>
      <c r="D49" s="186">
        <v>1635.978976739982</v>
      </c>
      <c r="E49" s="186">
        <v>1663.3442291359049</v>
      </c>
      <c r="F49" s="186">
        <v>1690.7205307427585</v>
      </c>
      <c r="G49" s="186">
        <v>1717.2865597374071</v>
      </c>
      <c r="H49" s="186">
        <v>1741.8370794859475</v>
      </c>
      <c r="I49" s="186">
        <v>1769.1743481119108</v>
      </c>
      <c r="J49" s="186">
        <v>1787.8338707224698</v>
      </c>
      <c r="K49" s="186">
        <v>1803.7849820636677</v>
      </c>
      <c r="L49" s="186">
        <v>1826.4079634020984</v>
      </c>
      <c r="M49" s="186">
        <v>1849.1897093664318</v>
      </c>
      <c r="N49" s="186">
        <v>1865.5720568725806</v>
      </c>
      <c r="O49" s="186">
        <v>1882.9984870286257</v>
      </c>
      <c r="P49" s="186">
        <v>1904.1803757996042</v>
      </c>
      <c r="Q49" s="186">
        <v>1925.5581444390609</v>
      </c>
      <c r="R49" s="186">
        <v>2003.6776555132292</v>
      </c>
      <c r="S49" s="186">
        <v>2011.0378100622938</v>
      </c>
      <c r="T49" s="186">
        <v>2024.0314237735693</v>
      </c>
      <c r="U49" s="186">
        <v>2024.1143985310318</v>
      </c>
      <c r="V49" s="186">
        <v>1868.0164467779653</v>
      </c>
      <c r="W49" s="186">
        <v>1931.5863987096454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0.78582576882241961</v>
      </c>
      <c r="C52" s="181">
        <v>0.77745002770869465</v>
      </c>
      <c r="D52" s="181">
        <v>0.76920451049482108</v>
      </c>
      <c r="E52" s="181">
        <v>0.76024350108822303</v>
      </c>
      <c r="F52" s="181">
        <v>0.75098168043429936</v>
      </c>
      <c r="G52" s="181">
        <v>0.7422993458771131</v>
      </c>
      <c r="H52" s="181">
        <v>0.7332487597343591</v>
      </c>
      <c r="I52" s="181">
        <v>0.72456082509313446</v>
      </c>
      <c r="J52" s="181">
        <v>0.71711089264733496</v>
      </c>
      <c r="K52" s="181">
        <v>0.71073192454840861</v>
      </c>
      <c r="L52" s="181">
        <v>0.7067826533395648</v>
      </c>
      <c r="M52" s="181">
        <v>0.70120113084508184</v>
      </c>
      <c r="N52" s="181">
        <v>0.69266743772335226</v>
      </c>
      <c r="O52" s="181">
        <v>0.68358553597735039</v>
      </c>
      <c r="P52" s="181">
        <v>0.67341987063082276</v>
      </c>
      <c r="Q52" s="181">
        <v>0.66206988547416068</v>
      </c>
      <c r="R52" s="181">
        <v>0.64998254476955142</v>
      </c>
      <c r="S52" s="181">
        <v>0.6373338009690066</v>
      </c>
      <c r="T52" s="181">
        <v>0.62477522980481326</v>
      </c>
      <c r="U52" s="181">
        <v>0.61267730570387025</v>
      </c>
      <c r="V52" s="181">
        <v>0.60159149298663883</v>
      </c>
      <c r="W52" s="181">
        <v>0.59048624472421352</v>
      </c>
      <c r="DA52" s="190" t="s">
        <v>945</v>
      </c>
    </row>
    <row r="53" spans="1:105" ht="12" customHeight="1" x14ac:dyDescent="0.25">
      <c r="A53" s="132" t="s">
        <v>100</v>
      </c>
      <c r="B53" s="181">
        <v>194.08212314925382</v>
      </c>
      <c r="C53" s="181">
        <v>192.1545490787156</v>
      </c>
      <c r="D53" s="181">
        <v>189.76987535092883</v>
      </c>
      <c r="E53" s="181">
        <v>187.224039522288</v>
      </c>
      <c r="F53" s="181">
        <v>184.38584983836273</v>
      </c>
      <c r="G53" s="181">
        <v>181.2340562277401</v>
      </c>
      <c r="H53" s="181">
        <v>177.70383132655655</v>
      </c>
      <c r="I53" s="181">
        <v>173.99769833138274</v>
      </c>
      <c r="J53" s="181">
        <v>172.11242872304376</v>
      </c>
      <c r="K53" s="181">
        <v>169.94903085617395</v>
      </c>
      <c r="L53" s="181">
        <v>167.53920318423471</v>
      </c>
      <c r="M53" s="181">
        <v>164.73635519284656</v>
      </c>
      <c r="N53" s="181">
        <v>161.57950700943783</v>
      </c>
      <c r="O53" s="181">
        <v>157.92878036068046</v>
      </c>
      <c r="P53" s="181">
        <v>153.61557369610415</v>
      </c>
      <c r="Q53" s="181">
        <v>148.68813765813005</v>
      </c>
      <c r="R53" s="181">
        <v>143.38836940947095</v>
      </c>
      <c r="S53" s="181">
        <v>137.661053426113</v>
      </c>
      <c r="T53" s="181">
        <v>131.54280009818277</v>
      </c>
      <c r="U53" s="181">
        <v>125.17955393068709</v>
      </c>
      <c r="V53" s="181">
        <v>118.59161329780765</v>
      </c>
      <c r="W53" s="181">
        <v>112.52186104744528</v>
      </c>
      <c r="DA53" s="190" t="s">
        <v>946</v>
      </c>
    </row>
    <row r="54" spans="1:105" ht="12" customHeight="1" x14ac:dyDescent="0.25">
      <c r="A54" s="132" t="s">
        <v>140</v>
      </c>
      <c r="B54" s="181">
        <v>46.924632765843725</v>
      </c>
      <c r="C54" s="181">
        <v>46.617812936726459</v>
      </c>
      <c r="D54" s="181">
        <v>46.104459429322063</v>
      </c>
      <c r="E54" s="181">
        <v>45.385327490481266</v>
      </c>
      <c r="F54" s="181">
        <v>44.582720209507734</v>
      </c>
      <c r="G54" s="181">
        <v>43.756471983840683</v>
      </c>
      <c r="H54" s="181">
        <v>42.766712534314301</v>
      </c>
      <c r="I54" s="181">
        <v>41.795624453060618</v>
      </c>
      <c r="J54" s="181">
        <v>40.855068831295355</v>
      </c>
      <c r="K54" s="181">
        <v>39.8227897407168</v>
      </c>
      <c r="L54" s="181">
        <v>38.783372624111486</v>
      </c>
      <c r="M54" s="181">
        <v>37.550745288266363</v>
      </c>
      <c r="N54" s="181">
        <v>35.956137355604589</v>
      </c>
      <c r="O54" s="181">
        <v>34.181145265523242</v>
      </c>
      <c r="P54" s="181">
        <v>32.397363534335092</v>
      </c>
      <c r="Q54" s="181">
        <v>30.561494709680243</v>
      </c>
      <c r="R54" s="181">
        <v>28.875157266485989</v>
      </c>
      <c r="S54" s="181">
        <v>27.063784603238144</v>
      </c>
      <c r="T54" s="181">
        <v>24.848072735504161</v>
      </c>
      <c r="U54" s="181">
        <v>22.6401758329887</v>
      </c>
      <c r="V54" s="181">
        <v>20.591897763148388</v>
      </c>
      <c r="W54" s="181">
        <v>18.61129515272485</v>
      </c>
      <c r="DA54" s="190" t="s">
        <v>947</v>
      </c>
    </row>
    <row r="55" spans="1:105" ht="12" customHeight="1" x14ac:dyDescent="0.25">
      <c r="A55" s="132" t="s">
        <v>181</v>
      </c>
      <c r="B55" s="181">
        <v>698.58131903647177</v>
      </c>
      <c r="C55" s="181">
        <v>692.05630599385154</v>
      </c>
      <c r="D55" s="181">
        <v>683.44477696900697</v>
      </c>
      <c r="E55" s="181">
        <v>673.62468058964578</v>
      </c>
      <c r="F55" s="181">
        <v>662.46070169561597</v>
      </c>
      <c r="G55" s="181">
        <v>650.93414562679186</v>
      </c>
      <c r="H55" s="181">
        <v>638.58231950002835</v>
      </c>
      <c r="I55" s="181">
        <v>626.04686718601351</v>
      </c>
      <c r="J55" s="181">
        <v>613.1348026969539</v>
      </c>
      <c r="K55" s="181">
        <v>600.11974662243097</v>
      </c>
      <c r="L55" s="181">
        <v>586.46025822025388</v>
      </c>
      <c r="M55" s="181">
        <v>577.02236167153569</v>
      </c>
      <c r="N55" s="181">
        <v>567.3529440461989</v>
      </c>
      <c r="O55" s="181">
        <v>557.5600457834995</v>
      </c>
      <c r="P55" s="181">
        <v>545.45371163315122</v>
      </c>
      <c r="Q55" s="181">
        <v>533.71056832203396</v>
      </c>
      <c r="R55" s="181">
        <v>522.34123949510797</v>
      </c>
      <c r="S55" s="181">
        <v>511.86690920650983</v>
      </c>
      <c r="T55" s="181">
        <v>502.23065558132504</v>
      </c>
      <c r="U55" s="181">
        <v>494.04384434447991</v>
      </c>
      <c r="V55" s="181">
        <v>486.35004549879727</v>
      </c>
      <c r="W55" s="181">
        <v>480.08637386821192</v>
      </c>
      <c r="DA55" s="190" t="s">
        <v>948</v>
      </c>
    </row>
    <row r="56" spans="1:105" ht="12" customHeight="1" x14ac:dyDescent="0.25">
      <c r="A56" s="60" t="s">
        <v>99</v>
      </c>
      <c r="B56" s="55">
        <v>54.270739578248929</v>
      </c>
      <c r="C56" s="55">
        <v>53.821528294852584</v>
      </c>
      <c r="D56" s="55">
        <v>53.368105186500451</v>
      </c>
      <c r="E56" s="55">
        <v>52.817957667428139</v>
      </c>
      <c r="F56" s="55">
        <v>52.237666559632956</v>
      </c>
      <c r="G56" s="55">
        <v>51.626339034090648</v>
      </c>
      <c r="H56" s="55">
        <v>50.973055496376929</v>
      </c>
      <c r="I56" s="55">
        <v>50.33599296807148</v>
      </c>
      <c r="J56" s="55">
        <v>49.739068129231725</v>
      </c>
      <c r="K56" s="55">
        <v>49.218053506473829</v>
      </c>
      <c r="L56" s="55">
        <v>48.833123323456178</v>
      </c>
      <c r="M56" s="55">
        <v>48.317371654593892</v>
      </c>
      <c r="N56" s="55">
        <v>47.542864643453989</v>
      </c>
      <c r="O56" s="55">
        <v>46.749813514686672</v>
      </c>
      <c r="P56" s="55">
        <v>45.802114391480259</v>
      </c>
      <c r="Q56" s="55">
        <v>44.742456510425043</v>
      </c>
      <c r="R56" s="55">
        <v>43.672869748336758</v>
      </c>
      <c r="S56" s="55">
        <v>42.608878081899526</v>
      </c>
      <c r="T56" s="55">
        <v>41.438604114040025</v>
      </c>
      <c r="U56" s="55">
        <v>40.234287113939196</v>
      </c>
      <c r="V56" s="55">
        <v>38.999320137285707</v>
      </c>
      <c r="W56" s="55">
        <v>37.750472021708042</v>
      </c>
      <c r="DA56" s="101" t="s">
        <v>949</v>
      </c>
    </row>
    <row r="57" spans="1:105" ht="12" customHeight="1" x14ac:dyDescent="0.25">
      <c r="A57" s="62" t="s">
        <v>98</v>
      </c>
      <c r="B57" s="63">
        <v>369.28057745400366</v>
      </c>
      <c r="C57" s="63">
        <v>358.98763232517297</v>
      </c>
      <c r="D57" s="63">
        <v>346.68325411124317</v>
      </c>
      <c r="E57" s="63">
        <v>333.38098646961333</v>
      </c>
      <c r="F57" s="63">
        <v>319.84407568729978</v>
      </c>
      <c r="G57" s="63">
        <v>307.35791458100437</v>
      </c>
      <c r="H57" s="63">
        <v>291.76151740788816</v>
      </c>
      <c r="I57" s="63">
        <v>276.25561217111573</v>
      </c>
      <c r="J57" s="63">
        <v>261.08619777275106</v>
      </c>
      <c r="K57" s="63">
        <v>247.25428402922455</v>
      </c>
      <c r="L57" s="63">
        <v>235.21112425993803</v>
      </c>
      <c r="M57" s="63">
        <v>218.33625887914997</v>
      </c>
      <c r="N57" s="63">
        <v>201.47140597018583</v>
      </c>
      <c r="O57" s="63">
        <v>188.48631726002318</v>
      </c>
      <c r="P57" s="63">
        <v>180.26813218719403</v>
      </c>
      <c r="Q57" s="63">
        <v>177.05088812596489</v>
      </c>
      <c r="R57" s="63">
        <v>174.60591222731787</v>
      </c>
      <c r="S57" s="63">
        <v>172.12084546660151</v>
      </c>
      <c r="T57" s="63">
        <v>170.05594342549773</v>
      </c>
      <c r="U57" s="63">
        <v>167.14101866779725</v>
      </c>
      <c r="V57" s="63">
        <v>164.22387921886076</v>
      </c>
      <c r="W57" s="63">
        <v>160.02543445295098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0.70067124888093624</v>
      </c>
      <c r="D60" s="181">
        <v>0.69105060493196602</v>
      </c>
      <c r="E60" s="181">
        <v>0.68298581505070599</v>
      </c>
      <c r="F60" s="181">
        <v>0.67503450525453734</v>
      </c>
      <c r="G60" s="181">
        <v>0.667092016320186</v>
      </c>
      <c r="H60" s="181">
        <v>0.65848643771924342</v>
      </c>
      <c r="I60" s="181">
        <v>0.65124706163893786</v>
      </c>
      <c r="J60" s="181">
        <v>0.6449897092625948</v>
      </c>
      <c r="K60" s="181">
        <v>0.63788444409619482</v>
      </c>
      <c r="L60" s="181">
        <v>0.63024517112490031</v>
      </c>
      <c r="M60" s="181">
        <v>0.62212020119239664</v>
      </c>
      <c r="N60" s="181">
        <v>0.60884559182084708</v>
      </c>
      <c r="O60" s="181">
        <v>0.59064609375200872</v>
      </c>
      <c r="P60" s="181">
        <v>0.5740023013797223</v>
      </c>
      <c r="Q60" s="181">
        <v>0.5572428005284471</v>
      </c>
      <c r="R60" s="181">
        <v>0.55350237001685776</v>
      </c>
      <c r="S60" s="181">
        <v>0.54778713314267602</v>
      </c>
      <c r="T60" s="181">
        <v>0.54216173875340068</v>
      </c>
      <c r="U60" s="181">
        <v>0.53696158953792095</v>
      </c>
      <c r="V60" s="181">
        <v>0.5318720952022129</v>
      </c>
      <c r="W60" s="181">
        <v>0.52982610040503175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180.48877161471637</v>
      </c>
      <c r="D61" s="181">
        <v>178.52511532023641</v>
      </c>
      <c r="E61" s="181">
        <v>177.23615877780182</v>
      </c>
      <c r="F61" s="181">
        <v>175.22774114224356</v>
      </c>
      <c r="G61" s="181">
        <v>172.46053104786463</v>
      </c>
      <c r="H61" s="181">
        <v>169.60258155415926</v>
      </c>
      <c r="I61" s="181">
        <v>167.47868133055951</v>
      </c>
      <c r="J61" s="181">
        <v>165.76858503978039</v>
      </c>
      <c r="K61" s="181">
        <v>163.20699521700652</v>
      </c>
      <c r="L61" s="181">
        <v>160.33932058512235</v>
      </c>
      <c r="M61" s="181">
        <v>156.42043578241027</v>
      </c>
      <c r="N61" s="181">
        <v>151.6073309185974</v>
      </c>
      <c r="O61" s="181">
        <v>146.18150349056967</v>
      </c>
      <c r="P61" s="181">
        <v>139.59437381338006</v>
      </c>
      <c r="Q61" s="181">
        <v>131.38988417547202</v>
      </c>
      <c r="R61" s="181">
        <v>123.81988373034508</v>
      </c>
      <c r="S61" s="181">
        <v>118.05677426434502</v>
      </c>
      <c r="T61" s="181">
        <v>112.25578644284749</v>
      </c>
      <c r="U61" s="181">
        <v>106.42463178589188</v>
      </c>
      <c r="V61" s="181">
        <v>100.6220675890475</v>
      </c>
      <c r="W61" s="181">
        <v>98.484840425783972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45.349502484502317</v>
      </c>
      <c r="D62" s="181">
        <v>44.10995893558345</v>
      </c>
      <c r="E62" s="181">
        <v>43.032906667460942</v>
      </c>
      <c r="F62" s="181">
        <v>42.302222932939159</v>
      </c>
      <c r="G62" s="181">
        <v>41.751481177555476</v>
      </c>
      <c r="H62" s="181">
        <v>40.683325007574027</v>
      </c>
      <c r="I62" s="181">
        <v>39.633768355208986</v>
      </c>
      <c r="J62" s="181">
        <v>38.366574634143852</v>
      </c>
      <c r="K62" s="181">
        <v>36.85569348514251</v>
      </c>
      <c r="L62" s="181">
        <v>35.46407644774618</v>
      </c>
      <c r="M62" s="181">
        <v>33.969589488993456</v>
      </c>
      <c r="N62" s="181">
        <v>31.98798008830417</v>
      </c>
      <c r="O62" s="181">
        <v>30.04605874157884</v>
      </c>
      <c r="P62" s="181">
        <v>28.252771407643799</v>
      </c>
      <c r="Q62" s="181">
        <v>26.373454744878327</v>
      </c>
      <c r="R62" s="181">
        <v>23.154722059318864</v>
      </c>
      <c r="S62" s="181">
        <v>21.792691233223685</v>
      </c>
      <c r="T62" s="181">
        <v>19.548809093687787</v>
      </c>
      <c r="U62" s="181">
        <v>17.728201668770211</v>
      </c>
      <c r="V62" s="181">
        <v>16.32751484248918</v>
      </c>
      <c r="W62" s="181">
        <v>15.105575639289379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636.38948052001956</v>
      </c>
      <c r="D63" s="181">
        <v>623.88717187540158</v>
      </c>
      <c r="E63" s="181">
        <v>613.59720380468389</v>
      </c>
      <c r="F63" s="181">
        <v>606.51717554884283</v>
      </c>
      <c r="G63" s="181">
        <v>598.20718651098582</v>
      </c>
      <c r="H63" s="181">
        <v>588.79241615171486</v>
      </c>
      <c r="I63" s="181">
        <v>575.64191732782785</v>
      </c>
      <c r="J63" s="181">
        <v>562.50919866032405</v>
      </c>
      <c r="K63" s="181">
        <v>548.73658733668788</v>
      </c>
      <c r="L63" s="181">
        <v>536.44359002176918</v>
      </c>
      <c r="M63" s="181">
        <v>519.08857005483878</v>
      </c>
      <c r="N63" s="181">
        <v>515.8473882363561</v>
      </c>
      <c r="O63" s="181">
        <v>508.0830415813279</v>
      </c>
      <c r="P63" s="181">
        <v>495.52635960471815</v>
      </c>
      <c r="Q63" s="181">
        <v>492.95804223262553</v>
      </c>
      <c r="R63" s="181">
        <v>485.70701009957463</v>
      </c>
      <c r="S63" s="181">
        <v>476.73742151433538</v>
      </c>
      <c r="T63" s="181">
        <v>467.98997052578983</v>
      </c>
      <c r="U63" s="181">
        <v>459.61553481545263</v>
      </c>
      <c r="V63" s="181">
        <v>451.35050607411614</v>
      </c>
      <c r="W63" s="181">
        <v>441.05482631861366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50.646523988776437</v>
      </c>
      <c r="D64" s="55">
        <v>49.976027032046659</v>
      </c>
      <c r="E64" s="55">
        <v>49.294176153072009</v>
      </c>
      <c r="F64" s="55">
        <v>48.66150266233133</v>
      </c>
      <c r="G64" s="55">
        <v>48.001281519764454</v>
      </c>
      <c r="H64" s="55">
        <v>47.256712962293847</v>
      </c>
      <c r="I64" s="55">
        <v>46.370268471292263</v>
      </c>
      <c r="J64" s="55">
        <v>45.348251161190689</v>
      </c>
      <c r="K64" s="55">
        <v>44.205576434959291</v>
      </c>
      <c r="L64" s="55">
        <v>42.911473207129923</v>
      </c>
      <c r="M64" s="55">
        <v>41.513432942318772</v>
      </c>
      <c r="N64" s="55">
        <v>40.143781107407875</v>
      </c>
      <c r="O64" s="55">
        <v>38.782177829101698</v>
      </c>
      <c r="P64" s="55">
        <v>37.577973555203393</v>
      </c>
      <c r="Q64" s="55">
        <v>36.405528215165432</v>
      </c>
      <c r="R64" s="55">
        <v>35.944805916924814</v>
      </c>
      <c r="S64" s="55">
        <v>35.384757008547815</v>
      </c>
      <c r="T64" s="55">
        <v>34.853152122857054</v>
      </c>
      <c r="U64" s="55">
        <v>34.33751653145557</v>
      </c>
      <c r="V64" s="55">
        <v>33.829081021027314</v>
      </c>
      <c r="W64" s="55">
        <v>33.574312684795729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337.03685550219785</v>
      </c>
      <c r="D65" s="63">
        <v>321.44014399983206</v>
      </c>
      <c r="E65" s="63">
        <v>307.40512272247969</v>
      </c>
      <c r="F65" s="63">
        <v>292.8887375817572</v>
      </c>
      <c r="G65" s="63">
        <v>282.00922778386467</v>
      </c>
      <c r="H65" s="63">
        <v>267.16209482323154</v>
      </c>
      <c r="I65" s="63">
        <v>249.95569621493709</v>
      </c>
      <c r="J65" s="63">
        <v>234.84851899876389</v>
      </c>
      <c r="K65" s="63">
        <v>218.82090687277199</v>
      </c>
      <c r="L65" s="63">
        <v>199.25329151087965</v>
      </c>
      <c r="M65" s="63">
        <v>187.67929685498294</v>
      </c>
      <c r="N65" s="63">
        <v>179.97240992763545</v>
      </c>
      <c r="O65" s="63">
        <v>173.53511359355551</v>
      </c>
      <c r="P65" s="63">
        <v>173.35350047908253</v>
      </c>
      <c r="Q65" s="63">
        <v>173.18079304789674</v>
      </c>
      <c r="R65" s="63">
        <v>172.81319047961026</v>
      </c>
      <c r="S65" s="63">
        <v>168.28885604512365</v>
      </c>
      <c r="T65" s="63">
        <v>163.84268173312645</v>
      </c>
      <c r="U65" s="63">
        <v>159.5741862090529</v>
      </c>
      <c r="V65" s="63">
        <v>155.35011953338847</v>
      </c>
      <c r="W65" s="63">
        <v>152.42111524515718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356.15825014495118</v>
      </c>
      <c r="C68" s="188">
        <f>1000000*C20/SER_summary!C$8</f>
        <v>361.64903428075559</v>
      </c>
      <c r="D68" s="188">
        <f>1000000*D20/SER_summary!D$8</f>
        <v>368.77644882290065</v>
      </c>
      <c r="E68" s="188">
        <f>1000000*E20/SER_summary!E$8</f>
        <v>374.99214774562643</v>
      </c>
      <c r="F68" s="188">
        <f>1000000*F20/SER_summary!F$8</f>
        <v>383.03247389987348</v>
      </c>
      <c r="G68" s="188">
        <f>1000000*G20/SER_summary!G$8</f>
        <v>392.72582104154316</v>
      </c>
      <c r="H68" s="188">
        <f>1000000*H20/SER_summary!H$8</f>
        <v>398.34628424332993</v>
      </c>
      <c r="I68" s="188">
        <f>1000000*I20/SER_summary!I$8</f>
        <v>406.59331433099578</v>
      </c>
      <c r="J68" s="188">
        <f>1000000*J20/SER_summary!J$8</f>
        <v>412.70047805887549</v>
      </c>
      <c r="K68" s="188">
        <f>1000000*K20/SER_summary!K$8</f>
        <v>419.57986383482302</v>
      </c>
      <c r="L68" s="188">
        <f>1000000*L20/SER_summary!L$8</f>
        <v>424.8631459063684</v>
      </c>
      <c r="M68" s="188">
        <f>1000000*M20/SER_summary!M$8</f>
        <v>431.83197158564445</v>
      </c>
      <c r="N68" s="188">
        <f>1000000*N20/SER_summary!N$8</f>
        <v>439.55769501226581</v>
      </c>
      <c r="O68" s="188">
        <f>1000000*O20/SER_summary!O$8</f>
        <v>446.97250563713737</v>
      </c>
      <c r="P68" s="188">
        <f>1000000*P20/SER_summary!P$8</f>
        <v>454.20057093718282</v>
      </c>
      <c r="Q68" s="188">
        <f>1000000*Q20/SER_summary!Q$8</f>
        <v>462.07374494052448</v>
      </c>
      <c r="R68" s="188">
        <f>1000000*R20/SER_summary!R$8</f>
        <v>474.64927891372719</v>
      </c>
      <c r="S68" s="188">
        <f>1000000*S20/SER_summary!S$8</f>
        <v>487.23300204171142</v>
      </c>
      <c r="T68" s="188">
        <f>1000000*T20/SER_summary!T$8</f>
        <v>499.78160412503712</v>
      </c>
      <c r="U68" s="188">
        <f>1000000*U20/SER_summary!U$8</f>
        <v>512.26881692826976</v>
      </c>
      <c r="V68" s="188">
        <f>1000000*V20/SER_summary!V$8</f>
        <v>524.6457458520581</v>
      </c>
      <c r="W68" s="188">
        <f>1000000*W20/SER_summary!W$8</f>
        <v>537.04367359939909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0.1069867794800993</v>
      </c>
      <c r="C69" s="188">
        <f>1000*C21/SER_summary!C$3</f>
        <v>0.10841874601696221</v>
      </c>
      <c r="D69" s="188">
        <f>1000*D21/SER_summary!D$3</f>
        <v>0.11161350796153739</v>
      </c>
      <c r="E69" s="188">
        <f>1000*E21/SER_summary!E$3</f>
        <v>0.11539940462981767</v>
      </c>
      <c r="F69" s="188">
        <f>1000*F21/SER_summary!F$3</f>
        <v>0.11994079990329855</v>
      </c>
      <c r="G69" s="188">
        <f>1000*G21/SER_summary!G$3</f>
        <v>0.12413474447407032</v>
      </c>
      <c r="H69" s="188">
        <f>1000*H21/SER_summary!H$3</f>
        <v>0.12864009606896082</v>
      </c>
      <c r="I69" s="188">
        <f>1000*I21/SER_summary!I$3</f>
        <v>0.1323383237712569</v>
      </c>
      <c r="J69" s="188">
        <f>1000*J21/SER_summary!J$3</f>
        <v>0.13633152801598331</v>
      </c>
      <c r="K69" s="188">
        <f>1000*K21/SER_summary!K$3</f>
        <v>0.1403543062896184</v>
      </c>
      <c r="L69" s="188">
        <f>1000*L21/SER_summary!L$3</f>
        <v>0.14434072939756062</v>
      </c>
      <c r="M69" s="188">
        <f>1000*M21/SER_summary!M$3</f>
        <v>0.14887340636440874</v>
      </c>
      <c r="N69" s="188">
        <f>1000*N21/SER_summary!N$3</f>
        <v>0.1550221491443689</v>
      </c>
      <c r="O69" s="188">
        <f>1000*O21/SER_summary!O$3</f>
        <v>0.16261142029516962</v>
      </c>
      <c r="P69" s="188">
        <f>1000*P21/SER_summary!P$3</f>
        <v>0.17207372950201358</v>
      </c>
      <c r="Q69" s="188">
        <f>1000*Q21/SER_summary!Q$3</f>
        <v>0.18330902004175859</v>
      </c>
      <c r="R69" s="188">
        <f>1000*R21/SER_summary!R$3</f>
        <v>0.18966290375143444</v>
      </c>
      <c r="S69" s="188">
        <f>1000*S21/SER_summary!S$3</f>
        <v>0.19545239382207044</v>
      </c>
      <c r="T69" s="188">
        <f>1000*T21/SER_summary!T$3</f>
        <v>0.20104410249544941</v>
      </c>
      <c r="U69" s="188">
        <f>1000*U21/SER_summary!U$3</f>
        <v>0.20601308341121113</v>
      </c>
      <c r="V69" s="188">
        <f>1000*V21/SER_summary!V$3</f>
        <v>0.21000019575050802</v>
      </c>
      <c r="W69" s="188">
        <f>1000*W21/SER_summary!W$3</f>
        <v>0.21363029011861084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168.28752037822844</v>
      </c>
      <c r="C70" s="188">
        <f>1000000*C22/SER_summary!C$8</f>
        <v>168.78548699201465</v>
      </c>
      <c r="D70" s="188">
        <f>1000000*D22/SER_summary!D$8</f>
        <v>170.00608509678287</v>
      </c>
      <c r="E70" s="188">
        <f>1000000*E22/SER_summary!E$8</f>
        <v>172.08010891471352</v>
      </c>
      <c r="F70" s="188">
        <f>1000000*F22/SER_summary!F$8</f>
        <v>174.36864120480095</v>
      </c>
      <c r="G70" s="188">
        <f>1000000*G22/SER_summary!G$8</f>
        <v>177.17182959576905</v>
      </c>
      <c r="H70" s="188">
        <f>1000000*H22/SER_summary!H$8</f>
        <v>179.67669564198536</v>
      </c>
      <c r="I70" s="188">
        <f>1000000*I22/SER_summary!I$8</f>
        <v>182.75277513064665</v>
      </c>
      <c r="J70" s="188">
        <f>1000000*J22/SER_summary!J$8</f>
        <v>187.37363808434304</v>
      </c>
      <c r="K70" s="188">
        <f>1000000*K22/SER_summary!K$8</f>
        <v>192.8334919448836</v>
      </c>
      <c r="L70" s="188">
        <f>1000000*L22/SER_summary!L$8</f>
        <v>198.78830581627628</v>
      </c>
      <c r="M70" s="188">
        <f>1000000*M22/SER_summary!M$8</f>
        <v>206.6724842501292</v>
      </c>
      <c r="N70" s="188">
        <f>1000000*N22/SER_summary!N$8</f>
        <v>215.38750094766911</v>
      </c>
      <c r="O70" s="188">
        <f>1000000*O22/SER_summary!O$8</f>
        <v>224.28066503667731</v>
      </c>
      <c r="P70" s="188">
        <f>1000000*P22/SER_summary!P$8</f>
        <v>232.84237443022084</v>
      </c>
      <c r="Q70" s="188">
        <f>1000000*Q22/SER_summary!Q$8</f>
        <v>243.87829072759763</v>
      </c>
      <c r="R70" s="188">
        <f>1000000*R22/SER_summary!R$8</f>
        <v>249.93963030727156</v>
      </c>
      <c r="S70" s="188">
        <f>1000000*S22/SER_summary!S$8</f>
        <v>256.09252749166524</v>
      </c>
      <c r="T70" s="188">
        <f>1000000*T22/SER_summary!T$8</f>
        <v>261.94581287996095</v>
      </c>
      <c r="U70" s="188">
        <f>1000000*U22/SER_summary!U$8</f>
        <v>267.26026608834519</v>
      </c>
      <c r="V70" s="188">
        <f>1000000*V22/SER_summary!V$8</f>
        <v>271.59007015139434</v>
      </c>
      <c r="W70" s="188">
        <f>1000000*W22/SER_summary!W$8</f>
        <v>274.20746241903822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2.1557979294156801E-2</v>
      </c>
      <c r="C71" s="188">
        <f>1000*C23/SER_summary!C$3</f>
        <v>2.1774024889162819E-2</v>
      </c>
      <c r="D71" s="188">
        <f>1000*D23/SER_summary!D$3</f>
        <v>2.2319687633700659E-2</v>
      </c>
      <c r="E71" s="188">
        <f>1000*E23/SER_summary!E$3</f>
        <v>2.305083801264033E-2</v>
      </c>
      <c r="F71" s="188">
        <f>1000*F23/SER_summary!F$3</f>
        <v>2.4207984943285028E-2</v>
      </c>
      <c r="G71" s="188">
        <f>1000*G23/SER_summary!G$3</f>
        <v>2.5438326797231344E-2</v>
      </c>
      <c r="H71" s="188">
        <f>1000*H23/SER_summary!H$3</f>
        <v>2.695361064194891E-2</v>
      </c>
      <c r="I71" s="188">
        <f>1000*I23/SER_summary!I$3</f>
        <v>2.8273811531683141E-2</v>
      </c>
      <c r="J71" s="188">
        <f>1000*J23/SER_summary!J$3</f>
        <v>2.9468825393535403E-2</v>
      </c>
      <c r="K71" s="188">
        <f>1000*K23/SER_summary!K$3</f>
        <v>3.0264225402808376E-2</v>
      </c>
      <c r="L71" s="188">
        <f>1000*L23/SER_summary!L$3</f>
        <v>3.101918023603286E-2</v>
      </c>
      <c r="M71" s="188">
        <f>1000*M23/SER_summary!M$3</f>
        <v>3.1553195754508954E-2</v>
      </c>
      <c r="N71" s="188">
        <f>1000*N23/SER_summary!N$3</f>
        <v>3.2183591720781654E-2</v>
      </c>
      <c r="O71" s="188">
        <f>1000*O23/SER_summary!O$3</f>
        <v>3.2912063825931648E-2</v>
      </c>
      <c r="P71" s="188">
        <f>1000*P23/SER_summary!P$3</f>
        <v>3.3916608596539374E-2</v>
      </c>
      <c r="Q71" s="188">
        <f>1000*Q23/SER_summary!Q$3</f>
        <v>3.5128010834396178E-2</v>
      </c>
      <c r="R71" s="188">
        <f>1000*R23/SER_summary!R$3</f>
        <v>3.5650444402603142E-2</v>
      </c>
      <c r="S71" s="188">
        <f>1000*S23/SER_summary!S$3</f>
        <v>3.6061688373595524E-2</v>
      </c>
      <c r="T71" s="188">
        <f>1000*T23/SER_summary!T$3</f>
        <v>3.647044883233775E-2</v>
      </c>
      <c r="U71" s="188">
        <f>1000*U23/SER_summary!U$3</f>
        <v>3.6821465318678782E-2</v>
      </c>
      <c r="V71" s="188">
        <f>1000*V23/SER_summary!V$3</f>
        <v>3.7091397758486772E-2</v>
      </c>
      <c r="W71" s="188">
        <f>1000*W23/SER_summary!W$3</f>
        <v>3.7434222682944267E-2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70.190026515686412</v>
      </c>
      <c r="C72" s="188">
        <f>1000000*C24/SER_summary!C$8</f>
        <v>74.495676901174761</v>
      </c>
      <c r="D72" s="188">
        <f>1000000*D24/SER_summary!D$8</f>
        <v>79.05900168904995</v>
      </c>
      <c r="E72" s="188">
        <f>1000000*E24/SER_summary!E$8</f>
        <v>84.465705651727887</v>
      </c>
      <c r="F72" s="188">
        <f>1000000*F24/SER_summary!F$8</f>
        <v>90.567996973555168</v>
      </c>
      <c r="G72" s="188">
        <f>1000000*G24/SER_summary!G$8</f>
        <v>98.494395420279673</v>
      </c>
      <c r="H72" s="188">
        <f>1000000*H24/SER_summary!H$8</f>
        <v>105.99217244417278</v>
      </c>
      <c r="I72" s="188">
        <f>1000000*I24/SER_summary!I$8</f>
        <v>113.57470430590978</v>
      </c>
      <c r="J72" s="188">
        <f>1000000*J24/SER_summary!J$8</f>
        <v>120.18672575478497</v>
      </c>
      <c r="K72" s="188">
        <f>1000000*K24/SER_summary!K$8</f>
        <v>125.67313380913467</v>
      </c>
      <c r="L72" s="188">
        <f>1000000*L24/SER_summary!L$8</f>
        <v>130.62401493456093</v>
      </c>
      <c r="M72" s="188">
        <f>1000000*M24/SER_summary!M$8</f>
        <v>135.15357678495653</v>
      </c>
      <c r="N72" s="188">
        <f>1000000*N24/SER_summary!N$8</f>
        <v>139.19000334087966</v>
      </c>
      <c r="O72" s="188">
        <f>1000000*O24/SER_summary!O$8</f>
        <v>142.09903948678513</v>
      </c>
      <c r="P72" s="188">
        <f>1000000*P24/SER_summary!P$8</f>
        <v>145.28313217960084</v>
      </c>
      <c r="Q72" s="188">
        <f>1000000*Q24/SER_summary!Q$8</f>
        <v>148.01978477890844</v>
      </c>
      <c r="R72" s="188">
        <f>1000000*R24/SER_summary!R$8</f>
        <v>153.79196708235128</v>
      </c>
      <c r="S72" s="188">
        <f>1000000*S24/SER_summary!S$8</f>
        <v>159.5589272595038</v>
      </c>
      <c r="T72" s="188">
        <f>1000000*T24/SER_summary!T$8</f>
        <v>165.34828370774531</v>
      </c>
      <c r="U72" s="188">
        <f>1000000*U24/SER_summary!U$8</f>
        <v>171.17678736734695</v>
      </c>
      <c r="V72" s="188">
        <f>1000000*V24/SER_summary!V$8</f>
        <v>177.07561774086909</v>
      </c>
      <c r="W72" s="188">
        <f>1000000*W24/SER_summary!W$8</f>
        <v>183.26736852128931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8.991771807739983E-2</v>
      </c>
      <c r="C73" s="52">
        <f>1000*C25/SER_summary!C$3</f>
        <v>0.10507624183585189</v>
      </c>
      <c r="D73" s="52">
        <f>1000*D25/SER_summary!D$3</f>
        <v>0.12181398727545951</v>
      </c>
      <c r="E73" s="52">
        <f>1000*E25/SER_summary!E$3</f>
        <v>0.14144360261702699</v>
      </c>
      <c r="F73" s="52">
        <f>1000*F25/SER_summary!F$3</f>
        <v>0.16180033246896999</v>
      </c>
      <c r="G73" s="52">
        <f>1000*G25/SER_summary!G$3</f>
        <v>0.18003112534837004</v>
      </c>
      <c r="H73" s="52">
        <f>1000*H25/SER_summary!H$3</f>
        <v>0.19942558587077544</v>
      </c>
      <c r="I73" s="52">
        <f>1000*I25/SER_summary!I$3</f>
        <v>0.22213911938542896</v>
      </c>
      <c r="J73" s="52">
        <f>1000*J25/SER_summary!J$3</f>
        <v>0.24692351772784354</v>
      </c>
      <c r="K73" s="52">
        <f>1000*K25/SER_summary!K$3</f>
        <v>0.26731878691235617</v>
      </c>
      <c r="L73" s="52">
        <f>1000*L25/SER_summary!L$3</f>
        <v>0.27356991471085085</v>
      </c>
      <c r="M73" s="52">
        <f>1000*M25/SER_summary!M$3</f>
        <v>0.28807293344196017</v>
      </c>
      <c r="N73" s="52">
        <f>1000*N25/SER_summary!N$3</f>
        <v>0.32831047943076164</v>
      </c>
      <c r="O73" s="52">
        <f>1000*O25/SER_summary!O$3</f>
        <v>0.36050589711353043</v>
      </c>
      <c r="P73" s="52">
        <f>1000*P25/SER_summary!P$3</f>
        <v>0.40059433775293918</v>
      </c>
      <c r="Q73" s="52">
        <f>1000*Q25/SER_summary!Q$3</f>
        <v>0.44377702823471715</v>
      </c>
      <c r="R73" s="52">
        <f>1000*R25/SER_summary!R$3</f>
        <v>0.48288110783659516</v>
      </c>
      <c r="S73" s="52">
        <f>1000*S25/SER_summary!S$3</f>
        <v>0.49312328000920569</v>
      </c>
      <c r="T73" s="52">
        <f>1000*T25/SER_summary!T$3</f>
        <v>0.51078982193284361</v>
      </c>
      <c r="U73" s="52">
        <f>1000*U25/SER_summary!U$3</f>
        <v>0.52782478325007365</v>
      </c>
      <c r="V73" s="52">
        <f>1000*V25/SER_summary!V$3</f>
        <v>0.53002653893069207</v>
      </c>
      <c r="W73" s="52">
        <f>1000*W25/SER_summary!W$3</f>
        <v>0.54087935499203055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17.354249976045949</v>
      </c>
      <c r="C3" s="199">
        <f>'SER_se-appl'!C4</f>
        <v>18.216337186969881</v>
      </c>
      <c r="D3" s="199">
        <f>'SER_se-appl'!D4</f>
        <v>19.005883779956736</v>
      </c>
      <c r="E3" s="199">
        <f>'SER_se-appl'!E4</f>
        <v>19.938304774947298</v>
      </c>
      <c r="F3" s="199">
        <f>'SER_se-appl'!F4</f>
        <v>20.956322376684998</v>
      </c>
      <c r="G3" s="199">
        <f>'SER_se-appl'!G4</f>
        <v>21.850359431351855</v>
      </c>
      <c r="H3" s="199">
        <f>'SER_se-appl'!H4</f>
        <v>22.821542795729027</v>
      </c>
      <c r="I3" s="199">
        <f>'SER_se-appl'!I4</f>
        <v>23.71744020566231</v>
      </c>
      <c r="J3" s="199">
        <f>'SER_se-appl'!J4</f>
        <v>24.267780872497404</v>
      </c>
      <c r="K3" s="199">
        <f>'SER_se-appl'!K4</f>
        <v>24.429844824634607</v>
      </c>
      <c r="L3" s="199">
        <f>'SER_se-appl'!L4</f>
        <v>23.77879372402246</v>
      </c>
      <c r="M3" s="199">
        <f>'SER_se-appl'!M4</f>
        <v>23.418363320846371</v>
      </c>
      <c r="N3" s="199">
        <f>'SER_se-appl'!N4</f>
        <v>23.584601800746004</v>
      </c>
      <c r="O3" s="199">
        <f>'SER_se-appl'!O4</f>
        <v>23.628066290707451</v>
      </c>
      <c r="P3" s="199">
        <f>'SER_se-appl'!P4</f>
        <v>23.681734638952548</v>
      </c>
      <c r="Q3" s="199">
        <f>'SER_se-appl'!Q4</f>
        <v>23.760009173347935</v>
      </c>
      <c r="R3" s="199">
        <f>'SER_se-appl'!R4</f>
        <v>23.970548247449486</v>
      </c>
      <c r="S3" s="199">
        <f>'SER_se-appl'!S4</f>
        <v>24.288463651587694</v>
      </c>
      <c r="T3" s="199">
        <f>'SER_se-appl'!T4</f>
        <v>24.593381091263087</v>
      </c>
      <c r="U3" s="199">
        <f>'SER_se-appl'!U4</f>
        <v>24.917643861860526</v>
      </c>
      <c r="V3" s="199">
        <f>'SER_se-appl'!V4</f>
        <v>25.249486964197494</v>
      </c>
      <c r="W3" s="199">
        <f>'SER_se-appl'!W4</f>
        <v>25.547772607223951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23.039946029841829</v>
      </c>
      <c r="C5" s="59">
        <f>'SER_se-appl'!C12</f>
        <v>24.184475055303615</v>
      </c>
      <c r="D5" s="59">
        <f>'SER_se-appl'!D12</f>
        <v>25.232697301472239</v>
      </c>
      <c r="E5" s="59">
        <f>'SER_se-appl'!E12</f>
        <v>26.470603257150358</v>
      </c>
      <c r="F5" s="59">
        <f>'SER_se-appl'!F12</f>
        <v>27.822149456717629</v>
      </c>
      <c r="G5" s="59">
        <f>'SER_se-appl'!G12</f>
        <v>29.009095911714844</v>
      </c>
      <c r="H5" s="59">
        <f>'SER_se-appl'!H12</f>
        <v>30.29846378017449</v>
      </c>
      <c r="I5" s="59">
        <f>'SER_se-appl'!I12</f>
        <v>31.487880090394146</v>
      </c>
      <c r="J5" s="59">
        <f>'SER_se-appl'!J12</f>
        <v>32.218526432322463</v>
      </c>
      <c r="K5" s="59">
        <f>'SER_se-appl'!K12</f>
        <v>32.433686679280882</v>
      </c>
      <c r="L5" s="59">
        <f>'SER_se-appl'!L12</f>
        <v>31.56933459022617</v>
      </c>
      <c r="M5" s="59">
        <f>'SER_se-appl'!M12</f>
        <v>31.090817970484398</v>
      </c>
      <c r="N5" s="59">
        <f>'SER_se-appl'!N12</f>
        <v>31.311520427246116</v>
      </c>
      <c r="O5" s="59">
        <f>'SER_se-appl'!O12</f>
        <v>31.369224995539689</v>
      </c>
      <c r="P5" s="59">
        <f>'SER_se-appl'!P12</f>
        <v>31.440476467011202</v>
      </c>
      <c r="Q5" s="59">
        <f>'SER_se-appl'!Q12</f>
        <v>31.544395740415123</v>
      </c>
      <c r="R5" s="59">
        <f>'SER_se-appl'!R12</f>
        <v>31.823912798839899</v>
      </c>
      <c r="S5" s="59">
        <f>'SER_se-appl'!S12</f>
        <v>32.245985418717453</v>
      </c>
      <c r="T5" s="59">
        <f>'SER_se-appl'!T12</f>
        <v>32.650801608606137</v>
      </c>
      <c r="U5" s="59">
        <f>'SER_se-appl'!U12</f>
        <v>33.081301154502036</v>
      </c>
      <c r="V5" s="59">
        <f>'SER_se-appl'!V12</f>
        <v>33.521864542650334</v>
      </c>
      <c r="W5" s="59">
        <f>'SER_se-appl'!W12</f>
        <v>33.917876189727686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356.15825014495118</v>
      </c>
      <c r="C6" s="202">
        <f>'SER_se-appl'!C68</f>
        <v>361.64903428075559</v>
      </c>
      <c r="D6" s="202">
        <f>'SER_se-appl'!D68</f>
        <v>368.77644882290065</v>
      </c>
      <c r="E6" s="202">
        <f>'SER_se-appl'!E68</f>
        <v>374.99214774562643</v>
      </c>
      <c r="F6" s="202">
        <f>'SER_se-appl'!F68</f>
        <v>383.03247389987348</v>
      </c>
      <c r="G6" s="202">
        <f>'SER_se-appl'!G68</f>
        <v>392.72582104154316</v>
      </c>
      <c r="H6" s="202">
        <f>'SER_se-appl'!H68</f>
        <v>398.34628424332993</v>
      </c>
      <c r="I6" s="202">
        <f>'SER_se-appl'!I68</f>
        <v>406.59331433099578</v>
      </c>
      <c r="J6" s="202">
        <f>'SER_se-appl'!J68</f>
        <v>412.70047805887549</v>
      </c>
      <c r="K6" s="202">
        <f>'SER_se-appl'!K68</f>
        <v>419.57986383482302</v>
      </c>
      <c r="L6" s="202">
        <f>'SER_se-appl'!L68</f>
        <v>424.8631459063684</v>
      </c>
      <c r="M6" s="202">
        <f>'SER_se-appl'!M68</f>
        <v>431.83197158564445</v>
      </c>
      <c r="N6" s="202">
        <f>'SER_se-appl'!N68</f>
        <v>439.55769501226581</v>
      </c>
      <c r="O6" s="202">
        <f>'SER_se-appl'!O68</f>
        <v>446.97250563713737</v>
      </c>
      <c r="P6" s="202">
        <f>'SER_se-appl'!P68</f>
        <v>454.20057093718282</v>
      </c>
      <c r="Q6" s="202">
        <f>'SER_se-appl'!Q68</f>
        <v>462.07374494052448</v>
      </c>
      <c r="R6" s="202">
        <f>'SER_se-appl'!R68</f>
        <v>474.64927891372719</v>
      </c>
      <c r="S6" s="202">
        <f>'SER_se-appl'!S68</f>
        <v>487.23300204171142</v>
      </c>
      <c r="T6" s="202">
        <f>'SER_se-appl'!T68</f>
        <v>499.78160412503712</v>
      </c>
      <c r="U6" s="202">
        <f>'SER_se-appl'!U68</f>
        <v>512.26881692826976</v>
      </c>
      <c r="V6" s="202">
        <f>'SER_se-appl'!V68</f>
        <v>524.6457458520581</v>
      </c>
      <c r="W6" s="202">
        <f>'SER_se-appl'!W68</f>
        <v>537.04367359939909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29.319407614193906</v>
      </c>
      <c r="C8" s="34">
        <f>'SER_se-appl'!C20</f>
        <v>31.107433524158772</v>
      </c>
      <c r="D8" s="34">
        <f>'SER_se-appl'!D20</f>
        <v>32.803626288203006</v>
      </c>
      <c r="E8" s="34">
        <f>'SER_se-appl'!E20</f>
        <v>34.818585386471533</v>
      </c>
      <c r="F8" s="34">
        <f>'SER_se-appl'!F20</f>
        <v>37.047707263148993</v>
      </c>
      <c r="G8" s="34">
        <f>'SER_se-appl'!G20</f>
        <v>39.080050484804374</v>
      </c>
      <c r="H8" s="34">
        <f>'SER_se-appl'!H20</f>
        <v>41.320852409148294</v>
      </c>
      <c r="I8" s="34">
        <f>'SER_se-appl'!I20</f>
        <v>43.457883727493439</v>
      </c>
      <c r="J8" s="34">
        <f>'SER_se-appl'!J20</f>
        <v>44.928234618473546</v>
      </c>
      <c r="K8" s="34">
        <f>'SER_se-appl'!K20</f>
        <v>45.634205470492823</v>
      </c>
      <c r="L8" s="34">
        <f>'SER_se-appl'!L20</f>
        <v>44.666255518666617</v>
      </c>
      <c r="M8" s="34">
        <f>'SER_se-appl'!M20</f>
        <v>44.339372261157081</v>
      </c>
      <c r="N8" s="34">
        <f>'SER_se-appl'!N20</f>
        <v>45.204262135030191</v>
      </c>
      <c r="O8" s="34">
        <f>'SER_se-appl'!O20</f>
        <v>45.889246253125904</v>
      </c>
      <c r="P8" s="34">
        <f>'SER_se-appl'!P20</f>
        <v>46.687776583663158</v>
      </c>
      <c r="Q8" s="34">
        <f>'SER_se-appl'!Q20</f>
        <v>47.645114862494736</v>
      </c>
      <c r="R8" s="34">
        <f>'SER_se-appl'!R20</f>
        <v>48.961180657740485</v>
      </c>
      <c r="S8" s="34">
        <f>'SER_se-appl'!S20</f>
        <v>50.595128282370148</v>
      </c>
      <c r="T8" s="34">
        <f>'SER_se-appl'!T20</f>
        <v>52.260076986097239</v>
      </c>
      <c r="U8" s="34">
        <f>'SER_se-appl'!U20</f>
        <v>53.994657295975415</v>
      </c>
      <c r="V8" s="34">
        <f>'SER_se-appl'!V20</f>
        <v>55.721972357403075</v>
      </c>
      <c r="W8" s="34">
        <f>'SER_se-appl'!W20</f>
        <v>57.440586453574412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3.0597061681494182</v>
      </c>
      <c r="D9" s="36">
        <f>'SER_se-appl'!D28</f>
        <v>3.0038432540884301</v>
      </c>
      <c r="E9" s="36">
        <f>'SER_se-appl'!E28</f>
        <v>3.3595972595575496</v>
      </c>
      <c r="F9" s="36">
        <f>'SER_se-appl'!F28</f>
        <v>3.6117939274741673</v>
      </c>
      <c r="G9" s="36">
        <f>'SER_se-appl'!G28</f>
        <v>3.4541249731279535</v>
      </c>
      <c r="H9" s="36">
        <f>'SER_se-appl'!H28</f>
        <v>3.702799617618787</v>
      </c>
      <c r="I9" s="36">
        <f>'SER_se-appl'!I28</f>
        <v>3.6403824852364366</v>
      </c>
      <c r="J9" s="36">
        <f>'SER_se-appl'!J28</f>
        <v>3.0162252390653421</v>
      </c>
      <c r="K9" s="36">
        <f>'SER_se-appl'!K28</f>
        <v>2.2955711747499663</v>
      </c>
      <c r="L9" s="36">
        <f>'SER_se-appl'!L28</f>
        <v>0.66661316072903531</v>
      </c>
      <c r="M9" s="36">
        <f>'SER_se-appl'!M28</f>
        <v>1.3539144441017399</v>
      </c>
      <c r="N9" s="36">
        <f>'SER_se-appl'!N28</f>
        <v>2.5932299373689887</v>
      </c>
      <c r="O9" s="36">
        <f>'SER_se-appl'!O28</f>
        <v>2.4622113074364265</v>
      </c>
      <c r="P9" s="36">
        <f>'SER_se-appl'!P28</f>
        <v>2.6260274471308378</v>
      </c>
      <c r="Q9" s="36">
        <f>'SER_se-appl'!Q28</f>
        <v>2.8365272374456936</v>
      </c>
      <c r="R9" s="36">
        <f>'SER_se-appl'!R28</f>
        <v>3.2484087303522955</v>
      </c>
      <c r="S9" s="36">
        <f>'SER_se-appl'!S28</f>
        <v>3.6209480280430242</v>
      </c>
      <c r="T9" s="36">
        <f>'SER_se-appl'!T28</f>
        <v>3.7081525944211435</v>
      </c>
      <c r="U9" s="36">
        <f>'SER_se-appl'!U28</f>
        <v>4.794286478027594</v>
      </c>
      <c r="V9" s="36">
        <f>'SER_se-appl'!V28</f>
        <v>4.7311583155160903</v>
      </c>
      <c r="W9" s="36">
        <f>'SER_se-appl'!W28</f>
        <v>5.0782113557288824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1.2716802581845528</v>
      </c>
      <c r="D10" s="38">
        <f>'SER_se-appl'!D36</f>
        <v>1.3076504900441961</v>
      </c>
      <c r="E10" s="38">
        <f>'SER_se-appl'!E36</f>
        <v>1.3446381612890193</v>
      </c>
      <c r="F10" s="38">
        <f>'SER_se-appl'!F36</f>
        <v>1.3826720507967067</v>
      </c>
      <c r="G10" s="38">
        <f>'SER_se-appl'!G36</f>
        <v>1.4217817514725724</v>
      </c>
      <c r="H10" s="38">
        <f>'SER_se-appl'!H36</f>
        <v>1.4619976932748671</v>
      </c>
      <c r="I10" s="38">
        <f>'SER_se-appl'!I36</f>
        <v>1.5033511668912922</v>
      </c>
      <c r="J10" s="38">
        <f>'SER_se-appl'!J36</f>
        <v>1.5458743480852348</v>
      </c>
      <c r="K10" s="38">
        <f>'SER_se-appl'!K36</f>
        <v>1.5896003227306892</v>
      </c>
      <c r="L10" s="38">
        <f>'SER_se-appl'!L36</f>
        <v>1.6345631125552416</v>
      </c>
      <c r="M10" s="38">
        <f>'SER_se-appl'!M36</f>
        <v>1.6807977016112758</v>
      </c>
      <c r="N10" s="38">
        <f>'SER_se-appl'!N36</f>
        <v>1.7283400634958781</v>
      </c>
      <c r="O10" s="38">
        <f>'SER_se-appl'!O36</f>
        <v>1.7772271893407137</v>
      </c>
      <c r="P10" s="38">
        <f>'SER_se-appl'!P36</f>
        <v>1.8274971165935838</v>
      </c>
      <c r="Q10" s="38">
        <f>'SER_se-appl'!Q36</f>
        <v>1.8791889586141153</v>
      </c>
      <c r="R10" s="38">
        <f>'SER_se-appl'!R36</f>
        <v>1.9323429351065471</v>
      </c>
      <c r="S10" s="38">
        <f>'SER_se-appl'!S36</f>
        <v>1.9870004034133615</v>
      </c>
      <c r="T10" s="38">
        <f>'SER_se-appl'!T36</f>
        <v>2.0432038906940519</v>
      </c>
      <c r="U10" s="38">
        <f>'SER_se-appl'!U36</f>
        <v>3.0597061681494182</v>
      </c>
      <c r="V10" s="38">
        <f>'SER_se-appl'!V36</f>
        <v>3.0038432540884301</v>
      </c>
      <c r="W10" s="38">
        <f>'SER_se-appl'!W36</f>
        <v>3.3595972595575461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8760.0000000000036</v>
      </c>
      <c r="G12" s="205">
        <f>'SER_se-appl'!G44</f>
        <v>8760.0000000000018</v>
      </c>
      <c r="H12" s="205">
        <f>'SER_se-appl'!H44</f>
        <v>8760.0000000000018</v>
      </c>
      <c r="I12" s="205">
        <f>'SER_se-appl'!I44</f>
        <v>8759.9999999999982</v>
      </c>
      <c r="J12" s="205">
        <f>'SER_se-appl'!J44</f>
        <v>8760.0000000000018</v>
      </c>
      <c r="K12" s="205">
        <f>'SER_se-appl'!K44</f>
        <v>8759.9999999999982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8760</v>
      </c>
      <c r="Q12" s="205">
        <f>'SER_se-appl'!Q44</f>
        <v>8760</v>
      </c>
      <c r="R12" s="205">
        <f>'SER_se-appl'!R44</f>
        <v>8760</v>
      </c>
      <c r="S12" s="205">
        <f>'SER_se-appl'!S44</f>
        <v>8760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0.78582576882241961</v>
      </c>
      <c r="C14" s="59">
        <f>'SER_se-appl'!C52</f>
        <v>0.77745002770869465</v>
      </c>
      <c r="D14" s="59">
        <f>'SER_se-appl'!D52</f>
        <v>0.76920451049482108</v>
      </c>
      <c r="E14" s="59">
        <f>'SER_se-appl'!E52</f>
        <v>0.76024350108822303</v>
      </c>
      <c r="F14" s="59">
        <f>'SER_se-appl'!F52</f>
        <v>0.75098168043429936</v>
      </c>
      <c r="G14" s="59">
        <f>'SER_se-appl'!G52</f>
        <v>0.7422993458771131</v>
      </c>
      <c r="H14" s="59">
        <f>'SER_se-appl'!H52</f>
        <v>0.7332487597343591</v>
      </c>
      <c r="I14" s="59">
        <f>'SER_se-appl'!I52</f>
        <v>0.72456082509313446</v>
      </c>
      <c r="J14" s="59">
        <f>'SER_se-appl'!J52</f>
        <v>0.71711089264733496</v>
      </c>
      <c r="K14" s="59">
        <f>'SER_se-appl'!K52</f>
        <v>0.71073192454840861</v>
      </c>
      <c r="L14" s="59">
        <f>'SER_se-appl'!L52</f>
        <v>0.7067826533395648</v>
      </c>
      <c r="M14" s="59">
        <f>'SER_se-appl'!M52</f>
        <v>0.70120113084508184</v>
      </c>
      <c r="N14" s="59">
        <f>'SER_se-appl'!N52</f>
        <v>0.69266743772335226</v>
      </c>
      <c r="O14" s="59">
        <f>'SER_se-appl'!O52</f>
        <v>0.68358553597735039</v>
      </c>
      <c r="P14" s="59">
        <f>'SER_se-appl'!P52</f>
        <v>0.67341987063082276</v>
      </c>
      <c r="Q14" s="59">
        <f>'SER_se-appl'!Q52</f>
        <v>0.66206988547416068</v>
      </c>
      <c r="R14" s="59">
        <f>'SER_se-appl'!R52</f>
        <v>0.64998254476955142</v>
      </c>
      <c r="S14" s="59">
        <f>'SER_se-appl'!S52</f>
        <v>0.6373338009690066</v>
      </c>
      <c r="T14" s="59">
        <f>'SER_se-appl'!T52</f>
        <v>0.62477522980481326</v>
      </c>
      <c r="U14" s="59">
        <f>'SER_se-appl'!U52</f>
        <v>0.61267730570387025</v>
      </c>
      <c r="V14" s="59">
        <f>'SER_se-appl'!V52</f>
        <v>0.60159149298663883</v>
      </c>
      <c r="W14" s="59">
        <f>'SER_se-appl'!W52</f>
        <v>0.59048624472421352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0.70067124888093624</v>
      </c>
      <c r="D15" s="63">
        <f>'SER_se-appl'!D60</f>
        <v>0.69105060493196602</v>
      </c>
      <c r="E15" s="63">
        <f>'SER_se-appl'!E60</f>
        <v>0.68298581505070599</v>
      </c>
      <c r="F15" s="63">
        <f>'SER_se-appl'!F60</f>
        <v>0.67503450525453734</v>
      </c>
      <c r="G15" s="63">
        <f>'SER_se-appl'!G60</f>
        <v>0.667092016320186</v>
      </c>
      <c r="H15" s="63">
        <f>'SER_se-appl'!H60</f>
        <v>0.65848643771924342</v>
      </c>
      <c r="I15" s="63">
        <f>'SER_se-appl'!I60</f>
        <v>0.65124706163893786</v>
      </c>
      <c r="J15" s="63">
        <f>'SER_se-appl'!J60</f>
        <v>0.6449897092625948</v>
      </c>
      <c r="K15" s="63">
        <f>'SER_se-appl'!K60</f>
        <v>0.63788444409619482</v>
      </c>
      <c r="L15" s="63">
        <f>'SER_se-appl'!L60</f>
        <v>0.63024517112490031</v>
      </c>
      <c r="M15" s="63">
        <f>'SER_se-appl'!M60</f>
        <v>0.62212020119239664</v>
      </c>
      <c r="N15" s="63">
        <f>'SER_se-appl'!N60</f>
        <v>0.60884559182084708</v>
      </c>
      <c r="O15" s="63">
        <f>'SER_se-appl'!O60</f>
        <v>0.59064609375200872</v>
      </c>
      <c r="P15" s="63">
        <f>'SER_se-appl'!P60</f>
        <v>0.5740023013797223</v>
      </c>
      <c r="Q15" s="63">
        <f>'SER_se-appl'!Q60</f>
        <v>0.5572428005284471</v>
      </c>
      <c r="R15" s="63">
        <f>'SER_se-appl'!R60</f>
        <v>0.55350237001685776</v>
      </c>
      <c r="S15" s="63">
        <f>'SER_se-appl'!S60</f>
        <v>0.54778713314267602</v>
      </c>
      <c r="T15" s="63">
        <f>'SER_se-appl'!T60</f>
        <v>0.54216173875340068</v>
      </c>
      <c r="U15" s="63">
        <f>'SER_se-appl'!U60</f>
        <v>0.53696158953792095</v>
      </c>
      <c r="V15" s="63">
        <f>'SER_se-appl'!V60</f>
        <v>0.5318720952022129</v>
      </c>
      <c r="W15" s="63">
        <f>'SER_se-appl'!W60</f>
        <v>0.52982610040503175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72.678483200776483</v>
      </c>
      <c r="C3" s="199">
        <f>'SER_se-appl'!C5</f>
        <v>73.329853921745908</v>
      </c>
      <c r="D3" s="199">
        <f>'SER_se-appl'!D5</f>
        <v>74.937480885423511</v>
      </c>
      <c r="E3" s="199">
        <f>'SER_se-appl'!E5</f>
        <v>76.740723349143309</v>
      </c>
      <c r="F3" s="199">
        <f>'SER_se-appl'!F5</f>
        <v>78.809332917005719</v>
      </c>
      <c r="G3" s="199">
        <f>'SER_se-appl'!G5</f>
        <v>80.45040631360007</v>
      </c>
      <c r="H3" s="199">
        <f>'SER_se-appl'!H5</f>
        <v>82.060359617783107</v>
      </c>
      <c r="I3" s="199">
        <f>'SER_se-appl'!I5</f>
        <v>82.885945424193366</v>
      </c>
      <c r="J3" s="199">
        <f>'SER_se-appl'!J5</f>
        <v>84.582238883239896</v>
      </c>
      <c r="K3" s="199">
        <f>'SER_se-appl'!K5</f>
        <v>86.170506851911369</v>
      </c>
      <c r="L3" s="199">
        <f>'SER_se-appl'!L5</f>
        <v>87.393744689491797</v>
      </c>
      <c r="M3" s="199">
        <f>'SER_se-appl'!M5</f>
        <v>88.396563962780547</v>
      </c>
      <c r="N3" s="199">
        <f>'SER_se-appl'!N5</f>
        <v>89.4760252871597</v>
      </c>
      <c r="O3" s="199">
        <f>'SER_se-appl'!O5</f>
        <v>90.371050624159963</v>
      </c>
      <c r="P3" s="199">
        <f>'SER_se-appl'!P5</f>
        <v>91.769508899441789</v>
      </c>
      <c r="Q3" s="199">
        <f>'SER_se-appl'!Q5</f>
        <v>93.497818719411995</v>
      </c>
      <c r="R3" s="199">
        <f>'SER_se-appl'!R5</f>
        <v>95.350570129282147</v>
      </c>
      <c r="S3" s="199">
        <f>'SER_se-appl'!S5</f>
        <v>93.509383085749434</v>
      </c>
      <c r="T3" s="199">
        <f>'SER_se-appl'!T5</f>
        <v>91.249243315876086</v>
      </c>
      <c r="U3" s="199">
        <f>'SER_se-appl'!U5</f>
        <v>87.735850246132216</v>
      </c>
      <c r="V3" s="199">
        <f>'SER_se-appl'!V5</f>
        <v>83.635087520775272</v>
      </c>
      <c r="W3" s="199">
        <f>'SER_se-appl'!W5</f>
        <v>81.296428032071574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223.74750378630756</v>
      </c>
      <c r="C5" s="59">
        <f>'SER_se-appl'!C13</f>
        <v>225.74784115213174</v>
      </c>
      <c r="D5" s="59">
        <f>'SER_se-appl'!D13</f>
        <v>230.62324126102442</v>
      </c>
      <c r="E5" s="59">
        <f>'SER_se-appl'!E13</f>
        <v>235.84113476482293</v>
      </c>
      <c r="F5" s="59">
        <f>'SER_se-appl'!F13</f>
        <v>241.95048692341439</v>
      </c>
      <c r="G5" s="59">
        <f>'SER_se-appl'!G13</f>
        <v>246.79497278532614</v>
      </c>
      <c r="H5" s="59">
        <f>'SER_se-appl'!H13</f>
        <v>251.56602426607225</v>
      </c>
      <c r="I5" s="59">
        <f>'SER_se-appl'!I13</f>
        <v>254.12134161660245</v>
      </c>
      <c r="J5" s="59">
        <f>'SER_se-appl'!J13</f>
        <v>259.53770150212483</v>
      </c>
      <c r="K5" s="59">
        <f>'SER_se-appl'!K13</f>
        <v>264.64382154093852</v>
      </c>
      <c r="L5" s="59">
        <f>'SER_se-appl'!L13</f>
        <v>268.89477246652791</v>
      </c>
      <c r="M5" s="59">
        <f>'SER_se-appl'!M13</f>
        <v>272.79965766082228</v>
      </c>
      <c r="N5" s="59">
        <f>'SER_se-appl'!N13</f>
        <v>277.69675903793473</v>
      </c>
      <c r="O5" s="59">
        <f>'SER_se-appl'!O13</f>
        <v>282.58409297843247</v>
      </c>
      <c r="P5" s="59">
        <f>'SER_se-appl'!P13</f>
        <v>288.8305258804682</v>
      </c>
      <c r="Q5" s="59">
        <f>'SER_se-appl'!Q13</f>
        <v>295.94480096474331</v>
      </c>
      <c r="R5" s="59">
        <f>'SER_se-appl'!R13</f>
        <v>293.26892814230536</v>
      </c>
      <c r="S5" s="59">
        <f>'SER_se-appl'!S13</f>
        <v>289.73096528008477</v>
      </c>
      <c r="T5" s="59">
        <f>'SER_se-appl'!T13</f>
        <v>284.0598204304041</v>
      </c>
      <c r="U5" s="59">
        <f>'SER_se-appl'!U13</f>
        <v>276.57267138087155</v>
      </c>
      <c r="V5" s="59">
        <f>'SER_se-appl'!V13</f>
        <v>266.93795109807553</v>
      </c>
      <c r="W5" s="59">
        <f>'SER_se-appl'!W13</f>
        <v>256.69378702983062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0.1069867794800993</v>
      </c>
      <c r="C6" s="202">
        <f>'SER_se-appl'!C69</f>
        <v>0.10841874601696221</v>
      </c>
      <c r="D6" s="202">
        <f>'SER_se-appl'!D69</f>
        <v>0.11161350796153739</v>
      </c>
      <c r="E6" s="202">
        <f>'SER_se-appl'!E69</f>
        <v>0.11539940462981767</v>
      </c>
      <c r="F6" s="202">
        <f>'SER_se-appl'!F69</f>
        <v>0.11994079990329855</v>
      </c>
      <c r="G6" s="202">
        <f>'SER_se-appl'!G69</f>
        <v>0.12413474447407032</v>
      </c>
      <c r="H6" s="202">
        <f>'SER_se-appl'!H69</f>
        <v>0.12864009606896082</v>
      </c>
      <c r="I6" s="202">
        <f>'SER_se-appl'!I69</f>
        <v>0.1323383237712569</v>
      </c>
      <c r="J6" s="202">
        <f>'SER_se-appl'!J69</f>
        <v>0.13633152801598331</v>
      </c>
      <c r="K6" s="202">
        <f>'SER_se-appl'!K69</f>
        <v>0.1403543062896184</v>
      </c>
      <c r="L6" s="202">
        <f>'SER_se-appl'!L69</f>
        <v>0.14434072939756062</v>
      </c>
      <c r="M6" s="202">
        <f>'SER_se-appl'!M69</f>
        <v>0.14887340636440874</v>
      </c>
      <c r="N6" s="202">
        <f>'SER_se-appl'!N69</f>
        <v>0.1550221491443689</v>
      </c>
      <c r="O6" s="202">
        <f>'SER_se-appl'!O69</f>
        <v>0.16261142029516962</v>
      </c>
      <c r="P6" s="202">
        <f>'SER_se-appl'!P69</f>
        <v>0.17207372950201358</v>
      </c>
      <c r="Q6" s="202">
        <f>'SER_se-appl'!Q69</f>
        <v>0.18330902004175859</v>
      </c>
      <c r="R6" s="202">
        <f>'SER_se-appl'!R69</f>
        <v>0.18966290375143444</v>
      </c>
      <c r="S6" s="202">
        <f>'SER_se-appl'!S69</f>
        <v>0.19545239382207044</v>
      </c>
      <c r="T6" s="202">
        <f>'SER_se-appl'!T69</f>
        <v>0.20104410249544941</v>
      </c>
      <c r="U6" s="202">
        <f>'SER_se-appl'!U69</f>
        <v>0.20601308341121113</v>
      </c>
      <c r="V6" s="202">
        <f>'SER_se-appl'!V69</f>
        <v>0.21000019575050802</v>
      </c>
      <c r="W6" s="202">
        <f>'SER_se-appl'!W69</f>
        <v>0.21363029011861084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1152.849629608804</v>
      </c>
      <c r="C8" s="34">
        <f>'SER_se-appl'!C21</f>
        <v>1174.8243392335964</v>
      </c>
      <c r="D8" s="34">
        <f>'SER_se-appl'!D21</f>
        <v>1215.2784567864007</v>
      </c>
      <c r="E8" s="34">
        <f>'SER_se-appl'!E21</f>
        <v>1259.6733590760248</v>
      </c>
      <c r="F8" s="34">
        <f>'SER_se-appl'!F21</f>
        <v>1312.1966090972505</v>
      </c>
      <c r="G8" s="34">
        <f>'SER_se-appl'!G21</f>
        <v>1361.7472230230376</v>
      </c>
      <c r="H8" s="34">
        <f>'SER_se-appl'!H21</f>
        <v>1415.6477234516301</v>
      </c>
      <c r="I8" s="34">
        <f>'SER_se-appl'!I21</f>
        <v>1460.4867998461814</v>
      </c>
      <c r="J8" s="34">
        <f>'SER_se-appl'!J21</f>
        <v>1507.9544424985263</v>
      </c>
      <c r="K8" s="34">
        <f>'SER_se-appl'!K21</f>
        <v>1557.1952379352122</v>
      </c>
      <c r="L8" s="34">
        <f>'SER_se-appl'!L21</f>
        <v>1604.9662846422723</v>
      </c>
      <c r="M8" s="34">
        <f>'SER_se-appl'!M21</f>
        <v>1655.9772573666132</v>
      </c>
      <c r="N8" s="34">
        <f>'SER_se-appl'!N21</f>
        <v>1718.6384844070262</v>
      </c>
      <c r="O8" s="34">
        <f>'SER_se-appl'!O21</f>
        <v>1789.3134635312329</v>
      </c>
      <c r="P8" s="34">
        <f>'SER_se-appl'!P21</f>
        <v>1880.2164320387083</v>
      </c>
      <c r="Q8" s="34">
        <f>'SER_se-appl'!Q21</f>
        <v>1990.3726391757755</v>
      </c>
      <c r="R8" s="34">
        <f>'SER_se-appl'!R21</f>
        <v>2045.2769590037237</v>
      </c>
      <c r="S8" s="34">
        <f>'SER_se-appl'!S21</f>
        <v>2104.6690989880622</v>
      </c>
      <c r="T8" s="34">
        <f>'SER_se-appl'!T21</f>
        <v>2159.4478771805339</v>
      </c>
      <c r="U8" s="34">
        <f>'SER_se-appl'!U21</f>
        <v>2209.4077083387915</v>
      </c>
      <c r="V8" s="34">
        <f>'SER_se-appl'!V21</f>
        <v>2250.900748164544</v>
      </c>
      <c r="W8" s="34">
        <f>'SER_se-appl'!W21</f>
        <v>2281.2792522298814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166.59327377726936</v>
      </c>
      <c r="D9" s="36">
        <f>'SER_se-appl'!D29</f>
        <v>191.29777066346242</v>
      </c>
      <c r="E9" s="36">
        <f>'SER_se-appl'!E29</f>
        <v>201.73160257506152</v>
      </c>
      <c r="F9" s="36">
        <f>'SER_se-appl'!F29</f>
        <v>216.63248992772378</v>
      </c>
      <c r="G9" s="36">
        <f>'SER_se-appl'!G29</f>
        <v>220.72391661886013</v>
      </c>
      <c r="H9" s="36">
        <f>'SER_se-appl'!H29</f>
        <v>232.44193765387263</v>
      </c>
      <c r="I9" s="36">
        <f>'SER_se-appl'!I29</f>
        <v>231.06580862993155</v>
      </c>
      <c r="J9" s="36">
        <f>'SER_se-appl'!J29</f>
        <v>214.06091642961428</v>
      </c>
      <c r="K9" s="36">
        <f>'SER_se-appl'!K29</f>
        <v>240.53856610014827</v>
      </c>
      <c r="L9" s="36">
        <f>'SER_se-appl'!L29</f>
        <v>249.50264928212164</v>
      </c>
      <c r="M9" s="36">
        <f>'SER_se-appl'!M29</f>
        <v>267.64346265206473</v>
      </c>
      <c r="N9" s="36">
        <f>'SER_se-appl'!N29</f>
        <v>283.38514365927313</v>
      </c>
      <c r="O9" s="36">
        <f>'SER_se-appl'!O29</f>
        <v>303.11691677807926</v>
      </c>
      <c r="P9" s="36">
        <f>'SER_se-appl'!P29</f>
        <v>321.96877713740696</v>
      </c>
      <c r="Q9" s="36">
        <f>'SER_se-appl'!Q29</f>
        <v>324.21712356668149</v>
      </c>
      <c r="R9" s="36">
        <f>'SER_se-appl'!R29</f>
        <v>295.44288592809653</v>
      </c>
      <c r="S9" s="36">
        <f>'SER_se-appl'!S29</f>
        <v>308.89478926646007</v>
      </c>
      <c r="T9" s="36">
        <f>'SER_se-appl'!T29</f>
        <v>322.42224084453642</v>
      </c>
      <c r="U9" s="36">
        <f>'SER_se-appl'!U29</f>
        <v>333.34497481753078</v>
      </c>
      <c r="V9" s="36">
        <f>'SER_se-appl'!V29</f>
        <v>344.60995660383173</v>
      </c>
      <c r="W9" s="36">
        <f>'SER_se-appl'!W29</f>
        <v>352.3472812027444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144.61856415247689</v>
      </c>
      <c r="D10" s="38">
        <f>'SER_se-appl'!D37</f>
        <v>150.84365311065812</v>
      </c>
      <c r="E10" s="38">
        <f>'SER_se-appl'!E37</f>
        <v>157.33670028543747</v>
      </c>
      <c r="F10" s="38">
        <f>'SER_se-appl'!F37</f>
        <v>164.10923990649803</v>
      </c>
      <c r="G10" s="38">
        <f>'SER_se-appl'!G37</f>
        <v>171.17330269307308</v>
      </c>
      <c r="H10" s="38">
        <f>'SER_se-appl'!H37</f>
        <v>178.54143722528011</v>
      </c>
      <c r="I10" s="38">
        <f>'SER_se-appl'!I37</f>
        <v>186.22673223538027</v>
      </c>
      <c r="J10" s="38">
        <f>'SER_se-appl'!J37</f>
        <v>166.59327377726936</v>
      </c>
      <c r="K10" s="38">
        <f>'SER_se-appl'!K37</f>
        <v>191.29777066346242</v>
      </c>
      <c r="L10" s="38">
        <f>'SER_se-appl'!L37</f>
        <v>201.73160257506152</v>
      </c>
      <c r="M10" s="38">
        <f>'SER_se-appl'!M37</f>
        <v>216.63248992772378</v>
      </c>
      <c r="N10" s="38">
        <f>'SER_se-appl'!N37</f>
        <v>220.72391661886013</v>
      </c>
      <c r="O10" s="38">
        <f>'SER_se-appl'!O37</f>
        <v>232.44193765387263</v>
      </c>
      <c r="P10" s="38">
        <f>'SER_se-appl'!P37</f>
        <v>231.06580862993178</v>
      </c>
      <c r="Q10" s="38">
        <f>'SER_se-appl'!Q37</f>
        <v>214.06091642961428</v>
      </c>
      <c r="R10" s="38">
        <f>'SER_se-appl'!R37</f>
        <v>240.53856610014827</v>
      </c>
      <c r="S10" s="38">
        <f>'SER_se-appl'!S37</f>
        <v>249.50264928212164</v>
      </c>
      <c r="T10" s="38">
        <f>'SER_se-appl'!T37</f>
        <v>267.6434626520645</v>
      </c>
      <c r="U10" s="38">
        <f>'SER_se-appl'!U37</f>
        <v>283.38514365927313</v>
      </c>
      <c r="V10" s="38">
        <f>'SER_se-appl'!V37</f>
        <v>303.11691677807903</v>
      </c>
      <c r="W10" s="38">
        <f>'SER_se-appl'!W37</f>
        <v>321.96877713740696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3777.6991712600125</v>
      </c>
      <c r="C12" s="205">
        <f>'SER_se-appl'!C45</f>
        <v>3777.7823112611045</v>
      </c>
      <c r="D12" s="205">
        <f>'SER_se-appl'!D45</f>
        <v>3778.9899141650981</v>
      </c>
      <c r="E12" s="205">
        <f>'SER_se-appl'!E45</f>
        <v>3784.3042666857855</v>
      </c>
      <c r="F12" s="205">
        <f>'SER_se-appl'!F45</f>
        <v>3788.1822577811004</v>
      </c>
      <c r="G12" s="205">
        <f>'SER_se-appl'!G45</f>
        <v>3791.1559334761282</v>
      </c>
      <c r="H12" s="205">
        <f>'SER_se-appl'!H45</f>
        <v>3793.6839250813273</v>
      </c>
      <c r="I12" s="205">
        <f>'SER_se-appl'!I45</f>
        <v>3793.3199122556125</v>
      </c>
      <c r="J12" s="205">
        <f>'SER_se-appl'!J45</f>
        <v>3790.1677965042259</v>
      </c>
      <c r="K12" s="205">
        <f>'SER_se-appl'!K45</f>
        <v>3786.8369223677555</v>
      </c>
      <c r="L12" s="205">
        <f>'SER_se-appl'!L45</f>
        <v>3779.8773156339807</v>
      </c>
      <c r="M12" s="205">
        <f>'SER_se-appl'!M45</f>
        <v>3768.5239332863721</v>
      </c>
      <c r="N12" s="205">
        <f>'SER_se-appl'!N45</f>
        <v>3747.2751849707956</v>
      </c>
      <c r="O12" s="205">
        <f>'SER_se-appl'!O45</f>
        <v>3719.3010678035457</v>
      </c>
      <c r="P12" s="205">
        <f>'SER_se-appl'!P45</f>
        <v>3695.1751732162784</v>
      </c>
      <c r="Q12" s="205">
        <f>'SER_se-appl'!Q45</f>
        <v>3674.265025646806</v>
      </c>
      <c r="R12" s="205">
        <f>'SER_se-appl'!R45</f>
        <v>3781.2636259421838</v>
      </c>
      <c r="S12" s="205">
        <f>'SER_se-appl'!S45</f>
        <v>3753.5308807464166</v>
      </c>
      <c r="T12" s="205">
        <f>'SER_se-appl'!T45</f>
        <v>3735.9338541990123</v>
      </c>
      <c r="U12" s="205">
        <f>'SER_se-appl'!U45</f>
        <v>3689.3303060928852</v>
      </c>
      <c r="V12" s="205">
        <f>'SER_se-appl'!V45</f>
        <v>3643.8283273900083</v>
      </c>
      <c r="W12" s="205">
        <f>'SER_se-appl'!W45</f>
        <v>3683.2892176822247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194.08212314925382</v>
      </c>
      <c r="C14" s="59">
        <f>'SER_se-appl'!C53</f>
        <v>192.1545490787156</v>
      </c>
      <c r="D14" s="59">
        <f>'SER_se-appl'!D53</f>
        <v>189.76987535092883</v>
      </c>
      <c r="E14" s="59">
        <f>'SER_se-appl'!E53</f>
        <v>187.224039522288</v>
      </c>
      <c r="F14" s="59">
        <f>'SER_se-appl'!F53</f>
        <v>184.38584983836273</v>
      </c>
      <c r="G14" s="59">
        <f>'SER_se-appl'!G53</f>
        <v>181.2340562277401</v>
      </c>
      <c r="H14" s="59">
        <f>'SER_se-appl'!H53</f>
        <v>177.70383132655655</v>
      </c>
      <c r="I14" s="59">
        <f>'SER_se-appl'!I53</f>
        <v>173.99769833138274</v>
      </c>
      <c r="J14" s="59">
        <f>'SER_se-appl'!J53</f>
        <v>172.11242872304376</v>
      </c>
      <c r="K14" s="59">
        <f>'SER_se-appl'!K53</f>
        <v>169.94903085617395</v>
      </c>
      <c r="L14" s="59">
        <f>'SER_se-appl'!L53</f>
        <v>167.53920318423471</v>
      </c>
      <c r="M14" s="59">
        <f>'SER_se-appl'!M53</f>
        <v>164.73635519284656</v>
      </c>
      <c r="N14" s="59">
        <f>'SER_se-appl'!N53</f>
        <v>161.57950700943783</v>
      </c>
      <c r="O14" s="59">
        <f>'SER_se-appl'!O53</f>
        <v>157.92878036068046</v>
      </c>
      <c r="P14" s="59">
        <f>'SER_se-appl'!P53</f>
        <v>153.61557369610415</v>
      </c>
      <c r="Q14" s="59">
        <f>'SER_se-appl'!Q53</f>
        <v>148.68813765813005</v>
      </c>
      <c r="R14" s="59">
        <f>'SER_se-appl'!R53</f>
        <v>143.38836940947095</v>
      </c>
      <c r="S14" s="59">
        <f>'SER_se-appl'!S53</f>
        <v>137.661053426113</v>
      </c>
      <c r="T14" s="59">
        <f>'SER_se-appl'!T53</f>
        <v>131.54280009818277</v>
      </c>
      <c r="U14" s="59">
        <f>'SER_se-appl'!U53</f>
        <v>125.17955393068709</v>
      </c>
      <c r="V14" s="59">
        <f>'SER_se-appl'!V53</f>
        <v>118.59161329780765</v>
      </c>
      <c r="W14" s="59">
        <f>'SER_se-appl'!W53</f>
        <v>112.52186104744528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180.48877161471637</v>
      </c>
      <c r="D15" s="63">
        <f>'SER_se-appl'!D61</f>
        <v>178.52511532023641</v>
      </c>
      <c r="E15" s="63">
        <f>'SER_se-appl'!E61</f>
        <v>177.23615877780182</v>
      </c>
      <c r="F15" s="63">
        <f>'SER_se-appl'!F61</f>
        <v>175.22774114224356</v>
      </c>
      <c r="G15" s="63">
        <f>'SER_se-appl'!G61</f>
        <v>172.46053104786463</v>
      </c>
      <c r="H15" s="63">
        <f>'SER_se-appl'!H61</f>
        <v>169.60258155415926</v>
      </c>
      <c r="I15" s="63">
        <f>'SER_se-appl'!I61</f>
        <v>167.47868133055951</v>
      </c>
      <c r="J15" s="63">
        <f>'SER_se-appl'!J61</f>
        <v>165.76858503978039</v>
      </c>
      <c r="K15" s="63">
        <f>'SER_se-appl'!K61</f>
        <v>163.20699521700652</v>
      </c>
      <c r="L15" s="63">
        <f>'SER_se-appl'!L61</f>
        <v>160.33932058512235</v>
      </c>
      <c r="M15" s="63">
        <f>'SER_se-appl'!M61</f>
        <v>156.42043578241027</v>
      </c>
      <c r="N15" s="63">
        <f>'SER_se-appl'!N61</f>
        <v>151.6073309185974</v>
      </c>
      <c r="O15" s="63">
        <f>'SER_se-appl'!O61</f>
        <v>146.18150349056967</v>
      </c>
      <c r="P15" s="63">
        <f>'SER_se-appl'!P61</f>
        <v>139.59437381338006</v>
      </c>
      <c r="Q15" s="63">
        <f>'SER_se-appl'!Q61</f>
        <v>131.38988417547202</v>
      </c>
      <c r="R15" s="63">
        <f>'SER_se-appl'!R61</f>
        <v>123.81988373034508</v>
      </c>
      <c r="S15" s="63">
        <f>'SER_se-appl'!S61</f>
        <v>118.05677426434502</v>
      </c>
      <c r="T15" s="63">
        <f>'SER_se-appl'!T61</f>
        <v>112.25578644284749</v>
      </c>
      <c r="U15" s="63">
        <f>'SER_se-appl'!U61</f>
        <v>106.42463178589188</v>
      </c>
      <c r="V15" s="63">
        <f>'SER_se-appl'!V61</f>
        <v>100.6220675890475</v>
      </c>
      <c r="W15" s="63">
        <f>'SER_se-appl'!W61</f>
        <v>98.484840425783972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127.78834919148746</v>
      </c>
      <c r="C3" s="199">
        <f>'SER_se-appl'!C6</f>
        <v>134.37994512745163</v>
      </c>
      <c r="D3" s="199">
        <f>'SER_se-appl'!D6</f>
        <v>139.98565063501692</v>
      </c>
      <c r="E3" s="199">
        <f>'SER_se-appl'!E6</f>
        <v>147.09926917584113</v>
      </c>
      <c r="F3" s="199">
        <f>'SER_se-appl'!F6</f>
        <v>153.86117944010081</v>
      </c>
      <c r="G3" s="199">
        <f>'SER_se-appl'!G6</f>
        <v>158.68589887882547</v>
      </c>
      <c r="H3" s="199">
        <f>'SER_se-appl'!H6</f>
        <v>164.38258107258736</v>
      </c>
      <c r="I3" s="199">
        <f>'SER_se-appl'!I6</f>
        <v>169.18850402213386</v>
      </c>
      <c r="J3" s="199">
        <f>'SER_se-appl'!J6</f>
        <v>173.37134767062881</v>
      </c>
      <c r="K3" s="199">
        <f>'SER_se-appl'!K6</f>
        <v>174.3144056036584</v>
      </c>
      <c r="L3" s="199">
        <f>'SER_se-appl'!L6</f>
        <v>169.68618977441625</v>
      </c>
      <c r="M3" s="199">
        <f>'SER_se-appl'!M6</f>
        <v>167.07436418043258</v>
      </c>
      <c r="N3" s="199">
        <f>'SER_se-appl'!N6</f>
        <v>167.65071596796761</v>
      </c>
      <c r="O3" s="199">
        <f>'SER_se-appl'!O6</f>
        <v>166.25641736366455</v>
      </c>
      <c r="P3" s="199">
        <f>'SER_se-appl'!P6</f>
        <v>164.76797915184272</v>
      </c>
      <c r="Q3" s="199">
        <f>'SER_se-appl'!Q6</f>
        <v>164.18007674578504</v>
      </c>
      <c r="R3" s="199">
        <f>'SER_se-appl'!R6</f>
        <v>164.40701470784401</v>
      </c>
      <c r="S3" s="199">
        <f>'SER_se-appl'!S6</f>
        <v>158.83851247075611</v>
      </c>
      <c r="T3" s="199">
        <f>'SER_se-appl'!T6</f>
        <v>148.88395086462774</v>
      </c>
      <c r="U3" s="199">
        <f>'SER_se-appl'!U6</f>
        <v>136.98023784345619</v>
      </c>
      <c r="V3" s="199">
        <f>'SER_se-appl'!V6</f>
        <v>111.17648497782321</v>
      </c>
      <c r="W3" s="199">
        <f>'SER_se-appl'!W6</f>
        <v>108.30276803065286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650.07726272597995</v>
      </c>
      <c r="C5" s="59">
        <f>'SER_se-appl'!C14</f>
        <v>676.8054823105266</v>
      </c>
      <c r="D5" s="59">
        <f>'SER_se-appl'!D14</f>
        <v>697.21396696806005</v>
      </c>
      <c r="E5" s="59">
        <f>'SER_se-appl'!E14</f>
        <v>725.16209437747079</v>
      </c>
      <c r="F5" s="59">
        <f>'SER_se-appl'!F14</f>
        <v>751.90104346913608</v>
      </c>
      <c r="G5" s="59">
        <f>'SER_se-appl'!G14</f>
        <v>771.44084245532292</v>
      </c>
      <c r="H5" s="59">
        <f>'SER_se-appl'!H14</f>
        <v>797.08772490806325</v>
      </c>
      <c r="I5" s="59">
        <f>'SER_se-appl'!I14</f>
        <v>816.40026908290406</v>
      </c>
      <c r="J5" s="59">
        <f>'SER_se-appl'!J14</f>
        <v>833.37183320610984</v>
      </c>
      <c r="K5" s="59">
        <f>'SER_se-appl'!K14</f>
        <v>835.19907059386355</v>
      </c>
      <c r="L5" s="59">
        <f>'SER_se-appl'!L14</f>
        <v>810.52588828343323</v>
      </c>
      <c r="M5" s="59">
        <f>'SER_se-appl'!M14</f>
        <v>796.84888277327821</v>
      </c>
      <c r="N5" s="59">
        <f>'SER_se-appl'!N14</f>
        <v>796.44726550319581</v>
      </c>
      <c r="O5" s="59">
        <f>'SER_se-appl'!O14</f>
        <v>787.06130273859878</v>
      </c>
      <c r="P5" s="59">
        <f>'SER_se-appl'!P14</f>
        <v>775.4025140300879</v>
      </c>
      <c r="Q5" s="59">
        <f>'SER_se-appl'!Q14</f>
        <v>768.51937205634431</v>
      </c>
      <c r="R5" s="59">
        <f>'SER_se-appl'!R14</f>
        <v>744.45514866263511</v>
      </c>
      <c r="S5" s="59">
        <f>'SER_se-appl'!S14</f>
        <v>719.7098377930389</v>
      </c>
      <c r="T5" s="59">
        <f>'SER_se-appl'!T14</f>
        <v>680.6031408614424</v>
      </c>
      <c r="U5" s="59">
        <f>'SER_se-appl'!U14</f>
        <v>637.77436768850657</v>
      </c>
      <c r="V5" s="59">
        <f>'SER_se-appl'!V14</f>
        <v>593.97830868383517</v>
      </c>
      <c r="W5" s="59">
        <f>'SER_se-appl'!W14</f>
        <v>545.83970887309249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168.28752037822844</v>
      </c>
      <c r="C6" s="202">
        <f>'SER_se-appl'!C70</f>
        <v>168.78548699201465</v>
      </c>
      <c r="D6" s="202">
        <f>'SER_se-appl'!D70</f>
        <v>170.00608509678287</v>
      </c>
      <c r="E6" s="202">
        <f>'SER_se-appl'!E70</f>
        <v>172.08010891471352</v>
      </c>
      <c r="F6" s="202">
        <f>'SER_se-appl'!F70</f>
        <v>174.36864120480095</v>
      </c>
      <c r="G6" s="202">
        <f>'SER_se-appl'!G70</f>
        <v>177.17182959576905</v>
      </c>
      <c r="H6" s="202">
        <f>'SER_se-appl'!H70</f>
        <v>179.67669564198536</v>
      </c>
      <c r="I6" s="202">
        <f>'SER_se-appl'!I70</f>
        <v>182.75277513064665</v>
      </c>
      <c r="J6" s="202">
        <f>'SER_se-appl'!J70</f>
        <v>187.37363808434304</v>
      </c>
      <c r="K6" s="202">
        <f>'SER_se-appl'!K70</f>
        <v>192.8334919448836</v>
      </c>
      <c r="L6" s="202">
        <f>'SER_se-appl'!L70</f>
        <v>198.78830581627628</v>
      </c>
      <c r="M6" s="202">
        <f>'SER_se-appl'!M70</f>
        <v>206.6724842501292</v>
      </c>
      <c r="N6" s="202">
        <f>'SER_se-appl'!N70</f>
        <v>215.38750094766911</v>
      </c>
      <c r="O6" s="202">
        <f>'SER_se-appl'!O70</f>
        <v>224.28066503667731</v>
      </c>
      <c r="P6" s="202">
        <f>'SER_se-appl'!P70</f>
        <v>232.84237443022084</v>
      </c>
      <c r="Q6" s="202">
        <f>'SER_se-appl'!Q70</f>
        <v>243.87829072759763</v>
      </c>
      <c r="R6" s="202">
        <f>'SER_se-appl'!R70</f>
        <v>249.93963030727156</v>
      </c>
      <c r="S6" s="202">
        <f>'SER_se-appl'!S70</f>
        <v>256.09252749166524</v>
      </c>
      <c r="T6" s="202">
        <f>'SER_se-appl'!T70</f>
        <v>261.94581287996095</v>
      </c>
      <c r="U6" s="202">
        <f>'SER_se-appl'!U70</f>
        <v>267.26026608834519</v>
      </c>
      <c r="V6" s="202">
        <f>'SER_se-appl'!V70</f>
        <v>271.59007015139434</v>
      </c>
      <c r="W6" s="202">
        <f>'SER_se-appl'!W70</f>
        <v>274.20746241903822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13.853646249506056</v>
      </c>
      <c r="C8" s="34">
        <f>'SER_se-appl'!C22</f>
        <v>14.518173197638911</v>
      </c>
      <c r="D8" s="34">
        <f>'SER_se-appl'!D22</f>
        <v>15.122484366981595</v>
      </c>
      <c r="E8" s="34">
        <f>'SER_se-appl'!E22</f>
        <v>15.977897141527956</v>
      </c>
      <c r="F8" s="34">
        <f>'SER_se-appl'!F22</f>
        <v>16.865302070751287</v>
      </c>
      <c r="G8" s="34">
        <f>'SER_se-appl'!G22</f>
        <v>17.63032546911499</v>
      </c>
      <c r="H8" s="34">
        <f>'SER_se-appl'!H22</f>
        <v>18.638040608534311</v>
      </c>
      <c r="I8" s="34">
        <f>'SER_se-appl'!I22</f>
        <v>19.533151610159052</v>
      </c>
      <c r="J8" s="34">
        <f>'SER_se-appl'!J22</f>
        <v>20.398248174477175</v>
      </c>
      <c r="K8" s="34">
        <f>'SER_se-appl'!K22</f>
        <v>20.972892055824872</v>
      </c>
      <c r="L8" s="34">
        <f>'SER_se-appl'!L22</f>
        <v>20.898798465493229</v>
      </c>
      <c r="M8" s="34">
        <f>'SER_se-appl'!M22</f>
        <v>21.2205876782497</v>
      </c>
      <c r="N8" s="34">
        <f>'SER_se-appl'!N22</f>
        <v>22.150523501074879</v>
      </c>
      <c r="O8" s="34">
        <f>'SER_se-appl'!O22</f>
        <v>23.026182903604081</v>
      </c>
      <c r="P8" s="34">
        <f>'SER_se-appl'!P22</f>
        <v>23.934123935989653</v>
      </c>
      <c r="Q8" s="34">
        <f>'SER_se-appl'!Q22</f>
        <v>25.146655271835201</v>
      </c>
      <c r="R8" s="34">
        <f>'SER_se-appl'!R22</f>
        <v>25.781856070674582</v>
      </c>
      <c r="S8" s="34">
        <f>'SER_se-appl'!S22</f>
        <v>26.593096580695022</v>
      </c>
      <c r="T8" s="34">
        <f>'SER_se-appl'!T22</f>
        <v>27.39058067424935</v>
      </c>
      <c r="U8" s="34">
        <f>'SER_se-appl'!U22</f>
        <v>28.170027140832275</v>
      </c>
      <c r="V8" s="34">
        <f>'SER_se-appl'!V22</f>
        <v>28.845243673792364</v>
      </c>
      <c r="W8" s="34">
        <f>'SER_se-appl'!W22</f>
        <v>29.328410752390706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2.8279968154767356</v>
      </c>
      <c r="D9" s="36">
        <f>'SER_se-appl'!D30</f>
        <v>2.823984418626047</v>
      </c>
      <c r="E9" s="36">
        <f>'SER_se-appl'!E30</f>
        <v>3.1327494770136042</v>
      </c>
      <c r="F9" s="36">
        <f>'SER_se-appl'!F30</f>
        <v>3.2239030863637126</v>
      </c>
      <c r="G9" s="36">
        <f>'SER_se-appl'!G30</f>
        <v>3.1622199272765918</v>
      </c>
      <c r="H9" s="36">
        <f>'SER_se-appl'!H30</f>
        <v>3.4671868837776181</v>
      </c>
      <c r="I9" s="36">
        <f>'SER_se-appl'!I30</f>
        <v>3.7231078171014769</v>
      </c>
      <c r="J9" s="36">
        <f>'SER_se-appl'!J30</f>
        <v>3.6890809829441693</v>
      </c>
      <c r="K9" s="36">
        <f>'SER_se-appl'!K30</f>
        <v>3.7073933583613012</v>
      </c>
      <c r="L9" s="36">
        <f>'SER_se-appl'!L30</f>
        <v>3.1498094960320699</v>
      </c>
      <c r="M9" s="36">
        <f>'SER_se-appl'!M30</f>
        <v>3.4840091400330628</v>
      </c>
      <c r="N9" s="36">
        <f>'SER_se-appl'!N30</f>
        <v>4.3971227066027971</v>
      </c>
      <c r="O9" s="36">
        <f>'SER_se-appl'!O30</f>
        <v>4.5987672196306804</v>
      </c>
      <c r="P9" s="36">
        <f>'SER_se-appl'!P30</f>
        <v>4.5970220153297419</v>
      </c>
      <c r="Q9" s="36">
        <f>'SER_se-appl'!Q30</f>
        <v>4.9199246942068484</v>
      </c>
      <c r="R9" s="36">
        <f>'SER_se-appl'!R30</f>
        <v>3.7850102948714515</v>
      </c>
      <c r="S9" s="36">
        <f>'SER_se-appl'!S30</f>
        <v>4.2952496500535027</v>
      </c>
      <c r="T9" s="36">
        <f>'SER_se-appl'!T30</f>
        <v>5.1946068001571248</v>
      </c>
      <c r="U9" s="36">
        <f>'SER_se-appl'!U30</f>
        <v>5.3782136862136056</v>
      </c>
      <c r="V9" s="36">
        <f>'SER_se-appl'!V30</f>
        <v>5.2722385482898311</v>
      </c>
      <c r="W9" s="36">
        <f>'SER_se-appl'!W30</f>
        <v>5.4030917728051904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2.163469867343883</v>
      </c>
      <c r="D10" s="38">
        <f>'SER_se-appl'!D38</f>
        <v>2.2196732492833604</v>
      </c>
      <c r="E10" s="38">
        <f>'SER_se-appl'!E38</f>
        <v>2.2773367024672435</v>
      </c>
      <c r="F10" s="38">
        <f>'SER_se-appl'!F38</f>
        <v>2.3364981571403796</v>
      </c>
      <c r="G10" s="38">
        <f>'SER_se-appl'!G38</f>
        <v>2.3971965289128896</v>
      </c>
      <c r="H10" s="38">
        <f>'SER_se-appl'!H38</f>
        <v>2.4594717443582965</v>
      </c>
      <c r="I10" s="38">
        <f>'SER_se-appl'!I38</f>
        <v>2.8279968154767374</v>
      </c>
      <c r="J10" s="38">
        <f>'SER_se-appl'!J38</f>
        <v>2.823984418626047</v>
      </c>
      <c r="K10" s="38">
        <f>'SER_se-appl'!K38</f>
        <v>3.1327494770136042</v>
      </c>
      <c r="L10" s="38">
        <f>'SER_se-appl'!L38</f>
        <v>3.2239030863637126</v>
      </c>
      <c r="M10" s="38">
        <f>'SER_se-appl'!M38</f>
        <v>3.1622199272765918</v>
      </c>
      <c r="N10" s="38">
        <f>'SER_se-appl'!N38</f>
        <v>3.4671868837776181</v>
      </c>
      <c r="O10" s="38">
        <f>'SER_se-appl'!O38</f>
        <v>3.7231078171014786</v>
      </c>
      <c r="P10" s="38">
        <f>'SER_se-appl'!P38</f>
        <v>3.6890809829441693</v>
      </c>
      <c r="Q10" s="38">
        <f>'SER_se-appl'!Q38</f>
        <v>3.7073933583613012</v>
      </c>
      <c r="R10" s="38">
        <f>'SER_se-appl'!R38</f>
        <v>3.1498094960320699</v>
      </c>
      <c r="S10" s="38">
        <f>'SER_se-appl'!S38</f>
        <v>3.4840091400330628</v>
      </c>
      <c r="T10" s="38">
        <f>'SER_se-appl'!T38</f>
        <v>4.3971227066027971</v>
      </c>
      <c r="U10" s="38">
        <f>'SER_se-appl'!U38</f>
        <v>4.5987672196306804</v>
      </c>
      <c r="V10" s="38">
        <f>'SER_se-appl'!V38</f>
        <v>4.5970220153297454</v>
      </c>
      <c r="W10" s="38">
        <f>'SER_se-appl'!W38</f>
        <v>4.9199246942068449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2286.1567175338232</v>
      </c>
      <c r="C12" s="205">
        <f>'SER_se-appl'!C46</f>
        <v>2309.1402222348029</v>
      </c>
      <c r="D12" s="205">
        <f>'SER_se-appl'!D46</f>
        <v>2335.0552255357047</v>
      </c>
      <c r="E12" s="205">
        <f>'SER_se-appl'!E46</f>
        <v>2359.14771852998</v>
      </c>
      <c r="F12" s="205">
        <f>'SER_se-appl'!F46</f>
        <v>2379.8417789558816</v>
      </c>
      <c r="G12" s="205">
        <f>'SER_se-appl'!G46</f>
        <v>2392.2988029605408</v>
      </c>
      <c r="H12" s="205">
        <f>'SER_se-appl'!H46</f>
        <v>2398.4429293459461</v>
      </c>
      <c r="I12" s="205">
        <f>'SER_se-appl'!I46</f>
        <v>2410.1686100468496</v>
      </c>
      <c r="J12" s="205">
        <f>'SER_se-appl'!J46</f>
        <v>2419.4587494664447</v>
      </c>
      <c r="K12" s="205">
        <f>'SER_se-appl'!K46</f>
        <v>2427.2974055503482</v>
      </c>
      <c r="L12" s="205">
        <f>'SER_se-appl'!L46</f>
        <v>2434.77773579314</v>
      </c>
      <c r="M12" s="205">
        <f>'SER_se-appl'!M46</f>
        <v>2438.448365085153</v>
      </c>
      <c r="N12" s="205">
        <f>'SER_se-appl'!N46</f>
        <v>2448.0940686959266</v>
      </c>
      <c r="O12" s="205">
        <f>'SER_se-appl'!O46</f>
        <v>2456.6855557648973</v>
      </c>
      <c r="P12" s="205">
        <f>'SER_se-appl'!P46</f>
        <v>2471.2991805718784</v>
      </c>
      <c r="Q12" s="205">
        <f>'SER_se-appl'!Q46</f>
        <v>2484.5363200727365</v>
      </c>
      <c r="R12" s="205">
        <f>'SER_se-appl'!R46</f>
        <v>2568.3932530886582</v>
      </c>
      <c r="S12" s="205">
        <f>'SER_se-appl'!S46</f>
        <v>2566.7175895490595</v>
      </c>
      <c r="T12" s="205">
        <f>'SER_se-appl'!T46</f>
        <v>2544.0969114013014</v>
      </c>
      <c r="U12" s="205">
        <f>'SER_se-appl'!U46</f>
        <v>2497.8742433522616</v>
      </c>
      <c r="V12" s="205">
        <f>'SER_se-appl'!V46</f>
        <v>2176.8177413029357</v>
      </c>
      <c r="W12" s="205">
        <f>'SER_se-appl'!W46</f>
        <v>2307.566070627046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46.924632765843725</v>
      </c>
      <c r="C14" s="59">
        <f>'SER_se-appl'!C54</f>
        <v>46.617812936726459</v>
      </c>
      <c r="D14" s="59">
        <f>'SER_se-appl'!D54</f>
        <v>46.104459429322063</v>
      </c>
      <c r="E14" s="59">
        <f>'SER_se-appl'!E54</f>
        <v>45.385327490481266</v>
      </c>
      <c r="F14" s="59">
        <f>'SER_se-appl'!F54</f>
        <v>44.582720209507734</v>
      </c>
      <c r="G14" s="59">
        <f>'SER_se-appl'!G54</f>
        <v>43.756471983840683</v>
      </c>
      <c r="H14" s="59">
        <f>'SER_se-appl'!H54</f>
        <v>42.766712534314301</v>
      </c>
      <c r="I14" s="59">
        <f>'SER_se-appl'!I54</f>
        <v>41.795624453060618</v>
      </c>
      <c r="J14" s="59">
        <f>'SER_se-appl'!J54</f>
        <v>40.855068831295355</v>
      </c>
      <c r="K14" s="59">
        <f>'SER_se-appl'!K54</f>
        <v>39.8227897407168</v>
      </c>
      <c r="L14" s="59">
        <f>'SER_se-appl'!L54</f>
        <v>38.783372624111486</v>
      </c>
      <c r="M14" s="59">
        <f>'SER_se-appl'!M54</f>
        <v>37.550745288266363</v>
      </c>
      <c r="N14" s="59">
        <f>'SER_se-appl'!N54</f>
        <v>35.956137355604589</v>
      </c>
      <c r="O14" s="59">
        <f>'SER_se-appl'!O54</f>
        <v>34.181145265523242</v>
      </c>
      <c r="P14" s="59">
        <f>'SER_se-appl'!P54</f>
        <v>32.397363534335092</v>
      </c>
      <c r="Q14" s="59">
        <f>'SER_se-appl'!Q54</f>
        <v>30.561494709680243</v>
      </c>
      <c r="R14" s="59">
        <f>'SER_se-appl'!R54</f>
        <v>28.875157266485989</v>
      </c>
      <c r="S14" s="59">
        <f>'SER_se-appl'!S54</f>
        <v>27.063784603238144</v>
      </c>
      <c r="T14" s="59">
        <f>'SER_se-appl'!T54</f>
        <v>24.848072735504161</v>
      </c>
      <c r="U14" s="59">
        <f>'SER_se-appl'!U54</f>
        <v>22.6401758329887</v>
      </c>
      <c r="V14" s="59">
        <f>'SER_se-appl'!V54</f>
        <v>20.591897763148388</v>
      </c>
      <c r="W14" s="59">
        <f>'SER_se-appl'!W54</f>
        <v>18.61129515272485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45.349502484502317</v>
      </c>
      <c r="D15" s="63">
        <f>'SER_se-appl'!D62</f>
        <v>44.10995893558345</v>
      </c>
      <c r="E15" s="63">
        <f>'SER_se-appl'!E62</f>
        <v>43.032906667460942</v>
      </c>
      <c r="F15" s="63">
        <f>'SER_se-appl'!F62</f>
        <v>42.302222932939159</v>
      </c>
      <c r="G15" s="63">
        <f>'SER_se-appl'!G62</f>
        <v>41.751481177555476</v>
      </c>
      <c r="H15" s="63">
        <f>'SER_se-appl'!H62</f>
        <v>40.683325007574027</v>
      </c>
      <c r="I15" s="63">
        <f>'SER_se-appl'!I62</f>
        <v>39.633768355208986</v>
      </c>
      <c r="J15" s="63">
        <f>'SER_se-appl'!J62</f>
        <v>38.366574634143852</v>
      </c>
      <c r="K15" s="63">
        <f>'SER_se-appl'!K62</f>
        <v>36.85569348514251</v>
      </c>
      <c r="L15" s="63">
        <f>'SER_se-appl'!L62</f>
        <v>35.46407644774618</v>
      </c>
      <c r="M15" s="63">
        <f>'SER_se-appl'!M62</f>
        <v>33.969589488993456</v>
      </c>
      <c r="N15" s="63">
        <f>'SER_se-appl'!N62</f>
        <v>31.98798008830417</v>
      </c>
      <c r="O15" s="63">
        <f>'SER_se-appl'!O62</f>
        <v>30.04605874157884</v>
      </c>
      <c r="P15" s="63">
        <f>'SER_se-appl'!P62</f>
        <v>28.252771407643799</v>
      </c>
      <c r="Q15" s="63">
        <f>'SER_se-appl'!Q62</f>
        <v>26.373454744878327</v>
      </c>
      <c r="R15" s="63">
        <f>'SER_se-appl'!R62</f>
        <v>23.154722059318864</v>
      </c>
      <c r="S15" s="63">
        <f>'SER_se-appl'!S62</f>
        <v>21.792691233223685</v>
      </c>
      <c r="T15" s="63">
        <f>'SER_se-appl'!T62</f>
        <v>19.548809093687787</v>
      </c>
      <c r="U15" s="63">
        <f>'SER_se-appl'!U62</f>
        <v>17.728201668770211</v>
      </c>
      <c r="V15" s="63">
        <f>'SER_se-appl'!V62</f>
        <v>16.32751484248918</v>
      </c>
      <c r="W15" s="63">
        <f>'SER_se-appl'!W62</f>
        <v>15.105575639289379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122.23398189403426</v>
      </c>
      <c r="C3" s="199">
        <f>'SER_se-appl'!C7</f>
        <v>122.99093191670502</v>
      </c>
      <c r="D3" s="199">
        <f>'SER_se-appl'!D7</f>
        <v>125.1050883256014</v>
      </c>
      <c r="E3" s="199">
        <f>'SER_se-appl'!E7</f>
        <v>127.66841810242343</v>
      </c>
      <c r="F3" s="199">
        <f>'SER_se-appl'!F7</f>
        <v>132.15242064310644</v>
      </c>
      <c r="G3" s="199">
        <f>'SER_se-appl'!G7</f>
        <v>136.82111680327776</v>
      </c>
      <c r="H3" s="199">
        <f>'SER_se-appl'!H7</f>
        <v>142.67144868118982</v>
      </c>
      <c r="I3" s="199">
        <f>'SER_se-appl'!I7</f>
        <v>147.1389333616188</v>
      </c>
      <c r="J3" s="199">
        <f>'SER_se-appl'!J7</f>
        <v>150.53417400095603</v>
      </c>
      <c r="K3" s="199">
        <f>'SER_se-appl'!K7</f>
        <v>151.7781295431368</v>
      </c>
      <c r="L3" s="199">
        <f>'SER_se-appl'!L7</f>
        <v>152.35977162499398</v>
      </c>
      <c r="M3" s="199">
        <f>'SER_se-appl'!M7</f>
        <v>152.5448779106959</v>
      </c>
      <c r="N3" s="199">
        <f>'SER_se-appl'!N7</f>
        <v>152.4765277269442</v>
      </c>
      <c r="O3" s="199">
        <f>'SER_se-appl'!O7</f>
        <v>152.0920591451239</v>
      </c>
      <c r="P3" s="199">
        <f>'SER_se-appl'!P7</f>
        <v>152.26075697306541</v>
      </c>
      <c r="Q3" s="199">
        <f>'SER_se-appl'!Q7</f>
        <v>153.33253273389425</v>
      </c>
      <c r="R3" s="199">
        <f>'SER_se-appl'!R7</f>
        <v>151.25626955956767</v>
      </c>
      <c r="S3" s="199">
        <f>'SER_se-appl'!S7</f>
        <v>149.71672997435695</v>
      </c>
      <c r="T3" s="199">
        <f>'SER_se-appl'!T7</f>
        <v>148.19041204314345</v>
      </c>
      <c r="U3" s="199">
        <f>'SER_se-appl'!U7</f>
        <v>146.95082001537904</v>
      </c>
      <c r="V3" s="199">
        <f>'SER_se-appl'!V7</f>
        <v>145.64084764438937</v>
      </c>
      <c r="W3" s="199">
        <f>'SER_se-appl'!W7</f>
        <v>144.55336671081963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162.28095998032177</v>
      </c>
      <c r="C5" s="59">
        <f>'SER_se-appl'!C15</f>
        <v>163.28590618621911</v>
      </c>
      <c r="D5" s="59">
        <f>'SER_se-appl'!D15</f>
        <v>166.09271429529042</v>
      </c>
      <c r="E5" s="59">
        <f>'SER_se-appl'!E15</f>
        <v>169.49585645333161</v>
      </c>
      <c r="F5" s="59">
        <f>'SER_se-appl'!F15</f>
        <v>175.44893288576804</v>
      </c>
      <c r="G5" s="59">
        <f>'SER_se-appl'!G15</f>
        <v>181.64721329019633</v>
      </c>
      <c r="H5" s="59">
        <f>'SER_se-appl'!H15</f>
        <v>189.41426348883985</v>
      </c>
      <c r="I5" s="59">
        <f>'SER_se-appl'!I15</f>
        <v>195.34541038762865</v>
      </c>
      <c r="J5" s="59">
        <f>'SER_se-appl'!J15</f>
        <v>199.85301867935149</v>
      </c>
      <c r="K5" s="59">
        <f>'SER_se-appl'!K15</f>
        <v>201.50452586605948</v>
      </c>
      <c r="L5" s="59">
        <f>'SER_se-appl'!L15</f>
        <v>202.27672876697258</v>
      </c>
      <c r="M5" s="59">
        <f>'SER_se-appl'!M15</f>
        <v>202.5224806051819</v>
      </c>
      <c r="N5" s="59">
        <f>'SER_se-appl'!N15</f>
        <v>202.43173715346589</v>
      </c>
      <c r="O5" s="59">
        <f>'SER_se-appl'!O15</f>
        <v>201.92130683308119</v>
      </c>
      <c r="P5" s="59">
        <f>'SER_se-appl'!P15</f>
        <v>202.14527438319067</v>
      </c>
      <c r="Q5" s="59">
        <f>'SER_se-appl'!Q15</f>
        <v>203.56819128940532</v>
      </c>
      <c r="R5" s="59">
        <f>'SER_se-appl'!R15</f>
        <v>200.81169120750829</v>
      </c>
      <c r="S5" s="59">
        <f>'SER_se-appl'!S15</f>
        <v>198.76775908696027</v>
      </c>
      <c r="T5" s="59">
        <f>'SER_se-appl'!T15</f>
        <v>196.7413803723469</v>
      </c>
      <c r="U5" s="59">
        <f>'SER_se-appl'!U15</f>
        <v>195.09566629895642</v>
      </c>
      <c r="V5" s="59">
        <f>'SER_se-appl'!V15</f>
        <v>193.35651348222018</v>
      </c>
      <c r="W5" s="59">
        <f>'SER_se-appl'!W15</f>
        <v>191.91274598708137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2.1557979294156801E-2</v>
      </c>
      <c r="C6" s="202">
        <f>'SER_se-appl'!C71</f>
        <v>2.1774024889162819E-2</v>
      </c>
      <c r="D6" s="202">
        <f>'SER_se-appl'!D71</f>
        <v>2.2319687633700659E-2</v>
      </c>
      <c r="E6" s="202">
        <f>'SER_se-appl'!E71</f>
        <v>2.305083801264033E-2</v>
      </c>
      <c r="F6" s="202">
        <f>'SER_se-appl'!F71</f>
        <v>2.4207984943285028E-2</v>
      </c>
      <c r="G6" s="202">
        <f>'SER_se-appl'!G71</f>
        <v>2.5438326797231344E-2</v>
      </c>
      <c r="H6" s="202">
        <f>'SER_se-appl'!H71</f>
        <v>2.695361064194891E-2</v>
      </c>
      <c r="I6" s="202">
        <f>'SER_se-appl'!I71</f>
        <v>2.8273811531683141E-2</v>
      </c>
      <c r="J6" s="202">
        <f>'SER_se-appl'!J71</f>
        <v>2.9468825393535403E-2</v>
      </c>
      <c r="K6" s="202">
        <f>'SER_se-appl'!K71</f>
        <v>3.0264225402808376E-2</v>
      </c>
      <c r="L6" s="202">
        <f>'SER_se-appl'!L71</f>
        <v>3.101918023603286E-2</v>
      </c>
      <c r="M6" s="202">
        <f>'SER_se-appl'!M71</f>
        <v>3.1553195754508954E-2</v>
      </c>
      <c r="N6" s="202">
        <f>'SER_se-appl'!N71</f>
        <v>3.2183591720781654E-2</v>
      </c>
      <c r="O6" s="202">
        <f>'SER_se-appl'!O71</f>
        <v>3.2912063825931648E-2</v>
      </c>
      <c r="P6" s="202">
        <f>'SER_se-appl'!P71</f>
        <v>3.3916608596539374E-2</v>
      </c>
      <c r="Q6" s="202">
        <f>'SER_se-appl'!Q71</f>
        <v>3.5128010834396178E-2</v>
      </c>
      <c r="R6" s="202">
        <f>'SER_se-appl'!R71</f>
        <v>3.5650444402603142E-2</v>
      </c>
      <c r="S6" s="202">
        <f>'SER_se-appl'!S71</f>
        <v>3.6061688373595524E-2</v>
      </c>
      <c r="T6" s="202">
        <f>'SER_se-appl'!T71</f>
        <v>3.647044883233775E-2</v>
      </c>
      <c r="U6" s="202">
        <f>'SER_se-appl'!U71</f>
        <v>3.6821465318678782E-2</v>
      </c>
      <c r="V6" s="202">
        <f>'SER_se-appl'!V71</f>
        <v>3.7091397758486772E-2</v>
      </c>
      <c r="W6" s="202">
        <f>'SER_se-appl'!W71</f>
        <v>3.7434222682944267E-2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232.30074374755696</v>
      </c>
      <c r="C8" s="34">
        <f>'SER_se-appl'!C23</f>
        <v>235.94309418469453</v>
      </c>
      <c r="D8" s="34">
        <f>'SER_se-appl'!D23</f>
        <v>243.02287455014442</v>
      </c>
      <c r="E8" s="34">
        <f>'SER_se-appl'!E23</f>
        <v>251.61764605323896</v>
      </c>
      <c r="F8" s="34">
        <f>'SER_se-appl'!F23</f>
        <v>264.84428802598228</v>
      </c>
      <c r="G8" s="34">
        <f>'SER_se-appl'!G23</f>
        <v>279.05620639286968</v>
      </c>
      <c r="H8" s="34">
        <f>'SER_se-appl'!H23</f>
        <v>296.61683028922545</v>
      </c>
      <c r="I8" s="34">
        <f>'SER_se-appl'!I23</f>
        <v>312.03001025414738</v>
      </c>
      <c r="J8" s="34">
        <f>'SER_se-appl'!J23</f>
        <v>325.9528211418953</v>
      </c>
      <c r="K8" s="34">
        <f>'SER_se-appl'!K23</f>
        <v>335.77386346668123</v>
      </c>
      <c r="L8" s="34">
        <f>'SER_se-appl'!L23</f>
        <v>344.9112295875376</v>
      </c>
      <c r="M8" s="34">
        <f>'SER_se-appl'!M23</f>
        <v>350.97856523013888</v>
      </c>
      <c r="N8" s="34">
        <f>'SER_se-appl'!N23</f>
        <v>356.80036435482407</v>
      </c>
      <c r="O8" s="34">
        <f>'SER_se-appl'!O23</f>
        <v>362.15167919597883</v>
      </c>
      <c r="P8" s="34">
        <f>'SER_se-appl'!P23</f>
        <v>370.60023622892663</v>
      </c>
      <c r="Q8" s="34">
        <f>'SER_se-appl'!Q23</f>
        <v>381.42057394406874</v>
      </c>
      <c r="R8" s="34">
        <f>'SER_se-appl'!R23</f>
        <v>384.44540852568281</v>
      </c>
      <c r="S8" s="34">
        <f>'SER_se-appl'!S23</f>
        <v>388.31922031273274</v>
      </c>
      <c r="T8" s="34">
        <f>'SER_se-appl'!T23</f>
        <v>391.73510853219716</v>
      </c>
      <c r="U8" s="34">
        <f>'SER_se-appl'!U23</f>
        <v>394.89545013523713</v>
      </c>
      <c r="V8" s="34">
        <f>'SER_se-appl'!V23</f>
        <v>397.56655781519476</v>
      </c>
      <c r="W8" s="34">
        <f>'SER_se-appl'!W23</f>
        <v>399.74628823721451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24.754562714270605</v>
      </c>
      <c r="D9" s="36">
        <f>'SER_se-appl'!D31</f>
        <v>28.636704191838191</v>
      </c>
      <c r="E9" s="36">
        <f>'SER_se-appl'!E31</f>
        <v>30.605774365169424</v>
      </c>
      <c r="F9" s="36">
        <f>'SER_se-appl'!F31</f>
        <v>35.701288675405067</v>
      </c>
      <c r="G9" s="36">
        <f>'SER_se-appl'!G31</f>
        <v>37.159975189858102</v>
      </c>
      <c r="H9" s="36">
        <f>'SER_se-appl'!H31</f>
        <v>40.992062838082177</v>
      </c>
      <c r="I9" s="36">
        <f>'SER_se-appl'!I31</f>
        <v>39.338183075872905</v>
      </c>
      <c r="J9" s="36">
        <f>'SER_se-appl'!J31</f>
        <v>38.351774694988933</v>
      </c>
      <c r="K9" s="36">
        <f>'SER_se-appl'!K31</f>
        <v>34.76458234975405</v>
      </c>
      <c r="L9" s="36">
        <f>'SER_se-appl'!L31</f>
        <v>34.606321492298093</v>
      </c>
      <c r="M9" s="36">
        <f>'SER_se-appl'!M31</f>
        <v>30.821898356871884</v>
      </c>
      <c r="N9" s="36">
        <f>'SER_se-appl'!N31</f>
        <v>34.458503316523377</v>
      </c>
      <c r="O9" s="36">
        <f>'SER_se-appl'!O31</f>
        <v>35.957089206324156</v>
      </c>
      <c r="P9" s="36">
        <f>'SER_se-appl'!P31</f>
        <v>44.149845708352871</v>
      </c>
      <c r="Q9" s="36">
        <f>'SER_se-appl'!Q31</f>
        <v>47.980312905000176</v>
      </c>
      <c r="R9" s="36">
        <f>'SER_se-appl'!R31</f>
        <v>44.016897419696249</v>
      </c>
      <c r="S9" s="36">
        <f>'SER_se-appl'!S31</f>
        <v>43.211994862922836</v>
      </c>
      <c r="T9" s="36">
        <f>'SER_se-appl'!T31</f>
        <v>41.767662914453354</v>
      </c>
      <c r="U9" s="36">
        <f>'SER_se-appl'!U31</f>
        <v>37.924923952794018</v>
      </c>
      <c r="V9" s="36">
        <f>'SER_se-appl'!V31</f>
        <v>37.277429172255722</v>
      </c>
      <c r="W9" s="36">
        <f>'SER_se-appl'!W31</f>
        <v>33.001628778891643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21.11221227713304</v>
      </c>
      <c r="D10" s="38">
        <f>'SER_se-appl'!D39</f>
        <v>21.556923826388299</v>
      </c>
      <c r="E10" s="38">
        <f>'SER_se-appl'!E39</f>
        <v>22.011002862074918</v>
      </c>
      <c r="F10" s="38">
        <f>'SER_se-appl'!F39</f>
        <v>22.474646702661744</v>
      </c>
      <c r="G10" s="38">
        <f>'SER_se-appl'!G39</f>
        <v>22.948056822970727</v>
      </c>
      <c r="H10" s="38">
        <f>'SER_se-appl'!H39</f>
        <v>23.431438941726412</v>
      </c>
      <c r="I10" s="38">
        <f>'SER_se-appl'!I39</f>
        <v>23.925003110950968</v>
      </c>
      <c r="J10" s="38">
        <f>'SER_se-appl'!J39</f>
        <v>24.428963807241018</v>
      </c>
      <c r="K10" s="38">
        <f>'SER_se-appl'!K39</f>
        <v>24.943540024968115</v>
      </c>
      <c r="L10" s="38">
        <f>'SER_se-appl'!L39</f>
        <v>25.468955371441723</v>
      </c>
      <c r="M10" s="38">
        <f>'SER_se-appl'!M39</f>
        <v>24.754562714270605</v>
      </c>
      <c r="N10" s="38">
        <f>'SER_se-appl'!N39</f>
        <v>28.636704191838191</v>
      </c>
      <c r="O10" s="38">
        <f>'SER_se-appl'!O39</f>
        <v>30.605774365169395</v>
      </c>
      <c r="P10" s="38">
        <f>'SER_se-appl'!P39</f>
        <v>35.701288675405067</v>
      </c>
      <c r="Q10" s="38">
        <f>'SER_se-appl'!Q39</f>
        <v>37.159975189858073</v>
      </c>
      <c r="R10" s="38">
        <f>'SER_se-appl'!R39</f>
        <v>40.992062838082177</v>
      </c>
      <c r="S10" s="38">
        <f>'SER_se-appl'!S39</f>
        <v>39.338183075872905</v>
      </c>
      <c r="T10" s="38">
        <f>'SER_se-appl'!T39</f>
        <v>38.351774694988933</v>
      </c>
      <c r="U10" s="38">
        <f>'SER_se-appl'!U39</f>
        <v>34.76458234975405</v>
      </c>
      <c r="V10" s="38">
        <f>'SER_se-appl'!V39</f>
        <v>34.606321492298093</v>
      </c>
      <c r="W10" s="38">
        <f>'SER_se-appl'!W39</f>
        <v>30.821898356871884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8760</v>
      </c>
      <c r="O12" s="205">
        <f>'SER_se-appl'!O47</f>
        <v>8759.9999999999982</v>
      </c>
      <c r="P12" s="205">
        <f>'SER_se-appl'!P47</f>
        <v>8760.0000000000018</v>
      </c>
      <c r="Q12" s="205">
        <f>'SER_se-appl'!Q47</f>
        <v>8759.9999999999982</v>
      </c>
      <c r="R12" s="205">
        <f>'SER_se-appl'!R47</f>
        <v>8759.9999999999964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698.58131903647177</v>
      </c>
      <c r="C14" s="59">
        <f>'SER_se-appl'!C55</f>
        <v>692.05630599385154</v>
      </c>
      <c r="D14" s="59">
        <f>'SER_se-appl'!D55</f>
        <v>683.44477696900697</v>
      </c>
      <c r="E14" s="59">
        <f>'SER_se-appl'!E55</f>
        <v>673.62468058964578</v>
      </c>
      <c r="F14" s="59">
        <f>'SER_se-appl'!F55</f>
        <v>662.46070169561597</v>
      </c>
      <c r="G14" s="59">
        <f>'SER_se-appl'!G55</f>
        <v>650.93414562679186</v>
      </c>
      <c r="H14" s="59">
        <f>'SER_se-appl'!H55</f>
        <v>638.58231950002835</v>
      </c>
      <c r="I14" s="59">
        <f>'SER_se-appl'!I55</f>
        <v>626.04686718601351</v>
      </c>
      <c r="J14" s="59">
        <f>'SER_se-appl'!J55</f>
        <v>613.1348026969539</v>
      </c>
      <c r="K14" s="59">
        <f>'SER_se-appl'!K55</f>
        <v>600.11974662243097</v>
      </c>
      <c r="L14" s="59">
        <f>'SER_se-appl'!L55</f>
        <v>586.46025822025388</v>
      </c>
      <c r="M14" s="59">
        <f>'SER_se-appl'!M55</f>
        <v>577.02236167153569</v>
      </c>
      <c r="N14" s="59">
        <f>'SER_se-appl'!N55</f>
        <v>567.3529440461989</v>
      </c>
      <c r="O14" s="59">
        <f>'SER_se-appl'!O55</f>
        <v>557.5600457834995</v>
      </c>
      <c r="P14" s="59">
        <f>'SER_se-appl'!P55</f>
        <v>545.45371163315122</v>
      </c>
      <c r="Q14" s="59">
        <f>'SER_se-appl'!Q55</f>
        <v>533.71056832203396</v>
      </c>
      <c r="R14" s="59">
        <f>'SER_se-appl'!R55</f>
        <v>522.34123949510797</v>
      </c>
      <c r="S14" s="59">
        <f>'SER_se-appl'!S55</f>
        <v>511.86690920650983</v>
      </c>
      <c r="T14" s="59">
        <f>'SER_se-appl'!T55</f>
        <v>502.23065558132504</v>
      </c>
      <c r="U14" s="59">
        <f>'SER_se-appl'!U55</f>
        <v>494.04384434447991</v>
      </c>
      <c r="V14" s="59">
        <f>'SER_se-appl'!V55</f>
        <v>486.35004549879727</v>
      </c>
      <c r="W14" s="59">
        <f>'SER_se-appl'!W55</f>
        <v>480.08637386821192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636.38948052001956</v>
      </c>
      <c r="D15" s="63">
        <f>'SER_se-appl'!D63</f>
        <v>623.88717187540158</v>
      </c>
      <c r="E15" s="63">
        <f>'SER_se-appl'!E63</f>
        <v>613.59720380468389</v>
      </c>
      <c r="F15" s="63">
        <f>'SER_se-appl'!F63</f>
        <v>606.51717554884283</v>
      </c>
      <c r="G15" s="63">
        <f>'SER_se-appl'!G63</f>
        <v>598.20718651098582</v>
      </c>
      <c r="H15" s="63">
        <f>'SER_se-appl'!H63</f>
        <v>588.79241615171486</v>
      </c>
      <c r="I15" s="63">
        <f>'SER_se-appl'!I63</f>
        <v>575.64191732782785</v>
      </c>
      <c r="J15" s="63">
        <f>'SER_se-appl'!J63</f>
        <v>562.50919866032405</v>
      </c>
      <c r="K15" s="63">
        <f>'SER_se-appl'!K63</f>
        <v>548.73658733668788</v>
      </c>
      <c r="L15" s="63">
        <f>'SER_se-appl'!L63</f>
        <v>536.44359002176918</v>
      </c>
      <c r="M15" s="63">
        <f>'SER_se-appl'!M63</f>
        <v>519.08857005483878</v>
      </c>
      <c r="N15" s="63">
        <f>'SER_se-appl'!N63</f>
        <v>515.8473882363561</v>
      </c>
      <c r="O15" s="63">
        <f>'SER_se-appl'!O63</f>
        <v>508.0830415813279</v>
      </c>
      <c r="P15" s="63">
        <f>'SER_se-appl'!P63</f>
        <v>495.52635960471815</v>
      </c>
      <c r="Q15" s="63">
        <f>'SER_se-appl'!Q63</f>
        <v>492.95804223262553</v>
      </c>
      <c r="R15" s="63">
        <f>'SER_se-appl'!R63</f>
        <v>485.70701009957463</v>
      </c>
      <c r="S15" s="63">
        <f>'SER_se-appl'!S63</f>
        <v>476.73742151433538</v>
      </c>
      <c r="T15" s="63">
        <f>'SER_se-appl'!T63</f>
        <v>467.98997052578983</v>
      </c>
      <c r="U15" s="63">
        <f>'SER_se-appl'!U63</f>
        <v>459.61553481545263</v>
      </c>
      <c r="V15" s="63">
        <f>'SER_se-appl'!V63</f>
        <v>451.35050607411614</v>
      </c>
      <c r="W15" s="63">
        <f>'SER_se-appl'!W63</f>
        <v>441.05482631861366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24.964619105795375</v>
      </c>
      <c r="C3" s="199">
        <f>'SER_se-appl'!C8</f>
        <v>27.587047202327302</v>
      </c>
      <c r="D3" s="199">
        <f>'SER_se-appl'!D8</f>
        <v>30.15244021273551</v>
      </c>
      <c r="E3" s="199">
        <f>'SER_se-appl'!E8</f>
        <v>33.413329278290938</v>
      </c>
      <c r="F3" s="199">
        <f>'SER_se-appl'!F8</f>
        <v>37.047788597345452</v>
      </c>
      <c r="G3" s="199">
        <f>'SER_se-appl'!G8</f>
        <v>41.107842693141812</v>
      </c>
      <c r="H3" s="199">
        <f>'SER_se-appl'!H8</f>
        <v>45.677316035590806</v>
      </c>
      <c r="I3" s="199">
        <f>'SER_se-appl'!I8</f>
        <v>49.953124382835711</v>
      </c>
      <c r="J3" s="199">
        <f>'SER_se-appl'!J8</f>
        <v>53.354833746656752</v>
      </c>
      <c r="K3" s="199">
        <f>'SER_se-appl'!K8</f>
        <v>55.303425217668121</v>
      </c>
      <c r="L3" s="199">
        <f>'SER_se-appl'!L8</f>
        <v>55.270212109850732</v>
      </c>
      <c r="M3" s="199">
        <f>'SER_se-appl'!M8</f>
        <v>55.352216671530904</v>
      </c>
      <c r="N3" s="199">
        <f>'SER_se-appl'!N8</f>
        <v>56.267777319026088</v>
      </c>
      <c r="O3" s="199">
        <f>'SER_se-appl'!O8</f>
        <v>56.473865674683104</v>
      </c>
      <c r="P3" s="199">
        <f>'SER_se-appl'!P8</f>
        <v>56.71771520328501</v>
      </c>
      <c r="Q3" s="199">
        <f>'SER_se-appl'!Q8</f>
        <v>56.702228483002273</v>
      </c>
      <c r="R3" s="199">
        <f>'SER_se-appl'!R8</f>
        <v>59.153791796615963</v>
      </c>
      <c r="S3" s="199">
        <f>'SER_se-appl'!S8</f>
        <v>59.985972562119059</v>
      </c>
      <c r="T3" s="199">
        <f>'SER_se-appl'!T8</f>
        <v>60.740314332668319</v>
      </c>
      <c r="U3" s="199">
        <f>'SER_se-appl'!U8</f>
        <v>60.904596444937461</v>
      </c>
      <c r="V3" s="199">
        <f>'SER_se-appl'!V8</f>
        <v>53.627017479588403</v>
      </c>
      <c r="W3" s="199">
        <f>'SER_se-appl'!W8</f>
        <v>57.353032306297635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313.5835908305246</v>
      </c>
      <c r="C5" s="59">
        <f>'SER_se-appl'!C16</f>
        <v>344.87679060105722</v>
      </c>
      <c r="D5" s="59">
        <f>'SER_se-appl'!D16</f>
        <v>375.31142689727113</v>
      </c>
      <c r="E5" s="59">
        <f>'SER_se-appl'!E16</f>
        <v>414.23898369428713</v>
      </c>
      <c r="F5" s="59">
        <f>'SER_se-appl'!F16</f>
        <v>457.59816334570394</v>
      </c>
      <c r="G5" s="59">
        <f>'SER_se-appl'!G16</f>
        <v>505.99765906293857</v>
      </c>
      <c r="H5" s="59">
        <f>'SER_se-appl'!H16</f>
        <v>560.43204859500838</v>
      </c>
      <c r="I5" s="59">
        <f>'SER_se-appl'!I16</f>
        <v>611.03852895746229</v>
      </c>
      <c r="J5" s="59">
        <f>'SER_se-appl'!J16</f>
        <v>650.78649261099872</v>
      </c>
      <c r="K5" s="59">
        <f>'SER_se-appl'!K16</f>
        <v>672.73300437848991</v>
      </c>
      <c r="L5" s="59">
        <f>'SER_se-appl'!L16</f>
        <v>670.60689764081451</v>
      </c>
      <c r="M5" s="59">
        <f>'SER_se-appl'!M16</f>
        <v>670.51051439741457</v>
      </c>
      <c r="N5" s="59">
        <f>'SER_se-appl'!N16</f>
        <v>680.5450645488761</v>
      </c>
      <c r="O5" s="59">
        <f>'SER_se-appl'!O16</f>
        <v>682.02632820989436</v>
      </c>
      <c r="P5" s="59">
        <f>'SER_se-appl'!P16</f>
        <v>684.00021391928715</v>
      </c>
      <c r="Q5" s="59">
        <f>'SER_se-appl'!Q16</f>
        <v>682.88359344388596</v>
      </c>
      <c r="R5" s="59">
        <f>'SER_se-appl'!R16</f>
        <v>692.82641703631282</v>
      </c>
      <c r="S5" s="59">
        <f>'SER_se-appl'!S16</f>
        <v>705.98132232258126</v>
      </c>
      <c r="T5" s="59">
        <f>'SER_se-appl'!T16</f>
        <v>716.4643530097801</v>
      </c>
      <c r="U5" s="59">
        <f>'SER_se-appl'!U16</f>
        <v>725.92884071407298</v>
      </c>
      <c r="V5" s="59">
        <f>'SER_se-appl'!V16</f>
        <v>733.45948048806247</v>
      </c>
      <c r="W5" s="59">
        <f>'SER_se-appl'!W16</f>
        <v>739.97456258247087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70.190026515686412</v>
      </c>
      <c r="C6" s="202">
        <f>'SER_se-appl'!C72</f>
        <v>74.495676901174761</v>
      </c>
      <c r="D6" s="202">
        <f>'SER_se-appl'!D72</f>
        <v>79.05900168904995</v>
      </c>
      <c r="E6" s="202">
        <f>'SER_se-appl'!E72</f>
        <v>84.465705651727887</v>
      </c>
      <c r="F6" s="202">
        <f>'SER_se-appl'!F72</f>
        <v>90.567996973555168</v>
      </c>
      <c r="G6" s="202">
        <f>'SER_se-appl'!G72</f>
        <v>98.494395420279673</v>
      </c>
      <c r="H6" s="202">
        <f>'SER_se-appl'!H72</f>
        <v>105.99217244417278</v>
      </c>
      <c r="I6" s="202">
        <f>'SER_se-appl'!I72</f>
        <v>113.57470430590978</v>
      </c>
      <c r="J6" s="202">
        <f>'SER_se-appl'!J72</f>
        <v>120.18672575478497</v>
      </c>
      <c r="K6" s="202">
        <f>'SER_se-appl'!K72</f>
        <v>125.67313380913467</v>
      </c>
      <c r="L6" s="202">
        <f>'SER_se-appl'!L72</f>
        <v>130.62401493456093</v>
      </c>
      <c r="M6" s="202">
        <f>'SER_se-appl'!M72</f>
        <v>135.15357678495653</v>
      </c>
      <c r="N6" s="202">
        <f>'SER_se-appl'!N72</f>
        <v>139.19000334087966</v>
      </c>
      <c r="O6" s="202">
        <f>'SER_se-appl'!O72</f>
        <v>142.09903948678513</v>
      </c>
      <c r="P6" s="202">
        <f>'SER_se-appl'!P72</f>
        <v>145.28313217960084</v>
      </c>
      <c r="Q6" s="202">
        <f>'SER_se-appl'!Q72</f>
        <v>148.01978477890844</v>
      </c>
      <c r="R6" s="202">
        <f>'SER_se-appl'!R72</f>
        <v>153.79196708235128</v>
      </c>
      <c r="S6" s="202">
        <f>'SER_se-appl'!S72</f>
        <v>159.5589272595038</v>
      </c>
      <c r="T6" s="202">
        <f>'SER_se-appl'!T72</f>
        <v>165.34828370774531</v>
      </c>
      <c r="U6" s="202">
        <f>'SER_se-appl'!U72</f>
        <v>171.17678736734695</v>
      </c>
      <c r="V6" s="202">
        <f>'SER_se-appl'!V72</f>
        <v>177.07561774086909</v>
      </c>
      <c r="W6" s="202">
        <f>'SER_se-appl'!W72</f>
        <v>183.26736852128931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5.7781337285516781</v>
      </c>
      <c r="C8" s="34">
        <f>'SER_se-appl'!C24</f>
        <v>6.4077851656628031</v>
      </c>
      <c r="D8" s="34">
        <f>'SER_se-appl'!D24</f>
        <v>7.032504256722361</v>
      </c>
      <c r="E8" s="34">
        <f>'SER_se-appl'!E24</f>
        <v>7.8427679143251057</v>
      </c>
      <c r="F8" s="34">
        <f>'SER_se-appl'!F24</f>
        <v>8.7599273375529432</v>
      </c>
      <c r="G8" s="34">
        <f>'SER_se-appl'!G24</f>
        <v>9.8011532200416323</v>
      </c>
      <c r="H8" s="34">
        <f>'SER_se-appl'!H24</f>
        <v>10.994672442872155</v>
      </c>
      <c r="I8" s="34">
        <f>'SER_se-appl'!I24</f>
        <v>12.139196883332547</v>
      </c>
      <c r="J8" s="34">
        <f>'SER_se-appl'!J24</f>
        <v>13.084010559267606</v>
      </c>
      <c r="K8" s="34">
        <f>'SER_se-appl'!K24</f>
        <v>13.668419542231652</v>
      </c>
      <c r="L8" s="34">
        <f>'SER_se-appl'!L24</f>
        <v>13.732623514554099</v>
      </c>
      <c r="M8" s="34">
        <f>'SER_se-appl'!M24</f>
        <v>13.877214166173795</v>
      </c>
      <c r="N8" s="34">
        <f>'SER_se-appl'!N24</f>
        <v>14.314347056127128</v>
      </c>
      <c r="O8" s="34">
        <f>'SER_se-appl'!O24</f>
        <v>14.588856659195713</v>
      </c>
      <c r="P8" s="34">
        <f>'SER_se-appl'!P24</f>
        <v>14.93381305659809</v>
      </c>
      <c r="Q8" s="34">
        <f>'SER_se-appl'!Q24</f>
        <v>15.262541369063483</v>
      </c>
      <c r="R8" s="34">
        <f>'SER_se-appl'!R24</f>
        <v>15.864000259856944</v>
      </c>
      <c r="S8" s="34">
        <f>'SER_se-appl'!S24</f>
        <v>16.568878461563759</v>
      </c>
      <c r="T8" s="34">
        <f>'SER_se-appl'!T24</f>
        <v>17.289780105479739</v>
      </c>
      <c r="U8" s="34">
        <f>'SER_se-appl'!U24</f>
        <v>18.042542636789367</v>
      </c>
      <c r="V8" s="34">
        <f>'SER_se-appl'!V24</f>
        <v>18.806981196239647</v>
      </c>
      <c r="W8" s="34">
        <f>'SER_se-appl'!W24</f>
        <v>19.601730069943383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0.79422686838957723</v>
      </c>
      <c r="D9" s="36">
        <f>'SER_se-appl'!D32</f>
        <v>0.80781443854899049</v>
      </c>
      <c r="E9" s="36">
        <f>'SER_se-appl'!E32</f>
        <v>1.0139629948115623</v>
      </c>
      <c r="F9" s="36">
        <f>'SER_se-appl'!F32</f>
        <v>1.1437813475326397</v>
      </c>
      <c r="G9" s="36">
        <f>'SER_se-appl'!G32</f>
        <v>1.2933499064513363</v>
      </c>
      <c r="H9" s="36">
        <f>'SER_se-appl'!H32</f>
        <v>1.474015135369072</v>
      </c>
      <c r="I9" s="36">
        <f>'SER_se-appl'!I32</f>
        <v>1.4565849720759374</v>
      </c>
      <c r="J9" s="36">
        <f>'SER_se-appl'!J32</f>
        <v>1.2919908398047557</v>
      </c>
      <c r="K9" s="36">
        <f>'SER_se-appl'!K32</f>
        <v>0.97065450555099098</v>
      </c>
      <c r="L9" s="36">
        <f>'SER_se-appl'!L32</f>
        <v>0.49391427370176011</v>
      </c>
      <c r="M9" s="36">
        <f>'SER_se-appl'!M32</f>
        <v>0.62265688750708925</v>
      </c>
      <c r="N9" s="36">
        <f>'SER_se-appl'!N32</f>
        <v>0.96899662503702544</v>
      </c>
      <c r="O9" s="36">
        <f>'SER_se-appl'!O32</f>
        <v>0.86622474934343785</v>
      </c>
      <c r="P9" s="36">
        <f>'SER_se-appl'!P32</f>
        <v>1.0032581225161863</v>
      </c>
      <c r="Q9" s="36">
        <f>'SER_se-appl'!Q32</f>
        <v>1.0611097024231224</v>
      </c>
      <c r="R9" s="36">
        <f>'SER_se-appl'!R32</f>
        <v>1.3956857591830385</v>
      </c>
      <c r="S9" s="36">
        <f>'SER_se-appl'!S32</f>
        <v>1.512692640255807</v>
      </c>
      <c r="T9" s="36">
        <f>'SER_se-appl'!T32</f>
        <v>1.7348646387275419</v>
      </c>
      <c r="U9" s="36">
        <f>'SER_se-appl'!U32</f>
        <v>1.8965438788422695</v>
      </c>
      <c r="V9" s="36">
        <f>'SER_se-appl'!V32</f>
        <v>2.0577884659016163</v>
      </c>
      <c r="W9" s="36">
        <f>'SER_se-appl'!W32</f>
        <v>2.2687640090728074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0.1645754312784522</v>
      </c>
      <c r="D10" s="38">
        <f>'SER_se-appl'!D40</f>
        <v>0.18309534748943257</v>
      </c>
      <c r="E10" s="38">
        <f>'SER_se-appl'!E40</f>
        <v>0.20369933720881672</v>
      </c>
      <c r="F10" s="38">
        <f>'SER_se-appl'!F40</f>
        <v>0.2266219243048031</v>
      </c>
      <c r="G10" s="38">
        <f>'SER_se-appl'!G40</f>
        <v>0.25212402396264721</v>
      </c>
      <c r="H10" s="38">
        <f>'SER_se-appl'!H40</f>
        <v>0.28049591253854977</v>
      </c>
      <c r="I10" s="38">
        <f>'SER_se-appl'!I40</f>
        <v>0.31206053161554514</v>
      </c>
      <c r="J10" s="38">
        <f>'SER_se-appl'!J40</f>
        <v>0.34717716386969677</v>
      </c>
      <c r="K10" s="38">
        <f>'SER_se-appl'!K40</f>
        <v>0.386245522586945</v>
      </c>
      <c r="L10" s="38">
        <f>'SER_se-appl'!L40</f>
        <v>0.42971030137931265</v>
      </c>
      <c r="M10" s="38">
        <f>'SER_se-appl'!M40</f>
        <v>0.47806623588739328</v>
      </c>
      <c r="N10" s="38">
        <f>'SER_se-appl'!N40</f>
        <v>0.531863735083693</v>
      </c>
      <c r="O10" s="38">
        <f>'SER_se-appl'!O40</f>
        <v>0.59171514627485244</v>
      </c>
      <c r="P10" s="38">
        <f>'SER_se-appl'!P40</f>
        <v>0.6583017251138088</v>
      </c>
      <c r="Q10" s="38">
        <f>'SER_se-appl'!Q40</f>
        <v>0.73238138995773028</v>
      </c>
      <c r="R10" s="38">
        <f>'SER_se-appl'!R40</f>
        <v>0.79422686838957901</v>
      </c>
      <c r="S10" s="38">
        <f>'SER_se-appl'!S40</f>
        <v>0.80781443854899138</v>
      </c>
      <c r="T10" s="38">
        <f>'SER_se-appl'!T40</f>
        <v>1.0139629948115605</v>
      </c>
      <c r="U10" s="38">
        <f>'SER_se-appl'!U40</f>
        <v>1.1437813475326415</v>
      </c>
      <c r="V10" s="38">
        <f>'SER_se-appl'!V40</f>
        <v>1.2933499064513363</v>
      </c>
      <c r="W10" s="38">
        <f>'SER_se-appl'!W40</f>
        <v>1.474015135369072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925.87280932474835</v>
      </c>
      <c r="C12" s="205">
        <f>'SER_se-appl'!C48</f>
        <v>930.29559456264269</v>
      </c>
      <c r="D12" s="205">
        <f>'SER_se-appl'!D48</f>
        <v>934.35172643997032</v>
      </c>
      <c r="E12" s="205">
        <f>'SER_se-appl'!E48</f>
        <v>938.09862133427896</v>
      </c>
      <c r="F12" s="205">
        <f>'SER_se-appl'!F48</f>
        <v>941.58109865842994</v>
      </c>
      <c r="G12" s="205">
        <f>'SER_se-appl'!G48</f>
        <v>944.83482671956926</v>
      </c>
      <c r="H12" s="205">
        <f>'SER_se-appl'!H48</f>
        <v>947.888663444028</v>
      </c>
      <c r="I12" s="205">
        <f>'SER_se-appl'!I48</f>
        <v>950.76629220679274</v>
      </c>
      <c r="J12" s="205">
        <f>'SER_se-appl'!J48</f>
        <v>953.48739336009226</v>
      </c>
      <c r="K12" s="205">
        <f>'SER_se-appl'!K48</f>
        <v>956.06850131529734</v>
      </c>
      <c r="L12" s="205">
        <f>'SER_se-appl'!L48</f>
        <v>958.52364343238798</v>
      </c>
      <c r="M12" s="205">
        <f>'SER_se-appl'!M48</f>
        <v>960.08379595424674</v>
      </c>
      <c r="N12" s="205">
        <f>'SER_se-appl'!N48</f>
        <v>961.57372128480915</v>
      </c>
      <c r="O12" s="205">
        <f>'SER_se-appl'!O48</f>
        <v>962.99956560391956</v>
      </c>
      <c r="P12" s="205">
        <f>'SER_se-appl'!P48</f>
        <v>964.36669812509956</v>
      </c>
      <c r="Q12" s="205">
        <f>'SER_se-appl'!Q48</f>
        <v>965.67983707387839</v>
      </c>
      <c r="R12" s="205">
        <f>'SER_se-appl'!R48</f>
        <v>992.97397108139717</v>
      </c>
      <c r="S12" s="205">
        <f>'SER_se-appl'!S48</f>
        <v>988.18033684278714</v>
      </c>
      <c r="T12" s="205">
        <f>'SER_se-appl'!T48</f>
        <v>985.96650722592153</v>
      </c>
      <c r="U12" s="205">
        <f>'SER_se-appl'!U48</f>
        <v>975.7436499669451</v>
      </c>
      <c r="V12" s="205">
        <f>'SER_se-appl'!V48</f>
        <v>850.32947269643205</v>
      </c>
      <c r="W12" s="205">
        <f>'SER_se-appl'!W48</f>
        <v>901.40364203114336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54.270739578248929</v>
      </c>
      <c r="C14" s="59">
        <f>'SER_se-appl'!C56</f>
        <v>53.821528294852584</v>
      </c>
      <c r="D14" s="59">
        <f>'SER_se-appl'!D56</f>
        <v>53.368105186500451</v>
      </c>
      <c r="E14" s="59">
        <f>'SER_se-appl'!E56</f>
        <v>52.817957667428139</v>
      </c>
      <c r="F14" s="59">
        <f>'SER_se-appl'!F56</f>
        <v>52.237666559632956</v>
      </c>
      <c r="G14" s="59">
        <f>'SER_se-appl'!G56</f>
        <v>51.626339034090648</v>
      </c>
      <c r="H14" s="59">
        <f>'SER_se-appl'!H56</f>
        <v>50.973055496376929</v>
      </c>
      <c r="I14" s="59">
        <f>'SER_se-appl'!I56</f>
        <v>50.33599296807148</v>
      </c>
      <c r="J14" s="59">
        <f>'SER_se-appl'!J56</f>
        <v>49.739068129231725</v>
      </c>
      <c r="K14" s="59">
        <f>'SER_se-appl'!K56</f>
        <v>49.218053506473829</v>
      </c>
      <c r="L14" s="59">
        <f>'SER_se-appl'!L56</f>
        <v>48.833123323456178</v>
      </c>
      <c r="M14" s="59">
        <f>'SER_se-appl'!M56</f>
        <v>48.317371654593892</v>
      </c>
      <c r="N14" s="59">
        <f>'SER_se-appl'!N56</f>
        <v>47.542864643453989</v>
      </c>
      <c r="O14" s="59">
        <f>'SER_se-appl'!O56</f>
        <v>46.749813514686672</v>
      </c>
      <c r="P14" s="59">
        <f>'SER_se-appl'!P56</f>
        <v>45.802114391480259</v>
      </c>
      <c r="Q14" s="59">
        <f>'SER_se-appl'!Q56</f>
        <v>44.742456510425043</v>
      </c>
      <c r="R14" s="59">
        <f>'SER_se-appl'!R56</f>
        <v>43.672869748336758</v>
      </c>
      <c r="S14" s="59">
        <f>'SER_se-appl'!S56</f>
        <v>42.608878081899526</v>
      </c>
      <c r="T14" s="59">
        <f>'SER_se-appl'!T56</f>
        <v>41.438604114040025</v>
      </c>
      <c r="U14" s="59">
        <f>'SER_se-appl'!U56</f>
        <v>40.234287113939196</v>
      </c>
      <c r="V14" s="59">
        <f>'SER_se-appl'!V56</f>
        <v>38.999320137285707</v>
      </c>
      <c r="W14" s="59">
        <f>'SER_se-appl'!W56</f>
        <v>37.750472021708042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50.646523988776437</v>
      </c>
      <c r="D15" s="63">
        <f>'SER_se-appl'!D64</f>
        <v>49.976027032046659</v>
      </c>
      <c r="E15" s="63">
        <f>'SER_se-appl'!E64</f>
        <v>49.294176153072009</v>
      </c>
      <c r="F15" s="63">
        <f>'SER_se-appl'!F64</f>
        <v>48.66150266233133</v>
      </c>
      <c r="G15" s="63">
        <f>'SER_se-appl'!G64</f>
        <v>48.001281519764454</v>
      </c>
      <c r="H15" s="63">
        <f>'SER_se-appl'!H64</f>
        <v>47.256712962293847</v>
      </c>
      <c r="I15" s="63">
        <f>'SER_se-appl'!I64</f>
        <v>46.370268471292263</v>
      </c>
      <c r="J15" s="63">
        <f>'SER_se-appl'!J64</f>
        <v>45.348251161190689</v>
      </c>
      <c r="K15" s="63">
        <f>'SER_se-appl'!K64</f>
        <v>44.205576434959291</v>
      </c>
      <c r="L15" s="63">
        <f>'SER_se-appl'!L64</f>
        <v>42.911473207129923</v>
      </c>
      <c r="M15" s="63">
        <f>'SER_se-appl'!M64</f>
        <v>41.513432942318772</v>
      </c>
      <c r="N15" s="63">
        <f>'SER_se-appl'!N64</f>
        <v>40.143781107407875</v>
      </c>
      <c r="O15" s="63">
        <f>'SER_se-appl'!O64</f>
        <v>38.782177829101698</v>
      </c>
      <c r="P15" s="63">
        <f>'SER_se-appl'!P64</f>
        <v>37.577973555203393</v>
      </c>
      <c r="Q15" s="63">
        <f>'SER_se-appl'!Q64</f>
        <v>36.405528215165432</v>
      </c>
      <c r="R15" s="63">
        <f>'SER_se-appl'!R64</f>
        <v>35.944805916924814</v>
      </c>
      <c r="S15" s="63">
        <f>'SER_se-appl'!S64</f>
        <v>35.384757008547815</v>
      </c>
      <c r="T15" s="63">
        <f>'SER_se-appl'!T64</f>
        <v>34.853152122857054</v>
      </c>
      <c r="U15" s="63">
        <f>'SER_se-appl'!U64</f>
        <v>34.33751653145557</v>
      </c>
      <c r="V15" s="63">
        <f>'SER_se-appl'!V64</f>
        <v>33.829081021027314</v>
      </c>
      <c r="W15" s="63">
        <f>'SER_se-appl'!W64</f>
        <v>33.574312684795729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48.916612146751106</v>
      </c>
      <c r="C3" s="199">
        <f>'SER_se-appl'!C9</f>
        <v>56.436146018479207</v>
      </c>
      <c r="D3" s="199">
        <f>'SER_se-appl'!D9</f>
        <v>64.682540375377272</v>
      </c>
      <c r="E3" s="199">
        <f>'SER_se-appl'!E9</f>
        <v>73.617477813879063</v>
      </c>
      <c r="F3" s="199">
        <f>'SER_se-appl'!F9</f>
        <v>82.307953304050386</v>
      </c>
      <c r="G3" s="199">
        <f>'SER_se-appl'!G9</f>
        <v>89.630990746970042</v>
      </c>
      <c r="H3" s="199">
        <f>'SER_se-appl'!H9</f>
        <v>95.899323027584714</v>
      </c>
      <c r="I3" s="199">
        <f>'SER_se-appl'!I9</f>
        <v>103.02415972688453</v>
      </c>
      <c r="J3" s="199">
        <f>'SER_se-appl'!J9</f>
        <v>109.61897422143682</v>
      </c>
      <c r="K3" s="199">
        <f>'SER_se-appl'!K9</f>
        <v>113.73540637665383</v>
      </c>
      <c r="L3" s="199">
        <f>'SER_se-appl'!L9</f>
        <v>112.36247277276335</v>
      </c>
      <c r="M3" s="199">
        <f>'SER_se-appl'!M9</f>
        <v>111.24162268352494</v>
      </c>
      <c r="N3" s="199">
        <f>'SER_se-appl'!N9</f>
        <v>117.63085532948807</v>
      </c>
      <c r="O3" s="199">
        <f>'SER_se-appl'!O9</f>
        <v>121.05921273696651</v>
      </c>
      <c r="P3" s="199">
        <f>'SER_se-appl'!P9</f>
        <v>129.19491122901064</v>
      </c>
      <c r="Q3" s="199">
        <f>'SER_se-appl'!Q9</f>
        <v>141.25063435591721</v>
      </c>
      <c r="R3" s="199">
        <f>'SER_se-appl'!R9</f>
        <v>156.64517791202354</v>
      </c>
      <c r="S3" s="199">
        <f>'SER_se-appl'!S9</f>
        <v>158.04193143237444</v>
      </c>
      <c r="T3" s="199">
        <f>'SER_se-appl'!T9</f>
        <v>162.37642447143071</v>
      </c>
      <c r="U3" s="199">
        <f>'SER_se-appl'!U9</f>
        <v>164.66800535048779</v>
      </c>
      <c r="V3" s="199">
        <f>'SER_se-appl'!V9</f>
        <v>149.85510735763887</v>
      </c>
      <c r="W3" s="199">
        <f>'SER_se-appl'!W9</f>
        <v>153.51098709835628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357.80325981380378</v>
      </c>
      <c r="C5" s="59">
        <f>'SER_se-appl'!C17</f>
        <v>408.74511335296751</v>
      </c>
      <c r="D5" s="59">
        <f>'SER_se-appl'!D17</f>
        <v>459.8212784278337</v>
      </c>
      <c r="E5" s="59">
        <f>'SER_se-appl'!E17</f>
        <v>514.72885286059409</v>
      </c>
      <c r="F5" s="59">
        <f>'SER_se-appl'!F17</f>
        <v>566.1736990356269</v>
      </c>
      <c r="G5" s="59">
        <f>'SER_se-appl'!G17</f>
        <v>607.00901458557848</v>
      </c>
      <c r="H5" s="59">
        <f>'SER_se-appl'!H17</f>
        <v>640.30622607939961</v>
      </c>
      <c r="I5" s="59">
        <f>'SER_se-appl'!I17</f>
        <v>677.24867190301109</v>
      </c>
      <c r="J5" s="59">
        <f>'SER_se-appl'!J17</f>
        <v>713.080052387715</v>
      </c>
      <c r="K5" s="59">
        <f>'SER_se-appl'!K17</f>
        <v>733.315106464167</v>
      </c>
      <c r="L5" s="59">
        <f>'SER_se-appl'!L17</f>
        <v>715.48941120091945</v>
      </c>
      <c r="M5" s="59">
        <f>'SER_se-appl'!M17</f>
        <v>699.62539011351919</v>
      </c>
      <c r="N5" s="59">
        <f>'SER_se-appl'!N17</f>
        <v>733.31225263703891</v>
      </c>
      <c r="O5" s="59">
        <f>'SER_se-appl'!O17</f>
        <v>747.7003586724162</v>
      </c>
      <c r="P5" s="59">
        <f>'SER_se-appl'!P17</f>
        <v>789.07273527721748</v>
      </c>
      <c r="Q5" s="59">
        <f>'SER_se-appl'!Q17</f>
        <v>853.12660243654659</v>
      </c>
      <c r="R5" s="59">
        <f>'SER_se-appl'!R17</f>
        <v>909.21981093320903</v>
      </c>
      <c r="S5" s="59">
        <f>'SER_se-appl'!S17</f>
        <v>913.96971919766156</v>
      </c>
      <c r="T5" s="59">
        <f>'SER_se-appl'!T17</f>
        <v>933.00815116890249</v>
      </c>
      <c r="U5" s="59">
        <f>'SER_se-appl'!U17</f>
        <v>946.13669247944563</v>
      </c>
      <c r="V5" s="59">
        <f>'SER_se-appl'!V17</f>
        <v>932.97620670065396</v>
      </c>
      <c r="W5" s="59">
        <f>'SER_se-appl'!W17</f>
        <v>924.28315976263684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8.991771807739983E-2</v>
      </c>
      <c r="C6" s="202">
        <f>'SER_se-appl'!C73</f>
        <v>0.10507624183585189</v>
      </c>
      <c r="D6" s="202">
        <f>'SER_se-appl'!D73</f>
        <v>0.12181398727545951</v>
      </c>
      <c r="E6" s="202">
        <f>'SER_se-appl'!E73</f>
        <v>0.14144360261702699</v>
      </c>
      <c r="F6" s="202">
        <f>'SER_se-appl'!F73</f>
        <v>0.16180033246896999</v>
      </c>
      <c r="G6" s="202">
        <f>'SER_se-appl'!G73</f>
        <v>0.18003112534837004</v>
      </c>
      <c r="H6" s="202">
        <f>'SER_se-appl'!H73</f>
        <v>0.19942558587077544</v>
      </c>
      <c r="I6" s="202">
        <f>'SER_se-appl'!I73</f>
        <v>0.22213911938542896</v>
      </c>
      <c r="J6" s="202">
        <f>'SER_se-appl'!J73</f>
        <v>0.24692351772784354</v>
      </c>
      <c r="K6" s="202">
        <f>'SER_se-appl'!K73</f>
        <v>0.26731878691235617</v>
      </c>
      <c r="L6" s="202">
        <f>'SER_se-appl'!L73</f>
        <v>0.27356991471085085</v>
      </c>
      <c r="M6" s="202">
        <f>'SER_se-appl'!M73</f>
        <v>0.28807293344196017</v>
      </c>
      <c r="N6" s="202">
        <f>'SER_se-appl'!N73</f>
        <v>0.32831047943076164</v>
      </c>
      <c r="O6" s="202">
        <f>'SER_se-appl'!O73</f>
        <v>0.36050589711353043</v>
      </c>
      <c r="P6" s="202">
        <f>'SER_se-appl'!P73</f>
        <v>0.40059433775293918</v>
      </c>
      <c r="Q6" s="202">
        <f>'SER_se-appl'!Q73</f>
        <v>0.44377702823471715</v>
      </c>
      <c r="R6" s="202">
        <f>'SER_se-appl'!R73</f>
        <v>0.48288110783659516</v>
      </c>
      <c r="S6" s="202">
        <f>'SER_se-appl'!S73</f>
        <v>0.49312328000920569</v>
      </c>
      <c r="T6" s="202">
        <f>'SER_se-appl'!T73</f>
        <v>0.51078982193284361</v>
      </c>
      <c r="U6" s="202">
        <f>'SER_se-appl'!U73</f>
        <v>0.52782478325007365</v>
      </c>
      <c r="V6" s="202">
        <f>'SER_se-appl'!V73</f>
        <v>0.53002653893069207</v>
      </c>
      <c r="W6" s="202">
        <f>'SER_se-appl'!W73</f>
        <v>0.54087935499203055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968.91979069321769</v>
      </c>
      <c r="C8" s="34">
        <f>'SER_se-appl'!C25</f>
        <v>1138.6050006946309</v>
      </c>
      <c r="D8" s="34">
        <f>'SER_se-appl'!D25</f>
        <v>1326.3440704877166</v>
      </c>
      <c r="E8" s="34">
        <f>'SER_se-appl'!E25</f>
        <v>1543.9658341388647</v>
      </c>
      <c r="F8" s="34">
        <f>'SER_se-appl'!F25</f>
        <v>1770.155341533213</v>
      </c>
      <c r="G8" s="34">
        <f>'SER_se-appl'!G25</f>
        <v>1974.9256023325888</v>
      </c>
      <c r="H8" s="34">
        <f>'SER_se-appl'!H25</f>
        <v>2194.6219356414963</v>
      </c>
      <c r="I8" s="34">
        <f>'SER_se-appl'!I25</f>
        <v>2451.5290986505493</v>
      </c>
      <c r="J8" s="34">
        <f>'SER_se-appl'!J25</f>
        <v>2731.2054734060607</v>
      </c>
      <c r="K8" s="34">
        <f>'SER_se-appl'!K25</f>
        <v>2965.8337745019289</v>
      </c>
      <c r="L8" s="34">
        <f>'SER_se-appl'!L25</f>
        <v>3041.9029433753021</v>
      </c>
      <c r="M8" s="34">
        <f>'SER_se-appl'!M25</f>
        <v>3204.3481632648327</v>
      </c>
      <c r="N8" s="34">
        <f>'SER_se-appl'!N25</f>
        <v>3639.7832690240721</v>
      </c>
      <c r="O8" s="34">
        <f>'SER_se-appl'!O25</f>
        <v>3966.8680970669002</v>
      </c>
      <c r="P8" s="34">
        <f>'SER_se-appl'!P25</f>
        <v>4377.2170139191803</v>
      </c>
      <c r="Q8" s="34">
        <f>'SER_se-appl'!Q25</f>
        <v>4818.5389605590672</v>
      </c>
      <c r="R8" s="34">
        <f>'SER_se-appl'!R25</f>
        <v>5207.2681808706675</v>
      </c>
      <c r="S8" s="34">
        <f>'SER_se-appl'!S25</f>
        <v>5310.046651932169</v>
      </c>
      <c r="T8" s="34">
        <f>'SER_se-appl'!T25</f>
        <v>5486.4777577012919</v>
      </c>
      <c r="U8" s="34">
        <f>'SER_se-appl'!U25</f>
        <v>5660.7091426189563</v>
      </c>
      <c r="V8" s="34">
        <f>'SER_se-appl'!V25</f>
        <v>5681.1239092536534</v>
      </c>
      <c r="W8" s="34">
        <f>'SER_se-appl'!W25</f>
        <v>5775.8515883572563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363.46916814005681</v>
      </c>
      <c r="D9" s="36">
        <f>'SER_se-appl'!D33</f>
        <v>381.5230279317293</v>
      </c>
      <c r="E9" s="36">
        <f>'SER_se-appl'!E33</f>
        <v>411.40572178979164</v>
      </c>
      <c r="F9" s="36">
        <f>'SER_se-appl'!F33</f>
        <v>419.9734655329919</v>
      </c>
      <c r="G9" s="36">
        <f>'SER_se-appl'!G33</f>
        <v>398.5542189380194</v>
      </c>
      <c r="H9" s="36">
        <f>'SER_se-appl'!H33</f>
        <v>583.16550144896428</v>
      </c>
      <c r="I9" s="36">
        <f>'SER_se-appl'!I33</f>
        <v>638.43019094078227</v>
      </c>
      <c r="J9" s="36">
        <f>'SER_se-appl'!J33</f>
        <v>691.0820965453031</v>
      </c>
      <c r="K9" s="36">
        <f>'SER_se-appl'!K33</f>
        <v>654.60176662885988</v>
      </c>
      <c r="L9" s="36">
        <f>'SER_se-appl'!L33</f>
        <v>474.6233878113926</v>
      </c>
      <c r="M9" s="36">
        <f>'SER_se-appl'!M33</f>
        <v>745.61072133849484</v>
      </c>
      <c r="N9" s="36">
        <f>'SER_se-appl'!N33</f>
        <v>1073.8652967000216</v>
      </c>
      <c r="O9" s="36">
        <f>'SER_se-appl'!O33</f>
        <v>1018.1669245881312</v>
      </c>
      <c r="P9" s="36">
        <f>'SER_se-appl'!P33</f>
        <v>1064.95068348114</v>
      </c>
      <c r="Q9" s="36">
        <f>'SER_se-appl'!Q33</f>
        <v>915.94533445127945</v>
      </c>
      <c r="R9" s="36">
        <f>'SER_se-appl'!R33</f>
        <v>1134.3399416500952</v>
      </c>
      <c r="S9" s="36">
        <f>'SER_se-appl'!S33</f>
        <v>1176.6437677615231</v>
      </c>
      <c r="T9" s="36">
        <f>'SER_se-appl'!T33</f>
        <v>1194.5980303572542</v>
      </c>
      <c r="U9" s="36">
        <f>'SER_se-appl'!U33</f>
        <v>1239.1820683988044</v>
      </c>
      <c r="V9" s="36">
        <f>'SER_se-appl'!V33</f>
        <v>936.36010108597657</v>
      </c>
      <c r="W9" s="36">
        <f>'SER_se-appl'!W33</f>
        <v>1229.0676207536981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193.78395813864358</v>
      </c>
      <c r="D10" s="38">
        <f>'SER_se-appl'!D41</f>
        <v>193.78395813864358</v>
      </c>
      <c r="E10" s="38">
        <f>'SER_se-appl'!E41</f>
        <v>193.78395813864358</v>
      </c>
      <c r="F10" s="38">
        <f>'SER_se-appl'!F41</f>
        <v>193.78395813864358</v>
      </c>
      <c r="G10" s="38">
        <f>'SER_se-appl'!G41</f>
        <v>193.78395813864336</v>
      </c>
      <c r="H10" s="38">
        <f>'SER_se-appl'!H41</f>
        <v>363.46916814005681</v>
      </c>
      <c r="I10" s="38">
        <f>'SER_se-appl'!I41</f>
        <v>381.5230279317293</v>
      </c>
      <c r="J10" s="38">
        <f>'SER_se-appl'!J41</f>
        <v>411.40572178979164</v>
      </c>
      <c r="K10" s="38">
        <f>'SER_se-appl'!K41</f>
        <v>419.97346553299167</v>
      </c>
      <c r="L10" s="38">
        <f>'SER_se-appl'!L41</f>
        <v>398.5542189380194</v>
      </c>
      <c r="M10" s="38">
        <f>'SER_se-appl'!M41</f>
        <v>583.16550144896428</v>
      </c>
      <c r="N10" s="38">
        <f>'SER_se-appl'!N41</f>
        <v>638.43019094078227</v>
      </c>
      <c r="O10" s="38">
        <f>'SER_se-appl'!O41</f>
        <v>691.0820965453031</v>
      </c>
      <c r="P10" s="38">
        <f>'SER_se-appl'!P41</f>
        <v>654.60176662885988</v>
      </c>
      <c r="Q10" s="38">
        <f>'SER_se-appl'!Q41</f>
        <v>474.6233878113926</v>
      </c>
      <c r="R10" s="38">
        <f>'SER_se-appl'!R41</f>
        <v>745.61072133849484</v>
      </c>
      <c r="S10" s="38">
        <f>'SER_se-appl'!S41</f>
        <v>1073.8652967000216</v>
      </c>
      <c r="T10" s="38">
        <f>'SER_se-appl'!T41</f>
        <v>1018.1669245881312</v>
      </c>
      <c r="U10" s="38">
        <f>'SER_se-appl'!U41</f>
        <v>1064.95068348114</v>
      </c>
      <c r="V10" s="38">
        <f>'SER_se-appl'!V41</f>
        <v>915.94533445127945</v>
      </c>
      <c r="W10" s="38">
        <f>'SER_se-appl'!W41</f>
        <v>1134.3399416500952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1589.980481348224</v>
      </c>
      <c r="C12" s="205">
        <f>'SER_se-appl'!C49</f>
        <v>1605.7742508792442</v>
      </c>
      <c r="D12" s="205">
        <f>'SER_se-appl'!D49</f>
        <v>1635.978976739982</v>
      </c>
      <c r="E12" s="205">
        <f>'SER_se-appl'!E49</f>
        <v>1663.3442291359049</v>
      </c>
      <c r="F12" s="205">
        <f>'SER_se-appl'!F49</f>
        <v>1690.7205307427585</v>
      </c>
      <c r="G12" s="205">
        <f>'SER_se-appl'!G49</f>
        <v>1717.2865597374071</v>
      </c>
      <c r="H12" s="205">
        <f>'SER_se-appl'!H49</f>
        <v>1741.8370794859475</v>
      </c>
      <c r="I12" s="205">
        <f>'SER_se-appl'!I49</f>
        <v>1769.1743481119108</v>
      </c>
      <c r="J12" s="205">
        <f>'SER_se-appl'!J49</f>
        <v>1787.8338707224698</v>
      </c>
      <c r="K12" s="205">
        <f>'SER_se-appl'!K49</f>
        <v>1803.7849820636677</v>
      </c>
      <c r="L12" s="205">
        <f>'SER_se-appl'!L49</f>
        <v>1826.4079634020984</v>
      </c>
      <c r="M12" s="205">
        <f>'SER_se-appl'!M49</f>
        <v>1849.1897093664318</v>
      </c>
      <c r="N12" s="205">
        <f>'SER_se-appl'!N49</f>
        <v>1865.5720568725806</v>
      </c>
      <c r="O12" s="205">
        <f>'SER_se-appl'!O49</f>
        <v>1882.9984870286257</v>
      </c>
      <c r="P12" s="205">
        <f>'SER_se-appl'!P49</f>
        <v>1904.1803757996042</v>
      </c>
      <c r="Q12" s="205">
        <f>'SER_se-appl'!Q49</f>
        <v>1925.5581444390609</v>
      </c>
      <c r="R12" s="205">
        <f>'SER_se-appl'!R49</f>
        <v>2003.6776555132292</v>
      </c>
      <c r="S12" s="205">
        <f>'SER_se-appl'!S49</f>
        <v>2011.0378100622938</v>
      </c>
      <c r="T12" s="205">
        <f>'SER_se-appl'!T49</f>
        <v>2024.0314237735693</v>
      </c>
      <c r="U12" s="205">
        <f>'SER_se-appl'!U49</f>
        <v>2024.1143985310318</v>
      </c>
      <c r="V12" s="205">
        <f>'SER_se-appl'!V49</f>
        <v>1868.0164467779653</v>
      </c>
      <c r="W12" s="205">
        <f>'SER_se-appl'!W49</f>
        <v>1931.5863987096454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369.28057745400366</v>
      </c>
      <c r="C14" s="59">
        <f>'SER_se-appl'!C57</f>
        <v>358.98763232517297</v>
      </c>
      <c r="D14" s="59">
        <f>'SER_se-appl'!D57</f>
        <v>346.68325411124317</v>
      </c>
      <c r="E14" s="59">
        <f>'SER_se-appl'!E57</f>
        <v>333.38098646961333</v>
      </c>
      <c r="F14" s="59">
        <f>'SER_se-appl'!F57</f>
        <v>319.84407568729978</v>
      </c>
      <c r="G14" s="59">
        <f>'SER_se-appl'!G57</f>
        <v>307.35791458100437</v>
      </c>
      <c r="H14" s="59">
        <f>'SER_se-appl'!H57</f>
        <v>291.76151740788816</v>
      </c>
      <c r="I14" s="59">
        <f>'SER_se-appl'!I57</f>
        <v>276.25561217111573</v>
      </c>
      <c r="J14" s="59">
        <f>'SER_se-appl'!J57</f>
        <v>261.08619777275106</v>
      </c>
      <c r="K14" s="59">
        <f>'SER_se-appl'!K57</f>
        <v>247.25428402922455</v>
      </c>
      <c r="L14" s="59">
        <f>'SER_se-appl'!L57</f>
        <v>235.21112425993803</v>
      </c>
      <c r="M14" s="59">
        <f>'SER_se-appl'!M57</f>
        <v>218.33625887914997</v>
      </c>
      <c r="N14" s="59">
        <f>'SER_se-appl'!N57</f>
        <v>201.47140597018583</v>
      </c>
      <c r="O14" s="59">
        <f>'SER_se-appl'!O57</f>
        <v>188.48631726002318</v>
      </c>
      <c r="P14" s="59">
        <f>'SER_se-appl'!P57</f>
        <v>180.26813218719403</v>
      </c>
      <c r="Q14" s="59">
        <f>'SER_se-appl'!Q57</f>
        <v>177.05088812596489</v>
      </c>
      <c r="R14" s="59">
        <f>'SER_se-appl'!R57</f>
        <v>174.60591222731787</v>
      </c>
      <c r="S14" s="59">
        <f>'SER_se-appl'!S57</f>
        <v>172.12084546660151</v>
      </c>
      <c r="T14" s="59">
        <f>'SER_se-appl'!T57</f>
        <v>170.05594342549773</v>
      </c>
      <c r="U14" s="59">
        <f>'SER_se-appl'!U57</f>
        <v>167.14101866779725</v>
      </c>
      <c r="V14" s="59">
        <f>'SER_se-appl'!V57</f>
        <v>164.22387921886076</v>
      </c>
      <c r="W14" s="59">
        <f>'SER_se-appl'!W57</f>
        <v>160.02543445295098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337.03685550219785</v>
      </c>
      <c r="D15" s="63">
        <f>'SER_se-appl'!D65</f>
        <v>321.44014399983206</v>
      </c>
      <c r="E15" s="63">
        <f>'SER_se-appl'!E65</f>
        <v>307.40512272247969</v>
      </c>
      <c r="F15" s="63">
        <f>'SER_se-appl'!F65</f>
        <v>292.8887375817572</v>
      </c>
      <c r="G15" s="63">
        <f>'SER_se-appl'!G65</f>
        <v>282.00922778386467</v>
      </c>
      <c r="H15" s="63">
        <f>'SER_se-appl'!H65</f>
        <v>267.16209482323154</v>
      </c>
      <c r="I15" s="63">
        <f>'SER_se-appl'!I65</f>
        <v>249.95569621493709</v>
      </c>
      <c r="J15" s="63">
        <f>'SER_se-appl'!J65</f>
        <v>234.84851899876389</v>
      </c>
      <c r="K15" s="63">
        <f>'SER_se-appl'!K65</f>
        <v>218.82090687277199</v>
      </c>
      <c r="L15" s="63">
        <f>'SER_se-appl'!L65</f>
        <v>199.25329151087965</v>
      </c>
      <c r="M15" s="63">
        <f>'SER_se-appl'!M65</f>
        <v>187.67929685498294</v>
      </c>
      <c r="N15" s="63">
        <f>'SER_se-appl'!N65</f>
        <v>179.97240992763545</v>
      </c>
      <c r="O15" s="63">
        <f>'SER_se-appl'!O65</f>
        <v>173.53511359355551</v>
      </c>
      <c r="P15" s="63">
        <f>'SER_se-appl'!P65</f>
        <v>173.35350047908253</v>
      </c>
      <c r="Q15" s="63">
        <f>'SER_se-appl'!Q65</f>
        <v>173.18079304789674</v>
      </c>
      <c r="R15" s="63">
        <f>'SER_se-appl'!R65</f>
        <v>172.81319047961026</v>
      </c>
      <c r="S15" s="63">
        <f>'SER_se-appl'!S65</f>
        <v>168.28885604512365</v>
      </c>
      <c r="T15" s="63">
        <f>'SER_se-appl'!T65</f>
        <v>163.84268173312645</v>
      </c>
      <c r="U15" s="63">
        <f>'SER_se-appl'!U65</f>
        <v>159.5741862090529</v>
      </c>
      <c r="V15" s="63">
        <f>'SER_se-appl'!V65</f>
        <v>155.35011953338847</v>
      </c>
      <c r="W15" s="63">
        <f>'SER_se-appl'!W65</f>
        <v>152.42111524515718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9592.5295018022025</v>
      </c>
      <c r="C3" s="220">
        <v>9529.551937032893</v>
      </c>
      <c r="D3" s="220">
        <v>9469.6001672745861</v>
      </c>
      <c r="E3" s="220">
        <v>10018.929211469531</v>
      </c>
      <c r="F3" s="220">
        <v>9016.4933863153874</v>
      </c>
      <c r="G3" s="220">
        <v>9118.0994701760392</v>
      </c>
      <c r="H3" s="220">
        <v>7202.7719254761014</v>
      </c>
      <c r="I3" s="220">
        <v>7049.9341659019274</v>
      </c>
      <c r="J3" s="220">
        <v>6493.1229270810427</v>
      </c>
      <c r="K3" s="220">
        <v>6194.287945556981</v>
      </c>
      <c r="L3" s="220">
        <v>6308.1951155190109</v>
      </c>
      <c r="M3" s="220">
        <v>6010.1585493211815</v>
      </c>
      <c r="N3" s="220">
        <v>6214.3377559628807</v>
      </c>
      <c r="O3" s="220">
        <v>5952.0688643255398</v>
      </c>
      <c r="P3" s="220">
        <v>6321.1734033872672</v>
      </c>
      <c r="Q3" s="220">
        <v>6816.1</v>
      </c>
      <c r="R3" s="220">
        <v>6228.6509209804844</v>
      </c>
      <c r="S3" s="220">
        <v>6950.0504283865966</v>
      </c>
      <c r="T3" s="220">
        <v>6679.7306700503459</v>
      </c>
      <c r="U3" s="220">
        <v>7091.2839052329064</v>
      </c>
      <c r="V3" s="220">
        <v>6838.4188556816689</v>
      </c>
      <c r="W3" s="220">
        <v>6648.7994420643618</v>
      </c>
      <c r="DA3" s="211" t="s">
        <v>972</v>
      </c>
    </row>
    <row r="5" spans="1:105" x14ac:dyDescent="0.25">
      <c r="A5" s="219" t="s">
        <v>120</v>
      </c>
      <c r="B5" s="220">
        <v>8828.3786301833679</v>
      </c>
      <c r="C5" s="220">
        <v>9137.7251556382726</v>
      </c>
      <c r="D5" s="220">
        <v>9120.6182666747391</v>
      </c>
      <c r="E5" s="220">
        <v>9273.7354369452769</v>
      </c>
      <c r="F5" s="220">
        <v>8292.9399477701027</v>
      </c>
      <c r="G5" s="220">
        <v>7480.7624038209242</v>
      </c>
      <c r="H5" s="220">
        <v>8051.1593644725526</v>
      </c>
      <c r="I5" s="220">
        <v>8054.3141175295214</v>
      </c>
      <c r="J5" s="220">
        <v>7885.9285550101977</v>
      </c>
      <c r="K5" s="220">
        <v>5593.2876016459213</v>
      </c>
      <c r="L5" s="220">
        <v>5534.4486158336913</v>
      </c>
      <c r="M5" s="220">
        <v>5728.9274992756991</v>
      </c>
      <c r="N5" s="220">
        <v>5573.7185008022743</v>
      </c>
      <c r="O5" s="220">
        <v>4355.9162040183564</v>
      </c>
      <c r="P5" s="220">
        <v>3971.5943687591339</v>
      </c>
      <c r="Q5" s="220">
        <v>3927.1209511456532</v>
      </c>
      <c r="R5" s="220">
        <v>3827.7684050689058</v>
      </c>
      <c r="S5" s="220">
        <v>4304.558945208868</v>
      </c>
      <c r="T5" s="220">
        <v>3595.4548805037462</v>
      </c>
      <c r="U5" s="220">
        <v>3616.3212878703548</v>
      </c>
      <c r="V5" s="220">
        <v>4174.7696910522382</v>
      </c>
      <c r="W5" s="220">
        <v>3426.733187085882</v>
      </c>
      <c r="DA5" s="211" t="s">
        <v>973</v>
      </c>
    </row>
    <row r="6" spans="1:105" x14ac:dyDescent="0.25">
      <c r="A6" s="221" t="s">
        <v>119</v>
      </c>
      <c r="B6" s="222">
        <v>11035.47328772921</v>
      </c>
      <c r="C6" s="222">
        <v>10483.699623342751</v>
      </c>
      <c r="D6" s="222">
        <v>9931.925958956288</v>
      </c>
      <c r="E6" s="222">
        <v>9931.925958956288</v>
      </c>
      <c r="F6" s="222">
        <v>9380.1522945698271</v>
      </c>
      <c r="G6" s="222">
        <v>8828.3786301833661</v>
      </c>
      <c r="H6" s="222">
        <v>8828.3786301833661</v>
      </c>
      <c r="I6" s="222">
        <v>8828.3786301833661</v>
      </c>
      <c r="J6" s="222">
        <v>8828.3786301833661</v>
      </c>
      <c r="K6" s="222">
        <v>8828.3786301833661</v>
      </c>
      <c r="L6" s="222">
        <v>8276.6049657969052</v>
      </c>
      <c r="M6" s="222">
        <v>7724.8313014104442</v>
      </c>
      <c r="N6" s="222">
        <v>7724.8313014104442</v>
      </c>
      <c r="O6" s="222">
        <v>7173.0576370239833</v>
      </c>
      <c r="P6" s="222">
        <v>6621.2839726375223</v>
      </c>
      <c r="Q6" s="222">
        <v>6621.2839726375223</v>
      </c>
      <c r="R6" s="222">
        <v>6069.5103082510614</v>
      </c>
      <c r="S6" s="222">
        <v>5517.7366438646004</v>
      </c>
      <c r="T6" s="222">
        <v>5517.7366438646004</v>
      </c>
      <c r="U6" s="222">
        <v>4965.9629794781385</v>
      </c>
      <c r="V6" s="222">
        <v>4414.1893150916794</v>
      </c>
      <c r="W6" s="222">
        <v>4414.1893150916794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551.7736643864605</v>
      </c>
      <c r="J7" s="226">
        <v>551.7736643864605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551.77366438645913</v>
      </c>
      <c r="D8" s="228">
        <f t="shared" ref="D8" si="1">IF(C6=0,0,C6+D7-D6)</f>
        <v>551.77366438646277</v>
      </c>
      <c r="E8" s="228">
        <f t="shared" ref="E8" si="2">IF(D6=0,0,D6+E7-E6)</f>
        <v>0</v>
      </c>
      <c r="F8" s="228">
        <f t="shared" ref="F8" si="3">IF(E6=0,0,E6+F7-F6)</f>
        <v>551.77366438646095</v>
      </c>
      <c r="G8" s="228">
        <f t="shared" ref="G8" si="4">IF(F6=0,0,F6+G7-G6)</f>
        <v>551.77366438646095</v>
      </c>
      <c r="H8" s="228">
        <f t="shared" ref="H8" si="5">IF(G6=0,0,G6+H7-H6)</f>
        <v>0</v>
      </c>
      <c r="I8" s="228">
        <f t="shared" ref="I8" si="6">IF(H6=0,0,H6+I7-I6)</f>
        <v>551.77366438646095</v>
      </c>
      <c r="J8" s="228">
        <f t="shared" ref="J8" si="7">IF(I6=0,0,I6+J7-J6)</f>
        <v>551.77366438646095</v>
      </c>
      <c r="K8" s="228">
        <f t="shared" ref="K8" si="8">IF(J6=0,0,J6+K7-K6)</f>
        <v>0</v>
      </c>
      <c r="L8" s="228">
        <f t="shared" ref="L8" si="9">IF(K6=0,0,K6+L7-L6)</f>
        <v>551.77366438646095</v>
      </c>
      <c r="M8" s="228">
        <f t="shared" ref="M8" si="10">IF(L6=0,0,L6+M7-M6)</f>
        <v>551.77366438646095</v>
      </c>
      <c r="N8" s="228">
        <f t="shared" ref="N8" si="11">IF(M6=0,0,M6+N7-N6)</f>
        <v>0</v>
      </c>
      <c r="O8" s="228">
        <f t="shared" ref="O8" si="12">IF(N6=0,0,N6+O7-O6)</f>
        <v>551.77366438646095</v>
      </c>
      <c r="P8" s="228">
        <f t="shared" ref="P8" si="13">IF(O6=0,0,O6+P7-P6)</f>
        <v>551.77366438646095</v>
      </c>
      <c r="Q8" s="228">
        <f t="shared" ref="Q8" si="14">IF(P6=0,0,P6+Q7-Q6)</f>
        <v>0</v>
      </c>
      <c r="R8" s="228">
        <f t="shared" ref="R8" si="15">IF(Q6=0,0,Q6+R7-R6)</f>
        <v>551.77366438646095</v>
      </c>
      <c r="S8" s="228">
        <f t="shared" ref="S8" si="16">IF(R6=0,0,R6+S7-S6)</f>
        <v>551.77366438646095</v>
      </c>
      <c r="T8" s="228">
        <f t="shared" ref="T8" si="17">IF(S6=0,0,S6+T7-T6)</f>
        <v>0</v>
      </c>
      <c r="U8" s="228">
        <f t="shared" ref="U8" si="18">IF(T6=0,0,T6+U7-U6)</f>
        <v>551.77366438646186</v>
      </c>
      <c r="V8" s="228">
        <f t="shared" ref="V8" si="19">IF(U6=0,0,U6+V7-V6)</f>
        <v>551.77366438645913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2207.094657545842</v>
      </c>
      <c r="C9" s="224">
        <f t="shared" ref="C9:W9" si="21">C6-C5</f>
        <v>1345.9744677044782</v>
      </c>
      <c r="D9" s="224">
        <f t="shared" si="21"/>
        <v>811.30769228154895</v>
      </c>
      <c r="E9" s="224">
        <f t="shared" si="21"/>
        <v>658.19052201101113</v>
      </c>
      <c r="F9" s="224">
        <f t="shared" si="21"/>
        <v>1087.2123467997244</v>
      </c>
      <c r="G9" s="224">
        <f t="shared" si="21"/>
        <v>1347.6162263624419</v>
      </c>
      <c r="H9" s="224">
        <f t="shared" si="21"/>
        <v>777.21926571081349</v>
      </c>
      <c r="I9" s="224">
        <f t="shared" si="21"/>
        <v>774.06451265384476</v>
      </c>
      <c r="J9" s="224">
        <f t="shared" si="21"/>
        <v>942.45007517316844</v>
      </c>
      <c r="K9" s="224">
        <f t="shared" si="21"/>
        <v>3235.0910285374448</v>
      </c>
      <c r="L9" s="224">
        <f t="shared" si="21"/>
        <v>2742.1563499632139</v>
      </c>
      <c r="M9" s="224">
        <f t="shared" si="21"/>
        <v>1995.9038021347451</v>
      </c>
      <c r="N9" s="224">
        <f t="shared" si="21"/>
        <v>2151.1128006081699</v>
      </c>
      <c r="O9" s="224">
        <f t="shared" si="21"/>
        <v>2817.1414330056268</v>
      </c>
      <c r="P9" s="224">
        <f t="shared" si="21"/>
        <v>2649.6896038783884</v>
      </c>
      <c r="Q9" s="224">
        <f t="shared" si="21"/>
        <v>2694.1630214918691</v>
      </c>
      <c r="R9" s="224">
        <f t="shared" si="21"/>
        <v>2241.7419031821555</v>
      </c>
      <c r="S9" s="224">
        <f t="shared" si="21"/>
        <v>1213.1776986557325</v>
      </c>
      <c r="T9" s="224">
        <f t="shared" si="21"/>
        <v>1922.2817633608543</v>
      </c>
      <c r="U9" s="224">
        <f t="shared" si="21"/>
        <v>1349.6416916077837</v>
      </c>
      <c r="V9" s="224">
        <f t="shared" si="21"/>
        <v>239.41962403944126</v>
      </c>
      <c r="W9" s="224">
        <f t="shared" si="21"/>
        <v>987.45612800579738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1116.4269131556318</v>
      </c>
      <c r="C12" s="230">
        <f t="shared" ref="C12:W12" si="22">SUM(C13,C14,C18,C19,C26,C27)</f>
        <v>1117.9827171109198</v>
      </c>
      <c r="D12" s="230">
        <f t="shared" si="22"/>
        <v>1165.7113499570078</v>
      </c>
      <c r="E12" s="230">
        <f t="shared" si="22"/>
        <v>1255.9687016337059</v>
      </c>
      <c r="F12" s="230">
        <f t="shared" si="22"/>
        <v>1118.2501289767843</v>
      </c>
      <c r="G12" s="230">
        <f t="shared" si="22"/>
        <v>1155.2283748925192</v>
      </c>
      <c r="H12" s="230">
        <f t="shared" si="22"/>
        <v>1182.9584694754944</v>
      </c>
      <c r="I12" s="230">
        <f t="shared" si="22"/>
        <v>1105.3620808254514</v>
      </c>
      <c r="J12" s="230">
        <f t="shared" si="22"/>
        <v>1098.7245915735168</v>
      </c>
      <c r="K12" s="230">
        <f t="shared" si="22"/>
        <v>874.56775580395527</v>
      </c>
      <c r="L12" s="230">
        <f t="shared" si="22"/>
        <v>800.2030094582974</v>
      </c>
      <c r="M12" s="230">
        <f t="shared" si="22"/>
        <v>760.80309544282022</v>
      </c>
      <c r="N12" s="230">
        <f t="shared" si="22"/>
        <v>752.69174548581259</v>
      </c>
      <c r="O12" s="230">
        <f t="shared" si="22"/>
        <v>579.11994840928617</v>
      </c>
      <c r="P12" s="230">
        <f t="shared" si="22"/>
        <v>516.94032674118648</v>
      </c>
      <c r="Q12" s="230">
        <f t="shared" si="22"/>
        <v>521.9857265692176</v>
      </c>
      <c r="R12" s="230">
        <f t="shared" si="22"/>
        <v>518.22398968185723</v>
      </c>
      <c r="S12" s="230">
        <f t="shared" si="22"/>
        <v>537.64849527085107</v>
      </c>
      <c r="T12" s="230">
        <f t="shared" si="22"/>
        <v>507.96534823731724</v>
      </c>
      <c r="U12" s="230">
        <f t="shared" si="22"/>
        <v>513.56096302665526</v>
      </c>
      <c r="V12" s="230">
        <f t="shared" si="22"/>
        <v>620.47936371453136</v>
      </c>
      <c r="W12" s="230">
        <f t="shared" si="22"/>
        <v>488.4470335339638</v>
      </c>
      <c r="DA12" s="211" t="s">
        <v>978</v>
      </c>
    </row>
    <row r="13" spans="1:105" x14ac:dyDescent="0.25">
      <c r="A13" s="58" t="s">
        <v>29</v>
      </c>
      <c r="B13" s="59">
        <v>6.820550300945829</v>
      </c>
      <c r="C13" s="59">
        <v>6.3246775580395527</v>
      </c>
      <c r="D13" s="59">
        <v>0</v>
      </c>
      <c r="E13" s="59">
        <v>0</v>
      </c>
      <c r="F13" s="59">
        <v>0.3869303525365434</v>
      </c>
      <c r="G13" s="59">
        <v>2.4840068787618228</v>
      </c>
      <c r="H13" s="59">
        <v>3.7833190025795349</v>
      </c>
      <c r="I13" s="59">
        <v>0</v>
      </c>
      <c r="J13" s="59">
        <v>0</v>
      </c>
      <c r="K13" s="59">
        <v>0</v>
      </c>
      <c r="L13" s="59">
        <v>0</v>
      </c>
      <c r="M13" s="59">
        <v>1.1513327601031811</v>
      </c>
      <c r="N13" s="59">
        <v>0</v>
      </c>
      <c r="O13" s="59">
        <v>0.99819432502149608</v>
      </c>
      <c r="P13" s="59">
        <v>2.762338779019776</v>
      </c>
      <c r="Q13" s="59">
        <v>1.5953568357695616</v>
      </c>
      <c r="R13" s="59">
        <v>2.9211521926053301</v>
      </c>
      <c r="S13" s="59">
        <v>0.8306104901117799</v>
      </c>
      <c r="T13" s="59">
        <v>0.59630266552020628</v>
      </c>
      <c r="U13" s="59">
        <v>0.62476354256233879</v>
      </c>
      <c r="V13" s="59">
        <v>1.4227858985382631</v>
      </c>
      <c r="W13" s="59">
        <v>1.3957867583834909</v>
      </c>
      <c r="DA13" s="9" t="s">
        <v>979</v>
      </c>
    </row>
    <row r="14" spans="1:105" x14ac:dyDescent="0.25">
      <c r="A14" s="60" t="s">
        <v>28</v>
      </c>
      <c r="B14" s="55">
        <f>SUM(B15:B17)</f>
        <v>847.92682717110915</v>
      </c>
      <c r="C14" s="55">
        <f t="shared" ref="C14:W14" si="23">SUM(C15:C17)</f>
        <v>860.03387790197758</v>
      </c>
      <c r="D14" s="55">
        <f t="shared" si="23"/>
        <v>943.25503009458293</v>
      </c>
      <c r="E14" s="55">
        <f t="shared" si="23"/>
        <v>1009.4845227858984</v>
      </c>
      <c r="F14" s="55">
        <f t="shared" si="23"/>
        <v>862.43190025795354</v>
      </c>
      <c r="G14" s="55">
        <f t="shared" si="23"/>
        <v>881.72828890799644</v>
      </c>
      <c r="H14" s="55">
        <f t="shared" si="23"/>
        <v>927.38615649183146</v>
      </c>
      <c r="I14" s="55">
        <f t="shared" si="23"/>
        <v>837.09991401547711</v>
      </c>
      <c r="J14" s="55">
        <f t="shared" si="23"/>
        <v>809.33895098882192</v>
      </c>
      <c r="K14" s="55">
        <f t="shared" si="23"/>
        <v>633.58650042992258</v>
      </c>
      <c r="L14" s="55">
        <f t="shared" si="23"/>
        <v>546.20713671539113</v>
      </c>
      <c r="M14" s="55">
        <f t="shared" si="23"/>
        <v>507.00773860705067</v>
      </c>
      <c r="N14" s="55">
        <f t="shared" si="23"/>
        <v>486.60550300945829</v>
      </c>
      <c r="O14" s="55">
        <f t="shared" si="23"/>
        <v>314.34032674118652</v>
      </c>
      <c r="P14" s="55">
        <f t="shared" si="23"/>
        <v>287.84282029234737</v>
      </c>
      <c r="Q14" s="55">
        <f t="shared" si="23"/>
        <v>293.99552880481508</v>
      </c>
      <c r="R14" s="55">
        <f t="shared" si="23"/>
        <v>277.08030954428193</v>
      </c>
      <c r="S14" s="55">
        <f t="shared" si="23"/>
        <v>280.53052450558891</v>
      </c>
      <c r="T14" s="55">
        <f t="shared" si="23"/>
        <v>278.59733447979363</v>
      </c>
      <c r="U14" s="55">
        <f t="shared" si="23"/>
        <v>272.05288048151334</v>
      </c>
      <c r="V14" s="55">
        <f t="shared" si="23"/>
        <v>381.66070507308677</v>
      </c>
      <c r="W14" s="55">
        <f t="shared" si="23"/>
        <v>231.33955288048148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96.684866723989671</v>
      </c>
      <c r="O15" s="55">
        <v>30.763370593293203</v>
      </c>
      <c r="P15" s="55">
        <v>24.171281169389513</v>
      </c>
      <c r="Q15" s="55">
        <v>26.368615649183141</v>
      </c>
      <c r="R15" s="55">
        <v>28.566036113499564</v>
      </c>
      <c r="S15" s="55">
        <v>31.390627687016337</v>
      </c>
      <c r="T15" s="55">
        <v>35.065864144453997</v>
      </c>
      <c r="U15" s="55">
        <v>35.022957867583834</v>
      </c>
      <c r="V15" s="55">
        <v>37.010490111779873</v>
      </c>
      <c r="W15" s="55">
        <v>38.144282029234731</v>
      </c>
      <c r="DA15" s="10" t="s">
        <v>980</v>
      </c>
    </row>
    <row r="16" spans="1:105" x14ac:dyDescent="0.25">
      <c r="A16" s="61" t="s">
        <v>172</v>
      </c>
      <c r="B16" s="55">
        <v>780.54840928632848</v>
      </c>
      <c r="C16" s="55">
        <v>790.81874462596727</v>
      </c>
      <c r="D16" s="55">
        <v>872.98177128116936</v>
      </c>
      <c r="E16" s="55">
        <v>954.11771281169376</v>
      </c>
      <c r="F16" s="55">
        <v>807.2513327601032</v>
      </c>
      <c r="G16" s="55">
        <v>827.79208942390358</v>
      </c>
      <c r="H16" s="55">
        <v>867.84660361134991</v>
      </c>
      <c r="I16" s="55">
        <v>777.46723989681846</v>
      </c>
      <c r="J16" s="55">
        <v>750.76431642304374</v>
      </c>
      <c r="K16" s="55">
        <v>585.05305245055888</v>
      </c>
      <c r="L16" s="55">
        <v>519.93404987102315</v>
      </c>
      <c r="M16" s="55">
        <v>497.54944110060183</v>
      </c>
      <c r="N16" s="55">
        <v>200.4442820292347</v>
      </c>
      <c r="O16" s="55">
        <v>94.625967325881334</v>
      </c>
      <c r="P16" s="55">
        <v>115.99312123817711</v>
      </c>
      <c r="Q16" s="55">
        <v>117.01066208082545</v>
      </c>
      <c r="R16" s="55">
        <v>104.80077386070506</v>
      </c>
      <c r="S16" s="55">
        <v>101.82261392949269</v>
      </c>
      <c r="T16" s="55">
        <v>109.90748065348235</v>
      </c>
      <c r="U16" s="55">
        <v>100.8712811693895</v>
      </c>
      <c r="V16" s="55">
        <v>177.04419604471195</v>
      </c>
      <c r="W16" s="55">
        <v>93.866036113499561</v>
      </c>
      <c r="DA16" s="10" t="s">
        <v>981</v>
      </c>
    </row>
    <row r="17" spans="1:105" x14ac:dyDescent="0.25">
      <c r="A17" s="61" t="s">
        <v>113</v>
      </c>
      <c r="B17" s="55">
        <v>67.378417884780731</v>
      </c>
      <c r="C17" s="55">
        <v>69.215133276010306</v>
      </c>
      <c r="D17" s="55">
        <v>70.273258813413577</v>
      </c>
      <c r="E17" s="55">
        <v>55.366809974204642</v>
      </c>
      <c r="F17" s="55">
        <v>55.18056749785039</v>
      </c>
      <c r="G17" s="55">
        <v>53.93619948409286</v>
      </c>
      <c r="H17" s="55">
        <v>59.539552880481509</v>
      </c>
      <c r="I17" s="55">
        <v>59.632674118658642</v>
      </c>
      <c r="J17" s="55">
        <v>58.574634565778155</v>
      </c>
      <c r="K17" s="55">
        <v>48.533447979363714</v>
      </c>
      <c r="L17" s="55">
        <v>26.273086844368009</v>
      </c>
      <c r="M17" s="55">
        <v>9.4582975064488384</v>
      </c>
      <c r="N17" s="55">
        <v>189.47635425623389</v>
      </c>
      <c r="O17" s="55">
        <v>188.95098882201199</v>
      </c>
      <c r="P17" s="55">
        <v>147.67841788478074</v>
      </c>
      <c r="Q17" s="55">
        <v>150.61625107480651</v>
      </c>
      <c r="R17" s="55">
        <v>143.71349957007735</v>
      </c>
      <c r="S17" s="55">
        <v>147.31728288907991</v>
      </c>
      <c r="T17" s="55">
        <v>133.62398968185727</v>
      </c>
      <c r="U17" s="55">
        <v>136.15864144454</v>
      </c>
      <c r="V17" s="55">
        <v>167.60601891659499</v>
      </c>
      <c r="W17" s="55">
        <v>99.329234737747186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0.1934651762682717</v>
      </c>
      <c r="Q18" s="55">
        <v>0.1719690455717971</v>
      </c>
      <c r="R18" s="55">
        <v>0.25795356835769562</v>
      </c>
      <c r="S18" s="55">
        <v>0.37747205503009451</v>
      </c>
      <c r="T18" s="55">
        <v>0.53938091143594147</v>
      </c>
      <c r="U18" s="55">
        <v>2.3848667239896821</v>
      </c>
      <c r="V18" s="55">
        <v>2.806964746345658</v>
      </c>
      <c r="W18" s="55">
        <v>4.3651762682717106</v>
      </c>
      <c r="DA18" s="10" t="s">
        <v>983</v>
      </c>
    </row>
    <row r="19" spans="1:105" x14ac:dyDescent="0.25">
      <c r="A19" s="60" t="s">
        <v>51</v>
      </c>
      <c r="B19" s="55">
        <f>SUM(B20:B25)</f>
        <v>11.464574376612211</v>
      </c>
      <c r="C19" s="55">
        <f t="shared" ref="C19:W19" si="24">SUM(C20:C25)</f>
        <v>12.587188306104895</v>
      </c>
      <c r="D19" s="55">
        <f t="shared" si="24"/>
        <v>8.9567497850386939</v>
      </c>
      <c r="E19" s="55">
        <f t="shared" si="24"/>
        <v>7.1892519346517627</v>
      </c>
      <c r="F19" s="55">
        <f t="shared" si="24"/>
        <v>15.620464316423043</v>
      </c>
      <c r="G19" s="55">
        <f t="shared" si="24"/>
        <v>18.909458297506447</v>
      </c>
      <c r="H19" s="55">
        <f t="shared" si="24"/>
        <v>18.169045571797074</v>
      </c>
      <c r="I19" s="55">
        <f t="shared" si="24"/>
        <v>20.540756663800511</v>
      </c>
      <c r="J19" s="55">
        <f t="shared" si="24"/>
        <v>22.403697334479794</v>
      </c>
      <c r="K19" s="55">
        <f t="shared" si="24"/>
        <v>24.81616509028375</v>
      </c>
      <c r="L19" s="55">
        <f t="shared" si="24"/>
        <v>24.847119518486672</v>
      </c>
      <c r="M19" s="55">
        <f t="shared" si="24"/>
        <v>37.424763542562332</v>
      </c>
      <c r="N19" s="55">
        <f t="shared" si="24"/>
        <v>31.606448839208944</v>
      </c>
      <c r="O19" s="55">
        <f t="shared" si="24"/>
        <v>31.279277730008598</v>
      </c>
      <c r="P19" s="55">
        <f t="shared" si="24"/>
        <v>29.839036973344797</v>
      </c>
      <c r="Q19" s="55">
        <f t="shared" si="24"/>
        <v>31.295958727429056</v>
      </c>
      <c r="R19" s="55">
        <f t="shared" si="24"/>
        <v>31.257781599312114</v>
      </c>
      <c r="S19" s="55">
        <f t="shared" si="24"/>
        <v>30.111263972484956</v>
      </c>
      <c r="T19" s="55">
        <f t="shared" si="24"/>
        <v>31.835941530524497</v>
      </c>
      <c r="U19" s="55">
        <f t="shared" si="24"/>
        <v>32.606792777300093</v>
      </c>
      <c r="V19" s="55">
        <f t="shared" si="24"/>
        <v>28.259587274290631</v>
      </c>
      <c r="W19" s="55">
        <f t="shared" si="24"/>
        <v>27.051590713671544</v>
      </c>
      <c r="DA19" s="10"/>
    </row>
    <row r="20" spans="1:105" x14ac:dyDescent="0.25">
      <c r="A20" s="61" t="s">
        <v>171</v>
      </c>
      <c r="B20" s="55">
        <v>9.8643164230438529</v>
      </c>
      <c r="C20" s="55">
        <v>10.31814273430782</v>
      </c>
      <c r="D20" s="55">
        <v>7.6191745485812552</v>
      </c>
      <c r="E20" s="55">
        <v>6.0428202923473773</v>
      </c>
      <c r="F20" s="55">
        <v>8.2401547721410147</v>
      </c>
      <c r="G20" s="55">
        <v>11.536285468615651</v>
      </c>
      <c r="H20" s="55">
        <v>10.58091143594153</v>
      </c>
      <c r="I20" s="55">
        <v>12.70662080825451</v>
      </c>
      <c r="J20" s="55">
        <v>14.569561478933791</v>
      </c>
      <c r="K20" s="55">
        <v>14.880137575236461</v>
      </c>
      <c r="L20" s="55">
        <v>14.903955288048151</v>
      </c>
      <c r="M20" s="55">
        <v>27.610576096302658</v>
      </c>
      <c r="N20" s="55">
        <v>24.720550300945831</v>
      </c>
      <c r="O20" s="55">
        <v>25.699828030954428</v>
      </c>
      <c r="P20" s="55">
        <v>24.696646603611349</v>
      </c>
      <c r="Q20" s="55">
        <v>27.610576096302658</v>
      </c>
      <c r="R20" s="55">
        <v>27.276182287188298</v>
      </c>
      <c r="S20" s="55">
        <v>27.25227858985383</v>
      </c>
      <c r="T20" s="55">
        <v>28.733190025795349</v>
      </c>
      <c r="U20" s="55">
        <v>29.951246775580401</v>
      </c>
      <c r="V20" s="55">
        <v>25.1</v>
      </c>
      <c r="W20" s="55">
        <v>25.236371453138439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0.212725709372313</v>
      </c>
      <c r="U22" s="55">
        <v>0.14763542562338774</v>
      </c>
      <c r="V22" s="55">
        <v>0.17403267411865866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1.6002579535683581</v>
      </c>
      <c r="C24" s="55">
        <v>2.2690455717970761</v>
      </c>
      <c r="D24" s="55">
        <v>1.337575236457438</v>
      </c>
      <c r="E24" s="55">
        <v>1.146431642304385</v>
      </c>
      <c r="F24" s="55">
        <v>7.3803095442820288</v>
      </c>
      <c r="G24" s="55">
        <v>7.3731728288907981</v>
      </c>
      <c r="H24" s="55">
        <v>7.5881341358555439</v>
      </c>
      <c r="I24" s="55">
        <v>7.8341358555460019</v>
      </c>
      <c r="J24" s="55">
        <v>7.8341358555460019</v>
      </c>
      <c r="K24" s="55">
        <v>9.9360275150472894</v>
      </c>
      <c r="L24" s="55">
        <v>9.9431642304385193</v>
      </c>
      <c r="M24" s="55">
        <v>9.8141874462596714</v>
      </c>
      <c r="N24" s="55">
        <v>6.8858985382631124</v>
      </c>
      <c r="O24" s="55">
        <v>5.5794496990541695</v>
      </c>
      <c r="P24" s="55">
        <v>5.1423903697334481</v>
      </c>
      <c r="Q24" s="55">
        <v>3.6853826311263971</v>
      </c>
      <c r="R24" s="55">
        <v>3.9815993121238171</v>
      </c>
      <c r="S24" s="55">
        <v>2.858985382631126</v>
      </c>
      <c r="T24" s="55">
        <v>2.8900257953568351</v>
      </c>
      <c r="U24" s="55">
        <v>2.507910576096303</v>
      </c>
      <c r="V24" s="55">
        <v>2.9855546001719691</v>
      </c>
      <c r="W24" s="55">
        <v>1.8152192605331039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250.21496130696471</v>
      </c>
      <c r="C27" s="63">
        <v>239.0369733447979</v>
      </c>
      <c r="D27" s="63">
        <v>213.4995700773861</v>
      </c>
      <c r="E27" s="63">
        <v>239.29492691315559</v>
      </c>
      <c r="F27" s="63">
        <v>239.810834049871</v>
      </c>
      <c r="G27" s="63">
        <v>252.10662080825449</v>
      </c>
      <c r="H27" s="63">
        <v>233.61994840928631</v>
      </c>
      <c r="I27" s="63">
        <v>247.7214101461737</v>
      </c>
      <c r="J27" s="63">
        <v>266.98194325021501</v>
      </c>
      <c r="K27" s="63">
        <v>216.1650902837489</v>
      </c>
      <c r="L27" s="63">
        <v>229.14875322441961</v>
      </c>
      <c r="M27" s="63">
        <v>215.21926053310401</v>
      </c>
      <c r="N27" s="63">
        <v>234.47979363714529</v>
      </c>
      <c r="O27" s="63">
        <v>232.50214961306961</v>
      </c>
      <c r="P27" s="63">
        <v>196.30266552020629</v>
      </c>
      <c r="Q27" s="63">
        <v>194.92691315563201</v>
      </c>
      <c r="R27" s="63">
        <v>206.70679277730011</v>
      </c>
      <c r="S27" s="63">
        <v>225.79862424763539</v>
      </c>
      <c r="T27" s="63">
        <v>196.39638865004295</v>
      </c>
      <c r="U27" s="63">
        <v>205.89165950128981</v>
      </c>
      <c r="V27" s="63">
        <v>206.32932072226998</v>
      </c>
      <c r="W27" s="63">
        <v>224.29492691315556</v>
      </c>
      <c r="DA27" s="11" t="s">
        <v>991</v>
      </c>
    </row>
    <row r="29" spans="1:105" x14ac:dyDescent="0.25">
      <c r="A29" s="219" t="s">
        <v>84</v>
      </c>
      <c r="B29" s="220">
        <v>2656.1320378148885</v>
      </c>
      <c r="C29" s="220">
        <v>2691.8237110407358</v>
      </c>
      <c r="D29" s="220">
        <v>2918.1398947200005</v>
      </c>
      <c r="E29" s="220">
        <v>3126.9344468399995</v>
      </c>
      <c r="F29" s="220">
        <v>2673.3443222520004</v>
      </c>
      <c r="G29" s="220">
        <v>2744.6112152481833</v>
      </c>
      <c r="H29" s="220">
        <v>2894.2575444000013</v>
      </c>
      <c r="I29" s="220">
        <v>2594.8675565999997</v>
      </c>
      <c r="J29" s="220">
        <v>2508.9540533999998</v>
      </c>
      <c r="K29" s="220">
        <v>1962.3770715600001</v>
      </c>
      <c r="L29" s="220">
        <v>1689.2832819599998</v>
      </c>
      <c r="M29" s="220">
        <v>1577.0072289314892</v>
      </c>
      <c r="N29" s="220">
        <v>1444.4086352400002</v>
      </c>
      <c r="O29" s="220">
        <v>961.81425198377087</v>
      </c>
      <c r="P29" s="220">
        <v>883.64007843117054</v>
      </c>
      <c r="Q29" s="220">
        <v>895.36518380720133</v>
      </c>
      <c r="R29" s="220">
        <v>848.54314601709802</v>
      </c>
      <c r="S29" s="220">
        <v>846.80166744551923</v>
      </c>
      <c r="T29" s="220">
        <v>841.40948977306766</v>
      </c>
      <c r="U29" s="220">
        <v>824.29475053006581</v>
      </c>
      <c r="V29" s="220">
        <v>1165.7611254592241</v>
      </c>
      <c r="W29" s="220">
        <v>709.33854352166577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116.38503826815257</v>
      </c>
      <c r="C31" s="59">
        <f t="shared" si="25"/>
        <v>117.31744834364304</v>
      </c>
      <c r="D31" s="59">
        <f t="shared" si="25"/>
        <v>123.10037692885055</v>
      </c>
      <c r="E31" s="59">
        <f t="shared" si="25"/>
        <v>125.35957437406489</v>
      </c>
      <c r="F31" s="59">
        <f t="shared" si="25"/>
        <v>124.02273046348454</v>
      </c>
      <c r="G31" s="59">
        <f t="shared" si="25"/>
        <v>126.69618034669408</v>
      </c>
      <c r="H31" s="59">
        <f t="shared" si="25"/>
        <v>164.23655805223919</v>
      </c>
      <c r="I31" s="59">
        <f t="shared" si="25"/>
        <v>156.79041177032576</v>
      </c>
      <c r="J31" s="59">
        <f t="shared" si="25"/>
        <v>169.21358241825925</v>
      </c>
      <c r="K31" s="59">
        <f t="shared" si="25"/>
        <v>141.18939311358014</v>
      </c>
      <c r="L31" s="59">
        <f t="shared" si="25"/>
        <v>126.85134096275655</v>
      </c>
      <c r="M31" s="59">
        <f t="shared" si="25"/>
        <v>126.58619389146553</v>
      </c>
      <c r="N31" s="59">
        <f t="shared" si="25"/>
        <v>121.12179528117503</v>
      </c>
      <c r="O31" s="59">
        <f t="shared" si="25"/>
        <v>97.297252704906199</v>
      </c>
      <c r="P31" s="59">
        <f t="shared" si="25"/>
        <v>81.779171959462246</v>
      </c>
      <c r="Q31" s="59">
        <f t="shared" si="25"/>
        <v>76.581289383843767</v>
      </c>
      <c r="R31" s="59">
        <f t="shared" si="25"/>
        <v>83.200037416815277</v>
      </c>
      <c r="S31" s="59">
        <f t="shared" si="25"/>
        <v>77.358934415050314</v>
      </c>
      <c r="T31" s="59">
        <f t="shared" si="25"/>
        <v>76.045782880867051</v>
      </c>
      <c r="U31" s="59">
        <f t="shared" si="25"/>
        <v>72.421435933157426</v>
      </c>
      <c r="V31" s="59">
        <f t="shared" si="25"/>
        <v>90.734331547856115</v>
      </c>
      <c r="W31" s="59">
        <f t="shared" si="25"/>
        <v>73.463944549710718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122.34803499436489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154.42655608236763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124.90211009173741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44.991972390538564</v>
      </c>
      <c r="C33" s="55">
        <f>IF(AGR_ued!C$5=0,"",AGR_ued!C$5/C$5*1000)</f>
        <v>43.244752828121122</v>
      </c>
      <c r="D33" s="55">
        <f>IF(AGR_ued!D$5=0,"",AGR_ued!D$5/D$5*1000)</f>
        <v>44.416592801770662</v>
      </c>
      <c r="E33" s="55">
        <f>IF(AGR_ued!E$5=0,"",AGR_ued!E$5/E$5*1000)</f>
        <v>47.367712519932383</v>
      </c>
      <c r="F33" s="55">
        <f>IF(AGR_ued!F$5=0,"",AGR_ued!F$5/F$5*1000)</f>
        <v>47.79117965422931</v>
      </c>
      <c r="G33" s="55">
        <f>IF(AGR_ued!G$5=0,"",AGR_ued!G$5/G$5*1000)</f>
        <v>54.840183867834455</v>
      </c>
      <c r="H33" s="55">
        <f>IF(AGR_ued!H$5=0,"",AGR_ued!H$5/H$5*1000)</f>
        <v>51.50993019694797</v>
      </c>
      <c r="I33" s="55">
        <f>IF(AGR_ued!I$5=0,"",AGR_ued!I$5/I$5*1000)</f>
        <v>48.878257076908412</v>
      </c>
      <c r="J33" s="55">
        <f>IF(AGR_ued!J$5=0,"",AGR_ued!J$5/J$5*1000)</f>
        <v>50.205338690839632</v>
      </c>
      <c r="K33" s="55">
        <f>IF(AGR_ued!K$5=0,"",AGR_ued!K$5/K$5*1000)</f>
        <v>56.448481680236604</v>
      </c>
      <c r="L33" s="55">
        <f>IF(AGR_ued!L$5=0,"",AGR_ued!L$5/L$5*1000)</f>
        <v>53.649042105951381</v>
      </c>
      <c r="M33" s="55">
        <f>IF(AGR_ued!M$5=0,"",AGR_ued!M$5/M$5*1000)</f>
        <v>49.131868631250818</v>
      </c>
      <c r="N33" s="55">
        <f>IF(AGR_ued!N$5=0,"",AGR_ued!N$5/N$5*1000)</f>
        <v>49.262334668118982</v>
      </c>
      <c r="O33" s="55">
        <f>IF(AGR_ued!O$5=0,"",AGR_ued!O$5/O$5*1000)</f>
        <v>51.793166763648649</v>
      </c>
      <c r="P33" s="55">
        <f>IF(AGR_ued!P$5=0,"",AGR_ued!P$5/P$5*1000)</f>
        <v>50.010673278477114</v>
      </c>
      <c r="Q33" s="55">
        <f>IF(AGR_ued!Q$5=0,"",AGR_ued!Q$5/Q$5*1000)</f>
        <v>50.742235409022783</v>
      </c>
      <c r="R33" s="55">
        <f>IF(AGR_ued!R$5=0,"",AGR_ued!R$5/R$5*1000)</f>
        <v>52.818991183828061</v>
      </c>
      <c r="S33" s="55">
        <f>IF(AGR_ued!S$5=0,"",AGR_ued!S$5/S$5*1000)</f>
        <v>49.630095178627158</v>
      </c>
      <c r="T33" s="55">
        <f>IF(AGR_ued!T$5=0,"",AGR_ued!T$5/T$5*1000)</f>
        <v>54.621016821933054</v>
      </c>
      <c r="U33" s="55">
        <f>IF(AGR_ued!U$5=0,"",AGR_ued!U$5/U$5*1000)</f>
        <v>55.549792698476836</v>
      </c>
      <c r="V33" s="55">
        <f>IF(AGR_ued!V$5=0,"",AGR_ued!V$5/V$5*1000)</f>
        <v>55.169854913586548</v>
      </c>
      <c r="W33" s="55">
        <f>IF(AGR_ued!W$5=0,"",AGR_ued!W$5/W$5*1000)</f>
        <v>58.888364168838258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2.3791365171475576</v>
      </c>
      <c r="C34" s="218">
        <f t="shared" si="27"/>
        <v>2.4077507369674915</v>
      </c>
      <c r="D34" s="218">
        <f t="shared" si="27"/>
        <v>2.5033125866258601</v>
      </c>
      <c r="E34" s="218">
        <f t="shared" si="27"/>
        <v>2.4896595295508783</v>
      </c>
      <c r="F34" s="218">
        <f t="shared" si="27"/>
        <v>2.3906496882751544</v>
      </c>
      <c r="G34" s="218">
        <f t="shared" si="27"/>
        <v>2.3758170028532564</v>
      </c>
      <c r="H34" s="218">
        <f t="shared" si="27"/>
        <v>2.4466265038731838</v>
      </c>
      <c r="I34" s="218">
        <f t="shared" si="27"/>
        <v>2.3475272054404384</v>
      </c>
      <c r="J34" s="218">
        <f t="shared" si="27"/>
        <v>2.2835149705777047</v>
      </c>
      <c r="K34" s="218">
        <f t="shared" si="27"/>
        <v>2.2438250879213641</v>
      </c>
      <c r="L34" s="218">
        <f t="shared" si="27"/>
        <v>2.1110683938861605</v>
      </c>
      <c r="M34" s="218">
        <f t="shared" si="27"/>
        <v>2.0728191543616195</v>
      </c>
      <c r="N34" s="218">
        <f t="shared" si="27"/>
        <v>1.9189909334102373</v>
      </c>
      <c r="O34" s="218">
        <f t="shared" si="27"/>
        <v>1.660820447690778</v>
      </c>
      <c r="P34" s="218">
        <f t="shared" si="27"/>
        <v>1.709365728925957</v>
      </c>
      <c r="Q34" s="218">
        <f t="shared" si="27"/>
        <v>1.7153058756836945</v>
      </c>
      <c r="R34" s="218">
        <f t="shared" si="27"/>
        <v>1.6374061465931498</v>
      </c>
      <c r="S34" s="218">
        <f t="shared" si="27"/>
        <v>1.5750098342950372</v>
      </c>
      <c r="T34" s="218">
        <f t="shared" si="27"/>
        <v>1.6564308819348206</v>
      </c>
      <c r="U34" s="218">
        <f t="shared" si="27"/>
        <v>1.6050572568290837</v>
      </c>
      <c r="V34" s="218">
        <f t="shared" si="27"/>
        <v>1.8788072474809407</v>
      </c>
      <c r="W34" s="218">
        <f t="shared" si="27"/>
        <v>1.4522322684396904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1116.4269131556318</v>
      </c>
      <c r="C5" s="80">
        <f t="shared" ref="C5:W5" si="1">SUM(C6:C9,C16:C17,C25:C27)</f>
        <v>1117.98271711092</v>
      </c>
      <c r="D5" s="80">
        <f t="shared" si="1"/>
        <v>1165.711349957008</v>
      </c>
      <c r="E5" s="80">
        <f t="shared" si="1"/>
        <v>1255.9687016337059</v>
      </c>
      <c r="F5" s="80">
        <f t="shared" si="1"/>
        <v>1118.2501289767843</v>
      </c>
      <c r="G5" s="80">
        <f t="shared" si="1"/>
        <v>1155.2283748925192</v>
      </c>
      <c r="H5" s="80">
        <f t="shared" si="1"/>
        <v>1182.9584694754942</v>
      </c>
      <c r="I5" s="80">
        <f t="shared" si="1"/>
        <v>1105.3620808254509</v>
      </c>
      <c r="J5" s="80">
        <f t="shared" si="1"/>
        <v>1098.7245915735166</v>
      </c>
      <c r="K5" s="80">
        <f t="shared" si="1"/>
        <v>874.56775580395504</v>
      </c>
      <c r="L5" s="80">
        <f t="shared" si="1"/>
        <v>800.20300945829717</v>
      </c>
      <c r="M5" s="80">
        <f t="shared" si="1"/>
        <v>760.80309544281988</v>
      </c>
      <c r="N5" s="80">
        <f t="shared" si="1"/>
        <v>752.69174548581248</v>
      </c>
      <c r="O5" s="80">
        <f t="shared" si="1"/>
        <v>579.11994840928617</v>
      </c>
      <c r="P5" s="80">
        <f t="shared" si="1"/>
        <v>516.94032674118637</v>
      </c>
      <c r="Q5" s="80">
        <f t="shared" si="1"/>
        <v>521.98572656921738</v>
      </c>
      <c r="R5" s="80">
        <f t="shared" si="1"/>
        <v>518.22398968185723</v>
      </c>
      <c r="S5" s="80">
        <f t="shared" si="1"/>
        <v>537.64849527085119</v>
      </c>
      <c r="T5" s="80">
        <f t="shared" si="1"/>
        <v>507.9653482373173</v>
      </c>
      <c r="U5" s="80">
        <f t="shared" si="1"/>
        <v>513.56096302665514</v>
      </c>
      <c r="V5" s="80">
        <f t="shared" si="1"/>
        <v>620.47936371453125</v>
      </c>
      <c r="W5" s="80">
        <f t="shared" si="1"/>
        <v>488.44703353396369</v>
      </c>
      <c r="DA5" s="103"/>
    </row>
    <row r="6" spans="1:105" x14ac:dyDescent="0.25">
      <c r="A6" s="239" t="s">
        <v>125</v>
      </c>
      <c r="B6" s="240">
        <v>36.586041699590112</v>
      </c>
      <c r="C6" s="240">
        <v>35.595648872239003</v>
      </c>
      <c r="D6" s="240">
        <v>33.746374717504068</v>
      </c>
      <c r="E6" s="240">
        <v>37.470947168715497</v>
      </c>
      <c r="F6" s="240">
        <v>35.871479134653988</v>
      </c>
      <c r="G6" s="240">
        <v>37.436296175905703</v>
      </c>
      <c r="H6" s="240">
        <v>35.995381168263833</v>
      </c>
      <c r="I6" s="240">
        <v>36.332410227026102</v>
      </c>
      <c r="J6" s="240">
        <v>37.869327993492952</v>
      </c>
      <c r="K6" s="240">
        <v>30.391514724344471</v>
      </c>
      <c r="L6" s="240">
        <v>30.43303006802784</v>
      </c>
      <c r="M6" s="240">
        <v>28.748573395406101</v>
      </c>
      <c r="N6" s="240">
        <v>25.183027703988351</v>
      </c>
      <c r="O6" s="240">
        <v>22.31013774431436</v>
      </c>
      <c r="P6" s="240">
        <v>19.72169955082153</v>
      </c>
      <c r="Q6" s="240">
        <v>19.589919895714981</v>
      </c>
      <c r="R6" s="240">
        <v>20.295424602800349</v>
      </c>
      <c r="S6" s="240">
        <v>21.80924892587154</v>
      </c>
      <c r="T6" s="240">
        <v>19.52380718688228</v>
      </c>
      <c r="U6" s="240">
        <v>20.156409246806</v>
      </c>
      <c r="V6" s="240">
        <v>22.105878439643551</v>
      </c>
      <c r="W6" s="240">
        <v>21.550851622500939</v>
      </c>
      <c r="DA6" s="268" t="s">
        <v>993</v>
      </c>
    </row>
    <row r="7" spans="1:105" x14ac:dyDescent="0.25">
      <c r="A7" s="241" t="s">
        <v>124</v>
      </c>
      <c r="B7" s="242">
        <v>23.780927104733561</v>
      </c>
      <c r="C7" s="242">
        <v>23.137171766955341</v>
      </c>
      <c r="D7" s="242">
        <v>21.93514356637764</v>
      </c>
      <c r="E7" s="242">
        <v>24.356115659665079</v>
      </c>
      <c r="F7" s="242">
        <v>23.316461437525081</v>
      </c>
      <c r="G7" s="242">
        <v>24.333592514338701</v>
      </c>
      <c r="H7" s="242">
        <v>23.39699775937148</v>
      </c>
      <c r="I7" s="242">
        <v>23.616066647566949</v>
      </c>
      <c r="J7" s="242">
        <v>24.615063195770411</v>
      </c>
      <c r="K7" s="242">
        <v>19.754484570823902</v>
      </c>
      <c r="L7" s="242">
        <v>19.781469544218091</v>
      </c>
      <c r="M7" s="242">
        <v>18.686572707013969</v>
      </c>
      <c r="N7" s="242">
        <v>16.368968007592429</v>
      </c>
      <c r="O7" s="242">
        <v>14.50158953380433</v>
      </c>
      <c r="P7" s="242">
        <v>12.81910470803399</v>
      </c>
      <c r="Q7" s="242">
        <v>12.73344793221473</v>
      </c>
      <c r="R7" s="242">
        <v>13.192025991820231</v>
      </c>
      <c r="S7" s="242">
        <v>14.1760118018165</v>
      </c>
      <c r="T7" s="242">
        <v>12.69047467147348</v>
      </c>
      <c r="U7" s="242">
        <v>13.1016660104239</v>
      </c>
      <c r="V7" s="242">
        <v>14.368820985768309</v>
      </c>
      <c r="W7" s="242">
        <v>14.008053554625601</v>
      </c>
      <c r="DA7" s="269" t="s">
        <v>994</v>
      </c>
    </row>
    <row r="8" spans="1:105" x14ac:dyDescent="0.25">
      <c r="A8" s="241" t="s">
        <v>123</v>
      </c>
      <c r="B8" s="242">
        <v>32.927437529631092</v>
      </c>
      <c r="C8" s="242">
        <v>32.036083985015097</v>
      </c>
      <c r="D8" s="242">
        <v>30.371737245753661</v>
      </c>
      <c r="E8" s="242">
        <v>33.723852451843953</v>
      </c>
      <c r="F8" s="242">
        <v>32.284331221188587</v>
      </c>
      <c r="G8" s="242">
        <v>33.692666558315118</v>
      </c>
      <c r="H8" s="242">
        <v>32.395843051437438</v>
      </c>
      <c r="I8" s="242">
        <v>32.699169204323468</v>
      </c>
      <c r="J8" s="242">
        <v>34.082395194143658</v>
      </c>
      <c r="K8" s="242">
        <v>27.35236325191002</v>
      </c>
      <c r="L8" s="242">
        <v>27.389727061225049</v>
      </c>
      <c r="M8" s="242">
        <v>25.87371605586549</v>
      </c>
      <c r="N8" s="242">
        <v>22.664724933589518</v>
      </c>
      <c r="O8" s="242">
        <v>20.079123969882929</v>
      </c>
      <c r="P8" s="242">
        <v>17.749529595739379</v>
      </c>
      <c r="Q8" s="242">
        <v>17.63092790614348</v>
      </c>
      <c r="R8" s="242">
        <v>18.265882142520319</v>
      </c>
      <c r="S8" s="242">
        <v>19.62832403328439</v>
      </c>
      <c r="T8" s="242">
        <v>17.571426468194051</v>
      </c>
      <c r="U8" s="242">
        <v>18.14076832212541</v>
      </c>
      <c r="V8" s="242">
        <v>19.895290595679199</v>
      </c>
      <c r="W8" s="242">
        <v>19.39576646025084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216.06419061477322</v>
      </c>
      <c r="C9" s="244">
        <f t="shared" ref="C9:W9" si="3">SUM(C10:C15)</f>
        <v>215.36096025788299</v>
      </c>
      <c r="D9" s="244">
        <f t="shared" si="3"/>
        <v>223.72675638044149</v>
      </c>
      <c r="E9" s="244">
        <f t="shared" si="3"/>
        <v>242.66083495640032</v>
      </c>
      <c r="F9" s="244">
        <f t="shared" si="3"/>
        <v>216.9259445952045</v>
      </c>
      <c r="G9" s="244">
        <f t="shared" si="3"/>
        <v>224.28848430922847</v>
      </c>
      <c r="H9" s="244">
        <f t="shared" si="3"/>
        <v>227.99490450124068</v>
      </c>
      <c r="I9" s="244">
        <f t="shared" si="3"/>
        <v>214.73148761884516</v>
      </c>
      <c r="J9" s="244">
        <f t="shared" si="3"/>
        <v>215.48455619419687</v>
      </c>
      <c r="K9" s="244">
        <f t="shared" si="3"/>
        <v>171.7864874243304</v>
      </c>
      <c r="L9" s="244">
        <f t="shared" si="3"/>
        <v>162.75751475809309</v>
      </c>
      <c r="M9" s="244">
        <f t="shared" si="3"/>
        <v>154.33039024830106</v>
      </c>
      <c r="N9" s="244">
        <f t="shared" si="3"/>
        <v>138.9265861341305</v>
      </c>
      <c r="O9" s="244">
        <f t="shared" si="3"/>
        <v>128.86818354618632</v>
      </c>
      <c r="P9" s="244">
        <f t="shared" si="3"/>
        <v>110.25809966780332</v>
      </c>
      <c r="Q9" s="244">
        <f t="shared" si="3"/>
        <v>109.4585912265707</v>
      </c>
      <c r="R9" s="244">
        <f t="shared" si="3"/>
        <v>114.83161017520642</v>
      </c>
      <c r="S9" s="244">
        <f t="shared" si="3"/>
        <v>124.59016362721117</v>
      </c>
      <c r="T9" s="244">
        <f t="shared" si="3"/>
        <v>109.57390114650053</v>
      </c>
      <c r="U9" s="244">
        <f t="shared" si="3"/>
        <v>114.37468121827324</v>
      </c>
      <c r="V9" s="244">
        <f t="shared" si="3"/>
        <v>121.13516758240216</v>
      </c>
      <c r="W9" s="244">
        <f t="shared" si="3"/>
        <v>123.49703027576722</v>
      </c>
      <c r="DA9" s="270"/>
    </row>
    <row r="10" spans="1:105" x14ac:dyDescent="0.25">
      <c r="A10" s="254" t="s">
        <v>173</v>
      </c>
      <c r="B10" s="255">
        <v>148.2576967761716</v>
      </c>
      <c r="C10" s="255">
        <v>153.54805572879121</v>
      </c>
      <c r="D10" s="255">
        <v>178.49979544893759</v>
      </c>
      <c r="E10" s="255">
        <v>190.3401290448746</v>
      </c>
      <c r="F10" s="255">
        <v>154.0859194608085</v>
      </c>
      <c r="G10" s="255">
        <v>156.988388815999</v>
      </c>
      <c r="H10" s="255">
        <v>171.81381031165921</v>
      </c>
      <c r="I10" s="255">
        <v>146.1514325597654</v>
      </c>
      <c r="J10" s="255">
        <v>135.40911984034989</v>
      </c>
      <c r="K10" s="255">
        <v>104.4832077887414</v>
      </c>
      <c r="L10" s="255">
        <v>83.00112041913016</v>
      </c>
      <c r="M10" s="255">
        <v>80.100088371002229</v>
      </c>
      <c r="N10" s="255">
        <v>27.056395951580711</v>
      </c>
      <c r="O10" s="255">
        <v>5.6896582282907664</v>
      </c>
      <c r="P10" s="255">
        <v>10.485970526467691</v>
      </c>
      <c r="Q10" s="255">
        <v>10.92524816906805</v>
      </c>
      <c r="R10" s="255">
        <v>8.0165723087710195</v>
      </c>
      <c r="S10" s="255">
        <v>6.7124845265946718</v>
      </c>
      <c r="T10" s="255">
        <v>9.4736065697386582</v>
      </c>
      <c r="U10" s="255">
        <v>7.4373117505884698</v>
      </c>
      <c r="V10" s="255">
        <v>22.869584757532621</v>
      </c>
      <c r="W10" s="255">
        <v>5.2466877946936394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7.5341837951294566E-2</v>
      </c>
      <c r="Q11" s="256">
        <v>6.9371141127336541E-2</v>
      </c>
      <c r="R11" s="256">
        <v>9.6460964429254573E-2</v>
      </c>
      <c r="S11" s="256">
        <v>0.1312450778353233</v>
      </c>
      <c r="T11" s="256">
        <v>0.20807377138489941</v>
      </c>
      <c r="U11" s="256">
        <v>0.89089584031841129</v>
      </c>
      <c r="V11" s="256">
        <v>1.1948177094715871</v>
      </c>
      <c r="W11" s="256">
        <v>1.207532259985981</v>
      </c>
      <c r="DA11" s="272" t="s">
        <v>997</v>
      </c>
    </row>
    <row r="12" spans="1:105" x14ac:dyDescent="0.25">
      <c r="A12" s="254" t="s">
        <v>158</v>
      </c>
      <c r="B12" s="256">
        <v>0.52174103038601927</v>
      </c>
      <c r="C12" s="256">
        <v>0.75417554616243165</v>
      </c>
      <c r="D12" s="256">
        <v>0.45926444089930751</v>
      </c>
      <c r="E12" s="256">
        <v>0.38051484263538249</v>
      </c>
      <c r="F12" s="256">
        <v>2.3865867585791278</v>
      </c>
      <c r="G12" s="256">
        <v>2.374955565348372</v>
      </c>
      <c r="H12" s="256">
        <v>2.5380516220655269</v>
      </c>
      <c r="I12" s="256">
        <v>2.5206960488732069</v>
      </c>
      <c r="J12" s="256">
        <v>2.4401330720885168</v>
      </c>
      <c r="K12" s="256">
        <v>3.0957629743736179</v>
      </c>
      <c r="L12" s="256">
        <v>2.7727914551428778</v>
      </c>
      <c r="M12" s="256">
        <v>2.7539083216406128</v>
      </c>
      <c r="N12" s="256">
        <v>3.3055350648892992</v>
      </c>
      <c r="O12" s="256">
        <v>2.2270644273589451</v>
      </c>
      <c r="P12" s="256">
        <v>2.0026195380067211</v>
      </c>
      <c r="Q12" s="256">
        <v>1.4866582399293871</v>
      </c>
      <c r="R12" s="256">
        <v>1.4889071396203539</v>
      </c>
      <c r="S12" s="256">
        <v>0.99405440501697107</v>
      </c>
      <c r="T12" s="256">
        <v>1.114868090230807</v>
      </c>
      <c r="U12" s="256">
        <v>0.93686036106746118</v>
      </c>
      <c r="V12" s="256">
        <v>1.270836590849209</v>
      </c>
      <c r="W12" s="256">
        <v>0.50214142140689944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67.2847528082156</v>
      </c>
      <c r="C15" s="256">
        <v>61.058728982929352</v>
      </c>
      <c r="D15" s="256">
        <v>44.767696490604578</v>
      </c>
      <c r="E15" s="256">
        <v>51.940191068890329</v>
      </c>
      <c r="F15" s="256">
        <v>60.453438375816873</v>
      </c>
      <c r="G15" s="256">
        <v>64.925139927881091</v>
      </c>
      <c r="H15" s="256">
        <v>53.643042567515948</v>
      </c>
      <c r="I15" s="256">
        <v>66.059359010206563</v>
      </c>
      <c r="J15" s="256">
        <v>77.635303281758468</v>
      </c>
      <c r="K15" s="256">
        <v>64.207516661215394</v>
      </c>
      <c r="L15" s="256">
        <v>76.983602883820055</v>
      </c>
      <c r="M15" s="256">
        <v>71.47639355565822</v>
      </c>
      <c r="N15" s="256">
        <v>108.56465511766049</v>
      </c>
      <c r="O15" s="256">
        <v>120.95146089053659</v>
      </c>
      <c r="P15" s="256">
        <v>97.694167765377614</v>
      </c>
      <c r="Q15" s="256">
        <v>96.977313676445931</v>
      </c>
      <c r="R15" s="256">
        <v>105.2296697623858</v>
      </c>
      <c r="S15" s="256">
        <v>116.75237961776421</v>
      </c>
      <c r="T15" s="256">
        <v>98.777352715146165</v>
      </c>
      <c r="U15" s="256">
        <v>105.10961326629889</v>
      </c>
      <c r="V15" s="256">
        <v>95.799928524548747</v>
      </c>
      <c r="W15" s="256">
        <v>116.5406687996807</v>
      </c>
      <c r="DA15" s="272" t="s">
        <v>1001</v>
      </c>
    </row>
    <row r="16" spans="1:105" x14ac:dyDescent="0.25">
      <c r="A16" s="257" t="s">
        <v>175</v>
      </c>
      <c r="B16" s="258">
        <v>273.30247919229032</v>
      </c>
      <c r="C16" s="258">
        <v>275.84200130265168</v>
      </c>
      <c r="D16" s="258">
        <v>296.19700529831852</v>
      </c>
      <c r="E16" s="258">
        <v>319.29710631490639</v>
      </c>
      <c r="F16" s="258">
        <v>277.44149094297751</v>
      </c>
      <c r="G16" s="258">
        <v>285.54385600904362</v>
      </c>
      <c r="H16" s="258">
        <v>297.08021171167962</v>
      </c>
      <c r="I16" s="258">
        <v>271.13802558783482</v>
      </c>
      <c r="J16" s="258">
        <v>265.08930069705531</v>
      </c>
      <c r="K16" s="258">
        <v>209.45896322943119</v>
      </c>
      <c r="L16" s="258">
        <v>186.46349167613039</v>
      </c>
      <c r="M16" s="258">
        <v>177.9078302507157</v>
      </c>
      <c r="N16" s="258">
        <v>120.8580826495797</v>
      </c>
      <c r="O16" s="258">
        <v>67.41697149741195</v>
      </c>
      <c r="P16" s="258">
        <v>74.710639440504181</v>
      </c>
      <c r="Q16" s="258">
        <v>75.432336793983382</v>
      </c>
      <c r="R16" s="258">
        <v>69.926157063662544</v>
      </c>
      <c r="S16" s="258">
        <v>69.216422605115298</v>
      </c>
      <c r="T16" s="258">
        <v>71.770813433492563</v>
      </c>
      <c r="U16" s="258">
        <v>68.03605163654052</v>
      </c>
      <c r="V16" s="258">
        <v>103.5861614261494</v>
      </c>
      <c r="W16" s="258">
        <v>62.826796789815688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391.61268584605881</v>
      </c>
      <c r="C17" s="258">
        <f t="shared" ref="C17:W17" si="5">SUM(C18:C24)</f>
        <v>395.79617184744592</v>
      </c>
      <c r="D17" s="258">
        <f t="shared" si="5"/>
        <v>420.13899169820615</v>
      </c>
      <c r="E17" s="258">
        <f t="shared" si="5"/>
        <v>445.30042460606847</v>
      </c>
      <c r="F17" s="258">
        <f t="shared" si="5"/>
        <v>391.21260315949223</v>
      </c>
      <c r="G17" s="258">
        <f t="shared" si="5"/>
        <v>403.34492211855007</v>
      </c>
      <c r="H17" s="258">
        <f t="shared" si="5"/>
        <v>420.8200089560064</v>
      </c>
      <c r="I17" s="258">
        <f t="shared" si="5"/>
        <v>385.72908527713935</v>
      </c>
      <c r="J17" s="258">
        <f t="shared" si="5"/>
        <v>377.86497640447294</v>
      </c>
      <c r="K17" s="258">
        <f t="shared" si="5"/>
        <v>301.11544617049395</v>
      </c>
      <c r="L17" s="258">
        <f t="shared" si="5"/>
        <v>262.98633882286498</v>
      </c>
      <c r="M17" s="258">
        <f t="shared" si="5"/>
        <v>250.63553574912788</v>
      </c>
      <c r="N17" s="258">
        <f t="shared" si="5"/>
        <v>343.76805040299365</v>
      </c>
      <c r="O17" s="258">
        <f t="shared" si="5"/>
        <v>258.32937173637362</v>
      </c>
      <c r="P17" s="258">
        <f t="shared" si="5"/>
        <v>219.00681789233917</v>
      </c>
      <c r="Q17" s="258">
        <f t="shared" si="5"/>
        <v>224.6502469227579</v>
      </c>
      <c r="R17" s="258">
        <f t="shared" si="5"/>
        <v>218.55220560382594</v>
      </c>
      <c r="S17" s="258">
        <f t="shared" si="5"/>
        <v>221.49515197494819</v>
      </c>
      <c r="T17" s="258">
        <f t="shared" si="5"/>
        <v>215.21023780343015</v>
      </c>
      <c r="U17" s="258">
        <f t="shared" si="5"/>
        <v>217.29448962209162</v>
      </c>
      <c r="V17" s="258">
        <f t="shared" si="5"/>
        <v>265.32369833112261</v>
      </c>
      <c r="W17" s="258">
        <f t="shared" si="5"/>
        <v>182.29625577145288</v>
      </c>
      <c r="DA17" s="273"/>
    </row>
    <row r="18" spans="1:105" x14ac:dyDescent="0.25">
      <c r="A18" s="61" t="s">
        <v>29</v>
      </c>
      <c r="B18" s="55">
        <v>6.8205503009544604</v>
      </c>
      <c r="C18" s="55">
        <v>6.3246775580461527</v>
      </c>
      <c r="D18" s="55">
        <v>0</v>
      </c>
      <c r="E18" s="55">
        <v>0</v>
      </c>
      <c r="F18" s="55">
        <v>0.38693035253700647</v>
      </c>
      <c r="G18" s="55">
        <v>2.4840068787649541</v>
      </c>
      <c r="H18" s="55">
        <v>3.783319002581909</v>
      </c>
      <c r="I18" s="55">
        <v>0</v>
      </c>
      <c r="J18" s="55">
        <v>0</v>
      </c>
      <c r="K18" s="55">
        <v>0</v>
      </c>
      <c r="L18" s="55">
        <v>0</v>
      </c>
      <c r="M18" s="55">
        <v>1.1513327601043779</v>
      </c>
      <c r="N18" s="55">
        <v>0</v>
      </c>
      <c r="O18" s="55">
        <v>0.99819432502431438</v>
      </c>
      <c r="P18" s="55">
        <v>2.762338779028418</v>
      </c>
      <c r="Q18" s="55">
        <v>1.59535683577372</v>
      </c>
      <c r="R18" s="55">
        <v>2.921152192616669</v>
      </c>
      <c r="S18" s="55">
        <v>0.83061049011351851</v>
      </c>
      <c r="T18" s="55">
        <v>0.59630266552147804</v>
      </c>
      <c r="U18" s="55">
        <v>0.62476354256490196</v>
      </c>
      <c r="V18" s="55">
        <v>1.4227858985355391</v>
      </c>
      <c r="W18" s="55">
        <v>1.395786758389628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96.684866723844337</v>
      </c>
      <c r="O19" s="55">
        <v>30.76337059338006</v>
      </c>
      <c r="P19" s="55">
        <v>24.171281169465139</v>
      </c>
      <c r="Q19" s="55">
        <v>26.368615649251879</v>
      </c>
      <c r="R19" s="55">
        <v>28.566036113610451</v>
      </c>
      <c r="S19" s="55">
        <v>31.390627687082041</v>
      </c>
      <c r="T19" s="55">
        <v>35.065864144528788</v>
      </c>
      <c r="U19" s="55">
        <v>35.022957867727513</v>
      </c>
      <c r="V19" s="55">
        <v>37.010490111709032</v>
      </c>
      <c r="W19" s="55">
        <v>38.144282029402433</v>
      </c>
      <c r="DA19" s="101" t="s">
        <v>1004</v>
      </c>
    </row>
    <row r="20" spans="1:105" x14ac:dyDescent="0.25">
      <c r="A20" s="61" t="s">
        <v>173</v>
      </c>
      <c r="B20" s="55">
        <v>306.47088431399862</v>
      </c>
      <c r="C20" s="55">
        <v>308.42334825336269</v>
      </c>
      <c r="D20" s="55">
        <v>341.36824754073251</v>
      </c>
      <c r="E20" s="55">
        <v>383.12487753979292</v>
      </c>
      <c r="F20" s="55">
        <v>322.41122775117998</v>
      </c>
      <c r="G20" s="55">
        <v>330.39021302344639</v>
      </c>
      <c r="H20" s="55">
        <v>341.86614312316459</v>
      </c>
      <c r="I20" s="55">
        <v>308.07635054345161</v>
      </c>
      <c r="J20" s="55">
        <v>299.32677757617643</v>
      </c>
      <c r="K20" s="55">
        <v>230.86159607510299</v>
      </c>
      <c r="L20" s="55">
        <v>214.63892391510191</v>
      </c>
      <c r="M20" s="55">
        <v>205.35505026160891</v>
      </c>
      <c r="N20" s="55">
        <v>29.305915648917619</v>
      </c>
      <c r="O20" s="55">
        <v>8.5646046927008186</v>
      </c>
      <c r="P20" s="55">
        <v>16.44023928486736</v>
      </c>
      <c r="Q20" s="55">
        <v>16.15812497051564</v>
      </c>
      <c r="R20" s="55">
        <v>13.421150663233821</v>
      </c>
      <c r="S20" s="55">
        <v>12.593194363642549</v>
      </c>
      <c r="T20" s="55">
        <v>15.08442644020241</v>
      </c>
      <c r="U20" s="55">
        <v>12.471858892292611</v>
      </c>
      <c r="V20" s="55">
        <v>30.857538358456441</v>
      </c>
      <c r="W20" s="55">
        <v>13.719858944803009</v>
      </c>
      <c r="DA20" s="101" t="s">
        <v>1005</v>
      </c>
    </row>
    <row r="21" spans="1:105" x14ac:dyDescent="0.25">
      <c r="A21" s="61" t="s">
        <v>129</v>
      </c>
      <c r="B21" s="55">
        <v>67.37841788486601</v>
      </c>
      <c r="C21" s="55">
        <v>69.215133276082526</v>
      </c>
      <c r="D21" s="55">
        <v>70.27325881334275</v>
      </c>
      <c r="E21" s="55">
        <v>55.366809974253201</v>
      </c>
      <c r="F21" s="55">
        <v>55.180567497916407</v>
      </c>
      <c r="G21" s="55">
        <v>53.936199484160852</v>
      </c>
      <c r="H21" s="55">
        <v>59.539552880518883</v>
      </c>
      <c r="I21" s="55">
        <v>59.632674118737782</v>
      </c>
      <c r="J21" s="55">
        <v>58.574634565874398</v>
      </c>
      <c r="K21" s="55">
        <v>48.533447979446507</v>
      </c>
      <c r="L21" s="55">
        <v>26.273086844396939</v>
      </c>
      <c r="M21" s="55">
        <v>9.4582975064586687</v>
      </c>
      <c r="N21" s="55">
        <v>189.47635425594899</v>
      </c>
      <c r="O21" s="55">
        <v>188.9509888225455</v>
      </c>
      <c r="P21" s="55">
        <v>147.67841788524279</v>
      </c>
      <c r="Q21" s="55">
        <v>150.6162510751991</v>
      </c>
      <c r="R21" s="55">
        <v>143.71349957063521</v>
      </c>
      <c r="S21" s="55">
        <v>147.31728288938831</v>
      </c>
      <c r="T21" s="55">
        <v>133.62398968214231</v>
      </c>
      <c r="U21" s="55">
        <v>136.15864144509871</v>
      </c>
      <c r="V21" s="55">
        <v>167.60601891627411</v>
      </c>
      <c r="W21" s="55">
        <v>99.329234738183871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0.1181233383170906</v>
      </c>
      <c r="Q22" s="55">
        <v>0.10259790444452641</v>
      </c>
      <c r="R22" s="55">
        <v>0.1614926039286653</v>
      </c>
      <c r="S22" s="55">
        <v>0.24622697719500061</v>
      </c>
      <c r="T22" s="55">
        <v>0.33130714005126721</v>
      </c>
      <c r="U22" s="55">
        <v>1.4939708836734611</v>
      </c>
      <c r="V22" s="55">
        <v>1.6121470368734561</v>
      </c>
      <c r="W22" s="55">
        <v>3.1576440082946191</v>
      </c>
      <c r="DA22" s="101" t="s">
        <v>1007</v>
      </c>
    </row>
    <row r="23" spans="1:105" x14ac:dyDescent="0.25">
      <c r="A23" s="61" t="s">
        <v>171</v>
      </c>
      <c r="B23" s="55">
        <v>9.8643164230563372</v>
      </c>
      <c r="C23" s="55">
        <v>10.31814273431859</v>
      </c>
      <c r="D23" s="55">
        <v>7.619174548573576</v>
      </c>
      <c r="E23" s="55">
        <v>6.0428202923526761</v>
      </c>
      <c r="F23" s="55">
        <v>8.2401547721508752</v>
      </c>
      <c r="G23" s="55">
        <v>11.53628546863019</v>
      </c>
      <c r="H23" s="55">
        <v>10.58091143594817</v>
      </c>
      <c r="I23" s="55">
        <v>12.706620808271371</v>
      </c>
      <c r="J23" s="55">
        <v>14.569561478957731</v>
      </c>
      <c r="K23" s="55">
        <v>14.88013757526185</v>
      </c>
      <c r="L23" s="55">
        <v>14.90395528806456</v>
      </c>
      <c r="M23" s="55">
        <v>27.610576096331361</v>
      </c>
      <c r="N23" s="55">
        <v>24.72055030090867</v>
      </c>
      <c r="O23" s="55">
        <v>25.699828031026989</v>
      </c>
      <c r="P23" s="55">
        <v>24.69664660368862</v>
      </c>
      <c r="Q23" s="55">
        <v>27.610576096374629</v>
      </c>
      <c r="R23" s="55">
        <v>27.27618228729418</v>
      </c>
      <c r="S23" s="55">
        <v>27.252278589910869</v>
      </c>
      <c r="T23" s="55">
        <v>28.733190025856629</v>
      </c>
      <c r="U23" s="55">
        <v>29.951246775703279</v>
      </c>
      <c r="V23" s="55">
        <v>25.099999999951951</v>
      </c>
      <c r="W23" s="55">
        <v>25.23637145324939</v>
      </c>
      <c r="DA23" s="101" t="s">
        <v>1008</v>
      </c>
    </row>
    <row r="24" spans="1:105" x14ac:dyDescent="0.25">
      <c r="A24" s="61" t="s">
        <v>158</v>
      </c>
      <c r="B24" s="55">
        <v>1.0785169231834411</v>
      </c>
      <c r="C24" s="55">
        <v>1.5148700256359591</v>
      </c>
      <c r="D24" s="55">
        <v>0.8783107955572963</v>
      </c>
      <c r="E24" s="55">
        <v>0.76591679966962878</v>
      </c>
      <c r="F24" s="55">
        <v>4.9937227857079929</v>
      </c>
      <c r="G24" s="55">
        <v>4.9982172635477218</v>
      </c>
      <c r="H24" s="55">
        <v>5.0500825137928587</v>
      </c>
      <c r="I24" s="55">
        <v>5.3134398066785682</v>
      </c>
      <c r="J24" s="55">
        <v>5.3940027834643987</v>
      </c>
      <c r="K24" s="55">
        <v>6.8402645406826146</v>
      </c>
      <c r="L24" s="55">
        <v>7.170372775301554</v>
      </c>
      <c r="M24" s="55">
        <v>7.0602791246245804</v>
      </c>
      <c r="N24" s="55">
        <v>3.5803634733740548</v>
      </c>
      <c r="O24" s="55">
        <v>3.352385271695923</v>
      </c>
      <c r="P24" s="55">
        <v>3.139770831729741</v>
      </c>
      <c r="Q24" s="55">
        <v>2.198724391198422</v>
      </c>
      <c r="R24" s="55">
        <v>2.4926921725069251</v>
      </c>
      <c r="S24" s="55">
        <v>1.864930977615894</v>
      </c>
      <c r="T24" s="55">
        <v>1.775157705127234</v>
      </c>
      <c r="U24" s="55">
        <v>1.5710502150311449</v>
      </c>
      <c r="V24" s="55">
        <v>1.7147180093221051</v>
      </c>
      <c r="W24" s="55">
        <v>1.3130778391299009</v>
      </c>
      <c r="DA24" s="101" t="s">
        <v>1009</v>
      </c>
    </row>
    <row r="25" spans="1:105" x14ac:dyDescent="0.25">
      <c r="A25" s="257" t="s">
        <v>174</v>
      </c>
      <c r="B25" s="258">
        <v>52.517349004558881</v>
      </c>
      <c r="C25" s="258">
        <v>53.005339341744261</v>
      </c>
      <c r="D25" s="258">
        <v>56.916722992521528</v>
      </c>
      <c r="E25" s="258">
        <v>61.355599912753057</v>
      </c>
      <c r="F25" s="258">
        <v>53.312694605839972</v>
      </c>
      <c r="G25" s="258">
        <v>54.869631576168587</v>
      </c>
      <c r="H25" s="258">
        <v>57.086438465248428</v>
      </c>
      <c r="I25" s="258">
        <v>52.101431206501211</v>
      </c>
      <c r="J25" s="258">
        <v>50.939118310326798</v>
      </c>
      <c r="K25" s="258">
        <v>40.249285357977143</v>
      </c>
      <c r="L25" s="258">
        <v>35.830513861069448</v>
      </c>
      <c r="M25" s="258">
        <v>34.186472217644713</v>
      </c>
      <c r="N25" s="258">
        <v>23.223887779166731</v>
      </c>
      <c r="O25" s="258">
        <v>12.95473290774253</v>
      </c>
      <c r="P25" s="258">
        <v>14.3562719864321</v>
      </c>
      <c r="Q25" s="258">
        <v>14.49495214733056</v>
      </c>
      <c r="R25" s="258">
        <v>13.43689382516059</v>
      </c>
      <c r="S25" s="258">
        <v>13.30051243421879</v>
      </c>
      <c r="T25" s="258">
        <v>13.791359919482719</v>
      </c>
      <c r="U25" s="258">
        <v>13.073694315719839</v>
      </c>
      <c r="V25" s="258">
        <v>19.904944176639312</v>
      </c>
      <c r="W25" s="258">
        <v>12.07269258442324</v>
      </c>
      <c r="DA25" s="273" t="s">
        <v>1010</v>
      </c>
    </row>
    <row r="26" spans="1:105" x14ac:dyDescent="0.25">
      <c r="A26" s="257" t="s">
        <v>177</v>
      </c>
      <c r="B26" s="258">
        <v>36.586041699590112</v>
      </c>
      <c r="C26" s="258">
        <v>35.595648872239003</v>
      </c>
      <c r="D26" s="258">
        <v>33.746374717504068</v>
      </c>
      <c r="E26" s="258">
        <v>37.470947168715497</v>
      </c>
      <c r="F26" s="258">
        <v>35.871479134653988</v>
      </c>
      <c r="G26" s="258">
        <v>37.436296175905703</v>
      </c>
      <c r="H26" s="258">
        <v>35.995381168263833</v>
      </c>
      <c r="I26" s="258">
        <v>36.332410227026102</v>
      </c>
      <c r="J26" s="258">
        <v>37.869327993492952</v>
      </c>
      <c r="K26" s="258">
        <v>30.391514724344471</v>
      </c>
      <c r="L26" s="258">
        <v>30.43303006802784</v>
      </c>
      <c r="M26" s="258">
        <v>28.748573395406101</v>
      </c>
      <c r="N26" s="258">
        <v>25.183027703988351</v>
      </c>
      <c r="O26" s="258">
        <v>22.31013774431436</v>
      </c>
      <c r="P26" s="258">
        <v>19.72169955082153</v>
      </c>
      <c r="Q26" s="258">
        <v>19.589919895714981</v>
      </c>
      <c r="R26" s="258">
        <v>20.295424602800349</v>
      </c>
      <c r="S26" s="258">
        <v>21.80924892587154</v>
      </c>
      <c r="T26" s="258">
        <v>19.52380718688228</v>
      </c>
      <c r="U26" s="258">
        <v>20.156409246806</v>
      </c>
      <c r="V26" s="258">
        <v>22.105878439643551</v>
      </c>
      <c r="W26" s="258">
        <v>21.550851622500939</v>
      </c>
      <c r="DA26" s="273" t="s">
        <v>1011</v>
      </c>
    </row>
    <row r="27" spans="1:105" x14ac:dyDescent="0.25">
      <c r="A27" s="129" t="s">
        <v>33</v>
      </c>
      <c r="B27" s="259">
        <v>53.049760464405658</v>
      </c>
      <c r="C27" s="259">
        <v>51.613690864746538</v>
      </c>
      <c r="D27" s="259">
        <v>48.932243340380893</v>
      </c>
      <c r="E27" s="259">
        <v>54.332873394637467</v>
      </c>
      <c r="F27" s="259">
        <v>52.013644745248278</v>
      </c>
      <c r="G27" s="259">
        <v>54.282629455063272</v>
      </c>
      <c r="H27" s="259">
        <v>52.19330269398256</v>
      </c>
      <c r="I27" s="259">
        <v>52.681994829187822</v>
      </c>
      <c r="J27" s="259">
        <v>54.910525590564802</v>
      </c>
      <c r="K27" s="259">
        <v>44.067696350299478</v>
      </c>
      <c r="L27" s="259">
        <v>44.127893598640377</v>
      </c>
      <c r="M27" s="259">
        <v>41.685431423338848</v>
      </c>
      <c r="N27" s="259">
        <v>36.515390170783121</v>
      </c>
      <c r="O27" s="259">
        <v>32.349699729255832</v>
      </c>
      <c r="P27" s="259">
        <v>28.596464348691221</v>
      </c>
      <c r="Q27" s="259">
        <v>28.40538384878672</v>
      </c>
      <c r="R27" s="259">
        <v>29.428365674060519</v>
      </c>
      <c r="S27" s="259">
        <v>31.62341094251374</v>
      </c>
      <c r="T27" s="259">
        <v>28.309520420979311</v>
      </c>
      <c r="U27" s="259">
        <v>29.226793407868708</v>
      </c>
      <c r="V27" s="259">
        <v>32.053523737483147</v>
      </c>
      <c r="W27" s="259">
        <v>31.24873485262636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1</v>
      </c>
      <c r="E31" s="236">
        <f t="shared" si="6"/>
        <v>0.99999999999999989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0.99999999999999978</v>
      </c>
      <c r="M31" s="236">
        <f t="shared" si="6"/>
        <v>1</v>
      </c>
      <c r="N31" s="236">
        <f t="shared" si="6"/>
        <v>0.99999999999999978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3.2770655444141872E-2</v>
      </c>
      <c r="C32" s="245">
        <f t="shared" si="8"/>
        <v>3.1839176337381071E-2</v>
      </c>
      <c r="D32" s="245">
        <f t="shared" si="8"/>
        <v>2.8949168864786854E-2</v>
      </c>
      <c r="E32" s="245">
        <f t="shared" si="8"/>
        <v>2.983430010634423E-2</v>
      </c>
      <c r="F32" s="245">
        <f t="shared" si="8"/>
        <v>3.2078224902577862E-2</v>
      </c>
      <c r="G32" s="245">
        <f t="shared" si="8"/>
        <v>3.2405970100404365E-2</v>
      </c>
      <c r="H32" s="245">
        <f t="shared" si="8"/>
        <v>3.042827123442773E-2</v>
      </c>
      <c r="I32" s="245">
        <f t="shared" si="8"/>
        <v>3.2869238828867879E-2</v>
      </c>
      <c r="J32" s="245">
        <f t="shared" si="8"/>
        <v>3.4466624560809317E-2</v>
      </c>
      <c r="K32" s="245">
        <f t="shared" si="8"/>
        <v>3.4750326115564105E-2</v>
      </c>
      <c r="L32" s="245">
        <f t="shared" si="8"/>
        <v>3.8031636607602469E-2</v>
      </c>
      <c r="M32" s="245">
        <f t="shared" si="8"/>
        <v>3.7787140414660386E-2</v>
      </c>
      <c r="N32" s="245">
        <f t="shared" si="8"/>
        <v>3.3457292251470594E-2</v>
      </c>
      <c r="O32" s="245">
        <f t="shared" si="8"/>
        <v>3.8524208681803056E-2</v>
      </c>
      <c r="P32" s="245">
        <f t="shared" si="8"/>
        <v>3.8150824245320451E-2</v>
      </c>
      <c r="Q32" s="245">
        <f t="shared" si="8"/>
        <v>3.7529608375445264E-2</v>
      </c>
      <c r="R32" s="245">
        <f t="shared" si="8"/>
        <v>3.9163421622491673E-2</v>
      </c>
      <c r="S32" s="245">
        <f t="shared" si="8"/>
        <v>4.0564140172818106E-2</v>
      </c>
      <c r="T32" s="245">
        <f t="shared" si="8"/>
        <v>3.8435313067380565E-2</v>
      </c>
      <c r="U32" s="245">
        <f t="shared" si="8"/>
        <v>3.9248328237440101E-2</v>
      </c>
      <c r="V32" s="245">
        <f t="shared" si="8"/>
        <v>3.5627096938898317E-2</v>
      </c>
      <c r="W32" s="245">
        <f t="shared" si="8"/>
        <v>4.4121163898935667E-2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2.1300926038692207E-2</v>
      </c>
      <c r="C33" s="246">
        <f t="shared" si="9"/>
        <v>2.0695464619297686E-2</v>
      </c>
      <c r="D33" s="246">
        <f t="shared" si="9"/>
        <v>1.8816959762111451E-2</v>
      </c>
      <c r="E33" s="246">
        <f t="shared" si="9"/>
        <v>1.9392295069123756E-2</v>
      </c>
      <c r="F33" s="246">
        <f t="shared" si="9"/>
        <v>2.0850846186675601E-2</v>
      </c>
      <c r="G33" s="246">
        <f t="shared" si="9"/>
        <v>2.1063880565262833E-2</v>
      </c>
      <c r="H33" s="246">
        <f t="shared" si="9"/>
        <v>1.9778376302378015E-2</v>
      </c>
      <c r="I33" s="246">
        <f t="shared" si="9"/>
        <v>2.1365005238764105E-2</v>
      </c>
      <c r="J33" s="246">
        <f t="shared" si="9"/>
        <v>2.2403305964526048E-2</v>
      </c>
      <c r="K33" s="246">
        <f t="shared" si="9"/>
        <v>2.2587711975116664E-2</v>
      </c>
      <c r="L33" s="246">
        <f t="shared" si="9"/>
        <v>2.47205637949416E-2</v>
      </c>
      <c r="M33" s="246">
        <f t="shared" si="9"/>
        <v>2.4561641269529255E-2</v>
      </c>
      <c r="N33" s="246">
        <f t="shared" si="9"/>
        <v>2.1747239963455886E-2</v>
      </c>
      <c r="O33" s="246">
        <f t="shared" si="9"/>
        <v>2.5040735643171979E-2</v>
      </c>
      <c r="P33" s="246">
        <f t="shared" si="9"/>
        <v>2.4798035759458287E-2</v>
      </c>
      <c r="Q33" s="246">
        <f t="shared" si="9"/>
        <v>2.4394245444039408E-2</v>
      </c>
      <c r="R33" s="246">
        <f t="shared" si="9"/>
        <v>2.5456224054619593E-2</v>
      </c>
      <c r="S33" s="246">
        <f t="shared" si="9"/>
        <v>2.6366691112331767E-2</v>
      </c>
      <c r="T33" s="246">
        <f t="shared" si="9"/>
        <v>2.4982953493797363E-2</v>
      </c>
      <c r="U33" s="246">
        <f t="shared" si="9"/>
        <v>2.5511413354336064E-2</v>
      </c>
      <c r="V33" s="246">
        <f t="shared" si="9"/>
        <v>2.3157613010283906E-2</v>
      </c>
      <c r="W33" s="246">
        <f t="shared" si="9"/>
        <v>2.8678756534308167E-2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2.9493589899727678E-2</v>
      </c>
      <c r="C34" s="246">
        <f t="shared" si="10"/>
        <v>2.8655258703642959E-2</v>
      </c>
      <c r="D34" s="246">
        <f t="shared" si="10"/>
        <v>2.6054251978308168E-2</v>
      </c>
      <c r="E34" s="246">
        <f t="shared" si="10"/>
        <v>2.6850870095709811E-2</v>
      </c>
      <c r="F34" s="246">
        <f t="shared" si="10"/>
        <v>2.8870402412320074E-2</v>
      </c>
      <c r="G34" s="246">
        <f t="shared" si="10"/>
        <v>2.9165373090363916E-2</v>
      </c>
      <c r="H34" s="246">
        <f t="shared" si="10"/>
        <v>2.7385444110984945E-2</v>
      </c>
      <c r="I34" s="246">
        <f t="shared" si="10"/>
        <v>2.9582314945981066E-2</v>
      </c>
      <c r="J34" s="246">
        <f t="shared" si="10"/>
        <v>3.1019962104728387E-2</v>
      </c>
      <c r="K34" s="246">
        <f t="shared" si="10"/>
        <v>3.1275293504007692E-2</v>
      </c>
      <c r="L34" s="246">
        <f t="shared" si="10"/>
        <v>3.4228472946842212E-2</v>
      </c>
      <c r="M34" s="246">
        <f t="shared" si="10"/>
        <v>3.4008426373194345E-2</v>
      </c>
      <c r="N34" s="246">
        <f t="shared" si="10"/>
        <v>3.0111563026323538E-2</v>
      </c>
      <c r="O34" s="246">
        <f t="shared" si="10"/>
        <v>3.4671787813622755E-2</v>
      </c>
      <c r="P34" s="246">
        <f t="shared" si="10"/>
        <v>3.4335741820788412E-2</v>
      </c>
      <c r="Q34" s="246">
        <f t="shared" si="10"/>
        <v>3.3776647537900731E-2</v>
      </c>
      <c r="R34" s="246">
        <f t="shared" si="10"/>
        <v>3.5247079460242511E-2</v>
      </c>
      <c r="S34" s="246">
        <f t="shared" si="10"/>
        <v>3.6507726155536303E-2</v>
      </c>
      <c r="T34" s="246">
        <f t="shared" si="10"/>
        <v>3.4591781760642502E-2</v>
      </c>
      <c r="U34" s="246">
        <f t="shared" si="10"/>
        <v>3.5323495413696109E-2</v>
      </c>
      <c r="V34" s="246">
        <f t="shared" si="10"/>
        <v>3.2064387245008492E-2</v>
      </c>
      <c r="W34" s="246">
        <f t="shared" si="10"/>
        <v>3.9709047509042091E-2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0.19353187214383599</v>
      </c>
      <c r="C35" s="247">
        <f t="shared" si="11"/>
        <v>0.19263353266713878</v>
      </c>
      <c r="D35" s="247">
        <f t="shared" si="11"/>
        <v>0.19192294592369941</v>
      </c>
      <c r="E35" s="247">
        <f t="shared" si="11"/>
        <v>0.19320611623582526</v>
      </c>
      <c r="F35" s="247">
        <f t="shared" si="11"/>
        <v>0.1939869613909144</v>
      </c>
      <c r="G35" s="247">
        <f t="shared" si="11"/>
        <v>0.19415077501891861</v>
      </c>
      <c r="H35" s="247">
        <f t="shared" si="11"/>
        <v>0.1927328054063725</v>
      </c>
      <c r="I35" s="247">
        <f t="shared" si="11"/>
        <v>0.19426348283857375</v>
      </c>
      <c r="J35" s="247">
        <f t="shared" si="11"/>
        <v>0.19612244765141276</v>
      </c>
      <c r="K35" s="247">
        <f t="shared" si="11"/>
        <v>0.19642444657294045</v>
      </c>
      <c r="L35" s="247">
        <f t="shared" si="11"/>
        <v>0.20339527949072936</v>
      </c>
      <c r="M35" s="247">
        <f t="shared" si="11"/>
        <v>0.20285194838550727</v>
      </c>
      <c r="N35" s="247">
        <f t="shared" si="11"/>
        <v>0.18457301673271656</v>
      </c>
      <c r="O35" s="247">
        <f t="shared" si="11"/>
        <v>0.22252416602149275</v>
      </c>
      <c r="P35" s="247">
        <f t="shared" si="11"/>
        <v>0.21328980148032758</v>
      </c>
      <c r="Q35" s="247">
        <f t="shared" si="11"/>
        <v>0.20969652167693145</v>
      </c>
      <c r="R35" s="247">
        <f t="shared" si="11"/>
        <v>0.22158682820859502</v>
      </c>
      <c r="S35" s="247">
        <f t="shared" si="11"/>
        <v>0.23173163269888142</v>
      </c>
      <c r="T35" s="247">
        <f t="shared" si="11"/>
        <v>0.21571136993247911</v>
      </c>
      <c r="U35" s="247">
        <f t="shared" si="11"/>
        <v>0.22270906368001514</v>
      </c>
      <c r="V35" s="247">
        <f t="shared" si="11"/>
        <v>0.19522835837314609</v>
      </c>
      <c r="W35" s="247">
        <f t="shared" si="11"/>
        <v>0.25283607391829921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0.24480104874916384</v>
      </c>
      <c r="C36" s="260">
        <f t="shared" si="12"/>
        <v>0.2467319012010131</v>
      </c>
      <c r="D36" s="260">
        <f t="shared" si="12"/>
        <v>0.2540912081788021</v>
      </c>
      <c r="E36" s="260">
        <f t="shared" si="12"/>
        <v>0.25422377635651233</v>
      </c>
      <c r="F36" s="260">
        <f t="shared" si="12"/>
        <v>0.24810324966994698</v>
      </c>
      <c r="G36" s="260">
        <f t="shared" si="12"/>
        <v>0.24717524449276984</v>
      </c>
      <c r="H36" s="260">
        <f t="shared" si="12"/>
        <v>0.25113325562764727</v>
      </c>
      <c r="I36" s="260">
        <f t="shared" si="12"/>
        <v>0.2452934023079181</v>
      </c>
      <c r="J36" s="260">
        <f t="shared" si="12"/>
        <v>0.24127001682688556</v>
      </c>
      <c r="K36" s="260">
        <f t="shared" si="12"/>
        <v>0.23949998366551253</v>
      </c>
      <c r="L36" s="260">
        <f t="shared" si="12"/>
        <v>0.23302023295608212</v>
      </c>
      <c r="M36" s="260">
        <f t="shared" si="12"/>
        <v>0.2338421482724985</v>
      </c>
      <c r="N36" s="260">
        <f t="shared" si="12"/>
        <v>0.16056783321248441</v>
      </c>
      <c r="O36" s="260">
        <f t="shared" si="12"/>
        <v>0.11641279441779098</v>
      </c>
      <c r="P36" s="260">
        <f t="shared" si="12"/>
        <v>0.14452468800699533</v>
      </c>
      <c r="Q36" s="260">
        <f t="shared" si="12"/>
        <v>0.14451034377849173</v>
      </c>
      <c r="R36" s="260">
        <f t="shared" si="12"/>
        <v>0.13493423395275639</v>
      </c>
      <c r="S36" s="260">
        <f t="shared" si="12"/>
        <v>0.12873917292420978</v>
      </c>
      <c r="T36" s="260">
        <f t="shared" si="12"/>
        <v>0.14129076655040221</v>
      </c>
      <c r="U36" s="260">
        <f t="shared" si="12"/>
        <v>0.13247901716589247</v>
      </c>
      <c r="V36" s="260">
        <f t="shared" si="12"/>
        <v>0.16694537720968766</v>
      </c>
      <c r="W36" s="260">
        <f t="shared" si="12"/>
        <v>0.12862560825737329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0.35077324026446799</v>
      </c>
      <c r="C37" s="260">
        <f t="shared" si="13"/>
        <v>0.35402709343330324</v>
      </c>
      <c r="D37" s="260">
        <f t="shared" si="13"/>
        <v>0.36041425839570068</v>
      </c>
      <c r="E37" s="260">
        <f t="shared" si="13"/>
        <v>0.35454738961794374</v>
      </c>
      <c r="F37" s="260">
        <f t="shared" si="13"/>
        <v>0.34984355737786293</v>
      </c>
      <c r="G37" s="260">
        <f t="shared" si="13"/>
        <v>0.34914734686643817</v>
      </c>
      <c r="H37" s="260">
        <f t="shared" si="13"/>
        <v>0.35573523484944625</v>
      </c>
      <c r="I37" s="260">
        <f t="shared" si="13"/>
        <v>0.34896174924789219</v>
      </c>
      <c r="J37" s="260">
        <f t="shared" si="13"/>
        <v>0.34391236830634792</v>
      </c>
      <c r="K37" s="260">
        <f t="shared" si="13"/>
        <v>0.34430202139534699</v>
      </c>
      <c r="L37" s="260">
        <f t="shared" si="13"/>
        <v>0.32864952482607551</v>
      </c>
      <c r="M37" s="260">
        <f t="shared" si="13"/>
        <v>0.32943548370192594</v>
      </c>
      <c r="N37" s="260">
        <f t="shared" si="13"/>
        <v>0.4567182415174677</v>
      </c>
      <c r="O37" s="260">
        <f t="shared" si="13"/>
        <v>0.44607230755208316</v>
      </c>
      <c r="P37" s="260">
        <f t="shared" si="13"/>
        <v>0.42365976605649514</v>
      </c>
      <c r="Q37" s="260">
        <f t="shared" si="13"/>
        <v>0.43037622580081869</v>
      </c>
      <c r="R37" s="260">
        <f t="shared" si="13"/>
        <v>0.42173309216734112</v>
      </c>
      <c r="S37" s="260">
        <f t="shared" si="13"/>
        <v>0.41197018855854062</v>
      </c>
      <c r="T37" s="260">
        <f t="shared" si="13"/>
        <v>0.42367109990913332</v>
      </c>
      <c r="U37" s="260">
        <f t="shared" si="13"/>
        <v>0.42311333077474089</v>
      </c>
      <c r="V37" s="260">
        <f t="shared" si="13"/>
        <v>0.42761083421493473</v>
      </c>
      <c r="W37" s="260">
        <f t="shared" si="13"/>
        <v>0.373216015772521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4.7040561621822775E-2</v>
      </c>
      <c r="C38" s="260">
        <f t="shared" si="14"/>
        <v>4.7411591011639373E-2</v>
      </c>
      <c r="D38" s="260">
        <f t="shared" si="14"/>
        <v>4.8825743177863583E-2</v>
      </c>
      <c r="E38" s="260">
        <f t="shared" si="14"/>
        <v>4.8851217257997383E-2</v>
      </c>
      <c r="F38" s="260">
        <f t="shared" si="14"/>
        <v>4.7675107048386296E-2</v>
      </c>
      <c r="G38" s="260">
        <f t="shared" si="14"/>
        <v>4.7496783119851588E-2</v>
      </c>
      <c r="H38" s="260">
        <f t="shared" si="14"/>
        <v>4.825734794439545E-2</v>
      </c>
      <c r="I38" s="260">
        <f t="shared" si="14"/>
        <v>4.7135171461276687E-2</v>
      </c>
      <c r="J38" s="260">
        <f t="shared" si="14"/>
        <v>4.636204441130725E-2</v>
      </c>
      <c r="K38" s="260">
        <f t="shared" si="14"/>
        <v>4.6021917788379461E-2</v>
      </c>
      <c r="L38" s="260">
        <f t="shared" si="14"/>
        <v>4.4776779689100592E-2</v>
      </c>
      <c r="M38" s="260">
        <f t="shared" si="14"/>
        <v>4.4934717566766376E-2</v>
      </c>
      <c r="N38" s="260">
        <f t="shared" si="14"/>
        <v>3.0854447279978148E-2</v>
      </c>
      <c r="O38" s="260">
        <f t="shared" si="14"/>
        <v>2.2369688599617927E-2</v>
      </c>
      <c r="P38" s="260">
        <f t="shared" si="14"/>
        <v>2.7771623229579795E-2</v>
      </c>
      <c r="Q38" s="260">
        <f t="shared" si="14"/>
        <v>2.7768866866531974E-2</v>
      </c>
      <c r="R38" s="260">
        <f t="shared" si="14"/>
        <v>2.5928737558849082E-2</v>
      </c>
      <c r="S38" s="260">
        <f t="shared" si="14"/>
        <v>2.473830495427759E-2</v>
      </c>
      <c r="T38" s="260">
        <f t="shared" si="14"/>
        <v>2.7150198271082671E-2</v>
      </c>
      <c r="U38" s="260">
        <f t="shared" si="14"/>
        <v>2.5456947192151129E-2</v>
      </c>
      <c r="V38" s="260">
        <f t="shared" si="14"/>
        <v>3.2079945507739939E-2</v>
      </c>
      <c r="W38" s="260">
        <f t="shared" si="14"/>
        <v>2.4716482557128227E-2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3.2770655444141872E-2</v>
      </c>
      <c r="C39" s="260">
        <f t="shared" si="15"/>
        <v>3.1839176337381071E-2</v>
      </c>
      <c r="D39" s="260">
        <f t="shared" si="15"/>
        <v>2.8949168864786854E-2</v>
      </c>
      <c r="E39" s="260">
        <f t="shared" si="15"/>
        <v>2.983430010634423E-2</v>
      </c>
      <c r="F39" s="260">
        <f t="shared" si="15"/>
        <v>3.2078224902577862E-2</v>
      </c>
      <c r="G39" s="260">
        <f t="shared" si="15"/>
        <v>3.2405970100404365E-2</v>
      </c>
      <c r="H39" s="260">
        <f t="shared" si="15"/>
        <v>3.042827123442773E-2</v>
      </c>
      <c r="I39" s="260">
        <f t="shared" si="15"/>
        <v>3.2869238828867879E-2</v>
      </c>
      <c r="J39" s="260">
        <f t="shared" si="15"/>
        <v>3.4466624560809317E-2</v>
      </c>
      <c r="K39" s="260">
        <f t="shared" si="15"/>
        <v>3.4750326115564105E-2</v>
      </c>
      <c r="L39" s="260">
        <f t="shared" si="15"/>
        <v>3.8031636607602469E-2</v>
      </c>
      <c r="M39" s="260">
        <f t="shared" si="15"/>
        <v>3.7787140414660386E-2</v>
      </c>
      <c r="N39" s="260">
        <f t="shared" si="15"/>
        <v>3.3457292251470594E-2</v>
      </c>
      <c r="O39" s="260">
        <f t="shared" si="15"/>
        <v>3.8524208681803056E-2</v>
      </c>
      <c r="P39" s="260">
        <f t="shared" si="15"/>
        <v>3.8150824245320451E-2</v>
      </c>
      <c r="Q39" s="260">
        <f t="shared" si="15"/>
        <v>3.7529608375445264E-2</v>
      </c>
      <c r="R39" s="260">
        <f t="shared" si="15"/>
        <v>3.9163421622491673E-2</v>
      </c>
      <c r="S39" s="260">
        <f t="shared" si="15"/>
        <v>4.0564140172818106E-2</v>
      </c>
      <c r="T39" s="260">
        <f t="shared" si="15"/>
        <v>3.8435313067380565E-2</v>
      </c>
      <c r="U39" s="260">
        <f t="shared" si="15"/>
        <v>3.9248328237440101E-2</v>
      </c>
      <c r="V39" s="260">
        <f t="shared" si="15"/>
        <v>3.5627096938898317E-2</v>
      </c>
      <c r="W39" s="260">
        <f t="shared" si="15"/>
        <v>4.4121163898935667E-2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4.7517450394005713E-2</v>
      </c>
      <c r="C40" s="262">
        <f t="shared" si="16"/>
        <v>4.6166805689202541E-2</v>
      </c>
      <c r="D40" s="262">
        <f t="shared" si="16"/>
        <v>4.1976294853940936E-2</v>
      </c>
      <c r="E40" s="262">
        <f t="shared" si="16"/>
        <v>4.3259735154199133E-2</v>
      </c>
      <c r="F40" s="262">
        <f t="shared" si="16"/>
        <v>4.6513426108737897E-2</v>
      </c>
      <c r="G40" s="262">
        <f t="shared" si="16"/>
        <v>4.6988656645586331E-2</v>
      </c>
      <c r="H40" s="262">
        <f t="shared" si="16"/>
        <v>4.412099328992021E-2</v>
      </c>
      <c r="I40" s="262">
        <f t="shared" si="16"/>
        <v>4.7660396301858393E-2</v>
      </c>
      <c r="J40" s="262">
        <f t="shared" si="16"/>
        <v>4.9976605613173526E-2</v>
      </c>
      <c r="K40" s="262">
        <f t="shared" si="16"/>
        <v>5.0387972867567951E-2</v>
      </c>
      <c r="L40" s="262">
        <f t="shared" si="16"/>
        <v>5.5145873081023589E-2</v>
      </c>
      <c r="M40" s="262">
        <f t="shared" si="16"/>
        <v>5.4791353601257559E-2</v>
      </c>
      <c r="N40" s="262">
        <f t="shared" si="16"/>
        <v>4.8513073764632382E-2</v>
      </c>
      <c r="O40" s="262">
        <f t="shared" si="16"/>
        <v>5.5860102588614451E-2</v>
      </c>
      <c r="P40" s="262">
        <f t="shared" si="16"/>
        <v>5.5318695155714664E-2</v>
      </c>
      <c r="Q40" s="262">
        <f t="shared" si="16"/>
        <v>5.4417932144395623E-2</v>
      </c>
      <c r="R40" s="262">
        <f t="shared" si="16"/>
        <v>5.678696135261295E-2</v>
      </c>
      <c r="S40" s="262">
        <f t="shared" si="16"/>
        <v>5.8818003250586268E-2</v>
      </c>
      <c r="T40" s="262">
        <f t="shared" si="16"/>
        <v>5.5731203947701827E-2</v>
      </c>
      <c r="U40" s="262">
        <f t="shared" si="16"/>
        <v>5.6910075944288159E-2</v>
      </c>
      <c r="V40" s="262">
        <f t="shared" si="16"/>
        <v>5.1659290561402553E-2</v>
      </c>
      <c r="W40" s="262">
        <f t="shared" si="16"/>
        <v>6.3975687653456723E-2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122.34803499436491</v>
      </c>
      <c r="D44" s="237">
        <f t="shared" si="17"/>
        <v>127.81056238438666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154.42655608236765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132.80026593791021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130.15939664117732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124.90211009173743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4.1441405304600316</v>
      </c>
      <c r="C45" s="248">
        <f>IF(C$6=0,0,C$6/AGR!C$5*1000)</f>
        <v>3.8954606607176552</v>
      </c>
      <c r="D45" s="248">
        <f>IF(D$6=0,0,D$6/AGR!D$5*1000)</f>
        <v>3.7000095531689836</v>
      </c>
      <c r="E45" s="248">
        <f>IF(E$6=0,0,E$6/AGR!E$5*1000)</f>
        <v>4.0405451959990621</v>
      </c>
      <c r="F45" s="248">
        <f>IF(F$6=0,0,F$6/AGR!F$5*1000)</f>
        <v>4.3255443016079607</v>
      </c>
      <c r="G45" s="248">
        <f>IF(G$6=0,0,G$6/AGR!G$5*1000)</f>
        <v>5.0043423591136236</v>
      </c>
      <c r="H45" s="248">
        <f>IF(H$6=0,0,H$6/AGR!H$5*1000)</f>
        <v>4.4708320303658482</v>
      </c>
      <c r="I45" s="248">
        <f>IF(I$6=0,0,I$6/AGR!I$5*1000)</f>
        <v>4.5109254117556379</v>
      </c>
      <c r="J45" s="248">
        <f>IF(J$6=0,0,J$6/AGR!J$5*1000)</f>
        <v>4.8021393713278417</v>
      </c>
      <c r="K45" s="248">
        <f>IF(K$6=0,0,K$6/AGR!K$5*1000)</f>
        <v>5.4335691079788644</v>
      </c>
      <c r="L45" s="248">
        <f>IF(L$6=0,0,L$6/AGR!L$5*1000)</f>
        <v>5.4988368635243905</v>
      </c>
      <c r="M45" s="248">
        <f>IF(M$6=0,0,M$6/AGR!M$5*1000)</f>
        <v>5.0181422961000548</v>
      </c>
      <c r="N45" s="248">
        <f>IF(N$6=0,0,N$6/AGR!N$5*1000)</f>
        <v>4.5181735856167728</v>
      </c>
      <c r="O45" s="248">
        <f>IF(O$6=0,0,O$6/AGR!O$5*1000)</f>
        <v>5.1218014074130114</v>
      </c>
      <c r="P45" s="248">
        <f>IF(P$6=0,0,P$6/AGR!P$5*1000)</f>
        <v>4.9656882651345091</v>
      </c>
      <c r="Q45" s="248">
        <f>IF(Q$6=0,0,Q$6/AGR!Q$5*1000)</f>
        <v>4.9883668314315717</v>
      </c>
      <c r="R45" s="248">
        <f>IF(R$6=0,0,R$6/AGR!R$5*1000)</f>
        <v>5.30215583992078</v>
      </c>
      <c r="S45" s="248">
        <f>IF(S$6=0,0,S$6/AGR!S$5*1000)</f>
        <v>5.0665467016419958</v>
      </c>
      <c r="T45" s="248">
        <f>IF(T$6=0,0,T$6/AGR!T$5*1000)</f>
        <v>5.430135500447963</v>
      </c>
      <c r="U45" s="248">
        <f>IF(U$6=0,0,U$6/AGR!U$5*1000)</f>
        <v>5.5737329850678377</v>
      </c>
      <c r="V45" s="248">
        <f>IF(V$6=0,0,V$6/AGR!V$5*1000)</f>
        <v>5.295113281823177</v>
      </c>
      <c r="W45" s="248">
        <f>IF(W$6=0,0,W$6/AGR!W$5*1000)</f>
        <v>6.2890369474105263</v>
      </c>
      <c r="DA45" s="282"/>
    </row>
    <row r="46" spans="1:105" x14ac:dyDescent="0.25">
      <c r="A46" s="241" t="s">
        <v>124</v>
      </c>
      <c r="B46" s="249">
        <f>IF(B$7=0,0,B$7/AGR!B$5*1000)</f>
        <v>2.6936913447990194</v>
      </c>
      <c r="C46" s="249">
        <f>IF(C$7=0,0,C$7/AGR!C$5*1000)</f>
        <v>2.5320494294664746</v>
      </c>
      <c r="D46" s="249">
        <f>IF(D$7=0,0,D$7/AGR!D$5*1000)</f>
        <v>2.4050062095598386</v>
      </c>
      <c r="E46" s="249">
        <f>IF(E$7=0,0,E$7/AGR!E$5*1000)</f>
        <v>2.6263543773993909</v>
      </c>
      <c r="F46" s="249">
        <f>IF(F$7=0,0,F$7/AGR!F$5*1000)</f>
        <v>2.8116037960451732</v>
      </c>
      <c r="G46" s="249">
        <f>IF(G$7=0,0,G$7/AGR!G$5*1000)</f>
        <v>3.2528225334238545</v>
      </c>
      <c r="H46" s="249">
        <f>IF(H$7=0,0,H$7/AGR!H$5*1000)</f>
        <v>2.9060408197377998</v>
      </c>
      <c r="I46" s="249">
        <f>IF(I$7=0,0,I$7/AGR!I$5*1000)</f>
        <v>2.9321015176411627</v>
      </c>
      <c r="J46" s="249">
        <f>IF(J$7=0,0,J$7/AGR!J$5*1000)</f>
        <v>3.1213905913630966</v>
      </c>
      <c r="K46" s="249">
        <f>IF(K$7=0,0,K$7/AGR!K$5*1000)</f>
        <v>3.5318199201862615</v>
      </c>
      <c r="L46" s="249">
        <f>IF(L$7=0,0,L$7/AGR!L$5*1000)</f>
        <v>3.5742439612908528</v>
      </c>
      <c r="M46" s="249">
        <f>IF(M$7=0,0,M$7/AGR!M$5*1000)</f>
        <v>3.2617924924650361</v>
      </c>
      <c r="N46" s="249">
        <f>IF(N$7=0,0,N$7/AGR!N$5*1000)</f>
        <v>2.9368128306509016</v>
      </c>
      <c r="O46" s="249">
        <f>IF(O$7=0,0,O$7/AGR!O$5*1000)</f>
        <v>3.3291709148184565</v>
      </c>
      <c r="P46" s="249">
        <f>IF(P$7=0,0,P$7/AGR!P$5*1000)</f>
        <v>3.2276973723374298</v>
      </c>
      <c r="Q46" s="249">
        <f>IF(Q$7=0,0,Q$7/AGR!Q$5*1000)</f>
        <v>3.2424384404305195</v>
      </c>
      <c r="R46" s="249">
        <f>IF(R$7=0,0,R$7/AGR!R$5*1000)</f>
        <v>3.4464012959485077</v>
      </c>
      <c r="S46" s="249">
        <f>IF(S$7=0,0,S$7/AGR!S$5*1000)</f>
        <v>3.2932553560672972</v>
      </c>
      <c r="T46" s="249">
        <f>IF(T$7=0,0,T$7/AGR!T$5*1000)</f>
        <v>3.529588075291175</v>
      </c>
      <c r="U46" s="249">
        <f>IF(U$7=0,0,U$7/AGR!U$5*1000)</f>
        <v>3.6229264402940946</v>
      </c>
      <c r="V46" s="249">
        <f>IF(V$7=0,0,V$7/AGR!V$5*1000)</f>
        <v>3.4418236331850656</v>
      </c>
      <c r="W46" s="249">
        <f>IF(W$7=0,0,W$7/AGR!W$5*1000)</f>
        <v>4.0878740158168387</v>
      </c>
      <c r="DA46" s="283"/>
    </row>
    <row r="47" spans="1:105" x14ac:dyDescent="0.25">
      <c r="A47" s="241" t="s">
        <v>123</v>
      </c>
      <c r="B47" s="249">
        <f>IF(B$8=0,0,B$8/AGR!B$5*1000)</f>
        <v>3.7297264774140277</v>
      </c>
      <c r="C47" s="249">
        <f>IF(C$8=0,0,C$8/AGR!C$5*1000)</f>
        <v>3.5059145946458892</v>
      </c>
      <c r="D47" s="249">
        <f>IF(D$8=0,0,D$8/AGR!D$5*1000)</f>
        <v>3.330008597852085</v>
      </c>
      <c r="E47" s="249">
        <f>IF(E$8=0,0,E$8/AGR!E$5*1000)</f>
        <v>3.636490676399156</v>
      </c>
      <c r="F47" s="249">
        <f>IF(F$8=0,0,F$8/AGR!F$5*1000)</f>
        <v>3.8929898714471642</v>
      </c>
      <c r="G47" s="249">
        <f>IF(G$8=0,0,G$8/AGR!G$5*1000)</f>
        <v>4.5039081232022591</v>
      </c>
      <c r="H47" s="249">
        <f>IF(H$8=0,0,H$8/AGR!H$5*1000)</f>
        <v>4.0237488273292623</v>
      </c>
      <c r="I47" s="249">
        <f>IF(I$8=0,0,I$8/AGR!I$5*1000)</f>
        <v>4.0598328705800713</v>
      </c>
      <c r="J47" s="249">
        <f>IF(J$8=0,0,J$8/AGR!J$5*1000)</f>
        <v>4.3219254341950579</v>
      </c>
      <c r="K47" s="249">
        <f>IF(K$8=0,0,K$8/AGR!K$5*1000)</f>
        <v>4.8902121971809782</v>
      </c>
      <c r="L47" s="249">
        <f>IF(L$8=0,0,L$8/AGR!L$5*1000)</f>
        <v>4.9489531771719504</v>
      </c>
      <c r="M47" s="249">
        <f>IF(M$8=0,0,M$8/AGR!M$5*1000)</f>
        <v>4.5163280664900487</v>
      </c>
      <c r="N47" s="249">
        <f>IF(N$8=0,0,N$8/AGR!N$5*1000)</f>
        <v>4.0663562270550955</v>
      </c>
      <c r="O47" s="249">
        <f>IF(O$8=0,0,O$8/AGR!O$5*1000)</f>
        <v>4.6096212666717111</v>
      </c>
      <c r="P47" s="249">
        <f>IF(P$8=0,0,P$8/AGR!P$5*1000)</f>
        <v>4.4691194386210586</v>
      </c>
      <c r="Q47" s="249">
        <f>IF(Q$8=0,0,Q$8/AGR!Q$5*1000)</f>
        <v>4.4895301482884138</v>
      </c>
      <c r="R47" s="249">
        <f>IF(R$8=0,0,R$8/AGR!R$5*1000)</f>
        <v>4.771940255928703</v>
      </c>
      <c r="S47" s="249">
        <f>IF(S$8=0,0,S$8/AGR!S$5*1000)</f>
        <v>4.5598920314777969</v>
      </c>
      <c r="T47" s="249">
        <f>IF(T$8=0,0,T$8/AGR!T$5*1000)</f>
        <v>4.8871219504031664</v>
      </c>
      <c r="U47" s="249">
        <f>IF(U$8=0,0,U$8/AGR!U$5*1000)</f>
        <v>5.0163596865610565</v>
      </c>
      <c r="V47" s="249">
        <f>IF(V$8=0,0,V$8/AGR!V$5*1000)</f>
        <v>4.7656019536408607</v>
      </c>
      <c r="W47" s="249">
        <f>IF(W$8=0,0,W$8/AGR!W$5*1000)</f>
        <v>5.6601332526694721</v>
      </c>
      <c r="DA47" s="283"/>
    </row>
    <row r="48" spans="1:105" x14ac:dyDescent="0.25">
      <c r="A48" s="243" t="s">
        <v>122</v>
      </c>
      <c r="B48" s="250">
        <f>IF(B$9=0,0,B$9/AGR!B$5*1000)</f>
        <v>24.473824658592552</v>
      </c>
      <c r="C48" s="250">
        <f>IF(C$9=0,0,C$9/AGR!C$5*1000)</f>
        <v>23.568334195847235</v>
      </c>
      <c r="D48" s="250">
        <f>IF(D$9=0,0,D$9/AGR!D$5*1000)</f>
        <v>24.529779652976245</v>
      </c>
      <c r="E48" s="250">
        <f>IF(E$9=0,0,E$9/AGR!E$5*1000)</f>
        <v>26.166460818978422</v>
      </c>
      <c r="F48" s="250">
        <f>IF(F$9=0,0,F$9/AGR!F$5*1000)</f>
        <v>26.157906117906226</v>
      </c>
      <c r="G48" s="250">
        <f>IF(G$9=0,0,G$9/AGR!G$5*1000)</f>
        <v>29.982035546894178</v>
      </c>
      <c r="H48" s="250">
        <f>IF(H$9=0,0,H$9/AGR!H$5*1000)</f>
        <v>28.31826997578964</v>
      </c>
      <c r="I48" s="250">
        <f>IF(I$9=0,0,I$9/AGR!I$5*1000)</f>
        <v>26.660431227967702</v>
      </c>
      <c r="J48" s="250">
        <f>IF(J$9=0,0,J$9/AGR!J$5*1000)</f>
        <v>27.325197621438281</v>
      </c>
      <c r="K48" s="250">
        <f>IF(K$9=0,0,K$9/AGR!K$5*1000)</f>
        <v>30.712972344525834</v>
      </c>
      <c r="L48" s="250">
        <f>IF(L$9=0,0,L$9/AGR!L$5*1000)</f>
        <v>29.408081284277284</v>
      </c>
      <c r="M48" s="250">
        <f>IF(M$9=0,0,M$9/AGR!M$5*1000)</f>
        <v>26.938792691618605</v>
      </c>
      <c r="N48" s="250">
        <f>IF(N$9=0,0,N$9/AGR!N$5*1000)</f>
        <v>24.925296480999815</v>
      </c>
      <c r="O48" s="250">
        <f>IF(O$9=0,0,O$9/AGR!O$5*1000)</f>
        <v>29.584633291913356</v>
      </c>
      <c r="P48" s="250">
        <f>IF(P$9=0,0,P$9/AGR!P$5*1000)</f>
        <v>27.761671870395926</v>
      </c>
      <c r="Q48" s="250">
        <f>IF(Q$9=0,0,Q$9/AGR!Q$5*1000)</f>
        <v>27.872477723060328</v>
      </c>
      <c r="R48" s="250">
        <f>IF(R$9=0,0,R$9/AGR!R$5*1000)</f>
        <v>29.999623285238769</v>
      </c>
      <c r="S48" s="250">
        <f>IF(S$9=0,0,S$9/AGR!S$5*1000)</f>
        <v>28.943769899093748</v>
      </c>
      <c r="T48" s="250">
        <f>IF(T$9=0,0,T$9/AGR!T$5*1000)</f>
        <v>30.475671309536366</v>
      </c>
      <c r="U48" s="250">
        <f>IF(U$9=0,0,U$9/AGR!U$5*1000)</f>
        <v>31.627356120680385</v>
      </c>
      <c r="V48" s="250">
        <f>IF(V$9=0,0,V$9/AGR!V$5*1000)</f>
        <v>29.016012031042223</v>
      </c>
      <c r="W48" s="250">
        <f>IF(W$9=0,0,W$9/AGR!W$5*1000)</f>
        <v>36.039289764719022</v>
      </c>
      <c r="DA48" s="284"/>
    </row>
    <row r="49" spans="1:105" x14ac:dyDescent="0.25">
      <c r="A49" s="128" t="s">
        <v>175</v>
      </c>
      <c r="B49" s="263">
        <f>IF(B$16=0,0,B$16/AGR!B$5*1000)</f>
        <v>30.957267539239393</v>
      </c>
      <c r="C49" s="263">
        <f>IF(C$16=0,0,C$16/AGR!C$5*1000)</f>
        <v>30.187163282367738</v>
      </c>
      <c r="D49" s="263">
        <f>IF(D$16=0,0,D$16/AGR!D$5*1000)</f>
        <v>32.475540214260953</v>
      </c>
      <c r="E49" s="263">
        <f>IF(E$16=0,0,E$16/AGR!E$5*1000)</f>
        <v>34.430258280053032</v>
      </c>
      <c r="F49" s="263">
        <f>IF(F$16=0,0,F$16/AGR!F$5*1000)</f>
        <v>33.455142891463851</v>
      </c>
      <c r="G49" s="263">
        <f>IF(G$16=0,0,G$16/AGR!G$5*1000)</f>
        <v>38.170421755835655</v>
      </c>
      <c r="H49" s="263">
        <f>IF(H$16=0,0,H$16/AGR!H$5*1000)</f>
        <v>36.8990599071494</v>
      </c>
      <c r="I49" s="263">
        <f>IF(I$16=0,0,I$16/AGR!I$5*1000)</f>
        <v>33.66370141906016</v>
      </c>
      <c r="J49" s="263">
        <f>IF(J$16=0,0,J$16/AGR!J$5*1000)</f>
        <v>33.61548343329018</v>
      </c>
      <c r="K49" s="263">
        <f>IF(K$16=0,0,K$16/AGR!K$5*1000)</f>
        <v>37.448273385368971</v>
      </c>
      <c r="L49" s="263">
        <f>IF(L$16=0,0,L$16/AGR!L$5*1000)</f>
        <v>33.691430640926121</v>
      </c>
      <c r="M49" s="263">
        <f>IF(M$16=0,0,M$16/AGR!M$5*1000)</f>
        <v>31.054299478080033</v>
      </c>
      <c r="N49" s="263">
        <f>IF(N$16=0,0,N$16/AGR!N$5*1000)</f>
        <v>21.68356414702026</v>
      </c>
      <c r="O49" s="263">
        <f>IF(O$16=0,0,O$16/AGR!O$5*1000)</f>
        <v>15.477104778833768</v>
      </c>
      <c r="P49" s="263">
        <f>IF(P$16=0,0,P$16/AGR!P$5*1000)</f>
        <v>18.811246190744907</v>
      </c>
      <c r="Q49" s="263">
        <f>IF(Q$16=0,0,Q$16/AGR!Q$5*1000)</f>
        <v>19.208050307688541</v>
      </c>
      <c r="R49" s="263">
        <f>IF(R$16=0,0,R$16/AGR!R$5*1000)</f>
        <v>18.268126402596124</v>
      </c>
      <c r="S49" s="263">
        <f>IF(S$16=0,0,S$16/AGR!S$5*1000)</f>
        <v>16.079794349698872</v>
      </c>
      <c r="T49" s="263">
        <f>IF(T$16=0,0,T$16/AGR!T$5*1000)</f>
        <v>19.961539170653428</v>
      </c>
      <c r="U49" s="263">
        <f>IF(U$16=0,0,U$16/AGR!U$5*1000)</f>
        <v>18.81360814503482</v>
      </c>
      <c r="V49" s="263">
        <f>IF(V$16=0,0,V$16/AGR!V$5*1000)</f>
        <v>24.812425377180706</v>
      </c>
      <c r="W49" s="263">
        <f>IF(W$16=0,0,W$16/AGR!W$5*1000)</f>
        <v>18.334312407685303</v>
      </c>
      <c r="DA49" s="285"/>
    </row>
    <row r="50" spans="1:105" x14ac:dyDescent="0.25">
      <c r="A50" s="128" t="s">
        <v>121</v>
      </c>
      <c r="B50" s="263">
        <f>IF(B$17=0,0,B$17/AGR!B$5*1000)</f>
        <v>44.358392661951889</v>
      </c>
      <c r="C50" s="263">
        <f>IF(C$17=0,0,C$17/AGR!C$5*1000)</f>
        <v>43.314519216331085</v>
      </c>
      <c r="D50" s="263">
        <f>IF(D$17=0,0,D$17/AGR!D$5*1000)</f>
        <v>46.064749056906152</v>
      </c>
      <c r="E50" s="263">
        <f>IF(E$17=0,0,E$17/AGR!E$5*1000)</f>
        <v>48.017374189051509</v>
      </c>
      <c r="F50" s="263">
        <f>IF(F$17=0,0,F$17/AGR!F$5*1000)</f>
        <v>47.174175337503293</v>
      </c>
      <c r="G50" s="263">
        <f>IF(G$17=0,0,G$17/AGR!G$5*1000)</f>
        <v>53.917622341879877</v>
      </c>
      <c r="H50" s="263">
        <f>IF(H$17=0,0,H$17/AGR!H$5*1000)</f>
        <v>52.268249814177551</v>
      </c>
      <c r="I50" s="263">
        <f>IF(I$17=0,0,I$17/AGR!I$5*1000)</f>
        <v>47.890991045113729</v>
      </c>
      <c r="J50" s="263">
        <f>IF(J$17=0,0,J$17/AGR!J$5*1000)</f>
        <v>47.916358076107919</v>
      </c>
      <c r="K50" s="263">
        <f>IF(K$17=0,0,K$17/AGR!K$5*1000)</f>
        <v>53.835144483163276</v>
      </c>
      <c r="L50" s="263">
        <f>IF(L$17=0,0,L$17/AGR!L$5*1000)</f>
        <v>47.518073990330038</v>
      </c>
      <c r="M50" s="263">
        <f>IF(M$17=0,0,M$17/AGR!M$5*1000)</f>
        <v>43.749119844999861</v>
      </c>
      <c r="N50" s="263">
        <f>IF(N$17=0,0,N$17/AGR!N$5*1000)</f>
        <v>61.676607879194492</v>
      </c>
      <c r="O50" s="263">
        <f>IF(O$17=0,0,O$17/AGR!O$5*1000)</f>
        <v>59.305404336764646</v>
      </c>
      <c r="P50" s="263">
        <f>IF(P$17=0,0,P$17/AGR!P$5*1000)</f>
        <v>55.143299531055739</v>
      </c>
      <c r="Q50" s="263">
        <f>IF(Q$17=0,0,Q$17/AGR!Q$5*1000)</f>
        <v>57.204819947605891</v>
      </c>
      <c r="R50" s="263">
        <f>IF(R$17=0,0,R$17/AGR!R$5*1000)</f>
        <v>57.096507018138595</v>
      </c>
      <c r="S50" s="263">
        <f>IF(S$17=0,0,S$17/AGR!S$5*1000)</f>
        <v>51.455945845852668</v>
      </c>
      <c r="T50" s="263">
        <f>IF(T$17=0,0,T$17/AGR!T$5*1000)</f>
        <v>59.856192041346887</v>
      </c>
      <c r="U50" s="263">
        <f>IF(U$17=0,0,U$17/AGR!U$5*1000)</f>
        <v>60.087163812277296</v>
      </c>
      <c r="V50" s="263">
        <f>IF(V$17=0,0,V$17/AGR!V$5*1000)</f>
        <v>63.554092313113586</v>
      </c>
      <c r="W50" s="263">
        <f>IF(W$17=0,0,W$17/AGR!W$5*1000)</f>
        <v>53.198263716142691</v>
      </c>
      <c r="DA50" s="285"/>
    </row>
    <row r="51" spans="1:105" x14ac:dyDescent="0.25">
      <c r="A51" s="128" t="s">
        <v>174</v>
      </c>
      <c r="B51" s="263">
        <f>IF(B$25=0,0,B$25/AGR!B$5*1000)</f>
        <v>5.9486969470257174</v>
      </c>
      <c r="C51" s="263">
        <f>IF(C$25=0,0,C$25/AGR!C$5*1000)</f>
        <v>5.8007149962305711</v>
      </c>
      <c r="D51" s="263">
        <f>IF(D$25=0,0,D$25/AGR!D$5*1000)</f>
        <v>6.2404456943983728</v>
      </c>
      <c r="E51" s="263">
        <f>IF(E$25=0,0,E$25/AGR!E$5*1000)</f>
        <v>6.6160610608235437</v>
      </c>
      <c r="F51" s="263">
        <f>IF(F$25=0,0,F$25/AGR!F$5*1000)</f>
        <v>6.428684512562433</v>
      </c>
      <c r="G51" s="263">
        <f>IF(G$25=0,0,G$25/AGR!G$5*1000)</f>
        <v>7.3347646421898132</v>
      </c>
      <c r="H51" s="263">
        <f>IF(H$25=0,0,H$25/AGR!H$5*1000)</f>
        <v>7.0904618677844633</v>
      </c>
      <c r="I51" s="263">
        <f>IF(I$25=0,0,I$25/AGR!I$5*1000)</f>
        <v>6.4687607717095279</v>
      </c>
      <c r="J51" s="263">
        <f>IF(J$25=0,0,J$25/AGR!J$5*1000)</f>
        <v>6.4594952839083799</v>
      </c>
      <c r="K51" s="263">
        <f>IF(K$25=0,0,K$25/AGR!K$5*1000)</f>
        <v>7.1959978146185613</v>
      </c>
      <c r="L51" s="263">
        <f>IF(L$25=0,0,L$25/AGR!L$5*1000)</f>
        <v>6.4740891727787879</v>
      </c>
      <c r="M51" s="263">
        <f>IF(M$25=0,0,M$25/AGR!M$5*1000)</f>
        <v>5.9673424427114607</v>
      </c>
      <c r="N51" s="263">
        <f>IF(N$25=0,0,N$25/AGR!N$5*1000)</f>
        <v>4.1666775557150775</v>
      </c>
      <c r="O51" s="263">
        <f>IF(O$25=0,0,O$25/AGR!O$5*1000)</f>
        <v>2.974054665191153</v>
      </c>
      <c r="P51" s="263">
        <f>IF(P$25=0,0,P$25/AGR!P$5*1000)</f>
        <v>3.6147377233082105</v>
      </c>
      <c r="Q51" s="263">
        <f>IF(Q$25=0,0,Q$25/AGR!Q$5*1000)</f>
        <v>3.6909869412354026</v>
      </c>
      <c r="R51" s="263">
        <f>IF(R$25=0,0,R$25/AGR!R$5*1000)</f>
        <v>3.5103727298043532</v>
      </c>
      <c r="S51" s="263">
        <f>IF(S$25=0,0,S$25/AGR!S$5*1000)</f>
        <v>3.0898664888821532</v>
      </c>
      <c r="T51" s="263">
        <f>IF(T$25=0,0,T$25/AGR!T$5*1000)</f>
        <v>3.8357761056232365</v>
      </c>
      <c r="U51" s="263">
        <f>IF(U$25=0,0,U$25/AGR!U$5*1000)</f>
        <v>3.6151915925088933</v>
      </c>
      <c r="V51" s="263">
        <f>IF(V$25=0,0,V$25/AGR!V$5*1000)</f>
        <v>4.7679143161601161</v>
      </c>
      <c r="W51" s="263">
        <f>IF(W$25=0,0,W$25/AGR!W$5*1000)</f>
        <v>3.5230909222582172</v>
      </c>
      <c r="DA51" s="285"/>
    </row>
    <row r="52" spans="1:105" x14ac:dyDescent="0.25">
      <c r="A52" s="128" t="s">
        <v>177</v>
      </c>
      <c r="B52" s="263">
        <f>IF(B$26=0,0,B$26/AGR!B$5*1000)</f>
        <v>4.1441405304600316</v>
      </c>
      <c r="C52" s="263">
        <f>IF(C$26=0,0,C$26/AGR!C$5*1000)</f>
        <v>3.8954606607176552</v>
      </c>
      <c r="D52" s="263">
        <f>IF(D$26=0,0,D$26/AGR!D$5*1000)</f>
        <v>3.7000095531689836</v>
      </c>
      <c r="E52" s="263">
        <f>IF(E$26=0,0,E$26/AGR!E$5*1000)</f>
        <v>4.0405451959990621</v>
      </c>
      <c r="F52" s="263">
        <f>IF(F$26=0,0,F$26/AGR!F$5*1000)</f>
        <v>4.3255443016079607</v>
      </c>
      <c r="G52" s="263">
        <f>IF(G$26=0,0,G$26/AGR!G$5*1000)</f>
        <v>5.0043423591136236</v>
      </c>
      <c r="H52" s="263">
        <f>IF(H$26=0,0,H$26/AGR!H$5*1000)</f>
        <v>4.4708320303658482</v>
      </c>
      <c r="I52" s="263">
        <f>IF(I$26=0,0,I$26/AGR!I$5*1000)</f>
        <v>4.5109254117556379</v>
      </c>
      <c r="J52" s="263">
        <f>IF(J$26=0,0,J$26/AGR!J$5*1000)</f>
        <v>4.8021393713278417</v>
      </c>
      <c r="K52" s="263">
        <f>IF(K$26=0,0,K$26/AGR!K$5*1000)</f>
        <v>5.4335691079788644</v>
      </c>
      <c r="L52" s="263">
        <f>IF(L$26=0,0,L$26/AGR!L$5*1000)</f>
        <v>5.4988368635243905</v>
      </c>
      <c r="M52" s="263">
        <f>IF(M$26=0,0,M$26/AGR!M$5*1000)</f>
        <v>5.0181422961000548</v>
      </c>
      <c r="N52" s="263">
        <f>IF(N$26=0,0,N$26/AGR!N$5*1000)</f>
        <v>4.5181735856167728</v>
      </c>
      <c r="O52" s="263">
        <f>IF(O$26=0,0,O$26/AGR!O$5*1000)</f>
        <v>5.1218014074130114</v>
      </c>
      <c r="P52" s="263">
        <f>IF(P$26=0,0,P$26/AGR!P$5*1000)</f>
        <v>4.9656882651345091</v>
      </c>
      <c r="Q52" s="263">
        <f>IF(Q$26=0,0,Q$26/AGR!Q$5*1000)</f>
        <v>4.9883668314315717</v>
      </c>
      <c r="R52" s="263">
        <f>IF(R$26=0,0,R$26/AGR!R$5*1000)</f>
        <v>5.30215583992078</v>
      </c>
      <c r="S52" s="263">
        <f>IF(S$26=0,0,S$26/AGR!S$5*1000)</f>
        <v>5.0665467016419958</v>
      </c>
      <c r="T52" s="263">
        <f>IF(T$26=0,0,T$26/AGR!T$5*1000)</f>
        <v>5.430135500447963</v>
      </c>
      <c r="U52" s="263">
        <f>IF(U$26=0,0,U$26/AGR!U$5*1000)</f>
        <v>5.5737329850678377</v>
      </c>
      <c r="V52" s="263">
        <f>IF(V$26=0,0,V$26/AGR!V$5*1000)</f>
        <v>5.295113281823177</v>
      </c>
      <c r="W52" s="263">
        <f>IF(W$26=0,0,W$26/AGR!W$5*1000)</f>
        <v>6.2890369474105263</v>
      </c>
      <c r="DA52" s="285"/>
    </row>
    <row r="53" spans="1:105" x14ac:dyDescent="0.25">
      <c r="A53" s="261" t="s">
        <v>33</v>
      </c>
      <c r="B53" s="264">
        <f>IF(B$27=0,0,B$27/AGR!B$5*1000)</f>
        <v>6.0090037691670455</v>
      </c>
      <c r="C53" s="264">
        <f>IF(C$27=0,0,C$27/AGR!C$5*1000)</f>
        <v>5.6484179580405982</v>
      </c>
      <c r="D53" s="264">
        <f>IF(D$27=0,0,D$27/AGR!D$5*1000)</f>
        <v>5.365013852095025</v>
      </c>
      <c r="E53" s="264">
        <f>IF(E$27=0,0,E$27/AGR!E$5*1000)</f>
        <v>5.858790534198639</v>
      </c>
      <c r="F53" s="264">
        <f>IF(F$27=0,0,F$27/AGR!F$5*1000)</f>
        <v>6.2720392373315423</v>
      </c>
      <c r="G53" s="264">
        <f>IF(G$27=0,0,G$27/AGR!G$5*1000)</f>
        <v>7.2562964207147544</v>
      </c>
      <c r="H53" s="264">
        <f>IF(H$27=0,0,H$27/AGR!H$5*1000)</f>
        <v>6.4827064440304794</v>
      </c>
      <c r="I53" s="264">
        <f>IF(I$27=0,0,I$27/AGR!I$5*1000)</f>
        <v>6.5408418470456722</v>
      </c>
      <c r="J53" s="264">
        <f>IF(J$27=0,0,J$27/AGR!J$5*1000)</f>
        <v>6.9631020884253747</v>
      </c>
      <c r="K53" s="264">
        <f>IF(K$27=0,0,K$27/AGR!K$5*1000)</f>
        <v>7.8786752065693522</v>
      </c>
      <c r="L53" s="264">
        <f>IF(L$27=0,0,L$27/AGR!L$5*1000)</f>
        <v>7.9733134521103679</v>
      </c>
      <c r="M53" s="264">
        <f>IF(M$27=0,0,M$27/AGR!M$5*1000)</f>
        <v>7.27630632934508</v>
      </c>
      <c r="N53" s="264">
        <f>IF(N$27=0,0,N$27/AGR!N$5*1000)</f>
        <v>6.5513516991443215</v>
      </c>
      <c r="O53" s="264">
        <f>IF(O$27=0,0,O$27/AGR!O$5*1000)</f>
        <v>7.4266120407488687</v>
      </c>
      <c r="P53" s="264">
        <f>IF(P$27=0,0,P$27/AGR!P$5*1000)</f>
        <v>7.2002479844450393</v>
      </c>
      <c r="Q53" s="264">
        <f>IF(Q$27=0,0,Q$27/AGR!Q$5*1000)</f>
        <v>7.2331319055757781</v>
      </c>
      <c r="R53" s="264">
        <f>IF(R$27=0,0,R$27/AGR!R$5*1000)</f>
        <v>7.6881259678851341</v>
      </c>
      <c r="S53" s="264">
        <f>IF(S$27=0,0,S$27/AGR!S$5*1000)</f>
        <v>7.3464927173808956</v>
      </c>
      <c r="T53" s="264">
        <f>IF(T$27=0,0,T$27/AGR!T$5*1000)</f>
        <v>7.8736964756495471</v>
      </c>
      <c r="U53" s="264">
        <f>IF(U$27=0,0,U$27/AGR!U$5*1000)</f>
        <v>8.0819128283483668</v>
      </c>
      <c r="V53" s="264">
        <f>IF(V$27=0,0,V$27/AGR!V$5*1000)</f>
        <v>7.6779142586436073</v>
      </c>
      <c r="W53" s="264">
        <f>IF(W$27=0,0,W$27/AGR!W$5*1000)</f>
        <v>9.1191035737452637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397.20616758243074</v>
      </c>
      <c r="C5" s="80">
        <f t="shared" ref="C5:W5" si="1">SUM(C6:C9,C16:C17,C25:C27)</f>
        <v>395.15866576688171</v>
      </c>
      <c r="D5" s="80">
        <f t="shared" si="1"/>
        <v>405.10678765128324</v>
      </c>
      <c r="E5" s="80">
        <f t="shared" si="1"/>
        <v>439.27563416313336</v>
      </c>
      <c r="F5" s="80">
        <f t="shared" si="1"/>
        <v>396.329382905616</v>
      </c>
      <c r="G5" s="80">
        <f t="shared" si="1"/>
        <v>410.24638569712278</v>
      </c>
      <c r="H5" s="80">
        <f t="shared" si="1"/>
        <v>414.71465686848512</v>
      </c>
      <c r="I5" s="80">
        <f t="shared" si="1"/>
        <v>393.68083601478065</v>
      </c>
      <c r="J5" s="80">
        <f t="shared" si="1"/>
        <v>395.91571399605056</v>
      </c>
      <c r="K5" s="80">
        <f t="shared" si="1"/>
        <v>315.73259271380431</v>
      </c>
      <c r="L5" s="80">
        <f t="shared" si="1"/>
        <v>296.91786682408605</v>
      </c>
      <c r="M5" s="80">
        <f t="shared" si="1"/>
        <v>281.4729132923739</v>
      </c>
      <c r="N5" s="80">
        <f t="shared" si="1"/>
        <v>274.57438613240805</v>
      </c>
      <c r="O5" s="80">
        <f t="shared" si="1"/>
        <v>225.60669436320214</v>
      </c>
      <c r="P5" s="80">
        <f t="shared" si="1"/>
        <v>198.6221083706526</v>
      </c>
      <c r="Q5" s="80">
        <f t="shared" si="1"/>
        <v>199.27089578273819</v>
      </c>
      <c r="R5" s="80">
        <f t="shared" si="1"/>
        <v>202.17886564107013</v>
      </c>
      <c r="S5" s="80">
        <f t="shared" si="1"/>
        <v>213.63567015272704</v>
      </c>
      <c r="T5" s="80">
        <f t="shared" si="1"/>
        <v>196.3874015104964</v>
      </c>
      <c r="U5" s="80">
        <f t="shared" si="1"/>
        <v>200.88589787228696</v>
      </c>
      <c r="V5" s="80">
        <f t="shared" si="1"/>
        <v>230.32143815299054</v>
      </c>
      <c r="W5" s="80">
        <f t="shared" si="1"/>
        <v>201.79471183055719</v>
      </c>
      <c r="DA5" s="103"/>
    </row>
    <row r="6" spans="1:105" x14ac:dyDescent="0.25">
      <c r="A6" s="239" t="s">
        <v>125</v>
      </c>
      <c r="B6" s="240">
        <v>15.23506588140223</v>
      </c>
      <c r="C6" s="240">
        <v>14.822649034095919</v>
      </c>
      <c r="D6" s="240">
        <v>14.052579021835561</v>
      </c>
      <c r="E6" s="240">
        <v>15.60355595287912</v>
      </c>
      <c r="F6" s="240">
        <v>14.937509566275979</v>
      </c>
      <c r="G6" s="240">
        <v>15.5891266751057</v>
      </c>
      <c r="H6" s="240">
        <v>14.98910453411604</v>
      </c>
      <c r="I6" s="240">
        <v>15.12944931249767</v>
      </c>
      <c r="J6" s="240">
        <v>15.769448676700071</v>
      </c>
      <c r="K6" s="240">
        <v>12.655556806687329</v>
      </c>
      <c r="L6" s="240">
        <v>12.6728445198895</v>
      </c>
      <c r="M6" s="240">
        <v>11.97140738185532</v>
      </c>
      <c r="N6" s="240">
        <v>10.486651967264841</v>
      </c>
      <c r="O6" s="240">
        <v>9.2903304803699438</v>
      </c>
      <c r="P6" s="240">
        <v>8.2124596701958321</v>
      </c>
      <c r="Q6" s="240">
        <v>8.1575843233665211</v>
      </c>
      <c r="R6" s="240">
        <v>8.4513687885005382</v>
      </c>
      <c r="S6" s="240">
        <v>9.0817516400872726</v>
      </c>
      <c r="T6" s="240">
        <v>8.1300538382997143</v>
      </c>
      <c r="U6" s="240">
        <v>8.3934803696196241</v>
      </c>
      <c r="V6" s="240">
        <v>9.2052733433038156</v>
      </c>
      <c r="W6" s="240">
        <v>8.9741504961113208</v>
      </c>
      <c r="DA6" s="268" t="s">
        <v>1014</v>
      </c>
    </row>
    <row r="7" spans="1:105" x14ac:dyDescent="0.25">
      <c r="A7" s="241" t="s">
        <v>124</v>
      </c>
      <c r="B7" s="242">
        <v>9.8198857874604411</v>
      </c>
      <c r="C7" s="242">
        <v>9.5540591498273049</v>
      </c>
      <c r="D7" s="242">
        <v>9.0577042520138331</v>
      </c>
      <c r="E7" s="242">
        <v>10.0573990639953</v>
      </c>
      <c r="F7" s="242">
        <v>9.6280934412623012</v>
      </c>
      <c r="G7" s="242">
        <v>10.048098555495139</v>
      </c>
      <c r="H7" s="242">
        <v>9.6613493979704135</v>
      </c>
      <c r="I7" s="242">
        <v>9.7518097678370363</v>
      </c>
      <c r="J7" s="242">
        <v>10.16432657015601</v>
      </c>
      <c r="K7" s="242">
        <v>8.1572422059620777</v>
      </c>
      <c r="L7" s="242">
        <v>8.168385142296799</v>
      </c>
      <c r="M7" s="242">
        <v>7.7162681225084464</v>
      </c>
      <c r="N7" s="242">
        <v>6.7592569282614816</v>
      </c>
      <c r="O7" s="242">
        <v>5.9881581711019569</v>
      </c>
      <c r="P7" s="242">
        <v>5.2934077622791067</v>
      </c>
      <c r="Q7" s="242">
        <v>5.2580374105782361</v>
      </c>
      <c r="R7" s="242">
        <v>5.4473985801461291</v>
      </c>
      <c r="S7" s="242">
        <v>5.8537169809422807</v>
      </c>
      <c r="T7" s="242">
        <v>5.2402924122215531</v>
      </c>
      <c r="U7" s="242">
        <v>5.4100861283160926</v>
      </c>
      <c r="V7" s="242">
        <v>5.9333339007049783</v>
      </c>
      <c r="W7" s="242">
        <v>5.7843617872943263</v>
      </c>
      <c r="DA7" s="269" t="s">
        <v>1015</v>
      </c>
    </row>
    <row r="8" spans="1:105" x14ac:dyDescent="0.25">
      <c r="A8" s="241" t="s">
        <v>123</v>
      </c>
      <c r="B8" s="242">
        <v>19.51439355567026</v>
      </c>
      <c r="C8" s="242">
        <v>18.986134293125911</v>
      </c>
      <c r="D8" s="242">
        <v>17.999761841464071</v>
      </c>
      <c r="E8" s="242">
        <v>19.986387594431541</v>
      </c>
      <c r="F8" s="242">
        <v>19.133257623371009</v>
      </c>
      <c r="G8" s="242">
        <v>19.967905324161979</v>
      </c>
      <c r="H8" s="242">
        <v>19.19934493246183</v>
      </c>
      <c r="I8" s="242">
        <v>19.37911069521877</v>
      </c>
      <c r="J8" s="242">
        <v>20.198877381207978</v>
      </c>
      <c r="K8" s="242">
        <v>16.210334639465799</v>
      </c>
      <c r="L8" s="242">
        <v>16.232478241714119</v>
      </c>
      <c r="M8" s="242">
        <v>15.334016727158319</v>
      </c>
      <c r="N8" s="242">
        <v>13.43221323514979</v>
      </c>
      <c r="O8" s="242">
        <v>11.899860930531929</v>
      </c>
      <c r="P8" s="242">
        <v>10.51923052462187</v>
      </c>
      <c r="Q8" s="242">
        <v>10.448941421649341</v>
      </c>
      <c r="R8" s="242">
        <v>10.825246041386221</v>
      </c>
      <c r="S8" s="242">
        <v>11.63269506407971</v>
      </c>
      <c r="T8" s="242">
        <v>10.41367798895044</v>
      </c>
      <c r="U8" s="242">
        <v>10.751097534438401</v>
      </c>
      <c r="V8" s="242">
        <v>11.79091237327933</v>
      </c>
      <c r="W8" s="242">
        <v>11.49487018777574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129.1225843717674</v>
      </c>
      <c r="C9" s="244">
        <f t="shared" ref="C9:W9" si="3">SUM(C10:C15)</f>
        <v>127.51027234705833</v>
      </c>
      <c r="D9" s="244">
        <f t="shared" si="3"/>
        <v>128.60825773468903</v>
      </c>
      <c r="E9" s="244">
        <f t="shared" si="3"/>
        <v>140.16596983764632</v>
      </c>
      <c r="F9" s="244">
        <f t="shared" si="3"/>
        <v>128.45747763869696</v>
      </c>
      <c r="G9" s="244">
        <f t="shared" si="3"/>
        <v>133.29782144042625</v>
      </c>
      <c r="H9" s="244">
        <f t="shared" si="3"/>
        <v>132.99723906337636</v>
      </c>
      <c r="I9" s="244">
        <f t="shared" si="3"/>
        <v>128.4495791032914</v>
      </c>
      <c r="J9" s="244">
        <f t="shared" si="3"/>
        <v>131.20212959553311</v>
      </c>
      <c r="K9" s="244">
        <f t="shared" si="3"/>
        <v>105.23421194773938</v>
      </c>
      <c r="L9" s="244">
        <f t="shared" si="3"/>
        <v>102.97587426391195</v>
      </c>
      <c r="M9" s="244">
        <f t="shared" si="3"/>
        <v>97.351632244029631</v>
      </c>
      <c r="N9" s="244">
        <f t="shared" si="3"/>
        <v>96.77837101451864</v>
      </c>
      <c r="O9" s="244">
        <f t="shared" si="3"/>
        <v>93.782194807941309</v>
      </c>
      <c r="P9" s="244">
        <f t="shared" si="3"/>
        <v>79.075722478053621</v>
      </c>
      <c r="Q9" s="244">
        <f t="shared" si="3"/>
        <v>78.427953772994769</v>
      </c>
      <c r="R9" s="244">
        <f t="shared" si="3"/>
        <v>82.981543040756179</v>
      </c>
      <c r="S9" s="244">
        <f t="shared" si="3"/>
        <v>90.471871059309265</v>
      </c>
      <c r="T9" s="244">
        <f t="shared" si="3"/>
        <v>78.811292782125108</v>
      </c>
      <c r="U9" s="244">
        <f t="shared" si="3"/>
        <v>82.679936933563937</v>
      </c>
      <c r="V9" s="244">
        <f t="shared" si="3"/>
        <v>84.454255385073694</v>
      </c>
      <c r="W9" s="244">
        <f t="shared" si="3"/>
        <v>89.837142843254753</v>
      </c>
      <c r="DA9" s="270"/>
    </row>
    <row r="10" spans="1:105" x14ac:dyDescent="0.25">
      <c r="A10" s="254" t="s">
        <v>173</v>
      </c>
      <c r="B10" s="255">
        <v>79.127461818873982</v>
      </c>
      <c r="C10" s="255">
        <v>81.951009500607753</v>
      </c>
      <c r="D10" s="255">
        <v>95.268144967787663</v>
      </c>
      <c r="E10" s="255">
        <v>101.58751701327201</v>
      </c>
      <c r="F10" s="255">
        <v>82.238075823938033</v>
      </c>
      <c r="G10" s="255">
        <v>83.787169315050477</v>
      </c>
      <c r="H10" s="255">
        <v>91.699729666757719</v>
      </c>
      <c r="I10" s="255">
        <v>78.003315518289256</v>
      </c>
      <c r="J10" s="255">
        <v>72.269974463927412</v>
      </c>
      <c r="K10" s="255">
        <v>55.764329372381617</v>
      </c>
      <c r="L10" s="255">
        <v>44.299001871072207</v>
      </c>
      <c r="M10" s="255">
        <v>42.750675493318397</v>
      </c>
      <c r="N10" s="255">
        <v>14.44042356092457</v>
      </c>
      <c r="O10" s="255">
        <v>3.0366599779383479</v>
      </c>
      <c r="P10" s="255">
        <v>5.5965271989863163</v>
      </c>
      <c r="Q10" s="255">
        <v>5.8309765776598628</v>
      </c>
      <c r="R10" s="255">
        <v>4.2785705772711884</v>
      </c>
      <c r="S10" s="255">
        <v>3.5825584413993741</v>
      </c>
      <c r="T10" s="255">
        <v>5.0562126515816121</v>
      </c>
      <c r="U10" s="255">
        <v>3.9694101174943959</v>
      </c>
      <c r="V10" s="255">
        <v>12.205856654087791</v>
      </c>
      <c r="W10" s="255">
        <v>2.800239698698046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4.4610937482736493E-2</v>
      </c>
      <c r="Q11" s="256">
        <v>4.1075605853129117E-2</v>
      </c>
      <c r="R11" s="256">
        <v>5.7115862456923287E-2</v>
      </c>
      <c r="S11" s="256">
        <v>7.7712013954497491E-2</v>
      </c>
      <c r="T11" s="256">
        <v>0.1232033390670616</v>
      </c>
      <c r="U11" s="256">
        <v>0.5275116683743144</v>
      </c>
      <c r="V11" s="256">
        <v>0.70746798312726211</v>
      </c>
      <c r="W11" s="256">
        <v>0.71499644319065236</v>
      </c>
      <c r="DA11" s="272" t="s">
        <v>1018</v>
      </c>
    </row>
    <row r="12" spans="1:105" x14ac:dyDescent="0.25">
      <c r="A12" s="254" t="s">
        <v>158</v>
      </c>
      <c r="B12" s="256">
        <v>0.35371995986109039</v>
      </c>
      <c r="C12" s="256">
        <v>0.51130144723220083</v>
      </c>
      <c r="D12" s="256">
        <v>0.31136328204882979</v>
      </c>
      <c r="E12" s="256">
        <v>0.2579741423900544</v>
      </c>
      <c r="F12" s="256">
        <v>1.6180122384184259</v>
      </c>
      <c r="G12" s="256">
        <v>1.61012674549548</v>
      </c>
      <c r="H12" s="256">
        <v>1.720699476554816</v>
      </c>
      <c r="I12" s="256">
        <v>1.7089330784848551</v>
      </c>
      <c r="J12" s="256">
        <v>1.654314539296003</v>
      </c>
      <c r="K12" s="256">
        <v>2.098805904194859</v>
      </c>
      <c r="L12" s="256">
        <v>1.879843878658839</v>
      </c>
      <c r="M12" s="256">
        <v>1.8670418545981069</v>
      </c>
      <c r="N12" s="256">
        <v>2.2410231558882612</v>
      </c>
      <c r="O12" s="256">
        <v>1.5098623531115281</v>
      </c>
      <c r="P12" s="256">
        <v>1.357697519163243</v>
      </c>
      <c r="Q12" s="256">
        <v>1.0078959911700149</v>
      </c>
      <c r="R12" s="256">
        <v>1.009420656975639</v>
      </c>
      <c r="S12" s="256">
        <v>0.6739299072993995</v>
      </c>
      <c r="T12" s="256">
        <v>0.75583684847458554</v>
      </c>
      <c r="U12" s="256">
        <v>0.63515458821984372</v>
      </c>
      <c r="V12" s="256">
        <v>0.86157737598785722</v>
      </c>
      <c r="W12" s="256">
        <v>0.3404321935218052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49.641402593032318</v>
      </c>
      <c r="C15" s="256">
        <v>45.047961399218387</v>
      </c>
      <c r="D15" s="256">
        <v>33.028749484852547</v>
      </c>
      <c r="E15" s="256">
        <v>38.320478681984262</v>
      </c>
      <c r="F15" s="256">
        <v>44.601389576340509</v>
      </c>
      <c r="G15" s="256">
        <v>47.900525379880293</v>
      </c>
      <c r="H15" s="256">
        <v>39.57680992006383</v>
      </c>
      <c r="I15" s="256">
        <v>48.737330506517289</v>
      </c>
      <c r="J15" s="256">
        <v>57.277840592309687</v>
      </c>
      <c r="K15" s="256">
        <v>47.371076671162903</v>
      </c>
      <c r="L15" s="256">
        <v>56.797028514180909</v>
      </c>
      <c r="M15" s="256">
        <v>52.733914896113127</v>
      </c>
      <c r="N15" s="256">
        <v>80.096924297705812</v>
      </c>
      <c r="O15" s="256">
        <v>89.235672476891438</v>
      </c>
      <c r="P15" s="256">
        <v>72.076886822421329</v>
      </c>
      <c r="Q15" s="256">
        <v>71.548005598311761</v>
      </c>
      <c r="R15" s="256">
        <v>77.636435944052423</v>
      </c>
      <c r="S15" s="256">
        <v>86.137670696655988</v>
      </c>
      <c r="T15" s="256">
        <v>72.876039943001842</v>
      </c>
      <c r="U15" s="256">
        <v>77.547860559475382</v>
      </c>
      <c r="V15" s="256">
        <v>70.679353371870789</v>
      </c>
      <c r="W15" s="256">
        <v>85.981474507844254</v>
      </c>
      <c r="DA15" s="272" t="s">
        <v>1022</v>
      </c>
    </row>
    <row r="16" spans="1:105" x14ac:dyDescent="0.25">
      <c r="A16" s="257" t="s">
        <v>175</v>
      </c>
      <c r="B16" s="258">
        <v>81.438637803023497</v>
      </c>
      <c r="C16" s="258">
        <v>82.195364276744883</v>
      </c>
      <c r="D16" s="258">
        <v>88.260745764616004</v>
      </c>
      <c r="E16" s="258">
        <v>95.144110911770611</v>
      </c>
      <c r="F16" s="258">
        <v>82.671979995245266</v>
      </c>
      <c r="G16" s="258">
        <v>85.086321701596859</v>
      </c>
      <c r="H16" s="258">
        <v>88.523923498735329</v>
      </c>
      <c r="I16" s="258">
        <v>80.793674194732617</v>
      </c>
      <c r="J16" s="258">
        <v>78.991275925217678</v>
      </c>
      <c r="K16" s="258">
        <v>62.414555079966</v>
      </c>
      <c r="L16" s="258">
        <v>55.562367406902908</v>
      </c>
      <c r="M16" s="258">
        <v>53.012952509354832</v>
      </c>
      <c r="N16" s="258">
        <v>36.013276014016661</v>
      </c>
      <c r="O16" s="258">
        <v>20.088900546312239</v>
      </c>
      <c r="P16" s="258">
        <v>22.262266787366691</v>
      </c>
      <c r="Q16" s="258">
        <v>22.47731807247429</v>
      </c>
      <c r="R16" s="258">
        <v>20.83658734049855</v>
      </c>
      <c r="S16" s="258">
        <v>20.625100757293112</v>
      </c>
      <c r="T16" s="258">
        <v>21.386257809707619</v>
      </c>
      <c r="U16" s="258">
        <v>20.27337396700911</v>
      </c>
      <c r="V16" s="258">
        <v>30.86659113638834</v>
      </c>
      <c r="W16" s="258">
        <v>18.721120873880061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92.988871045914678</v>
      </c>
      <c r="C17" s="258">
        <f t="shared" ref="C17:W17" si="5">SUM(C18:C24)</f>
        <v>93.933921382008748</v>
      </c>
      <c r="D17" s="258">
        <f t="shared" si="5"/>
        <v>100.08304792540004</v>
      </c>
      <c r="E17" s="258">
        <f t="shared" si="5"/>
        <v>106.46564106988751</v>
      </c>
      <c r="F17" s="258">
        <f t="shared" si="5"/>
        <v>92.993201155760289</v>
      </c>
      <c r="G17" s="258">
        <f t="shared" si="5"/>
        <v>95.793539395107246</v>
      </c>
      <c r="H17" s="258">
        <f t="shared" si="5"/>
        <v>99.919543407162493</v>
      </c>
      <c r="I17" s="258">
        <f t="shared" si="5"/>
        <v>91.441589598690996</v>
      </c>
      <c r="J17" s="258">
        <f t="shared" si="5"/>
        <v>89.494599030878689</v>
      </c>
      <c r="K17" s="258">
        <f t="shared" si="5"/>
        <v>70.989246666297475</v>
      </c>
      <c r="L17" s="258">
        <f t="shared" si="5"/>
        <v>62.112895368704486</v>
      </c>
      <c r="M17" s="258">
        <f t="shared" si="5"/>
        <v>58.992188552759501</v>
      </c>
      <c r="N17" s="258">
        <f t="shared" si="5"/>
        <v>80.013053289357146</v>
      </c>
      <c r="O17" s="258">
        <f t="shared" si="5"/>
        <v>58.601999362874096</v>
      </c>
      <c r="P17" s="258">
        <f t="shared" si="5"/>
        <v>49.70926826533082</v>
      </c>
      <c r="Q17" s="258">
        <f t="shared" si="5"/>
        <v>51.059730491045606</v>
      </c>
      <c r="R17" s="258">
        <f t="shared" si="5"/>
        <v>49.680764767095589</v>
      </c>
      <c r="S17" s="258">
        <f t="shared" si="5"/>
        <v>50.465218724717552</v>
      </c>
      <c r="T17" s="258">
        <f t="shared" si="5"/>
        <v>49.180162775277772</v>
      </c>
      <c r="U17" s="258">
        <f t="shared" si="5"/>
        <v>49.64261499447592</v>
      </c>
      <c r="V17" s="258">
        <f t="shared" si="5"/>
        <v>60.878998124955388</v>
      </c>
      <c r="W17" s="258">
        <f t="shared" si="5"/>
        <v>42.003174097873362</v>
      </c>
      <c r="DA17" s="273"/>
    </row>
    <row r="18" spans="1:105" x14ac:dyDescent="0.25">
      <c r="A18" s="61" t="s">
        <v>29</v>
      </c>
      <c r="B18" s="55">
        <v>1.4857021114760089</v>
      </c>
      <c r="C18" s="55">
        <v>1.37768748675296</v>
      </c>
      <c r="D18" s="55">
        <v>0</v>
      </c>
      <c r="E18" s="55">
        <v>0</v>
      </c>
      <c r="F18" s="55">
        <v>8.4283997095944196E-2</v>
      </c>
      <c r="G18" s="55">
        <v>0.54108453157886383</v>
      </c>
      <c r="H18" s="55">
        <v>0.8241101938265406</v>
      </c>
      <c r="I18" s="55">
        <v>0</v>
      </c>
      <c r="J18" s="55">
        <v>0</v>
      </c>
      <c r="K18" s="55">
        <v>0</v>
      </c>
      <c r="L18" s="55">
        <v>0</v>
      </c>
      <c r="M18" s="55">
        <v>0.25079171580322562</v>
      </c>
      <c r="N18" s="55">
        <v>0</v>
      </c>
      <c r="O18" s="55">
        <v>0.21743398273075731</v>
      </c>
      <c r="P18" s="55">
        <v>0.60171282015767424</v>
      </c>
      <c r="Q18" s="55">
        <v>0.34751228491563402</v>
      </c>
      <c r="R18" s="55">
        <v>0.63630671852182208</v>
      </c>
      <c r="S18" s="55">
        <v>0.18092964709945569</v>
      </c>
      <c r="T18" s="55">
        <v>0.12989100441353779</v>
      </c>
      <c r="U18" s="55">
        <v>0.1360905606446467</v>
      </c>
      <c r="V18" s="55">
        <v>0.30992162220938879</v>
      </c>
      <c r="W18" s="55">
        <v>0.30404047219174218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24.444020028814339</v>
      </c>
      <c r="O19" s="55">
        <v>7.7776437245992218</v>
      </c>
      <c r="P19" s="55">
        <v>6.1110213112885781</v>
      </c>
      <c r="Q19" s="55">
        <v>6.6665548694753554</v>
      </c>
      <c r="R19" s="55">
        <v>7.2221101664167806</v>
      </c>
      <c r="S19" s="55">
        <v>7.936227849304708</v>
      </c>
      <c r="T19" s="55">
        <v>8.8654069092816421</v>
      </c>
      <c r="U19" s="55">
        <v>8.8545592769165076</v>
      </c>
      <c r="V19" s="55">
        <v>9.357050303961767</v>
      </c>
      <c r="W19" s="55">
        <v>9.6436973593252961</v>
      </c>
      <c r="DA19" s="101" t="s">
        <v>1025</v>
      </c>
    </row>
    <row r="20" spans="1:105" x14ac:dyDescent="0.25">
      <c r="A20" s="61" t="s">
        <v>173</v>
      </c>
      <c r="B20" s="55">
        <v>74.066917190375335</v>
      </c>
      <c r="C20" s="55">
        <v>74.538782520218248</v>
      </c>
      <c r="D20" s="55">
        <v>82.500801923219058</v>
      </c>
      <c r="E20" s="55">
        <v>92.592412626181613</v>
      </c>
      <c r="F20" s="55">
        <v>77.919329141320105</v>
      </c>
      <c r="G20" s="55">
        <v>79.847665148660639</v>
      </c>
      <c r="H20" s="55">
        <v>82.621131757996011</v>
      </c>
      <c r="I20" s="55">
        <v>74.454921207575893</v>
      </c>
      <c r="J20" s="55">
        <v>72.340351995335993</v>
      </c>
      <c r="K20" s="55">
        <v>55.793902762434428</v>
      </c>
      <c r="L20" s="55">
        <v>51.873258495782558</v>
      </c>
      <c r="M20" s="55">
        <v>49.629561178047638</v>
      </c>
      <c r="N20" s="55">
        <v>7.0825613089320143</v>
      </c>
      <c r="O20" s="55">
        <v>2.0698666627418878</v>
      </c>
      <c r="P20" s="55">
        <v>3.9732252035225608</v>
      </c>
      <c r="Q20" s="55">
        <v>3.905044705378077</v>
      </c>
      <c r="R20" s="55">
        <v>3.2435813829375411</v>
      </c>
      <c r="S20" s="55">
        <v>3.043483514533682</v>
      </c>
      <c r="T20" s="55">
        <v>3.6455566293406219</v>
      </c>
      <c r="U20" s="55">
        <v>3.014159540320446</v>
      </c>
      <c r="V20" s="55">
        <v>7.4575525939781047</v>
      </c>
      <c r="W20" s="55">
        <v>3.315772258767677</v>
      </c>
      <c r="DA20" s="101" t="s">
        <v>1026</v>
      </c>
    </row>
    <row r="21" spans="1:105" x14ac:dyDescent="0.25">
      <c r="A21" s="61" t="s">
        <v>129</v>
      </c>
      <c r="B21" s="55">
        <v>15.1795840946262</v>
      </c>
      <c r="C21" s="55">
        <v>15.59337498812131</v>
      </c>
      <c r="D21" s="55">
        <v>15.83175852516071</v>
      </c>
      <c r="E21" s="55">
        <v>12.4735067168168</v>
      </c>
      <c r="F21" s="55">
        <v>12.43154842482519</v>
      </c>
      <c r="G21" s="55">
        <v>12.15120659575847</v>
      </c>
      <c r="H21" s="55">
        <v>13.413577793569431</v>
      </c>
      <c r="I21" s="55">
        <v>13.434556939576609</v>
      </c>
      <c r="J21" s="55">
        <v>13.196192773834779</v>
      </c>
      <c r="K21" s="55">
        <v>10.93402870137219</v>
      </c>
      <c r="L21" s="55">
        <v>5.9190248702696104</v>
      </c>
      <c r="M21" s="55">
        <v>2.130845853884777</v>
      </c>
      <c r="N21" s="55">
        <v>42.686847564246328</v>
      </c>
      <c r="O21" s="55">
        <v>42.568488762910469</v>
      </c>
      <c r="P21" s="55">
        <v>33.270252309588649</v>
      </c>
      <c r="Q21" s="55">
        <v>33.932112403114878</v>
      </c>
      <c r="R21" s="55">
        <v>32.377001727662673</v>
      </c>
      <c r="S21" s="55">
        <v>33.188892740587598</v>
      </c>
      <c r="T21" s="55">
        <v>30.103950969960898</v>
      </c>
      <c r="U21" s="55">
        <v>30.674978916211192</v>
      </c>
      <c r="V21" s="55">
        <v>37.759712067631497</v>
      </c>
      <c r="W21" s="55">
        <v>22.377736359728221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3.091292895227787E-2</v>
      </c>
      <c r="Q22" s="55">
        <v>2.6849916163327381E-2</v>
      </c>
      <c r="R22" s="55">
        <v>4.2262684603139818E-2</v>
      </c>
      <c r="S22" s="55">
        <v>6.4437706896926725E-2</v>
      </c>
      <c r="T22" s="55">
        <v>8.670322247661523E-2</v>
      </c>
      <c r="U22" s="55">
        <v>0.39097282926254312</v>
      </c>
      <c r="V22" s="55">
        <v>0.42189957989262078</v>
      </c>
      <c r="W22" s="55">
        <v>0.82635680870250616</v>
      </c>
      <c r="DA22" s="101" t="s">
        <v>1028</v>
      </c>
    </row>
    <row r="23" spans="1:105" x14ac:dyDescent="0.25">
      <c r="A23" s="61" t="s">
        <v>171</v>
      </c>
      <c r="B23" s="55">
        <v>2.0793386370580631</v>
      </c>
      <c r="C23" s="55">
        <v>2.175002496878645</v>
      </c>
      <c r="D23" s="55">
        <v>1.6060762187543189</v>
      </c>
      <c r="E23" s="55">
        <v>1.273790212296767</v>
      </c>
      <c r="F23" s="55">
        <v>1.73697511902836</v>
      </c>
      <c r="G23" s="55">
        <v>2.4317796666565048</v>
      </c>
      <c r="H23" s="55">
        <v>2.2303925604648942</v>
      </c>
      <c r="I23" s="55">
        <v>2.6784793248651968</v>
      </c>
      <c r="J23" s="55">
        <v>3.071176025677719</v>
      </c>
      <c r="K23" s="55">
        <v>3.1366436008340042</v>
      </c>
      <c r="L23" s="55">
        <v>3.1416642315957328</v>
      </c>
      <c r="M23" s="55">
        <v>5.8201435564599677</v>
      </c>
      <c r="N23" s="55">
        <v>5.2109434820918192</v>
      </c>
      <c r="O23" s="55">
        <v>5.4173693440893214</v>
      </c>
      <c r="P23" s="55">
        <v>5.2059047263315099</v>
      </c>
      <c r="Q23" s="55">
        <v>5.8201435564690884</v>
      </c>
      <c r="R23" s="55">
        <v>5.7496553505566341</v>
      </c>
      <c r="S23" s="55">
        <v>5.7446165947619114</v>
      </c>
      <c r="T23" s="55">
        <v>6.0567838281269832</v>
      </c>
      <c r="U23" s="55">
        <v>6.3135428728962273</v>
      </c>
      <c r="V23" s="55">
        <v>5.2909291989121519</v>
      </c>
      <c r="W23" s="55">
        <v>5.319675481946053</v>
      </c>
      <c r="DA23" s="101" t="s">
        <v>1029</v>
      </c>
    </row>
    <row r="24" spans="1:105" x14ac:dyDescent="0.25">
      <c r="A24" s="61" t="s">
        <v>158</v>
      </c>
      <c r="B24" s="55">
        <v>0.17732901237906001</v>
      </c>
      <c r="C24" s="55">
        <v>0.24907389003758409</v>
      </c>
      <c r="D24" s="55">
        <v>0.14441125826595019</v>
      </c>
      <c r="E24" s="55">
        <v>0.1259315145923256</v>
      </c>
      <c r="F24" s="55">
        <v>0.82106447349068645</v>
      </c>
      <c r="G24" s="55">
        <v>0.82180345245276532</v>
      </c>
      <c r="H24" s="55">
        <v>0.83033110130561383</v>
      </c>
      <c r="I24" s="55">
        <v>0.87363212667330037</v>
      </c>
      <c r="J24" s="55">
        <v>0.88687823603019444</v>
      </c>
      <c r="K24" s="55">
        <v>1.1246716016568641</v>
      </c>
      <c r="L24" s="55">
        <v>1.1789477710565861</v>
      </c>
      <c r="M24" s="55">
        <v>1.1608462485638951</v>
      </c>
      <c r="N24" s="55">
        <v>0.58868090527263262</v>
      </c>
      <c r="O24" s="55">
        <v>0.55119688580244275</v>
      </c>
      <c r="P24" s="55">
        <v>0.51623896548957138</v>
      </c>
      <c r="Q24" s="55">
        <v>0.36151275552924272</v>
      </c>
      <c r="R24" s="55">
        <v>0.40984673639699931</v>
      </c>
      <c r="S24" s="55">
        <v>0.30663067153327622</v>
      </c>
      <c r="T24" s="55">
        <v>0.29187021167747601</v>
      </c>
      <c r="U24" s="55">
        <v>0.2583109982243626</v>
      </c>
      <c r="V24" s="55">
        <v>0.28193275836985532</v>
      </c>
      <c r="W24" s="55">
        <v>0.2158953572118697</v>
      </c>
      <c r="DA24" s="101" t="s">
        <v>1030</v>
      </c>
    </row>
    <row r="25" spans="1:105" x14ac:dyDescent="0.25">
      <c r="A25" s="257" t="s">
        <v>174</v>
      </c>
      <c r="B25" s="258">
        <v>10.954379058755819</v>
      </c>
      <c r="C25" s="258">
        <v>11.056166967549061</v>
      </c>
      <c r="D25" s="258">
        <v>11.872026487630979</v>
      </c>
      <c r="E25" s="258">
        <v>12.797913671600559</v>
      </c>
      <c r="F25" s="258">
        <v>11.12027694515505</v>
      </c>
      <c r="G25" s="258">
        <v>11.44503206069011</v>
      </c>
      <c r="H25" s="258">
        <v>11.90742674403435</v>
      </c>
      <c r="I25" s="258">
        <v>10.86762446615802</v>
      </c>
      <c r="J25" s="258">
        <v>10.62518237243258</v>
      </c>
      <c r="K25" s="258">
        <v>8.3954338330565417</v>
      </c>
      <c r="L25" s="258">
        <v>7.4737403571167951</v>
      </c>
      <c r="M25" s="258">
        <v>7.1308164340358511</v>
      </c>
      <c r="N25" s="258">
        <v>4.8441757775876146</v>
      </c>
      <c r="O25" s="258">
        <v>2.702174758745548</v>
      </c>
      <c r="P25" s="258">
        <v>2.994516063564499</v>
      </c>
      <c r="Q25" s="258">
        <v>3.0234427911927182</v>
      </c>
      <c r="R25" s="258">
        <v>2.8027467327089788</v>
      </c>
      <c r="S25" s="258">
        <v>2.774299496105181</v>
      </c>
      <c r="T25" s="258">
        <v>2.876683365731795</v>
      </c>
      <c r="U25" s="258">
        <v>2.7269884323419382</v>
      </c>
      <c r="V25" s="258">
        <v>4.1518909043819638</v>
      </c>
      <c r="W25" s="258">
        <v>2.518193574815105</v>
      </c>
      <c r="DA25" s="273" t="s">
        <v>1031</v>
      </c>
    </row>
    <row r="26" spans="1:105" x14ac:dyDescent="0.25">
      <c r="A26" s="257" t="s">
        <v>177</v>
      </c>
      <c r="B26" s="258">
        <v>15.10751659609299</v>
      </c>
      <c r="C26" s="258">
        <v>14.698552538195861</v>
      </c>
      <c r="D26" s="258">
        <v>13.934929618482821</v>
      </c>
      <c r="E26" s="258">
        <v>15.472921636915849</v>
      </c>
      <c r="F26" s="258">
        <v>14.81245144809585</v>
      </c>
      <c r="G26" s="258">
        <v>15.45861316230021</v>
      </c>
      <c r="H26" s="258">
        <v>14.863614458416031</v>
      </c>
      <c r="I26" s="258">
        <v>15.002784258210831</v>
      </c>
      <c r="J26" s="258">
        <v>15.63742549254771</v>
      </c>
      <c r="K26" s="258">
        <v>12.54960339378782</v>
      </c>
      <c r="L26" s="258">
        <v>12.56674637276431</v>
      </c>
      <c r="M26" s="258">
        <v>11.87118172693607</v>
      </c>
      <c r="N26" s="258">
        <v>10.398856812709971</v>
      </c>
      <c r="O26" s="258">
        <v>9.2125510324645514</v>
      </c>
      <c r="P26" s="258">
        <v>8.1437042496601677</v>
      </c>
      <c r="Q26" s="258">
        <v>8.0892883239665192</v>
      </c>
      <c r="R26" s="258">
        <v>8.3806132002248166</v>
      </c>
      <c r="S26" s="258">
        <v>9.0057184322188935</v>
      </c>
      <c r="T26" s="258">
        <v>8.061988326494701</v>
      </c>
      <c r="U26" s="258">
        <v>8.323209428178604</v>
      </c>
      <c r="V26" s="258">
        <v>9.1282060010845854</v>
      </c>
      <c r="W26" s="258">
        <v>8.89901813429897</v>
      </c>
      <c r="DA26" s="273" t="s">
        <v>1032</v>
      </c>
    </row>
    <row r="27" spans="1:105" x14ac:dyDescent="0.25">
      <c r="A27" s="129" t="s">
        <v>33</v>
      </c>
      <c r="B27" s="259">
        <v>23.024833482343471</v>
      </c>
      <c r="C27" s="259">
        <v>22.401545778275651</v>
      </c>
      <c r="D27" s="259">
        <v>21.237735005150931</v>
      </c>
      <c r="E27" s="259">
        <v>23.581734424006569</v>
      </c>
      <c r="F27" s="259">
        <v>22.5751350917533</v>
      </c>
      <c r="G27" s="259">
        <v>23.559927382239259</v>
      </c>
      <c r="H27" s="259">
        <v>22.65311083221232</v>
      </c>
      <c r="I27" s="259">
        <v>22.865214618143309</v>
      </c>
      <c r="J27" s="259">
        <v>23.832448951376779</v>
      </c>
      <c r="K27" s="259">
        <v>19.126408140841889</v>
      </c>
      <c r="L27" s="259">
        <v>19.152535150785209</v>
      </c>
      <c r="M27" s="259">
        <v>18.092449593735939</v>
      </c>
      <c r="N27" s="259">
        <v>15.848531093541901</v>
      </c>
      <c r="O27" s="259">
        <v>14.04052427286058</v>
      </c>
      <c r="P27" s="259">
        <v>12.41153256957997</v>
      </c>
      <c r="Q27" s="259">
        <v>12.32859917547019</v>
      </c>
      <c r="R27" s="259">
        <v>12.77259714975316</v>
      </c>
      <c r="S27" s="259">
        <v>13.72529799797381</v>
      </c>
      <c r="T27" s="259">
        <v>12.2869922116877</v>
      </c>
      <c r="U27" s="259">
        <v>12.685110084343339</v>
      </c>
      <c r="V27" s="259">
        <v>13.911976983818439</v>
      </c>
      <c r="W27" s="259">
        <v>13.56267983525353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0.99999999999999978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1.0000000000000002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0.99999999999999989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3.8355562236431169E-2</v>
      </c>
      <c r="C32" s="245">
        <f t="shared" si="8"/>
        <v>3.7510626283064563E-2</v>
      </c>
      <c r="D32" s="245">
        <f t="shared" si="8"/>
        <v>3.4688579530620087E-2</v>
      </c>
      <c r="E32" s="245">
        <f t="shared" si="8"/>
        <v>3.5521105063351731E-2</v>
      </c>
      <c r="F32" s="245">
        <f t="shared" si="8"/>
        <v>3.7689634456987205E-2</v>
      </c>
      <c r="G32" s="245">
        <f t="shared" si="8"/>
        <v>3.7999424781318757E-2</v>
      </c>
      <c r="H32" s="245">
        <f t="shared" si="8"/>
        <v>3.6143175279356968E-2</v>
      </c>
      <c r="I32" s="245">
        <f t="shared" si="8"/>
        <v>3.8430748790448208E-2</v>
      </c>
      <c r="J32" s="245">
        <f t="shared" si="8"/>
        <v>3.983031771468757E-2</v>
      </c>
      <c r="K32" s="245">
        <f t="shared" si="8"/>
        <v>4.008314978795665E-2</v>
      </c>
      <c r="L32" s="245">
        <f t="shared" si="8"/>
        <v>4.2681313372757518E-2</v>
      </c>
      <c r="M32" s="245">
        <f t="shared" si="8"/>
        <v>4.2531294545632814E-2</v>
      </c>
      <c r="N32" s="245">
        <f t="shared" si="8"/>
        <v>3.8192389738086717E-2</v>
      </c>
      <c r="O32" s="245">
        <f t="shared" si="8"/>
        <v>4.1179320970917317E-2</v>
      </c>
      <c r="P32" s="245">
        <f t="shared" si="8"/>
        <v>4.1347157864573672E-2</v>
      </c>
      <c r="Q32" s="245">
        <f t="shared" si="8"/>
        <v>4.0937158892789857E-2</v>
      </c>
      <c r="R32" s="245">
        <f t="shared" si="8"/>
        <v>4.1801445278184149E-2</v>
      </c>
      <c r="S32" s="245">
        <f t="shared" si="8"/>
        <v>4.2510464818888975E-2</v>
      </c>
      <c r="T32" s="245">
        <f t="shared" si="8"/>
        <v>4.139804170617932E-2</v>
      </c>
      <c r="U32" s="245">
        <f t="shared" si="8"/>
        <v>4.1782327473060217E-2</v>
      </c>
      <c r="V32" s="245">
        <f t="shared" si="8"/>
        <v>3.9967071311829999E-2</v>
      </c>
      <c r="W32" s="245">
        <f t="shared" si="8"/>
        <v>4.4471683200730888E-2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2.4722390005242192E-2</v>
      </c>
      <c r="C33" s="246">
        <f t="shared" si="9"/>
        <v>2.4177779655384268E-2</v>
      </c>
      <c r="D33" s="246">
        <f t="shared" si="9"/>
        <v>2.2358806438490791E-2</v>
      </c>
      <c r="E33" s="246">
        <f t="shared" si="9"/>
        <v>2.2895417550658624E-2</v>
      </c>
      <c r="F33" s="246">
        <f t="shared" si="9"/>
        <v>2.4293160831719576E-2</v>
      </c>
      <c r="G33" s="246">
        <f t="shared" si="9"/>
        <v>2.4492838708184164E-2</v>
      </c>
      <c r="H33" s="246">
        <f t="shared" si="9"/>
        <v>2.3296377974493035E-2</v>
      </c>
      <c r="I33" s="246">
        <f t="shared" si="9"/>
        <v>2.4770852110949357E-2</v>
      </c>
      <c r="J33" s="246">
        <f t="shared" si="9"/>
        <v>2.5672955659086075E-2</v>
      </c>
      <c r="K33" s="246">
        <f t="shared" si="9"/>
        <v>2.58359206309632E-2</v>
      </c>
      <c r="L33" s="246">
        <f t="shared" si="9"/>
        <v>2.7510588128858864E-2</v>
      </c>
      <c r="M33" s="246">
        <f t="shared" si="9"/>
        <v>2.7413892272089926E-2</v>
      </c>
      <c r="N33" s="246">
        <f t="shared" si="9"/>
        <v>2.4617215842565751E-2</v>
      </c>
      <c r="O33" s="246">
        <f t="shared" si="9"/>
        <v>2.6542466694102953E-2</v>
      </c>
      <c r="P33" s="246">
        <f t="shared" si="9"/>
        <v>2.6650647330764284E-2</v>
      </c>
      <c r="Q33" s="246">
        <f t="shared" si="9"/>
        <v>2.6386379154490221E-2</v>
      </c>
      <c r="R33" s="246">
        <f t="shared" si="9"/>
        <v>2.6943461982900541E-2</v>
      </c>
      <c r="S33" s="246">
        <f t="shared" si="9"/>
        <v>2.7400466302080959E-2</v>
      </c>
      <c r="T33" s="246">
        <f t="shared" si="9"/>
        <v>2.6683444925266617E-2</v>
      </c>
      <c r="U33" s="246">
        <f t="shared" si="9"/>
        <v>2.6931139445913473E-2</v>
      </c>
      <c r="V33" s="246">
        <f t="shared" si="9"/>
        <v>2.5761101303838567E-2</v>
      </c>
      <c r="W33" s="246">
        <f t="shared" si="9"/>
        <v>2.8664585582160024E-2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4.9129130281242446E-2</v>
      </c>
      <c r="C34" s="246">
        <f t="shared" si="10"/>
        <v>4.8046863039887158E-2</v>
      </c>
      <c r="D34" s="246">
        <f t="shared" si="10"/>
        <v>4.4432140833340725E-2</v>
      </c>
      <c r="E34" s="246">
        <f t="shared" si="10"/>
        <v>4.5498511731723361E-2</v>
      </c>
      <c r="F34" s="246">
        <f t="shared" si="10"/>
        <v>4.8276152232516925E-2</v>
      </c>
      <c r="G34" s="246">
        <f t="shared" si="10"/>
        <v>4.8672958544731484E-2</v>
      </c>
      <c r="H34" s="246">
        <f t="shared" si="10"/>
        <v>4.629531320989784E-2</v>
      </c>
      <c r="I34" s="246">
        <f t="shared" si="10"/>
        <v>4.9225435739755408E-2</v>
      </c>
      <c r="J34" s="246">
        <f t="shared" si="10"/>
        <v>5.1018124987606508E-2</v>
      </c>
      <c r="K34" s="246">
        <f t="shared" si="10"/>
        <v>5.134197423247859E-2</v>
      </c>
      <c r="L34" s="246">
        <f t="shared" si="10"/>
        <v>5.4669927462907858E-2</v>
      </c>
      <c r="M34" s="246">
        <f t="shared" si="10"/>
        <v>5.4477770339593709E-2</v>
      </c>
      <c r="N34" s="246">
        <f t="shared" si="10"/>
        <v>4.8920124795152495E-2</v>
      </c>
      <c r="O34" s="246">
        <f t="shared" si="10"/>
        <v>5.2746045342849858E-2</v>
      </c>
      <c r="P34" s="246">
        <f t="shared" si="10"/>
        <v>5.2961025390948567E-2</v>
      </c>
      <c r="Q34" s="246">
        <f t="shared" si="10"/>
        <v>5.2435863153049961E-2</v>
      </c>
      <c r="R34" s="246">
        <f t="shared" si="10"/>
        <v>5.3542916105802932E-2</v>
      </c>
      <c r="S34" s="246">
        <f t="shared" si="10"/>
        <v>5.4451089819240191E-2</v>
      </c>
      <c r="T34" s="246">
        <f t="shared" si="10"/>
        <v>5.3026201827889939E-2</v>
      </c>
      <c r="U34" s="246">
        <f t="shared" si="10"/>
        <v>5.351842836311687E-2</v>
      </c>
      <c r="V34" s="246">
        <f t="shared" si="10"/>
        <v>5.1193290854007437E-2</v>
      </c>
      <c r="W34" s="246">
        <f t="shared" si="10"/>
        <v>5.6963188398255662E-2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0.32507698749408531</v>
      </c>
      <c r="C35" s="247">
        <f t="shared" si="11"/>
        <v>0.32268119971404402</v>
      </c>
      <c r="D35" s="247">
        <f t="shared" si="11"/>
        <v>0.3174675459780133</v>
      </c>
      <c r="E35" s="247">
        <f t="shared" si="11"/>
        <v>0.3190843264154119</v>
      </c>
      <c r="F35" s="247">
        <f t="shared" si="11"/>
        <v>0.32411797656013941</v>
      </c>
      <c r="G35" s="247">
        <f t="shared" si="11"/>
        <v>0.32492137917051034</v>
      </c>
      <c r="H35" s="247">
        <f t="shared" si="11"/>
        <v>0.32069577686894396</v>
      </c>
      <c r="I35" s="247">
        <f t="shared" si="11"/>
        <v>0.3262784655803484</v>
      </c>
      <c r="J35" s="247">
        <f t="shared" si="11"/>
        <v>0.33138904306496386</v>
      </c>
      <c r="K35" s="247">
        <f t="shared" si="11"/>
        <v>0.33330170649543583</v>
      </c>
      <c r="L35" s="247">
        <f t="shared" si="11"/>
        <v>0.34681602479961815</v>
      </c>
      <c r="M35" s="247">
        <f t="shared" si="11"/>
        <v>0.3458650109714384</v>
      </c>
      <c r="N35" s="247">
        <f t="shared" si="11"/>
        <v>0.35246685744332024</v>
      </c>
      <c r="O35" s="247">
        <f t="shared" si="11"/>
        <v>0.41568888313642954</v>
      </c>
      <c r="P35" s="247">
        <f t="shared" si="11"/>
        <v>0.39812145348134592</v>
      </c>
      <c r="Q35" s="247">
        <f t="shared" si="11"/>
        <v>0.39357455319769069</v>
      </c>
      <c r="R35" s="247">
        <f t="shared" si="11"/>
        <v>0.41043628757950407</v>
      </c>
      <c r="S35" s="247">
        <f t="shared" si="11"/>
        <v>0.42348672857220609</v>
      </c>
      <c r="T35" s="247">
        <f t="shared" si="11"/>
        <v>0.40130523738261714</v>
      </c>
      <c r="U35" s="247">
        <f t="shared" si="11"/>
        <v>0.41157661045041416</v>
      </c>
      <c r="V35" s="247">
        <f t="shared" si="11"/>
        <v>0.36667995850640328</v>
      </c>
      <c r="W35" s="247">
        <f t="shared" si="11"/>
        <v>0.44519076852067924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0.20502863361537013</v>
      </c>
      <c r="C36" s="260">
        <f t="shared" si="12"/>
        <v>0.20800597683269556</v>
      </c>
      <c r="D36" s="260">
        <f t="shared" si="12"/>
        <v>0.21787032075253954</v>
      </c>
      <c r="E36" s="260">
        <f t="shared" si="12"/>
        <v>0.21659319004349109</v>
      </c>
      <c r="F36" s="260">
        <f t="shared" si="12"/>
        <v>0.20859412287111001</v>
      </c>
      <c r="G36" s="260">
        <f t="shared" si="12"/>
        <v>0.207402977011026</v>
      </c>
      <c r="H36" s="260">
        <f t="shared" si="12"/>
        <v>0.21345742676948154</v>
      </c>
      <c r="I36" s="260">
        <f t="shared" si="12"/>
        <v>0.20522633261147422</v>
      </c>
      <c r="J36" s="260">
        <f t="shared" si="12"/>
        <v>0.19951538454471562</v>
      </c>
      <c r="K36" s="260">
        <f t="shared" si="12"/>
        <v>0.19768169812149122</v>
      </c>
      <c r="L36" s="260">
        <f t="shared" si="12"/>
        <v>0.18713042768767352</v>
      </c>
      <c r="M36" s="260">
        <f t="shared" si="12"/>
        <v>0.18834122221305455</v>
      </c>
      <c r="N36" s="260">
        <f t="shared" si="12"/>
        <v>0.13116036248424853</v>
      </c>
      <c r="O36" s="260">
        <f t="shared" si="12"/>
        <v>8.9043902722014553E-2</v>
      </c>
      <c r="P36" s="260">
        <f t="shared" si="12"/>
        <v>0.1120835287168669</v>
      </c>
      <c r="Q36" s="260">
        <f t="shared" si="12"/>
        <v>0.11279779711022599</v>
      </c>
      <c r="R36" s="260">
        <f t="shared" si="12"/>
        <v>0.1030601654353424</v>
      </c>
      <c r="S36" s="260">
        <f t="shared" si="12"/>
        <v>9.6543338210086038E-2</v>
      </c>
      <c r="T36" s="260">
        <f t="shared" si="12"/>
        <v>0.10889831855412872</v>
      </c>
      <c r="U36" s="260">
        <f t="shared" si="12"/>
        <v>0.10091984644884278</v>
      </c>
      <c r="V36" s="260">
        <f t="shared" si="12"/>
        <v>0.13401527614587605</v>
      </c>
      <c r="W36" s="260">
        <f t="shared" si="12"/>
        <v>9.2773099473487664E-2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0.23410731915842428</v>
      </c>
      <c r="C37" s="260">
        <f t="shared" si="13"/>
        <v>0.23771191047958376</v>
      </c>
      <c r="D37" s="260">
        <f t="shared" si="13"/>
        <v>0.24705349546389663</v>
      </c>
      <c r="E37" s="260">
        <f t="shared" si="13"/>
        <v>0.24236637042870779</v>
      </c>
      <c r="F37" s="260">
        <f t="shared" si="13"/>
        <v>0.234636151561607</v>
      </c>
      <c r="G37" s="260">
        <f t="shared" si="13"/>
        <v>0.23350245787620375</v>
      </c>
      <c r="H37" s="260">
        <f t="shared" si="13"/>
        <v>0.2409356451533593</v>
      </c>
      <c r="I37" s="260">
        <f t="shared" si="13"/>
        <v>0.23227340838927157</v>
      </c>
      <c r="J37" s="260">
        <f t="shared" si="13"/>
        <v>0.22604457430495278</v>
      </c>
      <c r="K37" s="260">
        <f t="shared" si="13"/>
        <v>0.22483977994202725</v>
      </c>
      <c r="L37" s="260">
        <f t="shared" si="13"/>
        <v>0.20919217840637494</v>
      </c>
      <c r="M37" s="260">
        <f t="shared" si="13"/>
        <v>0.20958389161760174</v>
      </c>
      <c r="N37" s="260">
        <f t="shared" si="13"/>
        <v>0.29140756505514842</v>
      </c>
      <c r="O37" s="260">
        <f t="shared" si="13"/>
        <v>0.25975292767036107</v>
      </c>
      <c r="P37" s="260">
        <f t="shared" si="13"/>
        <v>0.25027056994364083</v>
      </c>
      <c r="Q37" s="260">
        <f t="shared" si="13"/>
        <v>0.25623275436426601</v>
      </c>
      <c r="R37" s="260">
        <f t="shared" si="13"/>
        <v>0.24572679547670565</v>
      </c>
      <c r="S37" s="260">
        <f t="shared" si="13"/>
        <v>0.23622093954928139</v>
      </c>
      <c r="T37" s="260">
        <f t="shared" si="13"/>
        <v>0.25042422475684734</v>
      </c>
      <c r="U37" s="260">
        <f t="shared" si="13"/>
        <v>0.2471184663546476</v>
      </c>
      <c r="V37" s="260">
        <f t="shared" si="13"/>
        <v>0.2643218912367013</v>
      </c>
      <c r="W37" s="260">
        <f t="shared" si="13"/>
        <v>0.2081480417244162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2.7578572421040008E-2</v>
      </c>
      <c r="C38" s="260">
        <f t="shared" si="14"/>
        <v>2.7979057339138528E-2</v>
      </c>
      <c r="D38" s="260">
        <f t="shared" si="14"/>
        <v>2.9305918462789234E-2</v>
      </c>
      <c r="E38" s="260">
        <f t="shared" si="14"/>
        <v>2.9134130546489202E-2</v>
      </c>
      <c r="F38" s="260">
        <f t="shared" si="14"/>
        <v>2.8058169353048678E-2</v>
      </c>
      <c r="G38" s="260">
        <f t="shared" si="14"/>
        <v>2.7897947330460488E-2</v>
      </c>
      <c r="H38" s="260">
        <f t="shared" si="14"/>
        <v>2.8712336414505959E-2</v>
      </c>
      <c r="I38" s="260">
        <f t="shared" si="14"/>
        <v>2.7605165077809371E-2</v>
      </c>
      <c r="J38" s="260">
        <f t="shared" si="14"/>
        <v>2.6836980692659676E-2</v>
      </c>
      <c r="K38" s="260">
        <f t="shared" si="14"/>
        <v>2.6590330003296744E-2</v>
      </c>
      <c r="L38" s="260">
        <f t="shared" si="14"/>
        <v>2.5171069821624231E-2</v>
      </c>
      <c r="M38" s="260">
        <f t="shared" si="14"/>
        <v>2.5333934802560805E-2</v>
      </c>
      <c r="N38" s="260">
        <f t="shared" si="14"/>
        <v>1.7642489694037256E-2</v>
      </c>
      <c r="O38" s="260">
        <f t="shared" si="14"/>
        <v>1.1977369582816288E-2</v>
      </c>
      <c r="P38" s="260">
        <f t="shared" si="14"/>
        <v>1.5076448881392267E-2</v>
      </c>
      <c r="Q38" s="260">
        <f t="shared" si="14"/>
        <v>1.5172525718402594E-2</v>
      </c>
      <c r="R38" s="260">
        <f t="shared" si="14"/>
        <v>1.3862708764449786E-2</v>
      </c>
      <c r="S38" s="260">
        <f t="shared" si="14"/>
        <v>1.2986124901903547E-2</v>
      </c>
      <c r="T38" s="260">
        <f t="shared" si="14"/>
        <v>1.4648003607186806E-2</v>
      </c>
      <c r="U38" s="260">
        <f t="shared" si="14"/>
        <v>1.3574812673389442E-2</v>
      </c>
      <c r="V38" s="260">
        <f t="shared" si="14"/>
        <v>1.8026506510540625E-2</v>
      </c>
      <c r="W38" s="260">
        <f t="shared" si="14"/>
        <v>1.247898694654387E-2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3.8034446161911074E-2</v>
      </c>
      <c r="C39" s="260">
        <f t="shared" si="15"/>
        <v>3.7196584085206583E-2</v>
      </c>
      <c r="D39" s="260">
        <f t="shared" si="15"/>
        <v>3.4398163751524297E-2</v>
      </c>
      <c r="E39" s="260">
        <f t="shared" si="15"/>
        <v>3.5223719308705582E-2</v>
      </c>
      <c r="F39" s="260">
        <f t="shared" si="15"/>
        <v>3.737409358726089E-2</v>
      </c>
      <c r="G39" s="260">
        <f t="shared" si="15"/>
        <v>3.768129032028332E-2</v>
      </c>
      <c r="H39" s="260">
        <f t="shared" si="15"/>
        <v>3.5840581499220078E-2</v>
      </c>
      <c r="I39" s="260">
        <f t="shared" si="15"/>
        <v>3.8109003247614404E-2</v>
      </c>
      <c r="J39" s="260">
        <f t="shared" si="15"/>
        <v>3.9496854860132428E-2</v>
      </c>
      <c r="K39" s="260">
        <f t="shared" si="15"/>
        <v>3.9747570201481869E-2</v>
      </c>
      <c r="L39" s="260">
        <f t="shared" si="15"/>
        <v>4.2323981736705957E-2</v>
      </c>
      <c r="M39" s="260">
        <f t="shared" si="15"/>
        <v>4.2175218880138345E-2</v>
      </c>
      <c r="N39" s="260">
        <f t="shared" si="15"/>
        <v>3.787263975779346E-2</v>
      </c>
      <c r="O39" s="260">
        <f t="shared" si="15"/>
        <v>4.083456414477378E-2</v>
      </c>
      <c r="P39" s="260">
        <f t="shared" si="15"/>
        <v>4.1000995893483529E-2</v>
      </c>
      <c r="Q39" s="260">
        <f t="shared" si="15"/>
        <v>4.0594429468446505E-2</v>
      </c>
      <c r="R39" s="260">
        <f t="shared" si="15"/>
        <v>4.1451479973693146E-2</v>
      </c>
      <c r="S39" s="260">
        <f t="shared" si="15"/>
        <v>4.2154563541663019E-2</v>
      </c>
      <c r="T39" s="260">
        <f t="shared" si="15"/>
        <v>4.1051453731179431E-2</v>
      </c>
      <c r="U39" s="260">
        <f t="shared" si="15"/>
        <v>4.1432522224482266E-2</v>
      </c>
      <c r="V39" s="260">
        <f t="shared" si="15"/>
        <v>3.9632463544367037E-2</v>
      </c>
      <c r="W39" s="260">
        <f t="shared" si="15"/>
        <v>4.4099362434092376E-2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5.7966958626253486E-2</v>
      </c>
      <c r="C40" s="262">
        <f t="shared" si="16"/>
        <v>5.6690002570995435E-2</v>
      </c>
      <c r="D40" s="262">
        <f t="shared" si="16"/>
        <v>5.242502878878548E-2</v>
      </c>
      <c r="E40" s="262">
        <f t="shared" si="16"/>
        <v>5.3683228911460733E-2</v>
      </c>
      <c r="F40" s="262">
        <f t="shared" si="16"/>
        <v>5.696053854561034E-2</v>
      </c>
      <c r="G40" s="262">
        <f t="shared" si="16"/>
        <v>5.7428726257281675E-2</v>
      </c>
      <c r="H40" s="262">
        <f t="shared" si="16"/>
        <v>5.462336683074142E-2</v>
      </c>
      <c r="I40" s="262">
        <f t="shared" si="16"/>
        <v>5.8080588452329031E-2</v>
      </c>
      <c r="J40" s="262">
        <f t="shared" si="16"/>
        <v>6.0195764171195584E-2</v>
      </c>
      <c r="K40" s="262">
        <f t="shared" si="16"/>
        <v>6.057787058486868E-2</v>
      </c>
      <c r="L40" s="262">
        <f t="shared" si="16"/>
        <v>6.4504488583479042E-2</v>
      </c>
      <c r="M40" s="262">
        <f t="shared" si="16"/>
        <v>6.4277764357889733E-2</v>
      </c>
      <c r="N40" s="262">
        <f t="shared" si="16"/>
        <v>5.7720355189647084E-2</v>
      </c>
      <c r="O40" s="262">
        <f t="shared" si="16"/>
        <v>6.2234519735734746E-2</v>
      </c>
      <c r="P40" s="262">
        <f t="shared" si="16"/>
        <v>6.2488172496983907E-2</v>
      </c>
      <c r="Q40" s="262">
        <f t="shared" si="16"/>
        <v>6.1868538940638179E-2</v>
      </c>
      <c r="R40" s="262">
        <f t="shared" si="16"/>
        <v>6.3174739403417474E-2</v>
      </c>
      <c r="S40" s="262">
        <f t="shared" si="16"/>
        <v>6.4246284284649957E-2</v>
      </c>
      <c r="T40" s="262">
        <f t="shared" si="16"/>
        <v>6.2565073508704633E-2</v>
      </c>
      <c r="U40" s="262">
        <f t="shared" si="16"/>
        <v>6.3145846566133215E-2</v>
      </c>
      <c r="V40" s="262">
        <f t="shared" si="16"/>
        <v>6.0402440586435714E-2</v>
      </c>
      <c r="W40" s="262">
        <f t="shared" si="16"/>
        <v>6.7210283719633987E-2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0.35578340409199677</v>
      </c>
      <c r="C44" s="238">
        <f>IF(C$5=0,0,C$5/AGR_fec!C$5)</f>
        <v>0.35345686451043434</v>
      </c>
      <c r="D44" s="238">
        <f>IF(D$5=0,0,D$5/AGR_fec!D$5)</f>
        <v>0.34751895284044698</v>
      </c>
      <c r="E44" s="238">
        <f>IF(E$5=0,0,E$5/AGR_fec!E$5)</f>
        <v>0.34975046240542773</v>
      </c>
      <c r="F44" s="238">
        <f>IF(F$5=0,0,F$5/AGR_fec!F$5)</f>
        <v>0.35441925973061444</v>
      </c>
      <c r="G44" s="238">
        <f>IF(G$5=0,0,G$5/AGR_fec!G$5)</f>
        <v>0.35512145876376305</v>
      </c>
      <c r="H44" s="238">
        <f>IF(H$5=0,0,H$5/AGR_fec!H$5)</f>
        <v>0.35057414741902415</v>
      </c>
      <c r="I44" s="238">
        <f>IF(I$5=0,0,I$5/AGR_fec!I$5)</f>
        <v>0.35615554653439147</v>
      </c>
      <c r="J44" s="238">
        <f>IF(J$5=0,0,J$5/AGR_fec!J$5)</f>
        <v>0.36034117833755569</v>
      </c>
      <c r="K44" s="238">
        <f>IF(K$5=0,0,K$5/AGR_fec!K$5)</f>
        <v>0.36101558812165901</v>
      </c>
      <c r="L44" s="238">
        <f>IF(L$5=0,0,L$5/AGR_fec!L$5)</f>
        <v>0.37105317440018953</v>
      </c>
      <c r="M44" s="238">
        <f>IF(M$5=0,0,M$5/AGR_fec!M$5)</f>
        <v>0.36996814941787881</v>
      </c>
      <c r="N44" s="238">
        <f>IF(N$5=0,0,N$5/AGR_fec!N$5)</f>
        <v>0.36478995256575925</v>
      </c>
      <c r="O44" s="238">
        <f>IF(O$5=0,0,O$5/AGR_fec!O$5)</f>
        <v>0.38956816283551204</v>
      </c>
      <c r="P44" s="238">
        <f>IF(P$5=0,0,P$5/AGR_fec!P$5)</f>
        <v>0.38422637603604026</v>
      </c>
      <c r="Q44" s="238">
        <f>IF(Q$5=0,0,Q$5/AGR_fec!Q$5)</f>
        <v>0.38175544969870756</v>
      </c>
      <c r="R44" s="238">
        <f>IF(R$5=0,0,R$5/AGR_fec!R$5)</f>
        <v>0.39013798987806358</v>
      </c>
      <c r="S44" s="238">
        <f>IF(S$5=0,0,S$5/AGR_fec!S$5)</f>
        <v>0.3973519353850396</v>
      </c>
      <c r="T44" s="238">
        <f>IF(T$5=0,0,T$5/AGR_fec!T$5)</f>
        <v>0.38661574493610101</v>
      </c>
      <c r="U44" s="238">
        <f>IF(U$5=0,0,U$5/AGR_fec!U$5)</f>
        <v>0.39116270965840616</v>
      </c>
      <c r="V44" s="238">
        <f>IF(V$5=0,0,V$5/AGR_fec!V$5)</f>
        <v>0.37119919149955211</v>
      </c>
      <c r="W44" s="238">
        <f>IF(W$5=0,0,W$5/AGR_fec!W$5)</f>
        <v>0.41313530019939326</v>
      </c>
      <c r="DA44" s="287"/>
    </row>
    <row r="45" spans="1:105" x14ac:dyDescent="0.25">
      <c r="A45" s="239" t="s">
        <v>125</v>
      </c>
      <c r="B45" s="251">
        <f>IF(B$6=0,0,B$6/AGR_fec!B$6)</f>
        <v>0.41641744156140603</v>
      </c>
      <c r="C45" s="251">
        <f>IF(C$6=0,0,C$6/AGR_fec!C$6)</f>
        <v>0.4164174415614062</v>
      </c>
      <c r="D45" s="251">
        <f>IF(D$6=0,0,D$6/AGR_fec!D$6)</f>
        <v>0.41641744156140603</v>
      </c>
      <c r="E45" s="251">
        <f>IF(E$6=0,0,E$6/AGR_fec!E$6)</f>
        <v>0.41641744156140609</v>
      </c>
      <c r="F45" s="251">
        <f>IF(F$6=0,0,F$6/AGR_fec!F$6)</f>
        <v>0.4164174415614062</v>
      </c>
      <c r="G45" s="251">
        <f>IF(G$6=0,0,G$6/AGR_fec!G$6)</f>
        <v>0.41641744156140598</v>
      </c>
      <c r="H45" s="251">
        <f>IF(H$6=0,0,H$6/AGR_fec!H$6)</f>
        <v>0.41641744156140603</v>
      </c>
      <c r="I45" s="251">
        <f>IF(I$6=0,0,I$6/AGR_fec!I$6)</f>
        <v>0.41641744156140592</v>
      </c>
      <c r="J45" s="251">
        <f>IF(J$6=0,0,J$6/AGR_fec!J$6)</f>
        <v>0.41641744156140609</v>
      </c>
      <c r="K45" s="251">
        <f>IF(K$6=0,0,K$6/AGR_fec!K$6)</f>
        <v>0.4164174415614062</v>
      </c>
      <c r="L45" s="251">
        <f>IF(L$6=0,0,L$6/AGR_fec!L$6)</f>
        <v>0.4164174415614062</v>
      </c>
      <c r="M45" s="251">
        <f>IF(M$6=0,0,M$6/AGR_fec!M$6)</f>
        <v>0.41641744156140631</v>
      </c>
      <c r="N45" s="251">
        <f>IF(N$6=0,0,N$6/AGR_fec!N$6)</f>
        <v>0.41641744156140614</v>
      </c>
      <c r="O45" s="251">
        <f>IF(O$6=0,0,O$6/AGR_fec!O$6)</f>
        <v>0.41641744156140603</v>
      </c>
      <c r="P45" s="251">
        <f>IF(P$6=0,0,P$6/AGR_fec!P$6)</f>
        <v>0.41641744156140603</v>
      </c>
      <c r="Q45" s="251">
        <f>IF(Q$6=0,0,Q$6/AGR_fec!Q$6)</f>
        <v>0.41641744156140614</v>
      </c>
      <c r="R45" s="251">
        <f>IF(R$6=0,0,R$6/AGR_fec!R$6)</f>
        <v>0.41641744156140609</v>
      </c>
      <c r="S45" s="251">
        <f>IF(S$6=0,0,S$6/AGR_fec!S$6)</f>
        <v>0.4164174415614062</v>
      </c>
      <c r="T45" s="251">
        <f>IF(T$6=0,0,T$6/AGR_fec!T$6)</f>
        <v>0.4164174415614062</v>
      </c>
      <c r="U45" s="251">
        <f>IF(U$6=0,0,U$6/AGR_fec!U$6)</f>
        <v>0.41641744156140614</v>
      </c>
      <c r="V45" s="251">
        <f>IF(V$6=0,0,V$6/AGR_fec!V$6)</f>
        <v>0.41641744156140614</v>
      </c>
      <c r="W45" s="251">
        <f>IF(W$6=0,0,W$6/AGR_fec!W$6)</f>
        <v>0.4164174415614062</v>
      </c>
      <c r="DA45" s="288"/>
    </row>
    <row r="46" spans="1:105" x14ac:dyDescent="0.25">
      <c r="A46" s="241" t="s">
        <v>124</v>
      </c>
      <c r="B46" s="252">
        <f>IF(B$7=0,0,B$7/AGR_fec!B$7)</f>
        <v>0.41293115883214687</v>
      </c>
      <c r="C46" s="252">
        <f>IF(C$7=0,0,C$7/AGR_fec!C$7)</f>
        <v>0.41293115883214709</v>
      </c>
      <c r="D46" s="252">
        <f>IF(D$7=0,0,D$7/AGR_fec!D$7)</f>
        <v>0.41293115883214704</v>
      </c>
      <c r="E46" s="252">
        <f>IF(E$7=0,0,E$7/AGR_fec!E$7)</f>
        <v>0.41293115883214687</v>
      </c>
      <c r="F46" s="252">
        <f>IF(F$7=0,0,F$7/AGR_fec!F$7)</f>
        <v>0.41293115883214704</v>
      </c>
      <c r="G46" s="252">
        <f>IF(G$7=0,0,G$7/AGR_fec!G$7)</f>
        <v>0.41293115883214709</v>
      </c>
      <c r="H46" s="252">
        <f>IF(H$7=0,0,H$7/AGR_fec!H$7)</f>
        <v>0.41293115883214704</v>
      </c>
      <c r="I46" s="252">
        <f>IF(I$7=0,0,I$7/AGR_fec!I$7)</f>
        <v>0.41293115883214698</v>
      </c>
      <c r="J46" s="252">
        <f>IF(J$7=0,0,J$7/AGR_fec!J$7)</f>
        <v>0.41293115883214715</v>
      </c>
      <c r="K46" s="252">
        <f>IF(K$7=0,0,K$7/AGR_fec!K$7)</f>
        <v>0.41293115883214682</v>
      </c>
      <c r="L46" s="252">
        <f>IF(L$7=0,0,L$7/AGR_fec!L$7)</f>
        <v>0.41293115883214698</v>
      </c>
      <c r="M46" s="252">
        <f>IF(M$7=0,0,M$7/AGR_fec!M$7)</f>
        <v>0.41293115883214687</v>
      </c>
      <c r="N46" s="252">
        <f>IF(N$7=0,0,N$7/AGR_fec!N$7)</f>
        <v>0.41293115883214698</v>
      </c>
      <c r="O46" s="252">
        <f>IF(O$7=0,0,O$7/AGR_fec!O$7)</f>
        <v>0.41293115883214704</v>
      </c>
      <c r="P46" s="252">
        <f>IF(P$7=0,0,P$7/AGR_fec!P$7)</f>
        <v>0.41293115883214698</v>
      </c>
      <c r="Q46" s="252">
        <f>IF(Q$7=0,0,Q$7/AGR_fec!Q$7)</f>
        <v>0.41293115883214715</v>
      </c>
      <c r="R46" s="252">
        <f>IF(R$7=0,0,R$7/AGR_fec!R$7)</f>
        <v>0.41293115883214682</v>
      </c>
      <c r="S46" s="252">
        <f>IF(S$7=0,0,S$7/AGR_fec!S$7)</f>
        <v>0.41293115883214709</v>
      </c>
      <c r="T46" s="252">
        <f>IF(T$7=0,0,T$7/AGR_fec!T$7)</f>
        <v>0.41293115883214693</v>
      </c>
      <c r="U46" s="252">
        <f>IF(U$7=0,0,U$7/AGR_fec!U$7)</f>
        <v>0.41293115883214698</v>
      </c>
      <c r="V46" s="252">
        <f>IF(V$7=0,0,V$7/AGR_fec!V$7)</f>
        <v>0.41293115883214682</v>
      </c>
      <c r="W46" s="252">
        <f>IF(W$7=0,0,W$7/AGR_fec!W$7)</f>
        <v>0.41293115883214704</v>
      </c>
      <c r="DA46" s="289"/>
    </row>
    <row r="47" spans="1:105" x14ac:dyDescent="0.25">
      <c r="A47" s="241" t="s">
        <v>123</v>
      </c>
      <c r="B47" s="252">
        <f>IF(B$8=0,0,B$8/AGR_fec!B$8)</f>
        <v>0.59264841177238403</v>
      </c>
      <c r="C47" s="252">
        <f>IF(C$8=0,0,C$8/AGR_fec!C$8)</f>
        <v>0.59264841177238425</v>
      </c>
      <c r="D47" s="252">
        <f>IF(D$8=0,0,D$8/AGR_fec!D$8)</f>
        <v>0.59264841177238414</v>
      </c>
      <c r="E47" s="252">
        <f>IF(E$8=0,0,E$8/AGR_fec!E$8)</f>
        <v>0.59264841177238414</v>
      </c>
      <c r="F47" s="252">
        <f>IF(F$8=0,0,F$8/AGR_fec!F$8)</f>
        <v>0.59264841177238403</v>
      </c>
      <c r="G47" s="252">
        <f>IF(G$8=0,0,G$8/AGR_fec!G$8)</f>
        <v>0.59264841177238425</v>
      </c>
      <c r="H47" s="252">
        <f>IF(H$8=0,0,H$8/AGR_fec!H$8)</f>
        <v>0.59264841177238436</v>
      </c>
      <c r="I47" s="252">
        <f>IF(I$8=0,0,I$8/AGR_fec!I$8)</f>
        <v>0.59264841177238459</v>
      </c>
      <c r="J47" s="252">
        <f>IF(J$8=0,0,J$8/AGR_fec!J$8)</f>
        <v>0.59264841177238414</v>
      </c>
      <c r="K47" s="252">
        <f>IF(K$8=0,0,K$8/AGR_fec!K$8)</f>
        <v>0.59264841177238414</v>
      </c>
      <c r="L47" s="252">
        <f>IF(L$8=0,0,L$8/AGR_fec!L$8)</f>
        <v>0.59264841177238425</v>
      </c>
      <c r="M47" s="252">
        <f>IF(M$8=0,0,M$8/AGR_fec!M$8)</f>
        <v>0.59264841177238425</v>
      </c>
      <c r="N47" s="252">
        <f>IF(N$8=0,0,N$8/AGR_fec!N$8)</f>
        <v>0.59264841177238448</v>
      </c>
      <c r="O47" s="252">
        <f>IF(O$8=0,0,O$8/AGR_fec!O$8)</f>
        <v>0.59264841177238425</v>
      </c>
      <c r="P47" s="252">
        <f>IF(P$8=0,0,P$8/AGR_fec!P$8)</f>
        <v>0.59264841177238414</v>
      </c>
      <c r="Q47" s="252">
        <f>IF(Q$8=0,0,Q$8/AGR_fec!Q$8)</f>
        <v>0.59264841177238425</v>
      </c>
      <c r="R47" s="252">
        <f>IF(R$8=0,0,R$8/AGR_fec!R$8)</f>
        <v>0.59264841177238414</v>
      </c>
      <c r="S47" s="252">
        <f>IF(S$8=0,0,S$8/AGR_fec!S$8)</f>
        <v>0.59264841177238414</v>
      </c>
      <c r="T47" s="252">
        <f>IF(T$8=0,0,T$8/AGR_fec!T$8)</f>
        <v>0.59264841177238425</v>
      </c>
      <c r="U47" s="252">
        <f>IF(U$8=0,0,U$8/AGR_fec!U$8)</f>
        <v>0.59264841177238403</v>
      </c>
      <c r="V47" s="252">
        <f>IF(V$8=0,0,V$8/AGR_fec!V$8)</f>
        <v>0.59264841177238425</v>
      </c>
      <c r="W47" s="252">
        <f>IF(W$8=0,0,W$8/AGR_fec!W$8)</f>
        <v>0.59264841177238425</v>
      </c>
      <c r="DA47" s="289"/>
    </row>
    <row r="48" spans="1:105" x14ac:dyDescent="0.25">
      <c r="A48" s="243" t="s">
        <v>122</v>
      </c>
      <c r="B48" s="253">
        <f>IF(B$9=0,0,B$9/AGR_fec!B$9)</f>
        <v>0.597612144818498</v>
      </c>
      <c r="C48" s="253">
        <f>IF(C$9=0,0,C$9/AGR_fec!C$9)</f>
        <v>0.59207700501693405</v>
      </c>
      <c r="D48" s="253">
        <f>IF(D$9=0,0,D$9/AGR_fec!D$9)</f>
        <v>0.57484522555717055</v>
      </c>
      <c r="E48" s="253">
        <f>IF(E$9=0,0,E$9/AGR_fec!E$9)</f>
        <v>0.57762089981611742</v>
      </c>
      <c r="F48" s="253">
        <f>IF(F$9=0,0,F$9/AGR_fec!F$9)</f>
        <v>0.59217203307979382</v>
      </c>
      <c r="G48" s="253">
        <f>IF(G$9=0,0,G$9/AGR_fec!G$9)</f>
        <v>0.5943141568367255</v>
      </c>
      <c r="H48" s="253">
        <f>IF(H$9=0,0,H$9/AGR_fec!H$9)</f>
        <v>0.58333426071218453</v>
      </c>
      <c r="I48" s="253">
        <f>IF(I$9=0,0,I$9/AGR_fec!I$9)</f>
        <v>0.5981869754066681</v>
      </c>
      <c r="J48" s="253">
        <f>IF(J$9=0,0,J$9/AGR_fec!J$9)</f>
        <v>0.60887022212994424</v>
      </c>
      <c r="K48" s="253">
        <f>IF(K$9=0,0,K$9/AGR_fec!K$9)</f>
        <v>0.61258725017061433</v>
      </c>
      <c r="L48" s="253">
        <f>IF(L$9=0,0,L$9/AGR_fec!L$9)</f>
        <v>0.63269505200399045</v>
      </c>
      <c r="M48" s="253">
        <f>IF(M$9=0,0,M$9/AGR_fec!M$9)</f>
        <v>0.6308001430398853</v>
      </c>
      <c r="N48" s="253">
        <f>IF(N$9=0,0,N$9/AGR_fec!N$9)</f>
        <v>0.69661519589260834</v>
      </c>
      <c r="O48" s="253">
        <f>IF(O$9=0,0,O$9/AGR_fec!O$9)</f>
        <v>0.72773738425768841</v>
      </c>
      <c r="P48" s="253">
        <f>IF(P$9=0,0,P$9/AGR_fec!P$9)</f>
        <v>0.7171874240196493</v>
      </c>
      <c r="Q48" s="253">
        <f>IF(Q$9=0,0,Q$9/AGR_fec!Q$9)</f>
        <v>0.71650797707285541</v>
      </c>
      <c r="R48" s="253">
        <f>IF(R$9=0,0,R$9/AGR_fec!R$9)</f>
        <v>0.72263676277068289</v>
      </c>
      <c r="S48" s="253">
        <f>IF(S$9=0,0,S$9/AGR_fec!S$9)</f>
        <v>0.72615580897711995</v>
      </c>
      <c r="T48" s="253">
        <f>IF(T$9=0,0,T$9/AGR_fec!T$9)</f>
        <v>0.71925241282369101</v>
      </c>
      <c r="U48" s="253">
        <f>IF(U$9=0,0,U$9/AGR_fec!U$9)</f>
        <v>0.72288670930393339</v>
      </c>
      <c r="V48" s="253">
        <f>IF(V$9=0,0,V$9/AGR_fec!V$9)</f>
        <v>0.69719023030717908</v>
      </c>
      <c r="W48" s="253">
        <f>IF(W$9=0,0,W$9/AGR_fec!W$9)</f>
        <v>0.7274437502071881</v>
      </c>
      <c r="DA48" s="290"/>
    </row>
    <row r="49" spans="1:105" x14ac:dyDescent="0.25">
      <c r="A49" s="128" t="s">
        <v>175</v>
      </c>
      <c r="B49" s="265">
        <f>IF(B$16=0,0,B$16/AGR_fec!B$16)</f>
        <v>0.29797987213180327</v>
      </c>
      <c r="C49" s="265">
        <f>IF(C$16=0,0,C$16/AGR_fec!C$16)</f>
        <v>0.29797987213180338</v>
      </c>
      <c r="D49" s="265">
        <f>IF(D$16=0,0,D$16/AGR_fec!D$16)</f>
        <v>0.29797987213180327</v>
      </c>
      <c r="E49" s="265">
        <f>IF(E$16=0,0,E$16/AGR_fec!E$16)</f>
        <v>0.29797987213180332</v>
      </c>
      <c r="F49" s="265">
        <f>IF(F$16=0,0,F$16/AGR_fec!F$16)</f>
        <v>0.29797987213180316</v>
      </c>
      <c r="G49" s="265">
        <f>IF(G$16=0,0,G$16/AGR_fec!G$16)</f>
        <v>0.29797987213180327</v>
      </c>
      <c r="H49" s="265">
        <f>IF(H$16=0,0,H$16/AGR_fec!H$16)</f>
        <v>0.29797987213180321</v>
      </c>
      <c r="I49" s="265">
        <f>IF(I$16=0,0,I$16/AGR_fec!I$16)</f>
        <v>0.29797987213180327</v>
      </c>
      <c r="J49" s="265">
        <f>IF(J$16=0,0,J$16/AGR_fec!J$16)</f>
        <v>0.29797987213180321</v>
      </c>
      <c r="K49" s="265">
        <f>IF(K$16=0,0,K$16/AGR_fec!K$16)</f>
        <v>0.29797987213180332</v>
      </c>
      <c r="L49" s="265">
        <f>IF(L$16=0,0,L$16/AGR_fec!L$16)</f>
        <v>0.29797987213180332</v>
      </c>
      <c r="M49" s="265">
        <f>IF(M$16=0,0,M$16/AGR_fec!M$16)</f>
        <v>0.29797987213180332</v>
      </c>
      <c r="N49" s="265">
        <f>IF(N$16=0,0,N$16/AGR_fec!N$16)</f>
        <v>0.29797987213180321</v>
      </c>
      <c r="O49" s="265">
        <f>IF(O$16=0,0,O$16/AGR_fec!O$16)</f>
        <v>0.29797987213180327</v>
      </c>
      <c r="P49" s="265">
        <f>IF(P$16=0,0,P$16/AGR_fec!P$16)</f>
        <v>0.29797987213180321</v>
      </c>
      <c r="Q49" s="265">
        <f>IF(Q$16=0,0,Q$16/AGR_fec!Q$16)</f>
        <v>0.29797987213180332</v>
      </c>
      <c r="R49" s="265">
        <f>IF(R$16=0,0,R$16/AGR_fec!R$16)</f>
        <v>0.29797987213180316</v>
      </c>
      <c r="S49" s="265">
        <f>IF(S$16=0,0,S$16/AGR_fec!S$16)</f>
        <v>0.29797987213180321</v>
      </c>
      <c r="T49" s="265">
        <f>IF(T$16=0,0,T$16/AGR_fec!T$16)</f>
        <v>0.29797987213180321</v>
      </c>
      <c r="U49" s="265">
        <f>IF(U$16=0,0,U$16/AGR_fec!U$16)</f>
        <v>0.29797987213180327</v>
      </c>
      <c r="V49" s="265">
        <f>IF(V$16=0,0,V$16/AGR_fec!V$16)</f>
        <v>0.29797987213180338</v>
      </c>
      <c r="W49" s="265">
        <f>IF(W$16=0,0,W$16/AGR_fec!W$16)</f>
        <v>0.29797987213180316</v>
      </c>
      <c r="DA49" s="291"/>
    </row>
    <row r="50" spans="1:105" x14ac:dyDescent="0.25">
      <c r="A50" s="128" t="s">
        <v>121</v>
      </c>
      <c r="B50" s="265">
        <f>IF(B$17=0,0,B$17/AGR_fec!B$17)</f>
        <v>0.23745112047383518</v>
      </c>
      <c r="C50" s="265">
        <f>IF(C$17=0,0,C$17/AGR_fec!C$17)</f>
        <v>0.23732902959509738</v>
      </c>
      <c r="D50" s="265">
        <f>IF(D$17=0,0,D$17/AGR_fec!D$17)</f>
        <v>0.23821413842324732</v>
      </c>
      <c r="E50" s="265">
        <f>IF(E$17=0,0,E$17/AGR_fec!E$17)</f>
        <v>0.23908722109140476</v>
      </c>
      <c r="F50" s="265">
        <f>IF(F$17=0,0,F$17/AGR_fec!F$17)</f>
        <v>0.23770502382779365</v>
      </c>
      <c r="G50" s="265">
        <f>IF(G$17=0,0,G$17/AGR_fec!G$17)</f>
        <v>0.23749781921625843</v>
      </c>
      <c r="H50" s="265">
        <f>IF(H$17=0,0,H$17/AGR_fec!H$17)</f>
        <v>0.23744009619468531</v>
      </c>
      <c r="I50" s="265">
        <f>IF(I$17=0,0,I$17/AGR_fec!I$17)</f>
        <v>0.23706169197220861</v>
      </c>
      <c r="J50" s="265">
        <f>IF(J$17=0,0,J$17/AGR_fec!J$17)</f>
        <v>0.23684279999287944</v>
      </c>
      <c r="K50" s="265">
        <f>IF(K$17=0,0,K$17/AGR_fec!K$17)</f>
        <v>0.23575425163046204</v>
      </c>
      <c r="L50" s="265">
        <f>IF(L$17=0,0,L$17/AGR_fec!L$17)</f>
        <v>0.23618297302713037</v>
      </c>
      <c r="M50" s="265">
        <f>IF(M$17=0,0,M$17/AGR_fec!M$17)</f>
        <v>0.23537040897427799</v>
      </c>
      <c r="N50" s="265">
        <f>IF(N$17=0,0,N$17/AGR_fec!N$17)</f>
        <v>0.23275302401011133</v>
      </c>
      <c r="O50" s="265">
        <f>IF(O$17=0,0,O$17/AGR_fec!O$17)</f>
        <v>0.22684992793880876</v>
      </c>
      <c r="P50" s="265">
        <f>IF(P$17=0,0,P$17/AGR_fec!P$17)</f>
        <v>0.22697589391836756</v>
      </c>
      <c r="Q50" s="265">
        <f>IF(Q$17=0,0,Q$17/AGR_fec!Q$17)</f>
        <v>0.22728544121565827</v>
      </c>
      <c r="R50" s="265">
        <f>IF(R$17=0,0,R$17/AGR_fec!R$17)</f>
        <v>0.22731760876004578</v>
      </c>
      <c r="S50" s="265">
        <f>IF(S$17=0,0,S$17/AGR_fec!S$17)</f>
        <v>0.22783893134792102</v>
      </c>
      <c r="T50" s="265">
        <f>IF(T$17=0,0,T$17/AGR_fec!T$17)</f>
        <v>0.22852148335154113</v>
      </c>
      <c r="U50" s="265">
        <f>IF(U$17=0,0,U$17/AGR_fec!U$17)</f>
        <v>0.22845777212672086</v>
      </c>
      <c r="V50" s="265">
        <f>IF(V$17=0,0,V$17/AGR_fec!V$17)</f>
        <v>0.22945179231211646</v>
      </c>
      <c r="W50" s="265">
        <f>IF(W$17=0,0,W$17/AGR_fec!W$17)</f>
        <v>0.23041161169285493</v>
      </c>
      <c r="DA50" s="291"/>
    </row>
    <row r="51" spans="1:105" x14ac:dyDescent="0.25">
      <c r="A51" s="128" t="s">
        <v>174</v>
      </c>
      <c r="B51" s="265">
        <f>IF(B$25=0,0,B$25/AGR_fec!B$25)</f>
        <v>0.2085859104922623</v>
      </c>
      <c r="C51" s="265">
        <f>IF(C$25=0,0,C$25/AGR_fec!C$25)</f>
        <v>0.20858591049226236</v>
      </c>
      <c r="D51" s="265">
        <f>IF(D$25=0,0,D$25/AGR_fec!D$25)</f>
        <v>0.20858591049226222</v>
      </c>
      <c r="E51" s="265">
        <f>IF(E$25=0,0,E$25/AGR_fec!E$25)</f>
        <v>0.20858591049226219</v>
      </c>
      <c r="F51" s="265">
        <f>IF(F$25=0,0,F$25/AGR_fec!F$25)</f>
        <v>0.20858591049226227</v>
      </c>
      <c r="G51" s="265">
        <f>IF(G$25=0,0,G$25/AGR_fec!G$25)</f>
        <v>0.2085859104922623</v>
      </c>
      <c r="H51" s="265">
        <f>IF(H$25=0,0,H$25/AGR_fec!H$25)</f>
        <v>0.20858591049226233</v>
      </c>
      <c r="I51" s="265">
        <f>IF(I$25=0,0,I$25/AGR_fec!I$25)</f>
        <v>0.20858591049226224</v>
      </c>
      <c r="J51" s="265">
        <f>IF(J$25=0,0,J$25/AGR_fec!J$25)</f>
        <v>0.20858591049226219</v>
      </c>
      <c r="K51" s="265">
        <f>IF(K$25=0,0,K$25/AGR_fec!K$25)</f>
        <v>0.20858591049226224</v>
      </c>
      <c r="L51" s="265">
        <f>IF(L$25=0,0,L$25/AGR_fec!L$25)</f>
        <v>0.20858591049226227</v>
      </c>
      <c r="M51" s="265">
        <f>IF(M$25=0,0,M$25/AGR_fec!M$25)</f>
        <v>0.20858591049226227</v>
      </c>
      <c r="N51" s="265">
        <f>IF(N$25=0,0,N$25/AGR_fec!N$25)</f>
        <v>0.20858591049226224</v>
      </c>
      <c r="O51" s="265">
        <f>IF(O$25=0,0,O$25/AGR_fec!O$25)</f>
        <v>0.20858591049226227</v>
      </c>
      <c r="P51" s="265">
        <f>IF(P$25=0,0,P$25/AGR_fec!P$25)</f>
        <v>0.20858591049226233</v>
      </c>
      <c r="Q51" s="265">
        <f>IF(Q$25=0,0,Q$25/AGR_fec!Q$25)</f>
        <v>0.20858591049226236</v>
      </c>
      <c r="R51" s="265">
        <f>IF(R$25=0,0,R$25/AGR_fec!R$25)</f>
        <v>0.2085859104922623</v>
      </c>
      <c r="S51" s="265">
        <f>IF(S$25=0,0,S$25/AGR_fec!S$25)</f>
        <v>0.20858591049226219</v>
      </c>
      <c r="T51" s="265">
        <f>IF(T$25=0,0,T$25/AGR_fec!T$25)</f>
        <v>0.20858591049226222</v>
      </c>
      <c r="U51" s="265">
        <f>IF(U$25=0,0,U$25/AGR_fec!U$25)</f>
        <v>0.20858591049226241</v>
      </c>
      <c r="V51" s="265">
        <f>IF(V$25=0,0,V$25/AGR_fec!V$25)</f>
        <v>0.20858591049226224</v>
      </c>
      <c r="W51" s="265">
        <f>IF(W$25=0,0,W$25/AGR_fec!W$25)</f>
        <v>0.2085859104922623</v>
      </c>
      <c r="DA51" s="291"/>
    </row>
    <row r="52" spans="1:105" x14ac:dyDescent="0.25">
      <c r="A52" s="128" t="s">
        <v>177</v>
      </c>
      <c r="B52" s="265">
        <f>IF(B$26=0,0,B$26/AGR_fec!B$26)</f>
        <v>0.41293115883214682</v>
      </c>
      <c r="C52" s="265">
        <f>IF(C$26=0,0,C$26/AGR_fec!C$26)</f>
        <v>0.41293115883214709</v>
      </c>
      <c r="D52" s="265">
        <f>IF(D$26=0,0,D$26/AGR_fec!D$26)</f>
        <v>0.41293115883214698</v>
      </c>
      <c r="E52" s="265">
        <f>IF(E$26=0,0,E$26/AGR_fec!E$26)</f>
        <v>0.41293115883214704</v>
      </c>
      <c r="F52" s="265">
        <f>IF(F$26=0,0,F$26/AGR_fec!F$26)</f>
        <v>0.41293115883214693</v>
      </c>
      <c r="G52" s="265">
        <f>IF(G$26=0,0,G$26/AGR_fec!G$26)</f>
        <v>0.41293115883214687</v>
      </c>
      <c r="H52" s="265">
        <f>IF(H$26=0,0,H$26/AGR_fec!H$26)</f>
        <v>0.41293115883214715</v>
      </c>
      <c r="I52" s="265">
        <f>IF(I$26=0,0,I$26/AGR_fec!I$26)</f>
        <v>0.41293115883214682</v>
      </c>
      <c r="J52" s="265">
        <f>IF(J$26=0,0,J$26/AGR_fec!J$26)</f>
        <v>0.41293115883214704</v>
      </c>
      <c r="K52" s="265">
        <f>IF(K$26=0,0,K$26/AGR_fec!K$26)</f>
        <v>0.41293115883214693</v>
      </c>
      <c r="L52" s="265">
        <f>IF(L$26=0,0,L$26/AGR_fec!L$26)</f>
        <v>0.41293115883214704</v>
      </c>
      <c r="M52" s="265">
        <f>IF(M$26=0,0,M$26/AGR_fec!M$26)</f>
        <v>0.41293115883214693</v>
      </c>
      <c r="N52" s="265">
        <f>IF(N$26=0,0,N$26/AGR_fec!N$26)</f>
        <v>0.41293115883214693</v>
      </c>
      <c r="O52" s="265">
        <f>IF(O$26=0,0,O$26/AGR_fec!O$26)</f>
        <v>0.41293115883214704</v>
      </c>
      <c r="P52" s="265">
        <f>IF(P$26=0,0,P$26/AGR_fec!P$26)</f>
        <v>0.41293115883214704</v>
      </c>
      <c r="Q52" s="265">
        <f>IF(Q$26=0,0,Q$26/AGR_fec!Q$26)</f>
        <v>0.41293115883214698</v>
      </c>
      <c r="R52" s="265">
        <f>IF(R$26=0,0,R$26/AGR_fec!R$26)</f>
        <v>0.41293115883214709</v>
      </c>
      <c r="S52" s="265">
        <f>IF(S$26=0,0,S$26/AGR_fec!S$26)</f>
        <v>0.41293115883214704</v>
      </c>
      <c r="T52" s="265">
        <f>IF(T$26=0,0,T$26/AGR_fec!T$26)</f>
        <v>0.41293115883214704</v>
      </c>
      <c r="U52" s="265">
        <f>IF(U$26=0,0,U$26/AGR_fec!U$26)</f>
        <v>0.41293115883214698</v>
      </c>
      <c r="V52" s="265">
        <f>IF(V$26=0,0,V$26/AGR_fec!V$26)</f>
        <v>0.41293115883214704</v>
      </c>
      <c r="W52" s="265">
        <f>IF(W$26=0,0,W$26/AGR_fec!W$26)</f>
        <v>0.41293115883214709</v>
      </c>
      <c r="DA52" s="291"/>
    </row>
    <row r="53" spans="1:105" x14ac:dyDescent="0.25">
      <c r="A53" s="261" t="s">
        <v>33</v>
      </c>
      <c r="B53" s="266">
        <f>IF(B$27=0,0,B$27/AGR_fec!B$27)</f>
        <v>0.43402332603918625</v>
      </c>
      <c r="C53" s="266">
        <f>IF(C$27=0,0,C$27/AGR_fec!C$27)</f>
        <v>0.43402332603918614</v>
      </c>
      <c r="D53" s="266">
        <f>IF(D$27=0,0,D$27/AGR_fec!D$27)</f>
        <v>0.43402332603918614</v>
      </c>
      <c r="E53" s="266">
        <f>IF(E$27=0,0,E$27/AGR_fec!E$27)</f>
        <v>0.43402332603918631</v>
      </c>
      <c r="F53" s="266">
        <f>IF(F$27=0,0,F$27/AGR_fec!F$27)</f>
        <v>0.43402332603918625</v>
      </c>
      <c r="G53" s="266">
        <f>IF(G$27=0,0,G$27/AGR_fec!G$27)</f>
        <v>0.4340233260391862</v>
      </c>
      <c r="H53" s="266">
        <f>IF(H$27=0,0,H$27/AGR_fec!H$27)</f>
        <v>0.43402332603918603</v>
      </c>
      <c r="I53" s="266">
        <f>IF(I$27=0,0,I$27/AGR_fec!I$27)</f>
        <v>0.43402332603918625</v>
      </c>
      <c r="J53" s="266">
        <f>IF(J$27=0,0,J$27/AGR_fec!J$27)</f>
        <v>0.43402332603918609</v>
      </c>
      <c r="K53" s="266">
        <f>IF(K$27=0,0,K$27/AGR_fec!K$27)</f>
        <v>0.43402332603918625</v>
      </c>
      <c r="L53" s="266">
        <f>IF(L$27=0,0,L$27/AGR_fec!L$27)</f>
        <v>0.4340233260391862</v>
      </c>
      <c r="M53" s="266">
        <f>IF(M$27=0,0,M$27/AGR_fec!M$27)</f>
        <v>0.43402332603918631</v>
      </c>
      <c r="N53" s="266">
        <f>IF(N$27=0,0,N$27/AGR_fec!N$27)</f>
        <v>0.43402332603918631</v>
      </c>
      <c r="O53" s="266">
        <f>IF(O$27=0,0,O$27/AGR_fec!O$27)</f>
        <v>0.43402332603918625</v>
      </c>
      <c r="P53" s="266">
        <f>IF(P$27=0,0,P$27/AGR_fec!P$27)</f>
        <v>0.43402332603918603</v>
      </c>
      <c r="Q53" s="266">
        <f>IF(Q$27=0,0,Q$27/AGR_fec!Q$27)</f>
        <v>0.43402332603918614</v>
      </c>
      <c r="R53" s="266">
        <f>IF(R$27=0,0,R$27/AGR_fec!R$27)</f>
        <v>0.43402332603918609</v>
      </c>
      <c r="S53" s="266">
        <f>IF(S$27=0,0,S$27/AGR_fec!S$27)</f>
        <v>0.4340233260391862</v>
      </c>
      <c r="T53" s="266">
        <f>IF(T$27=0,0,T$27/AGR_fec!T$27)</f>
        <v>0.43402332603918609</v>
      </c>
      <c r="U53" s="266">
        <f>IF(U$27=0,0,U$27/AGR_fec!U$27)</f>
        <v>0.43402332603918625</v>
      </c>
      <c r="V53" s="266">
        <f>IF(V$27=0,0,V$27/AGR_fec!V$27)</f>
        <v>0.43402332603918614</v>
      </c>
      <c r="W53" s="266">
        <f>IF(W$27=0,0,W$27/AGR_fec!W$27)</f>
        <v>0.43402332603918614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2656.1320378173291</v>
      </c>
      <c r="C5" s="80">
        <f t="shared" ref="C5:W5" si="0">SUM(C6:C9,C16:C17,C25:C27)</f>
        <v>2691.8237110427926</v>
      </c>
      <c r="D5" s="80">
        <f t="shared" si="0"/>
        <v>2918.1398947177431</v>
      </c>
      <c r="E5" s="80">
        <f t="shared" si="0"/>
        <v>3126.93444684211</v>
      </c>
      <c r="F5" s="80">
        <f t="shared" si="0"/>
        <v>2673.3443222543824</v>
      </c>
      <c r="G5" s="80">
        <f t="shared" si="0"/>
        <v>2744.6112152507458</v>
      </c>
      <c r="H5" s="80">
        <f t="shared" si="0"/>
        <v>2894.2575444013755</v>
      </c>
      <c r="I5" s="80">
        <f t="shared" si="0"/>
        <v>2594.8675566025217</v>
      </c>
      <c r="J5" s="80">
        <f t="shared" si="0"/>
        <v>2508.9540534029779</v>
      </c>
      <c r="K5" s="80">
        <f t="shared" si="0"/>
        <v>1962.3770715624039</v>
      </c>
      <c r="L5" s="80">
        <f t="shared" si="0"/>
        <v>1689.2832819613518</v>
      </c>
      <c r="M5" s="80">
        <f t="shared" si="0"/>
        <v>1577.0072289326708</v>
      </c>
      <c r="N5" s="80">
        <f t="shared" si="0"/>
        <v>1444.4086352387944</v>
      </c>
      <c r="O5" s="80">
        <f t="shared" si="0"/>
        <v>961.81425198647912</v>
      </c>
      <c r="P5" s="80">
        <f t="shared" si="0"/>
        <v>883.64007843310048</v>
      </c>
      <c r="Q5" s="80">
        <f t="shared" si="0"/>
        <v>895.36518380881216</v>
      </c>
      <c r="R5" s="80">
        <f t="shared" si="0"/>
        <v>848.54314601950944</v>
      </c>
      <c r="S5" s="80">
        <f t="shared" si="0"/>
        <v>846.80166744687313</v>
      </c>
      <c r="T5" s="80">
        <f t="shared" si="0"/>
        <v>841.4094897743239</v>
      </c>
      <c r="U5" s="80">
        <f t="shared" si="0"/>
        <v>824.29475053254419</v>
      </c>
      <c r="V5" s="80">
        <f t="shared" si="0"/>
        <v>1165.7611254578915</v>
      </c>
      <c r="W5" s="80">
        <f t="shared" si="0"/>
        <v>709.33854352421213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459.95746572309417</v>
      </c>
      <c r="C9" s="244">
        <f t="shared" ref="C9:W9" si="1">SUM(C10:C15)</f>
        <v>476.37037479644971</v>
      </c>
      <c r="D9" s="244">
        <f t="shared" si="1"/>
        <v>553.78112119693833</v>
      </c>
      <c r="E9" s="244">
        <f t="shared" si="1"/>
        <v>590.51479474324492</v>
      </c>
      <c r="F9" s="244">
        <f t="shared" si="1"/>
        <v>478.03905335049808</v>
      </c>
      <c r="G9" s="244">
        <f t="shared" si="1"/>
        <v>487.04372884446508</v>
      </c>
      <c r="H9" s="244">
        <f t="shared" si="1"/>
        <v>533.03839521052555</v>
      </c>
      <c r="I9" s="244">
        <f t="shared" si="1"/>
        <v>453.4229520203483</v>
      </c>
      <c r="J9" s="244">
        <f t="shared" si="1"/>
        <v>420.09579908415458</v>
      </c>
      <c r="K9" s="244">
        <f t="shared" si="1"/>
        <v>324.15066812809778</v>
      </c>
      <c r="L9" s="244">
        <f t="shared" si="1"/>
        <v>257.50423640937328</v>
      </c>
      <c r="M9" s="244">
        <f t="shared" si="1"/>
        <v>248.5040200438587</v>
      </c>
      <c r="N9" s="244">
        <f t="shared" si="1"/>
        <v>83.940271460427866</v>
      </c>
      <c r="O9" s="244">
        <f t="shared" si="1"/>
        <v>17.65170265302396</v>
      </c>
      <c r="P9" s="244">
        <f t="shared" si="1"/>
        <v>32.708834614761713</v>
      </c>
      <c r="Q9" s="244">
        <f t="shared" si="1"/>
        <v>34.057633889932241</v>
      </c>
      <c r="R9" s="244">
        <f t="shared" si="1"/>
        <v>25.097331653945037</v>
      </c>
      <c r="S9" s="244">
        <f t="shared" si="1"/>
        <v>21.133205946361613</v>
      </c>
      <c r="T9" s="244">
        <f t="shared" si="1"/>
        <v>29.823041202901592</v>
      </c>
      <c r="U9" s="244">
        <f t="shared" si="1"/>
        <v>25.132466015527864</v>
      </c>
      <c r="V9" s="244">
        <f t="shared" si="1"/>
        <v>73.687735660772375</v>
      </c>
      <c r="W9" s="244">
        <f t="shared" si="1"/>
        <v>19.113668345075411</v>
      </c>
      <c r="DA9" s="270"/>
    </row>
    <row r="10" spans="1:105" x14ac:dyDescent="0.25">
      <c r="A10" s="254" t="s">
        <v>173</v>
      </c>
      <c r="B10" s="255">
        <v>459.95746572309417</v>
      </c>
      <c r="C10" s="255">
        <v>476.37037479644971</v>
      </c>
      <c r="D10" s="255">
        <v>553.78112119693833</v>
      </c>
      <c r="E10" s="255">
        <v>590.51479474324492</v>
      </c>
      <c r="F10" s="255">
        <v>478.03905335049808</v>
      </c>
      <c r="G10" s="255">
        <v>487.04372884446508</v>
      </c>
      <c r="H10" s="255">
        <v>533.03839521052555</v>
      </c>
      <c r="I10" s="255">
        <v>453.4229520203483</v>
      </c>
      <c r="J10" s="255">
        <v>420.09579908415458</v>
      </c>
      <c r="K10" s="255">
        <v>324.15066812809778</v>
      </c>
      <c r="L10" s="255">
        <v>257.50423640937328</v>
      </c>
      <c r="M10" s="255">
        <v>248.5040200438587</v>
      </c>
      <c r="N10" s="255">
        <v>83.940271460427866</v>
      </c>
      <c r="O10" s="255">
        <v>17.65170265302396</v>
      </c>
      <c r="P10" s="255">
        <v>32.531872097559273</v>
      </c>
      <c r="Q10" s="255">
        <v>33.89469531438229</v>
      </c>
      <c r="R10" s="255">
        <v>24.87076464229062</v>
      </c>
      <c r="S10" s="255">
        <v>20.824938190016411</v>
      </c>
      <c r="T10" s="255">
        <v>29.33431861065635</v>
      </c>
      <c r="U10" s="255">
        <v>23.03993449844635</v>
      </c>
      <c r="V10" s="255">
        <v>70.881354037817601</v>
      </c>
      <c r="W10" s="255">
        <v>16.277422851988089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0.17696251720244341</v>
      </c>
      <c r="Q11" s="256">
        <v>0.1629385755499542</v>
      </c>
      <c r="R11" s="256">
        <v>0.22656701165441809</v>
      </c>
      <c r="S11" s="256">
        <v>0.30826775634520259</v>
      </c>
      <c r="T11" s="256">
        <v>0.48872259224524067</v>
      </c>
      <c r="U11" s="256">
        <v>2.0925315170815151</v>
      </c>
      <c r="V11" s="256">
        <v>2.8063816229547749</v>
      </c>
      <c r="W11" s="256">
        <v>2.836245493087322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847.89874953277047</v>
      </c>
      <c r="C16" s="258">
        <v>855.77741067097134</v>
      </c>
      <c r="D16" s="258">
        <v>918.92715774120302</v>
      </c>
      <c r="E16" s="258">
        <v>990.59334541696455</v>
      </c>
      <c r="F16" s="258">
        <v>860.73969740152302</v>
      </c>
      <c r="G16" s="258">
        <v>885.87662710694997</v>
      </c>
      <c r="H16" s="258">
        <v>921.66723392229494</v>
      </c>
      <c r="I16" s="258">
        <v>841.18370797857983</v>
      </c>
      <c r="J16" s="258">
        <v>822.41803016139761</v>
      </c>
      <c r="K16" s="258">
        <v>649.82942535149618</v>
      </c>
      <c r="L16" s="258">
        <v>578.48784208967049</v>
      </c>
      <c r="M16" s="258">
        <v>551.94459723702914</v>
      </c>
      <c r="N16" s="258">
        <v>374.95238774400968</v>
      </c>
      <c r="O16" s="258">
        <v>209.15567981263499</v>
      </c>
      <c r="P16" s="258">
        <v>231.7836923602417</v>
      </c>
      <c r="Q16" s="258">
        <v>234.0226997975858</v>
      </c>
      <c r="R16" s="258">
        <v>216.9402242860595</v>
      </c>
      <c r="S16" s="258">
        <v>214.73833075885469</v>
      </c>
      <c r="T16" s="258">
        <v>222.23298938010731</v>
      </c>
      <c r="U16" s="258">
        <v>210.76784539988881</v>
      </c>
      <c r="V16" s="258">
        <v>321.05206366053761</v>
      </c>
      <c r="W16" s="258">
        <v>194.91503550450389</v>
      </c>
      <c r="DA16" s="273" t="s">
        <v>1044</v>
      </c>
    </row>
    <row r="17" spans="1:105" x14ac:dyDescent="0.25">
      <c r="A17" s="257" t="s">
        <v>121</v>
      </c>
      <c r="B17" s="258">
        <f>SUM(B18:B24)</f>
        <v>1185.3450116835595</v>
      </c>
      <c r="C17" s="258">
        <f t="shared" ref="C17:W17" si="2">SUM(C18:C24)</f>
        <v>1195.2311643011644</v>
      </c>
      <c r="D17" s="258">
        <f t="shared" si="2"/>
        <v>1268.8521043332105</v>
      </c>
      <c r="E17" s="258">
        <f t="shared" si="2"/>
        <v>1355.4755400272973</v>
      </c>
      <c r="F17" s="258">
        <f t="shared" si="2"/>
        <v>1169.167265478545</v>
      </c>
      <c r="G17" s="258">
        <f t="shared" si="2"/>
        <v>1201.4622827483515</v>
      </c>
      <c r="H17" s="258">
        <f t="shared" si="2"/>
        <v>1262.4458753489253</v>
      </c>
      <c r="I17" s="258">
        <f t="shared" si="2"/>
        <v>1138.6204369216373</v>
      </c>
      <c r="J17" s="258">
        <f t="shared" si="2"/>
        <v>1108.4057458560437</v>
      </c>
      <c r="K17" s="258">
        <f t="shared" si="2"/>
        <v>863.52683850165704</v>
      </c>
      <c r="L17" s="258">
        <f t="shared" si="2"/>
        <v>742.12994364606561</v>
      </c>
      <c r="M17" s="258">
        <f t="shared" si="2"/>
        <v>670.49785753808442</v>
      </c>
      <c r="N17" s="258">
        <f t="shared" si="2"/>
        <v>913.46574997917992</v>
      </c>
      <c r="O17" s="258">
        <f t="shared" si="2"/>
        <v>694.81586259886103</v>
      </c>
      <c r="P17" s="258">
        <f t="shared" si="2"/>
        <v>574.60838334947675</v>
      </c>
      <c r="Q17" s="258">
        <f t="shared" si="2"/>
        <v>582.31543807431547</v>
      </c>
      <c r="R17" s="258">
        <f t="shared" si="2"/>
        <v>564.81871806272272</v>
      </c>
      <c r="S17" s="258">
        <f t="shared" si="2"/>
        <v>569.66637091610278</v>
      </c>
      <c r="T17" s="258">
        <f t="shared" si="2"/>
        <v>546.64953825326165</v>
      </c>
      <c r="U17" s="258">
        <f t="shared" si="2"/>
        <v>547.89364114223258</v>
      </c>
      <c r="V17" s="258">
        <f t="shared" si="2"/>
        <v>709.32849654453298</v>
      </c>
      <c r="W17" s="258">
        <f t="shared" si="2"/>
        <v>457.85529123409748</v>
      </c>
      <c r="DA17" s="273"/>
    </row>
    <row r="18" spans="1:105" x14ac:dyDescent="0.25">
      <c r="A18" s="61" t="s">
        <v>29</v>
      </c>
      <c r="B18" s="55">
        <v>34.140115974931213</v>
      </c>
      <c r="C18" s="55">
        <v>31.658035760769039</v>
      </c>
      <c r="D18" s="55">
        <v>0</v>
      </c>
      <c r="E18" s="55">
        <v>0</v>
      </c>
      <c r="F18" s="55">
        <v>1.936771452002318</v>
      </c>
      <c r="G18" s="55">
        <v>12.433642328199671</v>
      </c>
      <c r="H18" s="55">
        <v>18.938304000013389</v>
      </c>
      <c r="I18" s="55">
        <v>0</v>
      </c>
      <c r="J18" s="55">
        <v>0</v>
      </c>
      <c r="K18" s="55">
        <v>0</v>
      </c>
      <c r="L18" s="55">
        <v>0</v>
      </c>
      <c r="M18" s="55">
        <v>5.9576889314952934</v>
      </c>
      <c r="N18" s="55">
        <v>0</v>
      </c>
      <c r="O18" s="55">
        <v>5.055144663785204</v>
      </c>
      <c r="P18" s="55">
        <v>14.2513331112151</v>
      </c>
      <c r="Q18" s="55">
        <v>8.0972246072225165</v>
      </c>
      <c r="R18" s="55">
        <v>14.7379318171553</v>
      </c>
      <c r="S18" s="55">
        <v>4.2004051255280173</v>
      </c>
      <c r="T18" s="55">
        <v>2.9733795730739092</v>
      </c>
      <c r="U18" s="55">
        <v>3.0603680500781971</v>
      </c>
      <c r="V18" s="55">
        <v>7.5519746992094374</v>
      </c>
      <c r="W18" s="55">
        <v>7.608238241699345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255.42892619961609</v>
      </c>
      <c r="O19" s="55">
        <v>81.272850480229451</v>
      </c>
      <c r="P19" s="55">
        <v>63.857401920199813</v>
      </c>
      <c r="Q19" s="55">
        <v>69.662475720181575</v>
      </c>
      <c r="R19" s="55">
        <v>75.467776680292943</v>
      </c>
      <c r="S19" s="55">
        <v>82.929982680173623</v>
      </c>
      <c r="T19" s="55">
        <v>92.639482560197607</v>
      </c>
      <c r="U19" s="55">
        <v>92.526129720379572</v>
      </c>
      <c r="V19" s="55">
        <v>97.776933119812838</v>
      </c>
      <c r="W19" s="55">
        <v>100.772264880443</v>
      </c>
      <c r="DA19" s="101" t="s">
        <v>1046</v>
      </c>
    </row>
    <row r="20" spans="1:105" x14ac:dyDescent="0.25">
      <c r="A20" s="61" t="s">
        <v>173</v>
      </c>
      <c r="B20" s="55">
        <v>950.80103314837459</v>
      </c>
      <c r="C20" s="55">
        <v>956.85839398017959</v>
      </c>
      <c r="D20" s="55">
        <v>1059.0672688934219</v>
      </c>
      <c r="E20" s="55">
        <v>1188.6138228271509</v>
      </c>
      <c r="F20" s="55">
        <v>1000.254654306343</v>
      </c>
      <c r="G20" s="55">
        <v>1025.008808219945</v>
      </c>
      <c r="H20" s="55">
        <v>1060.6119495087969</v>
      </c>
      <c r="I20" s="55">
        <v>955.78186176139457</v>
      </c>
      <c r="J20" s="55">
        <v>928.63702209574831</v>
      </c>
      <c r="K20" s="55">
        <v>716.22935586140568</v>
      </c>
      <c r="L20" s="55">
        <v>665.89983276598173</v>
      </c>
      <c r="M20" s="55">
        <v>637.09736860656051</v>
      </c>
      <c r="N20" s="55">
        <v>90.919223660416208</v>
      </c>
      <c r="O20" s="55">
        <v>26.570990613203239</v>
      </c>
      <c r="P20" s="55">
        <v>51.004507433871069</v>
      </c>
      <c r="Q20" s="55">
        <v>50.129270681277163</v>
      </c>
      <c r="R20" s="55">
        <v>41.638030135249089</v>
      </c>
      <c r="S20" s="55">
        <v>39.069362945818668</v>
      </c>
      <c r="T20" s="55">
        <v>46.707805311373953</v>
      </c>
      <c r="U20" s="55">
        <v>38.636381207168149</v>
      </c>
      <c r="V20" s="55">
        <v>95.638994949432828</v>
      </c>
      <c r="W20" s="55">
        <v>42.564748323705018</v>
      </c>
      <c r="DA20" s="101" t="s">
        <v>1047</v>
      </c>
    </row>
    <row r="21" spans="1:105" x14ac:dyDescent="0.25">
      <c r="A21" s="61" t="s">
        <v>129</v>
      </c>
      <c r="B21" s="55">
        <v>200.40386256025371</v>
      </c>
      <c r="C21" s="55">
        <v>206.7147345602157</v>
      </c>
      <c r="D21" s="55">
        <v>209.78483543978859</v>
      </c>
      <c r="E21" s="55">
        <v>166.86171720014639</v>
      </c>
      <c r="F21" s="55">
        <v>166.97583972019979</v>
      </c>
      <c r="G21" s="55">
        <v>164.01983220020679</v>
      </c>
      <c r="H21" s="55">
        <v>182.89562184011481</v>
      </c>
      <c r="I21" s="55">
        <v>182.8385751602427</v>
      </c>
      <c r="J21" s="55">
        <v>179.76872376029539</v>
      </c>
      <c r="K21" s="55">
        <v>147.2974826402513</v>
      </c>
      <c r="L21" s="55">
        <v>76.230110880083927</v>
      </c>
      <c r="M21" s="55">
        <v>27.442800000028519</v>
      </c>
      <c r="N21" s="55">
        <v>567.1176001191476</v>
      </c>
      <c r="O21" s="55">
        <v>581.9168768416431</v>
      </c>
      <c r="P21" s="55">
        <v>445.21769340139298</v>
      </c>
      <c r="Q21" s="55">
        <v>454.18548564118402</v>
      </c>
      <c r="R21" s="55">
        <v>432.59566644167933</v>
      </c>
      <c r="S21" s="55">
        <v>442.88828352092708</v>
      </c>
      <c r="T21" s="55">
        <v>403.55069832086082</v>
      </c>
      <c r="U21" s="55">
        <v>410.16173112168298</v>
      </c>
      <c r="V21" s="55">
        <v>504.57399119903408</v>
      </c>
      <c r="W21" s="55">
        <v>299.49338196131657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0.27744748279782322</v>
      </c>
      <c r="Q22" s="55">
        <v>0.2409814244502006</v>
      </c>
      <c r="R22" s="55">
        <v>0.3793129883461086</v>
      </c>
      <c r="S22" s="55">
        <v>0.57833664365533621</v>
      </c>
      <c r="T22" s="55">
        <v>0.77817248775528813</v>
      </c>
      <c r="U22" s="55">
        <v>3.5090310429236311</v>
      </c>
      <c r="V22" s="55">
        <v>3.7866025770437819</v>
      </c>
      <c r="W22" s="55">
        <v>7.4166578269335579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162.9308108779048</v>
      </c>
      <c r="C25" s="258">
        <v>164.444761274207</v>
      </c>
      <c r="D25" s="258">
        <v>176.57951144639111</v>
      </c>
      <c r="E25" s="258">
        <v>190.35076665460349</v>
      </c>
      <c r="F25" s="258">
        <v>165.3983060238165</v>
      </c>
      <c r="G25" s="258">
        <v>170.22857655097911</v>
      </c>
      <c r="H25" s="258">
        <v>177.10603991962989</v>
      </c>
      <c r="I25" s="258">
        <v>161.64045968195609</v>
      </c>
      <c r="J25" s="258">
        <v>158.03447830138211</v>
      </c>
      <c r="K25" s="258">
        <v>124.870139581153</v>
      </c>
      <c r="L25" s="258">
        <v>111.16125981624241</v>
      </c>
      <c r="M25" s="258">
        <v>106.06075411369859</v>
      </c>
      <c r="N25" s="258">
        <v>72.050226055177092</v>
      </c>
      <c r="O25" s="258">
        <v>40.191006921959087</v>
      </c>
      <c r="P25" s="258">
        <v>44.539168108620302</v>
      </c>
      <c r="Q25" s="258">
        <v>44.969412046978711</v>
      </c>
      <c r="R25" s="258">
        <v>41.686872016782139</v>
      </c>
      <c r="S25" s="258">
        <v>41.263759825554132</v>
      </c>
      <c r="T25" s="258">
        <v>42.703920938053287</v>
      </c>
      <c r="U25" s="258">
        <v>40.500797974894901</v>
      </c>
      <c r="V25" s="258">
        <v>61.692829592048362</v>
      </c>
      <c r="W25" s="258">
        <v>37.454548440535262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0.99999999999999989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0.17316814795888807</v>
      </c>
      <c r="C35" s="247">
        <f t="shared" si="8"/>
        <v>0.1769693805884143</v>
      </c>
      <c r="D35" s="247">
        <f t="shared" si="8"/>
        <v>0.18977195788295229</v>
      </c>
      <c r="E35" s="247">
        <f t="shared" si="8"/>
        <v>0.18884783316759507</v>
      </c>
      <c r="F35" s="247">
        <f t="shared" si="8"/>
        <v>0.17881686596486623</v>
      </c>
      <c r="G35" s="247">
        <f t="shared" si="8"/>
        <v>0.17745454297430213</v>
      </c>
      <c r="H35" s="247">
        <f t="shared" si="8"/>
        <v>0.18417103075074642</v>
      </c>
      <c r="I35" s="247">
        <f t="shared" si="8"/>
        <v>0.17473837956262328</v>
      </c>
      <c r="J35" s="247">
        <f t="shared" si="8"/>
        <v>0.16743861790309178</v>
      </c>
      <c r="K35" s="247">
        <f t="shared" si="8"/>
        <v>0.16518266179598998</v>
      </c>
      <c r="L35" s="247">
        <f t="shared" si="8"/>
        <v>0.15243401693432765</v>
      </c>
      <c r="M35" s="247">
        <f t="shared" si="8"/>
        <v>0.15757950596843356</v>
      </c>
      <c r="N35" s="247">
        <f t="shared" si="8"/>
        <v>5.8113936328378836E-2</v>
      </c>
      <c r="O35" s="247">
        <f t="shared" si="8"/>
        <v>1.8352506855213561E-2</v>
      </c>
      <c r="P35" s="247">
        <f t="shared" si="8"/>
        <v>3.7016015245440306E-2</v>
      </c>
      <c r="Q35" s="247">
        <f t="shared" si="8"/>
        <v>3.8037701829161795E-2</v>
      </c>
      <c r="R35" s="247">
        <f t="shared" si="8"/>
        <v>2.9576965852209012E-2</v>
      </c>
      <c r="S35" s="247">
        <f t="shared" si="8"/>
        <v>2.4956500156735312E-2</v>
      </c>
      <c r="T35" s="247">
        <f t="shared" si="8"/>
        <v>3.5444146477240812E-2</v>
      </c>
      <c r="U35" s="247">
        <f t="shared" si="8"/>
        <v>3.0489659189617276E-2</v>
      </c>
      <c r="V35" s="247">
        <f t="shared" si="8"/>
        <v>6.3209978486655286E-2</v>
      </c>
      <c r="W35" s="247">
        <f t="shared" si="8"/>
        <v>2.6945763090939379E-2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0.31922311747330506</v>
      </c>
      <c r="C36" s="260">
        <f t="shared" si="9"/>
        <v>0.31791733134687689</v>
      </c>
      <c r="D36" s="260">
        <f t="shared" si="9"/>
        <v>0.31490168082914549</v>
      </c>
      <c r="E36" s="260">
        <f t="shared" si="9"/>
        <v>0.31679376790817104</v>
      </c>
      <c r="F36" s="260">
        <f t="shared" si="9"/>
        <v>0.32197113190255905</v>
      </c>
      <c r="G36" s="260">
        <f t="shared" si="9"/>
        <v>0.32276944078071068</v>
      </c>
      <c r="H36" s="260">
        <f t="shared" si="9"/>
        <v>0.31844686237586539</v>
      </c>
      <c r="I36" s="260">
        <f t="shared" si="9"/>
        <v>0.32417211654530359</v>
      </c>
      <c r="J36" s="260">
        <f t="shared" si="9"/>
        <v>0.32779318100541721</v>
      </c>
      <c r="K36" s="260">
        <f t="shared" si="9"/>
        <v>0.33114401649328051</v>
      </c>
      <c r="L36" s="260">
        <f t="shared" si="9"/>
        <v>0.34244572728974976</v>
      </c>
      <c r="M36" s="260">
        <f t="shared" si="9"/>
        <v>0.34999496965564891</v>
      </c>
      <c r="N36" s="260">
        <f t="shared" si="9"/>
        <v>0.25958885774870855</v>
      </c>
      <c r="O36" s="260">
        <f t="shared" si="9"/>
        <v>0.21745953481210759</v>
      </c>
      <c r="P36" s="260">
        <f t="shared" si="9"/>
        <v>0.2623055450034002</v>
      </c>
      <c r="Q36" s="260">
        <f t="shared" si="9"/>
        <v>0.26137123045378186</v>
      </c>
      <c r="R36" s="260">
        <f t="shared" si="9"/>
        <v>0.25566198407673152</v>
      </c>
      <c r="S36" s="260">
        <f t="shared" si="9"/>
        <v>0.25358751525170681</v>
      </c>
      <c r="T36" s="260">
        <f t="shared" si="9"/>
        <v>0.26411989890880938</v>
      </c>
      <c r="U36" s="260">
        <f t="shared" si="9"/>
        <v>0.25569475635228789</v>
      </c>
      <c r="V36" s="260">
        <f t="shared" si="9"/>
        <v>0.27540124357332102</v>
      </c>
      <c r="W36" s="260">
        <f t="shared" si="9"/>
        <v>0.27478421592051944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0.44626735222757008</v>
      </c>
      <c r="C37" s="260">
        <f t="shared" si="10"/>
        <v>0.44402282341072802</v>
      </c>
      <c r="D37" s="260">
        <f t="shared" si="10"/>
        <v>0.43481537901250622</v>
      </c>
      <c r="E37" s="260">
        <f t="shared" si="10"/>
        <v>0.43348383634846954</v>
      </c>
      <c r="F37" s="260">
        <f t="shared" si="10"/>
        <v>0.43734256591855986</v>
      </c>
      <c r="G37" s="260">
        <f t="shared" si="10"/>
        <v>0.4377531783271485</v>
      </c>
      <c r="H37" s="260">
        <f t="shared" si="10"/>
        <v>0.43618988841922124</v>
      </c>
      <c r="I37" s="260">
        <f t="shared" si="10"/>
        <v>0.43879713013655347</v>
      </c>
      <c r="J37" s="260">
        <f t="shared" si="10"/>
        <v>0.44178000962300451</v>
      </c>
      <c r="K37" s="260">
        <f t="shared" si="10"/>
        <v>0.44004123927830796</v>
      </c>
      <c r="L37" s="260">
        <f t="shared" si="10"/>
        <v>0.43931645542860726</v>
      </c>
      <c r="M37" s="260">
        <f t="shared" si="10"/>
        <v>0.42517107419468325</v>
      </c>
      <c r="N37" s="260">
        <f t="shared" si="10"/>
        <v>0.63241504356429079</v>
      </c>
      <c r="O37" s="260">
        <f t="shared" si="10"/>
        <v>0.72240129647052531</v>
      </c>
      <c r="P37" s="260">
        <f t="shared" si="10"/>
        <v>0.65027424329642358</v>
      </c>
      <c r="Q37" s="260">
        <f t="shared" si="10"/>
        <v>0.65036640758935027</v>
      </c>
      <c r="R37" s="260">
        <f t="shared" si="10"/>
        <v>0.66563346921399402</v>
      </c>
      <c r="S37" s="260">
        <f t="shared" si="10"/>
        <v>0.6727270302072742</v>
      </c>
      <c r="T37" s="260">
        <f t="shared" si="10"/>
        <v>0.64968311493596254</v>
      </c>
      <c r="U37" s="260">
        <f t="shared" si="10"/>
        <v>0.66468170613516608</v>
      </c>
      <c r="V37" s="260">
        <f t="shared" si="10"/>
        <v>0.60846813386912402</v>
      </c>
      <c r="W37" s="260">
        <f t="shared" si="10"/>
        <v>0.64546794392326623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6.1341382340236693E-2</v>
      </c>
      <c r="C38" s="260">
        <f t="shared" si="11"/>
        <v>6.1090464653980742E-2</v>
      </c>
      <c r="D38" s="260">
        <f t="shared" si="11"/>
        <v>6.0510982275395933E-2</v>
      </c>
      <c r="E38" s="260">
        <f t="shared" si="11"/>
        <v>6.0874562575764471E-2</v>
      </c>
      <c r="F38" s="260">
        <f t="shared" si="11"/>
        <v>6.1869436214014938E-2</v>
      </c>
      <c r="G38" s="260">
        <f t="shared" si="11"/>
        <v>6.2022837917838629E-2</v>
      </c>
      <c r="H38" s="260">
        <f t="shared" si="11"/>
        <v>6.1192218454166988E-2</v>
      </c>
      <c r="I38" s="260">
        <f t="shared" si="11"/>
        <v>6.2292373755519562E-2</v>
      </c>
      <c r="J38" s="260">
        <f t="shared" si="11"/>
        <v>6.2988191468486512E-2</v>
      </c>
      <c r="K38" s="260">
        <f t="shared" si="11"/>
        <v>6.3632082432421605E-2</v>
      </c>
      <c r="L38" s="260">
        <f t="shared" si="11"/>
        <v>6.5803800347315339E-2</v>
      </c>
      <c r="M38" s="260">
        <f t="shared" si="11"/>
        <v>6.7254450181234257E-2</v>
      </c>
      <c r="N38" s="260">
        <f t="shared" si="11"/>
        <v>4.9882162358621945E-2</v>
      </c>
      <c r="O38" s="260">
        <f t="shared" si="11"/>
        <v>4.1786661862153483E-2</v>
      </c>
      <c r="P38" s="260">
        <f t="shared" si="11"/>
        <v>5.0404196454735976E-2</v>
      </c>
      <c r="Q38" s="260">
        <f t="shared" si="11"/>
        <v>5.0224660127706121E-2</v>
      </c>
      <c r="R38" s="260">
        <f t="shared" si="11"/>
        <v>4.9127580857065443E-2</v>
      </c>
      <c r="S38" s="260">
        <f t="shared" si="11"/>
        <v>4.872895438428379E-2</v>
      </c>
      <c r="T38" s="260">
        <f t="shared" si="11"/>
        <v>5.0752839677987216E-2</v>
      </c>
      <c r="U38" s="260">
        <f t="shared" si="11"/>
        <v>4.913387832292871E-2</v>
      </c>
      <c r="V38" s="260">
        <f t="shared" si="11"/>
        <v>5.292064407089956E-2</v>
      </c>
      <c r="W38" s="260">
        <f t="shared" si="11"/>
        <v>5.2802077065274844E-2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2.3791365171497434</v>
      </c>
      <c r="C44" s="238">
        <f>IF(C$5=0,0,C$5/AGR_fec!C$5)</f>
        <v>2.407750736969331</v>
      </c>
      <c r="D44" s="238">
        <f>IF(D$5=0,0,D$5/AGR_fec!D$5)</f>
        <v>2.5033125866239234</v>
      </c>
      <c r="E44" s="238">
        <f>IF(E$5=0,0,E$5/AGR_fec!E$5)</f>
        <v>2.4896595295525583</v>
      </c>
      <c r="F44" s="238">
        <f>IF(F$5=0,0,F$5/AGR_fec!F$5)</f>
        <v>2.3906496882772843</v>
      </c>
      <c r="G44" s="238">
        <f>IF(G$5=0,0,G$5/AGR_fec!G$5)</f>
        <v>2.3758170028554746</v>
      </c>
      <c r="H44" s="238">
        <f>IF(H$5=0,0,H$5/AGR_fec!H$5)</f>
        <v>2.446626503874346</v>
      </c>
      <c r="I44" s="238">
        <f>IF(I$5=0,0,I$5/AGR_fec!I$5)</f>
        <v>2.347527205442721</v>
      </c>
      <c r="J44" s="238">
        <f>IF(J$5=0,0,J$5/AGR_fec!J$5)</f>
        <v>2.2835149705804159</v>
      </c>
      <c r="K44" s="238">
        <f>IF(K$5=0,0,K$5/AGR_fec!K$5)</f>
        <v>2.2438250879241135</v>
      </c>
      <c r="L44" s="238">
        <f>IF(L$5=0,0,L$5/AGR_fec!L$5)</f>
        <v>2.1110683938878503</v>
      </c>
      <c r="M44" s="238">
        <f>IF(M$5=0,0,M$5/AGR_fec!M$5)</f>
        <v>2.0728191543631738</v>
      </c>
      <c r="N44" s="238">
        <f>IF(N$5=0,0,N$5/AGR_fec!N$5)</f>
        <v>1.9189909334086355</v>
      </c>
      <c r="O44" s="238">
        <f>IF(O$5=0,0,O$5/AGR_fec!O$5)</f>
        <v>1.6608204476954544</v>
      </c>
      <c r="P44" s="238">
        <f>IF(P$5=0,0,P$5/AGR_fec!P$5)</f>
        <v>1.7093657289296906</v>
      </c>
      <c r="Q44" s="238">
        <f>IF(Q$5=0,0,Q$5/AGR_fec!Q$5)</f>
        <v>1.7153058756867812</v>
      </c>
      <c r="R44" s="238">
        <f>IF(R$5=0,0,R$5/AGR_fec!R$5)</f>
        <v>1.6374061465978029</v>
      </c>
      <c r="S44" s="238">
        <f>IF(S$5=0,0,S$5/AGR_fec!S$5)</f>
        <v>1.5750098342975549</v>
      </c>
      <c r="T44" s="238">
        <f>IF(T$5=0,0,T$5/AGR_fec!T$5)</f>
        <v>1.6564308819372935</v>
      </c>
      <c r="U44" s="238">
        <f>IF(U$5=0,0,U$5/AGR_fec!U$5)</f>
        <v>1.6050572568339101</v>
      </c>
      <c r="V44" s="238">
        <f>IF(V$5=0,0,V$5/AGR_fec!V$5)</f>
        <v>1.8788072474787931</v>
      </c>
      <c r="W44" s="238">
        <f>IF(W$5=0,0,W$5/AGR_fec!W$5)</f>
        <v>1.4522322684449038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2.128800077487921</v>
      </c>
      <c r="C48" s="253">
        <f>IF(C$9=0,0,C$9/AGR_fec!C$9)</f>
        <v>2.2119625313056841</v>
      </c>
      <c r="D48" s="253">
        <f>IF(D$9=0,0,D$9/AGR_fec!D$9)</f>
        <v>2.4752565591897646</v>
      </c>
      <c r="E48" s="253">
        <f>IF(E$9=0,0,E$9/AGR_fec!E$9)</f>
        <v>2.43349856951306</v>
      </c>
      <c r="F48" s="253">
        <f>IF(F$9=0,0,F$9/AGR_fec!F$9)</f>
        <v>2.2036970001100822</v>
      </c>
      <c r="G48" s="253">
        <f>IF(G$9=0,0,G$9/AGR_fec!G$9)</f>
        <v>2.171505729973072</v>
      </c>
      <c r="H48" s="253">
        <f>IF(H$9=0,0,H$9/AGR_fec!H$9)</f>
        <v>2.3379399481606611</v>
      </c>
      <c r="I48" s="253">
        <f>IF(I$9=0,0,I$9/AGR_fec!I$9)</f>
        <v>2.111581105539527</v>
      </c>
      <c r="J48" s="253">
        <f>IF(J$9=0,0,J$9/AGR_fec!J$9)</f>
        <v>1.9495401735684481</v>
      </c>
      <c r="K48" s="253">
        <f>IF(K$9=0,0,K$9/AGR_fec!K$9)</f>
        <v>1.8869392638980509</v>
      </c>
      <c r="L48" s="253">
        <f>IF(L$9=0,0,L$9/AGR_fec!L$9)</f>
        <v>1.5821342368867113</v>
      </c>
      <c r="M48" s="253">
        <f>IF(M$9=0,0,M$9/AGR_fec!M$9)</f>
        <v>1.6102079418320809</v>
      </c>
      <c r="N48" s="253">
        <f>IF(N$9=0,0,N$9/AGR_fec!N$9)</f>
        <v>0.60420596083305045</v>
      </c>
      <c r="O48" s="253">
        <f>IF(O$9=0,0,O$9/AGR_fec!O$9)</f>
        <v>0.13697486972568054</v>
      </c>
      <c r="P48" s="253">
        <f>IF(P$9=0,0,P$9/AGR_fec!P$9)</f>
        <v>0.29665697770331773</v>
      </c>
      <c r="Q48" s="253">
        <f>IF(Q$9=0,0,Q$9/AGR_fec!Q$9)</f>
        <v>0.31114628379818637</v>
      </c>
      <c r="R48" s="253">
        <f>IF(R$9=0,0,R$9/AGR_fec!R$9)</f>
        <v>0.21855769169876071</v>
      </c>
      <c r="S48" s="253">
        <f>IF(S$9=0,0,S$9/AGR_fec!S$9)</f>
        <v>0.16962178498773564</v>
      </c>
      <c r="T48" s="253">
        <f>IF(T$9=0,0,T$9/AGR_fec!T$9)</f>
        <v>0.27217285221074794</v>
      </c>
      <c r="U48" s="253">
        <f>IF(U$9=0,0,U$9/AGR_fec!U$9)</f>
        <v>0.21973802023163619</v>
      </c>
      <c r="V48" s="253">
        <f>IF(V$9=0,0,V$9/AGR_fec!V$9)</f>
        <v>0.60831001542674479</v>
      </c>
      <c r="W48" s="253">
        <f>IF(W$9=0,0,W$9/AGR_fec!W$9)</f>
        <v>0.1547702669642731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3.102418800000001</v>
      </c>
      <c r="D49" s="265">
        <f>IF(D$16=0,0,D$16/AGR_fec!D$16)</f>
        <v>3.1024188000000001</v>
      </c>
      <c r="E49" s="265">
        <f>IF(E$16=0,0,E$16/AGR_fec!E$16)</f>
        <v>3.102418800000001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3.1024187999999997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3.1024188000000001</v>
      </c>
      <c r="M49" s="265">
        <f>IF(M$16=0,0,M$16/AGR_fec!M$16)</f>
        <v>3.1024188000000001</v>
      </c>
      <c r="N49" s="265">
        <f>IF(N$16=0,0,N$16/AGR_fec!N$16)</f>
        <v>3.1024187999999984</v>
      </c>
      <c r="O49" s="265">
        <f>IF(O$16=0,0,O$16/AGR_fec!O$16)</f>
        <v>3.1024188000000001</v>
      </c>
      <c r="P49" s="265">
        <f>IF(P$16=0,0,P$16/AGR_fec!P$16)</f>
        <v>3.1024188000000006</v>
      </c>
      <c r="Q49" s="265">
        <f>IF(Q$16=0,0,Q$16/AGR_fec!Q$16)</f>
        <v>3.1024188000000006</v>
      </c>
      <c r="R49" s="265">
        <f>IF(R$16=0,0,R$16/AGR_fec!R$16)</f>
        <v>3.1024188000000006</v>
      </c>
      <c r="S49" s="265">
        <f>IF(S$16=0,0,S$16/AGR_fec!S$16)</f>
        <v>3.1024188000000001</v>
      </c>
      <c r="T49" s="265">
        <f>IF(T$16=0,0,T$16/AGR_fec!T$16)</f>
        <v>3.0964256742894887</v>
      </c>
      <c r="U49" s="265">
        <f>IF(U$16=0,0,U$16/AGR_fec!U$16)</f>
        <v>3.0978847291998131</v>
      </c>
      <c r="V49" s="265">
        <f>IF(V$16=0,0,V$16/AGR_fec!V$16)</f>
        <v>3.0993721481747163</v>
      </c>
      <c r="W49" s="265">
        <f>IF(W$16=0,0,W$16/AGR_fec!W$16)</f>
        <v>3.102418800000001</v>
      </c>
      <c r="DA49" s="291"/>
    </row>
    <row r="50" spans="1:105" x14ac:dyDescent="0.25">
      <c r="A50" s="128" t="s">
        <v>121</v>
      </c>
      <c r="B50" s="265">
        <f>IF(B$17=0,0,B$17/AGR_fec!B$17)</f>
        <v>3.0268299636991669</v>
      </c>
      <c r="C50" s="265">
        <f>IF(C$17=0,0,C$17/AGR_fec!C$17)</f>
        <v>3.0198148676431602</v>
      </c>
      <c r="D50" s="265">
        <f>IF(D$17=0,0,D$17/AGR_fec!D$17)</f>
        <v>3.020076996911182</v>
      </c>
      <c r="E50" s="265">
        <f>IF(E$17=0,0,E$17/AGR_fec!E$17)</f>
        <v>3.0439574389052244</v>
      </c>
      <c r="F50" s="265">
        <f>IF(F$17=0,0,F$17/AGR_fec!F$17)</f>
        <v>2.9885725971918418</v>
      </c>
      <c r="G50" s="265">
        <f>IF(G$17=0,0,G$17/AGR_fec!G$17)</f>
        <v>2.9787465190778351</v>
      </c>
      <c r="H50" s="265">
        <f>IF(H$17=0,0,H$17/AGR_fec!H$17)</f>
        <v>2.9999663715631559</v>
      </c>
      <c r="I50" s="265">
        <f>IF(I$17=0,0,I$17/AGR_fec!I$17)</f>
        <v>2.9518656497047902</v>
      </c>
      <c r="J50" s="265">
        <f>IF(J$17=0,0,J$17/AGR_fec!J$17)</f>
        <v>2.933338136820566</v>
      </c>
      <c r="K50" s="265">
        <f>IF(K$17=0,0,K$17/AGR_fec!K$17)</f>
        <v>2.8677600218911432</v>
      </c>
      <c r="L50" s="265">
        <f>IF(L$17=0,0,L$17/AGR_fec!L$17)</f>
        <v>2.8219334394625299</v>
      </c>
      <c r="M50" s="265">
        <f>IF(M$17=0,0,M$17/AGR_fec!M$17)</f>
        <v>2.6751907128174164</v>
      </c>
      <c r="N50" s="265">
        <f>IF(N$17=0,0,N$17/AGR_fec!N$17)</f>
        <v>2.6572153779513221</v>
      </c>
      <c r="O50" s="265">
        <f>IF(O$17=0,0,O$17/AGR_fec!O$17)</f>
        <v>2.6896510370796087</v>
      </c>
      <c r="P50" s="265">
        <f>IF(P$17=0,0,P$17/AGR_fec!P$17)</f>
        <v>2.6237008915035083</v>
      </c>
      <c r="Q50" s="265">
        <f>IF(Q$17=0,0,Q$17/AGR_fec!Q$17)</f>
        <v>2.5920979213280568</v>
      </c>
      <c r="R50" s="265">
        <f>IF(R$17=0,0,R$17/AGR_fec!R$17)</f>
        <v>2.5843652160920363</v>
      </c>
      <c r="S50" s="265">
        <f>IF(S$17=0,0,S$17/AGR_fec!S$17)</f>
        <v>2.5719134971429707</v>
      </c>
      <c r="T50" s="265">
        <f>IF(T$17=0,0,T$17/AGR_fec!T$17)</f>
        <v>2.5400721816615586</v>
      </c>
      <c r="U50" s="265">
        <f>IF(U$17=0,0,U$17/AGR_fec!U$17)</f>
        <v>2.5214336640340189</v>
      </c>
      <c r="V50" s="265">
        <f>IF(V$17=0,0,V$17/AGR_fec!V$17)</f>
        <v>2.6734456854257123</v>
      </c>
      <c r="W50" s="265">
        <f>IF(W$17=0,0,W$17/AGR_fec!W$17)</f>
        <v>2.5116000835920427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3.102418800000001</v>
      </c>
      <c r="E51" s="265">
        <f>IF(E$25=0,0,E$25/AGR_fec!E$25)</f>
        <v>3.1024188000000006</v>
      </c>
      <c r="F51" s="265">
        <f>IF(F$25=0,0,F$25/AGR_fec!F$25)</f>
        <v>3.1024187999999997</v>
      </c>
      <c r="G51" s="265">
        <f>IF(G$25=0,0,G$25/AGR_fec!G$25)</f>
        <v>3.102418800000001</v>
      </c>
      <c r="H51" s="265">
        <f>IF(H$25=0,0,H$25/AGR_fec!H$25)</f>
        <v>3.1024188000000006</v>
      </c>
      <c r="I51" s="265">
        <f>IF(I$25=0,0,I$25/AGR_fec!I$25)</f>
        <v>3.102418800000001</v>
      </c>
      <c r="J51" s="265">
        <f>IF(J$25=0,0,J$25/AGR_fec!J$25)</f>
        <v>3.1024188000000001</v>
      </c>
      <c r="K51" s="265">
        <f>IF(K$25=0,0,K$25/AGR_fec!K$25)</f>
        <v>3.1024187999999993</v>
      </c>
      <c r="L51" s="265">
        <f>IF(L$25=0,0,L$25/AGR_fec!L$25)</f>
        <v>3.1024187999999988</v>
      </c>
      <c r="M51" s="265">
        <f>IF(M$25=0,0,M$25/AGR_fec!M$25)</f>
        <v>3.1024187999999984</v>
      </c>
      <c r="N51" s="265">
        <f>IF(N$25=0,0,N$25/AGR_fec!N$25)</f>
        <v>3.1024187999999993</v>
      </c>
      <c r="O51" s="265">
        <f>IF(O$25=0,0,O$25/AGR_fec!O$25)</f>
        <v>3.1024187999999997</v>
      </c>
      <c r="P51" s="265">
        <f>IF(P$25=0,0,P$25/AGR_fec!P$25)</f>
        <v>3.1024188000000006</v>
      </c>
      <c r="Q51" s="265">
        <f>IF(Q$25=0,0,Q$25/AGR_fec!Q$25)</f>
        <v>3.102418800000001</v>
      </c>
      <c r="R51" s="265">
        <f>IF(R$25=0,0,R$25/AGR_fec!R$25)</f>
        <v>3.102418800000001</v>
      </c>
      <c r="S51" s="265">
        <f>IF(S$25=0,0,S$25/AGR_fec!S$25)</f>
        <v>3.1024187999999997</v>
      </c>
      <c r="T51" s="265">
        <f>IF(T$25=0,0,T$25/AGR_fec!T$25)</f>
        <v>3.0964256742894873</v>
      </c>
      <c r="U51" s="265">
        <f>IF(U$25=0,0,U$25/AGR_fec!U$25)</f>
        <v>3.0978847291998139</v>
      </c>
      <c r="V51" s="265">
        <f>IF(V$25=0,0,V$25/AGR_fec!V$25)</f>
        <v>3.099372148174715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902E63-F36C-42FA-A583-B228DEBF2D03}"/>
</file>

<file path=customXml/itemProps2.xml><?xml version="1.0" encoding="utf-8"?>
<ds:datastoreItem xmlns:ds="http://schemas.openxmlformats.org/officeDocument/2006/customXml" ds:itemID="{9DE0EE4B-571D-4F80-BCFE-41BC139BE95D}"/>
</file>

<file path=customXml/itemProps3.xml><?xml version="1.0" encoding="utf-8"?>
<ds:datastoreItem xmlns:ds="http://schemas.openxmlformats.org/officeDocument/2006/customXml" ds:itemID="{613CEF08-B6F8-40DB-B591-F8682F051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2024-05-20T16:49:18Z</dcterms:created>
  <dcterms:modified xsi:type="dcterms:W3CDTF">2024-05-20T16:49:18Z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