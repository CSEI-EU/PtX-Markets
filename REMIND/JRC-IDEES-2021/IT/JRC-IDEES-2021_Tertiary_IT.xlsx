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T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M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K31" i="6" l="1"/>
  <c r="H31" i="6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9" i="29" l="1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9" i="25" l="1"/>
  <c r="U15" i="24"/>
  <c r="U19" i="23"/>
  <c r="W3" i="31"/>
  <c r="V4" i="14"/>
  <c r="W3" i="29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U3" i="25" s="1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W3" i="12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R90" i="6" l="1"/>
  <c r="L90" i="6"/>
  <c r="V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G19" i="23" s="1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I4" i="13" l="1"/>
  <c r="G16" i="12"/>
  <c r="E16" i="23"/>
  <c r="E4" i="13"/>
  <c r="O29" i="13"/>
  <c r="C17" i="16"/>
  <c r="D16" i="14"/>
  <c r="D16" i="17" s="1"/>
  <c r="F16" i="12"/>
  <c r="P29" i="12"/>
  <c r="P29" i="15" s="1"/>
  <c r="O29" i="12"/>
  <c r="P16" i="25"/>
  <c r="P19" i="13"/>
  <c r="G29" i="12"/>
  <c r="G29" i="13"/>
  <c r="K4" i="24"/>
  <c r="K4" i="27" s="1"/>
  <c r="K19" i="12"/>
  <c r="E19" i="24"/>
  <c r="I4" i="23"/>
  <c r="I4" i="26" s="1"/>
  <c r="O29" i="23"/>
  <c r="G16" i="13"/>
  <c r="N29" i="23"/>
  <c r="C19" i="13"/>
  <c r="C19" i="16" s="1"/>
  <c r="K19" i="24"/>
  <c r="K19" i="27" s="1"/>
  <c r="O19" i="23"/>
  <c r="O19" i="26" s="1"/>
  <c r="Q29" i="24"/>
  <c r="Q29" i="27" s="1"/>
  <c r="G29" i="24"/>
  <c r="G29" i="27" s="1"/>
  <c r="C19" i="12"/>
  <c r="C19" i="15" s="1"/>
  <c r="P16" i="23"/>
  <c r="M4" i="14"/>
  <c r="O16" i="13"/>
  <c r="O16" i="16" s="1"/>
  <c r="O16" i="23"/>
  <c r="O16" i="26" s="1"/>
  <c r="F19" i="12"/>
  <c r="M16" i="24"/>
  <c r="M16" i="27" s="1"/>
  <c r="J4" i="23"/>
  <c r="J4" i="26" s="1"/>
  <c r="P19" i="12"/>
  <c r="P19" i="15" s="1"/>
  <c r="H4" i="24"/>
  <c r="M4" i="12"/>
  <c r="O19" i="24"/>
  <c r="O19" i="27" s="1"/>
  <c r="P16" i="24"/>
  <c r="L19" i="13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D4" i="13"/>
  <c r="D4" i="16" s="1"/>
  <c r="N16" i="12"/>
  <c r="N16" i="15" s="1"/>
  <c r="E16" i="12"/>
  <c r="E16" i="15" s="1"/>
  <c r="I16" i="14"/>
  <c r="Q4" i="23"/>
  <c r="J29" i="24"/>
  <c r="J29" i="27" s="1"/>
  <c r="P16" i="13"/>
  <c r="P16" i="16" s="1"/>
  <c r="C29" i="12"/>
  <c r="G16" i="24"/>
  <c r="G16" i="27" s="1"/>
  <c r="I4" i="12"/>
  <c r="I4" i="15" s="1"/>
  <c r="L16" i="13"/>
  <c r="L16" i="16" s="1"/>
  <c r="B29" i="13"/>
  <c r="L4" i="24"/>
  <c r="Q29" i="23"/>
  <c r="Q29" i="26" s="1"/>
  <c r="G16" i="25"/>
  <c r="G16" i="28" s="1"/>
  <c r="Q4" i="24"/>
  <c r="D4" i="23"/>
  <c r="D4" i="26" s="1"/>
  <c r="C29" i="13"/>
  <c r="C29" i="16" s="1"/>
  <c r="B29" i="12"/>
  <c r="H19" i="24"/>
  <c r="H19" i="27" s="1"/>
  <c r="Q4" i="12"/>
  <c r="B4" i="14"/>
  <c r="B4" i="17" s="1"/>
  <c r="N19" i="12"/>
  <c r="N19" i="15" s="1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B4" i="16" s="1"/>
  <c r="M4" i="23"/>
  <c r="M4" i="26" s="1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19" i="13"/>
  <c r="I19" i="24"/>
  <c r="I19" i="27" s="1"/>
  <c r="K16" i="23"/>
  <c r="E29" i="13"/>
  <c r="E29" i="16" s="1"/>
  <c r="L16" i="24"/>
  <c r="L16" i="27" s="1"/>
  <c r="M4" i="13"/>
  <c r="M4" i="16" s="1"/>
  <c r="D27" i="13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3"/>
  <c r="E15" i="26" s="1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5" s="1"/>
  <c r="E27" i="13"/>
  <c r="E27" i="16" s="1"/>
  <c r="E19" i="23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M4" i="24"/>
  <c r="I19" i="23"/>
  <c r="I19" i="26" s="1"/>
  <c r="Q19" i="23"/>
  <c r="G15" i="23"/>
  <c r="G15" i="24"/>
  <c r="G15" i="27" s="1"/>
  <c r="H27" i="23"/>
  <c r="H27" i="26" s="1"/>
  <c r="H27" i="24"/>
  <c r="H27" i="27" s="1"/>
  <c r="Q29" i="13"/>
  <c r="I16" i="12"/>
  <c r="I16" i="15" s="1"/>
  <c r="F29" i="13"/>
  <c r="D29" i="13"/>
  <c r="C4" i="23"/>
  <c r="C4" i="26" s="1"/>
  <c r="K4" i="23"/>
  <c r="K4" i="26" s="1"/>
  <c r="M19" i="13"/>
  <c r="M19" i="16" s="1"/>
  <c r="N4" i="21"/>
  <c r="N4" i="24"/>
  <c r="N4" i="27" s="1"/>
  <c r="P4" i="13"/>
  <c r="G29" i="23"/>
  <c r="B19" i="13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4"/>
  <c r="L27" i="27" s="1"/>
  <c r="O19" i="12"/>
  <c r="O19" i="15" s="1"/>
  <c r="G27" i="24"/>
  <c r="G27" i="27" s="1"/>
  <c r="G27" i="23"/>
  <c r="G27" i="26" s="1"/>
  <c r="L4" i="13"/>
  <c r="K4" i="12"/>
  <c r="K4" i="15" s="1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Q19" i="27" s="1"/>
  <c r="K15" i="23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4"/>
  <c r="L15" i="27" s="1"/>
  <c r="J27" i="12"/>
  <c r="J27" i="15" s="1"/>
  <c r="J27" i="13"/>
  <c r="J27" i="16" s="1"/>
  <c r="E16" i="24"/>
  <c r="D16" i="12"/>
  <c r="M15" i="23"/>
  <c r="M15" i="26" s="1"/>
  <c r="M15" i="24"/>
  <c r="M15" i="27" s="1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H29" i="16" s="1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B19" i="15" s="1"/>
  <c r="I27" i="23"/>
  <c r="I27" i="26" s="1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C15" i="26" s="1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E15" i="27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O31" i="15"/>
  <c r="O16" i="17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G16" i="21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1"/>
  <c r="H19" i="21"/>
  <c r="D3" i="19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0"/>
  <c r="O19" i="10"/>
  <c r="O29" i="16"/>
  <c r="O29" i="10"/>
  <c r="N4" i="15"/>
  <c r="N3" i="8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0"/>
  <c r="C29" i="10"/>
  <c r="B4" i="15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44" i="4"/>
  <c r="B21" i="4"/>
  <c r="B11" i="4"/>
  <c r="B26" i="4"/>
  <c r="B39" i="4"/>
  <c r="B9" i="4"/>
  <c r="B30" i="4"/>
  <c r="B28" i="4"/>
  <c r="B10" i="4"/>
  <c r="B35" i="4"/>
  <c r="B42" i="4"/>
  <c r="B17" i="4"/>
  <c r="B25" i="4"/>
  <c r="B12" i="4"/>
  <c r="B24" i="4"/>
  <c r="B16" i="4"/>
  <c r="B8" i="4"/>
  <c r="B29" i="4"/>
  <c r="B22" i="4"/>
  <c r="B13" i="4"/>
  <c r="B38" i="4"/>
  <c r="B4" i="4"/>
  <c r="B15" i="4"/>
  <c r="B7" i="4"/>
  <c r="B27" i="4"/>
  <c r="B45" i="4"/>
  <c r="B33" i="4"/>
  <c r="B43" i="4"/>
  <c r="B20" i="4"/>
  <c r="B37" i="4"/>
  <c r="B36" i="4"/>
  <c r="B14" i="4"/>
  <c r="B23" i="4"/>
  <c r="B34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<sst xmlns="http://schemas.openxmlformats.org/spreadsheetml/2006/main" count="2099" uniqueCount="1055">
  <si>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</si>
  <si>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</si>
  <si>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</si>
  <si>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</si>
  <si>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</si>
  <si>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</si>
  <si>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</si>
  <si>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</si>
  <si>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</si>
  <si>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</si>
  <si>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</si>
  <si>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</si>
  <si>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</si>
  <si>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</si>
  <si>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</si>
  <si>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</si>
  <si>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</si>
  <si>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</si>
  <si>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</si>
  <si>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</si>
  <si>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</si>
  <si>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</si>
  <si>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</si>
  <si>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</si>
  <si>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</si>
  <si>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</si>
  <si>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</si>
  <si>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</si>
  <si>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</si>
  <si>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</si>
  <si>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</si>
  <si>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</si>
  <si>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</si>
  <si>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</si>
  <si>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</si>
  <si>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</si>
  <si>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</si>
  <si>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</si>
  <si>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</si>
  <si>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</si>
  <si>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</si>
  <si>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</si>
  <si>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</si>
  <si>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</si>
  <si>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</si>
  <si>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</si>
  <si>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</si>
  <si>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</si>
  <si>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</si>
  <si>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</si>
  <si>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</si>
  <si>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</si>
  <si>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</si>
  <si>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</si>
  <si>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</si>
  <si>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</si>
  <si>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</si>
  <si>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</si>
  <si>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</si>
  <si>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</si>
  <si>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</si>
  <si>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</si>
  <si>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</si>
  <si>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</si>
  <si>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</si>
  <si>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</si>
  <si>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</si>
  <si>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</si>
  <si>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</si>
  <si>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</si>
  <si>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</si>
  <si>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</si>
  <si>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</si>
  <si>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</si>
  <si>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</si>
  <si>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</si>
  <si>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</si>
  <si>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</si>
  <si>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</si>
  <si>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</si>
  <si>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</si>
  <si>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</si>
  <si>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</si>
  <si>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</si>
  <si>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</si>
  <si>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</si>
  <si>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</si>
  <si>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</si>
  <si>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</si>
  <si>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</si>
  <si>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</si>
  <si>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</si>
  <si>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</si>
  <si>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</si>
  <si>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</si>
  <si>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</si>
  <si>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</si>
  <si>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</si>
  <si>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</si>
  <si>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</si>
  <si>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</si>
  <si>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</si>
  <si>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</si>
  <si>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</si>
  <si>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</si>
  <si>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</si>
  <si>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</si>
  <si>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</si>
  <si>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</si>
  <si>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</si>
  <si>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</si>
  <si>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</si>
  <si>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</si>
  <si>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</si>
  <si>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</si>
  <si>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</si>
  <si>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</si>
  <si>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</si>
  <si>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</si>
  <si>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</si>
  <si>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</si>
  <si>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</si>
  <si>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</si>
  <si>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</si>
  <si>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</si>
  <si>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</si>
  <si>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</si>
  <si>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</si>
  <si>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</si>
  <si>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</si>
  <si>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</si>
  <si>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</si>
  <si>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</si>
  <si>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</si>
  <si>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</si>
  <si>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</si>
  <si>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</si>
  <si>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</si>
  <si>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</si>
  <si>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</si>
  <si>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</si>
  <si>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</si>
  <si>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</si>
  <si>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</si>
  <si>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</si>
  <si>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</si>
  <si>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</si>
  <si>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</si>
  <si>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</si>
  <si>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</si>
  <si>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</si>
  <si>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</si>
  <si>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</si>
  <si>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</si>
  <si>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</si>
  <si>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</si>
  <si>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</si>
  <si>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</si>
  <si>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</si>
  <si>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</si>
  <si>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</si>
  <si>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</si>
  <si>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</si>
  <si>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</si>
  <si>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</si>
  <si>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</si>
  <si>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</si>
  <si>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</si>
  <si>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</si>
  <si>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</si>
  <si>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</si>
  <si>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</si>
  <si>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</si>
  <si>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</si>
  <si>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</si>
  <si>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</si>
  <si>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</si>
  <si>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</si>
  <si>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</si>
  <si>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</si>
  <si>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</si>
  <si>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</si>
  <si>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</si>
  <si>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</si>
  <si>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IT</t>
  </si>
  <si>
    <t>Italy</t>
  </si>
  <si>
    <t>IT - Services sector summary</t>
  </si>
  <si>
    <t>Macro.number.IT.Population</t>
  </si>
  <si>
    <t>Macro.Meuro2015.IT.GDP</t>
  </si>
  <si>
    <t>Macro.Meuro2015.IT.VA</t>
  </si>
  <si>
    <t>Macro.number.IT.Employees</t>
  </si>
  <si>
    <t>NUM.number.IT.Ser.Bld</t>
  </si>
  <si>
    <t>SurfaceArea.ksqm.IT.Ser.Bld</t>
  </si>
  <si>
    <t>NUM.number.IT.Ser.BldNew</t>
  </si>
  <si>
    <t>SurfaceArea.ksqm.IT.Ser.BldNew</t>
  </si>
  <si>
    <t>HDD.Celsius.IT.Actual</t>
  </si>
  <si>
    <t>HDD.Celsius.IT.Mean</t>
  </si>
  <si>
    <t>HDD.ratio.IT.Relative</t>
  </si>
  <si>
    <t>FEC.ktoe.IT.ES.Ser</t>
  </si>
  <si>
    <t>FEC.ktoe.IT.ES.Ser.Solids</t>
  </si>
  <si>
    <t>FEC.ktoe.IT.ES.Ser.LPG</t>
  </si>
  <si>
    <t>FEC.ktoe.IT.ES.Ser.Oil</t>
  </si>
  <si>
    <t>FEC.ktoe.IT.ES.Ser.NG</t>
  </si>
  <si>
    <t>FEC.ktoe.IT.ES.Ser.Biomass_Waste</t>
  </si>
  <si>
    <t>FEC.ktoe.IT.ES.Ser.Biogas</t>
  </si>
  <si>
    <t>FEC.ktoe.IT.ES.Ser.LiqBio</t>
  </si>
  <si>
    <t>FEC.ktoe.IT.ES.Ser.Solar</t>
  </si>
  <si>
    <t>FEC.ktoe.IT.ES.Ser.Geo</t>
  </si>
  <si>
    <t>FEC.ktoe.IT.ES.Ser.Ambient</t>
  </si>
  <si>
    <t>FEC.ktoe.IT.ES.Ser.Steam_Distr</t>
  </si>
  <si>
    <t>FEC.ktoe.IT.ES.Ser.Elec</t>
  </si>
  <si>
    <t>FEC.ktoe.IT.Ser</t>
  </si>
  <si>
    <t>FEC.ktoe.IT.Ser.Bld.Thermal</t>
  </si>
  <si>
    <t>FEC.ktoe.IT.Ser.Bld.Thermal.SH</t>
  </si>
  <si>
    <t>FEC.ktoe.IT.Ser.Bld.Thermal.SC</t>
  </si>
  <si>
    <t>FEC.ktoe.IT.Ser.Bld.Thermal.HW</t>
  </si>
  <si>
    <t>FEC.ktoe.IT.Ser.Bld.Thermal.CA</t>
  </si>
  <si>
    <t>FEC.ktoe.IT.Ser.SEU</t>
  </si>
  <si>
    <t>EMI.ktCO2.IT.ES.Ser</t>
  </si>
  <si>
    <t>EMI.ktCO2.IT.ES.Ser.Solids</t>
  </si>
  <si>
    <t>EMI.ktCO2.IT.ES.Ser.LPG</t>
  </si>
  <si>
    <t>EMI.ktCO2.IT.ES.Ser.Oil</t>
  </si>
  <si>
    <t>EMI.ktCO2.IT.ES.Ser.NG</t>
  </si>
  <si>
    <t>EMI.ktCO2.IT.ES.Ser.Biomass_Waste</t>
  </si>
  <si>
    <t>EMI.ktCO2.IT.ES.Ser.Biogas</t>
  </si>
  <si>
    <t>EMI.ktCO2.IT.ES.Ser.LiqBio</t>
  </si>
  <si>
    <t>EMI.ktCO2.IT.ES.Ser.Solar</t>
  </si>
  <si>
    <t>EMI.ktCO2.IT.ES.Ser.Geo</t>
  </si>
  <si>
    <t>EMI.ktCO2.IT.ES.Ser.Ambient</t>
  </si>
  <si>
    <t>EMI.ktCO2.IT.ES.Ser.Steam_Distr</t>
  </si>
  <si>
    <t>EMI.ktCO2.IT.ES.Ser.Elec</t>
  </si>
  <si>
    <t>EMI.ktCO2.IT.Ser</t>
  </si>
  <si>
    <t>EMI.ktCO2.IT.Ser.Bld.Thermal</t>
  </si>
  <si>
    <t>EMI.ktCO2.IT.Ser.Bld.Thermal.SH</t>
  </si>
  <si>
    <t>EMI.ktCO2.IT.Ser.Bld.Thermal.SC</t>
  </si>
  <si>
    <t>EMI.ktCO2.IT.Ser.Bld.Thermal.HW</t>
  </si>
  <si>
    <t>EMI.ktCO2.IT.Ser.Bld.Thermal.CA</t>
  </si>
  <si>
    <t>EMI.ktCO2.IT.Ser.SEU</t>
  </si>
  <si>
    <t>Eff.ratio.IT.Ser.Bld.Thermal</t>
  </si>
  <si>
    <t>Eff.ratio.IT.Ser.Bld.Thermal.SH</t>
  </si>
  <si>
    <t>Eff.ratio.IT.Ser.Bld.Thermal.SC</t>
  </si>
  <si>
    <t>Eff.ratio.IT.Ser.Bld.Thermal.HW</t>
  </si>
  <si>
    <t>Eff.ratio.IT.Ser.Bld.Thermal.CA</t>
  </si>
  <si>
    <t>IT - Number of buildings</t>
  </si>
  <si>
    <t>NUM.number.IT.Ser.Bld.Thermal</t>
  </si>
  <si>
    <t>NUM.number.IT.Ser.Bld.Thermal.SH</t>
  </si>
  <si>
    <t>NUM.number.IT.Ser.Bld.Thermal.SH.Solids</t>
  </si>
  <si>
    <t>NUM.number.IT.Ser.Bld.Thermal.SH.LPG</t>
  </si>
  <si>
    <t>NUM.number.IT.Ser.Bld.Thermal.SH.Oil</t>
  </si>
  <si>
    <t>NUM.number.IT.Ser.Bld.Thermal.SH.GasHP</t>
  </si>
  <si>
    <t>NUM.number.IT.Ser.Bld.Thermal.SH.GasTH</t>
  </si>
  <si>
    <t>NUM.number.IT.Ser.Bld.Thermal.SH.Biomass</t>
  </si>
  <si>
    <t>NUM.number.IT.Ser.Bld.Thermal.SH.Geo</t>
  </si>
  <si>
    <t>NUM.number.IT.Ser.Bld.Thermal.SH.DistrHeat</t>
  </si>
  <si>
    <t>NUM.number.IT.Ser.Bld.Thermal.SH.AdvElc</t>
  </si>
  <si>
    <t>NUM.number.IT.Ser.Bld.Thermal.SH.ConvElc</t>
  </si>
  <si>
    <t>NUM.number.IT.Ser.Bld.Thermal.SC</t>
  </si>
  <si>
    <t>NUM.number.IT.Ser.Bld.Thermal.SC.GasHP</t>
  </si>
  <si>
    <t>NUM.number.IT.Ser.Bld.Thermal.SC.AC</t>
  </si>
  <si>
    <t>NUM.number.IT.Ser.Bld.Thermal.HW</t>
  </si>
  <si>
    <t>NUM.number.IT.Ser.Bld.Thermal.HW.Solids</t>
  </si>
  <si>
    <t>NUM.number.IT.Ser.Bld.Thermal.HW.LPG</t>
  </si>
  <si>
    <t>NUM.number.IT.Ser.Bld.Thermal.HW.Oil</t>
  </si>
  <si>
    <t>NUM.number.IT.Ser.Bld.Thermal.HW.Gas</t>
  </si>
  <si>
    <t>NUM.number.IT.Ser.Bld.Thermal.HW.Biomass</t>
  </si>
  <si>
    <t>NUM.number.IT.Ser.Bld.Thermal.HW.DistrHeat</t>
  </si>
  <si>
    <t>NUM.number.IT.Ser.Bld.Thermal.HW.Elc</t>
  </si>
  <si>
    <t>NUM.number.IT.Ser.Bld.Thermal.HW.Solar</t>
  </si>
  <si>
    <t>NUM.number.IT.Ser.Bld.Thermal.CA</t>
  </si>
  <si>
    <t>NUM.number.IT.Ser.Bld.Thermal.CA.LPG</t>
  </si>
  <si>
    <t>NUM.number.IT.Ser.Bld.Thermal.CA.Gas</t>
  </si>
  <si>
    <t>NUM.number.IT.Ser.Bld.Thermal.CA.Biomass</t>
  </si>
  <si>
    <t>NUM.number.IT.Ser.Bld.Thermal.CA.Elc</t>
  </si>
  <si>
    <t>IT - Final energy consumption</t>
  </si>
  <si>
    <t>FEC.ktoe.IT.Ser.Bld.Thermal.SH.Solids.Solids</t>
  </si>
  <si>
    <t>FEC.ktoe.IT.Ser.Bld.Thermal.SH.LPG.LPG</t>
  </si>
  <si>
    <t>FEC.ktoe.IT.Ser.Bld.Thermal.SH.Oil.Oil_LiqBio</t>
  </si>
  <si>
    <t>FEC.ktoe.IT.Ser.Bld.Thermal.SH.GasHP.NG_Biogas</t>
  </si>
  <si>
    <t>FEC.ktoe.IT.Ser.Bld.Thermal.SH.GasTH.NG_Biogas</t>
  </si>
  <si>
    <t>FEC.ktoe.IT.Ser.Bld.Thermal.SH.Biomass.Biomass_Waste</t>
  </si>
  <si>
    <t>FEC.ktoe.IT.Ser.Bld.Thermal.SH.Geo.Geo</t>
  </si>
  <si>
    <t>FEC.ktoe.IT.Ser.Bld.Thermal.SH.DistrHeat.Steam_Distr</t>
  </si>
  <si>
    <t>FEC.ktoe.IT.Ser.Bld.Thermal.SH.AdvElc.Elec</t>
  </si>
  <si>
    <t>FEC.ktoe.IT.Ser.Bld.Thermal.SH.ConvElc.Elec</t>
  </si>
  <si>
    <t>FEC.ktoe.IT.Ser.Bld.Thermal.SH.TotalCirculation.Elec</t>
  </si>
  <si>
    <t>FEC.ktoe.IT.Ser.Bld.Thermal.SC.GasHP.NG_Biogas</t>
  </si>
  <si>
    <t>FEC.ktoe.IT.Ser.Bld.Thermal.SC.AC.Elec</t>
  </si>
  <si>
    <t>FEC.ktoe.IT.Ser.Bld.Thermal.HW.Solids.Solids</t>
  </si>
  <si>
    <t>FEC.ktoe.IT.Ser.Bld.Thermal.HW.LPG.LPG</t>
  </si>
  <si>
    <t>FEC.ktoe.IT.Ser.Bld.Thermal.HW.Oil.Oil_LiqBio</t>
  </si>
  <si>
    <t>FEC.ktoe.IT.Ser.Bld.Thermal.HW.Gas.NG_Biogas</t>
  </si>
  <si>
    <t>FEC.ktoe.IT.Ser.Bld.Thermal.HW.Biomass.Biomass_Waste</t>
  </si>
  <si>
    <t>FEC.ktoe.IT.Ser.Bld.Thermal.HW.DistrHeat.Steam_Distr</t>
  </si>
  <si>
    <t>FEC.ktoe.IT.Ser.Bld.Thermal.HW.Elc.Elec</t>
  </si>
  <si>
    <t>FEC.ktoe.IT.Ser.Bld.Thermal.HW.TotalSolar.Solar</t>
  </si>
  <si>
    <t>FEC.ktoe.IT.Ser.Bld.Thermal.CA.LPG</t>
  </si>
  <si>
    <t>FEC.ktoe.IT.Ser.Bld.Thermal.CA.Gas.NG_Biogas</t>
  </si>
  <si>
    <t>FEC.ktoe.IT.Ser.Bld.Thermal.CA.Biomass.Biomass_Waste</t>
  </si>
  <si>
    <t>FEC.ktoe.IT.Ser.Bld.Thermal.CA.Elc.Elec</t>
  </si>
  <si>
    <t>IT - Thermal energy service</t>
  </si>
  <si>
    <t>TES.ktoe.IT.Ser.Bld.Thermal</t>
  </si>
  <si>
    <t>TES.ktoe.IT.Ser.Bld.Thermal.SH</t>
  </si>
  <si>
    <t>TES.ktoe.IT.Ser.Bld.Thermal.SH.Solids.Solids</t>
  </si>
  <si>
    <t>TES.ktoe.IT.Ser.Bld.Thermal.SH.LPG.LPG</t>
  </si>
  <si>
    <t>TES.ktoe.IT.Ser.Bld.Thermal.SH.Oil.Oil_LiqBio</t>
  </si>
  <si>
    <t>TES.ktoe.IT.Ser.Bld.Thermal.SH.GasHP.NG_Biogas</t>
  </si>
  <si>
    <t>TES.ktoe.IT.Ser.Bld.Thermal.SH.GasTH.NG_Biogas</t>
  </si>
  <si>
    <t>TES.ktoe.IT.Ser.Bld.Thermal.SH.Biomass.Biomass_Waste</t>
  </si>
  <si>
    <t>TES.ktoe.IT.Ser.Bld.Thermal.SH.Geo.Geo</t>
  </si>
  <si>
    <t>TES.ktoe.IT.Ser.Bld.Thermal.SH.DistrHeat.Steam_Distr</t>
  </si>
  <si>
    <t>TES.ktoe.IT.Ser.Bld.Thermal.SH.AdvElc.Elec</t>
  </si>
  <si>
    <t>TES.ktoe.IT.Ser.Bld.Thermal.SH.ConvElc.Elec</t>
  </si>
  <si>
    <t>TES.ktoe.IT.Ser.Bld.Thermal.SH.TotalCirculation.Elec</t>
  </si>
  <si>
    <t>TES.ktoe.IT.Ser.Bld.Thermal.SC</t>
  </si>
  <si>
    <t>TES.ktoe.IT.Ser.Bld.Thermal.SC.GasHP.NG_Biogas</t>
  </si>
  <si>
    <t>TES.ktoe.IT.Ser.Bld.Thermal.SC.AC.Elec</t>
  </si>
  <si>
    <t>TES.ktoe.IT.Ser.Bld.Thermal.HW</t>
  </si>
  <si>
    <t>TES.ktoe.IT.Ser.Bld.Thermal.HW.Solids.Solids</t>
  </si>
  <si>
    <t>TES.ktoe.IT.Ser.Bld.Thermal.HW.LPG.LPG</t>
  </si>
  <si>
    <t>TES.ktoe.IT.Ser.Bld.Thermal.HW.Oil.Oil_LiqBio</t>
  </si>
  <si>
    <t>TES.ktoe.IT.Ser.Bld.Thermal.HW.Gas.NG_Biogas</t>
  </si>
  <si>
    <t>TES.ktoe.IT.Ser.Bld.Thermal.HW.Biomass.Biomass_Waste</t>
  </si>
  <si>
    <t>TES.ktoe.IT.Ser.Bld.Thermal.HW.DistrHeat.Steam_Distr</t>
  </si>
  <si>
    <t>TES.ktoe.IT.Ser.Bld.Thermal.HW.Elc.Elec</t>
  </si>
  <si>
    <t>TES.ktoe.IT.Ser.Bld.Thermal.HW.TotalSolar.Solar</t>
  </si>
  <si>
    <t>TES.ktoe.IT.Ser.Bld.Thermal.CA</t>
  </si>
  <si>
    <t>TES.ktoe.IT.Ser.Bld.Thermal.CA.LPG</t>
  </si>
  <si>
    <t>TES.ktoe.IT.Ser.Bld.Thermal.CA.Gas.NG_Biogas</t>
  </si>
  <si>
    <t>TES.ktoe.IT.Ser.Bld.Thermal.CA.Biomass.Biomass_Waste</t>
  </si>
  <si>
    <t>TES.ktoe.IT.Ser.Bld.Thermal.CA.Elc.Elec</t>
  </si>
  <si>
    <t>IT - System efficiency indicator of total stock</t>
  </si>
  <si>
    <t>Eff.ratio.IT.Ser.Bld.Thermal.SH.Solids.Solids</t>
  </si>
  <si>
    <t>Eff.ratio.IT.Ser.Bld.Thermal.SH.LPG.LPG</t>
  </si>
  <si>
    <t>Eff.ratio.IT.Ser.Bld.Thermal.SH.Oil.Oil_LiqBio</t>
  </si>
  <si>
    <t>Eff.ratio.IT.Ser.Bld.Thermal.SH.GasHP.NG_Biogas</t>
  </si>
  <si>
    <t>Eff.ratio.IT.Ser.Bld.Thermal.SH.GasTH.NG_Biogas</t>
  </si>
  <si>
    <t>Eff.ratio.IT.Ser.Bld.Thermal.SH.Biomass.Biomass_Waste</t>
  </si>
  <si>
    <t>Eff.ratio.IT.Ser.Bld.Thermal.SH.Geo.Geo</t>
  </si>
  <si>
    <t>Eff.ratio.IT.Ser.Bld.Thermal.SH.DistrHeat.Steam_Distr</t>
  </si>
  <si>
    <t>Eff.ratio.IT.Ser.Bld.Thermal.SH.AdvElc.Elec</t>
  </si>
  <si>
    <t>Eff.ratio.IT.Ser.Bld.Thermal.SH.ConvElc.Elec</t>
  </si>
  <si>
    <t>Eff.ratio.IT.Ser.Bld.Thermal.SH.TotalCirculation.Elec</t>
  </si>
  <si>
    <t>Eff.ratio.IT.Ser.Bld.Thermal.SC.GasHP.NG_Biogas</t>
  </si>
  <si>
    <t>Eff.ratio.IT.Ser.Bld.Thermal.SC.AC.Elec</t>
  </si>
  <si>
    <t>Eff.ratio.IT.Ser.Bld.Thermal.HW.Solids.Solids</t>
  </si>
  <si>
    <t>Eff.ratio.IT.Ser.Bld.Thermal.HW.LPG.LPG</t>
  </si>
  <si>
    <t>Eff.ratio.IT.Ser.Bld.Thermal.HW.Oil.Oil_LiqBio</t>
  </si>
  <si>
    <t>Eff.ratio.IT.Ser.Bld.Thermal.HW.Gas.NG_Biogas</t>
  </si>
  <si>
    <t>Eff.ratio.IT.Ser.Bld.Thermal.HW.Biomass.Biomass_Waste</t>
  </si>
  <si>
    <t>Eff.ratio.IT.Ser.Bld.Thermal.HW.DistrHeat.Steam_Distr</t>
  </si>
  <si>
    <t>Eff.ratio.IT.Ser.Bld.Thermal.HW.Elc.Elec</t>
  </si>
  <si>
    <t>Eff.ratio.IT.Ser.Bld.Thermal.HW.TotalSolar.Solar</t>
  </si>
  <si>
    <t>Eff.ratio.IT.Ser.Bld.Thermal.CA.LPG</t>
  </si>
  <si>
    <t>Eff.ratio.IT.Ser.Bld.Thermal.CA.Gas.NG_Biogas</t>
  </si>
  <si>
    <t>Eff.ratio.IT.Ser.Bld.Thermal.CA.Biomass.Biomass_Waste</t>
  </si>
  <si>
    <t>Eff.ratio.IT.Ser.Bld.Thermal.CA.Elc.Elec</t>
  </si>
  <si>
    <t>IT - CO2 emissions</t>
  </si>
  <si>
    <t>EMI.ktCO2.IT.Ser.Bld.Thermal.SH.Solids.Solids</t>
  </si>
  <si>
    <t>EMI.ktCO2.IT.Ser.Bld.Thermal.SH.LPG.LPG</t>
  </si>
  <si>
    <t>EMI.ktCO2.IT.Ser.Bld.Thermal.SH.Oil.Oil_LiqBio</t>
  </si>
  <si>
    <t>EMI.ktCO2.IT.Ser.Bld.Thermal.SH.GasHP.NG_Biogas</t>
  </si>
  <si>
    <t>EMI.ktCO2.IT.Ser.Bld.Thermal.SH.GasTH.NG_Biogas</t>
  </si>
  <si>
    <t>EMI.ktCO2.IT.Ser.Bld.Thermal.SH.Biomass.Biomass_Waste</t>
  </si>
  <si>
    <t>EMI.ktCO2.IT.Ser.Bld.Thermal.SH.Geo.Geo</t>
  </si>
  <si>
    <t>EMI.ktCO2.IT.Ser.Bld.Thermal.SH.DistrHeat.Steam_Distr</t>
  </si>
  <si>
    <t>EMI.ktCO2.IT.Ser.Bld.Thermal.SH.AdvElc.Elec</t>
  </si>
  <si>
    <t>EMI.ktCO2.IT.Ser.Bld.Thermal.SH.ConvElc.Elec</t>
  </si>
  <si>
    <t>EMI.ktCO2.IT.Ser.Bld.Thermal.SH.TotalCirculation.Elec</t>
  </si>
  <si>
    <t>EMI.ktCO2.IT.Ser.Bld.Thermal.SC.GasHP.NG_Biogas</t>
  </si>
  <si>
    <t>EMI.ktCO2.IT.Ser.Bld.Thermal.SC.AC.Elec</t>
  </si>
  <si>
    <t>EMI.ktCO2.IT.Ser.Bld.Thermal.HW.Solids.Solids</t>
  </si>
  <si>
    <t>EMI.ktCO2.IT.Ser.Bld.Thermal.HW.LPG.LPG</t>
  </si>
  <si>
    <t>EMI.ktCO2.IT.Ser.Bld.Thermal.HW.Oil.Oil_LiqBio</t>
  </si>
  <si>
    <t>EMI.ktCO2.IT.Ser.Bld.Thermal.HW.Gas.NG_Biogas</t>
  </si>
  <si>
    <t>EMI.ktCO2.IT.Ser.Bld.Thermal.HW.Biomass.Biomass_Waste</t>
  </si>
  <si>
    <t>EMI.ktCO2.IT.Ser.Bld.Thermal.HW.DistrHeat.Steam_Distr</t>
  </si>
  <si>
    <t>EMI.ktCO2.IT.Ser.Bld.Thermal.HW.Elc.Elec</t>
  </si>
  <si>
    <t>EMI.ktCO2.IT.Ser.Bld.Thermal.HW.TotalSolar.Solar</t>
  </si>
  <si>
    <t>EMI.ktCO2.IT.Ser.Bld.Thermal.CA.LPG</t>
  </si>
  <si>
    <t>EMI.ktCO2.IT.Ser.Bld.Thermal.CA.Gas.NG_Biogas</t>
  </si>
  <si>
    <t>EMI.ktCO2.IT.Ser.Bld.Thermal.CA.Biomass.Biomass_Waste</t>
  </si>
  <si>
    <t>EMI.ktCO2.IT.Ser.Bld.Thermal.CA.Elc.Elec</t>
  </si>
  <si>
    <t>IT - Final energy consumption per building</t>
  </si>
  <si>
    <t>FEC_per_building.kWh.IT.Ser.Bld.Thermal</t>
  </si>
  <si>
    <t>FEC_per_building.kWh.IT.Ser.Bld.Thermal.SH</t>
  </si>
  <si>
    <t>FEC_per_building.kWh.IT.Ser.Bld.Thermal.SH.Solids.Solids</t>
  </si>
  <si>
    <t>FEC_per_building.kWh.IT.Ser.Bld.Thermal.SH.LPG.LPG</t>
  </si>
  <si>
    <t>FEC_per_building.kWh.IT.Ser.Bld.Thermal.SH.Oil.Oil_LiqBio</t>
  </si>
  <si>
    <t>FEC_per_building.kWh.IT.Ser.Bld.Thermal.SH.GasHP.NG_Biogas</t>
  </si>
  <si>
    <t>FEC_per_building.kWh.IT.Ser.Bld.Thermal.SH.GasTH.NG_Biogas</t>
  </si>
  <si>
    <t>FEC_per_building.kWh.IT.Ser.Bld.Thermal.SH.Biomass.Biomass_Waste</t>
  </si>
  <si>
    <t>FEC_per_building.kWh.IT.Ser.Bld.Thermal.SH.Geo.Geo</t>
  </si>
  <si>
    <t>FEC_per_building.kWh.IT.Ser.Bld.Thermal.SH.DistrHeat.Steam_Distr</t>
  </si>
  <si>
    <t>FEC_per_building.kWh.IT.Ser.Bld.Thermal.SH.AdvElc.Elec</t>
  </si>
  <si>
    <t>FEC_per_building.kWh.IT.Ser.Bld.Thermal.SH.ConvElc.Elec</t>
  </si>
  <si>
    <t>FEC_per_building.kWh.IT.Ser.Bld.Thermal.SH.TotalCirculation.Elec</t>
  </si>
  <si>
    <t>FEC_per_building.kWh.IT.Ser.Bld.Thermal.SC</t>
  </si>
  <si>
    <t>FEC_per_building.kWh.IT.Ser.Bld.Thermal.SC.GasHP.NG_Biogas</t>
  </si>
  <si>
    <t>FEC_per_building.kWh.IT.Ser.Bld.Thermal.SC.AC.Elec</t>
  </si>
  <si>
    <t>FEC_per_building.kWh.IT.Ser.Bld.Thermal.HW</t>
  </si>
  <si>
    <t>FEC_per_building.kWh.IT.Ser.Bld.Thermal.HW.Solids.Solids</t>
  </si>
  <si>
    <t>FEC_per_building.kWh.IT.Ser.Bld.Thermal.HW.LPG.LPG</t>
  </si>
  <si>
    <t>FEC_per_building.kWh.IT.Ser.Bld.Thermal.HW.Oil.Oil_LiqBio</t>
  </si>
  <si>
    <t>FEC_per_building.kWh.IT.Ser.Bld.Thermal.HW.Gas.NG_Biogas</t>
  </si>
  <si>
    <t>FEC_per_building.kWh.IT.Ser.Bld.Thermal.HW.Biomass.Biomass_Waste</t>
  </si>
  <si>
    <t>FEC_per_building.kWh.IT.Ser.Bld.Thermal.HW.DistrHeat.Steam_Distr</t>
  </si>
  <si>
    <t>FEC_per_building.kWh.IT.Ser.Bld.Thermal.HW.Elc.Elec</t>
  </si>
  <si>
    <t>FEC_per_building.kWh.IT.Ser.Bld.Thermal.HW.TotalSolar.Solar</t>
  </si>
  <si>
    <t>FEC_per_building.kWh.IT.Ser.Bld.Thermal.CA</t>
  </si>
  <si>
    <t>FEC_per_building.kWh.IT.Ser.Bld.Thermal.CA.LPG</t>
  </si>
  <si>
    <t>FEC_per_building.kWh.IT.Ser.Bld.Thermal.CA.Gas.NG_Biogas</t>
  </si>
  <si>
    <t>FEC_per_building.kWh.IT.Ser.Bld.Thermal.CA.Biomass.Biomass_Waste</t>
  </si>
  <si>
    <t>FEC_per_building.kWh.IT.Ser.Bld.Thermal.CA.Elc.Elec</t>
  </si>
  <si>
    <t>IT - Thermal energy service per building</t>
  </si>
  <si>
    <t>TES_per_building.kWh.IT.Ser.Bld.Thermal</t>
  </si>
  <si>
    <t>TES_per_building.kWh.IT.Ser.Bld.Thermal.SH</t>
  </si>
  <si>
    <t>TES_per_building.kWh.IT.Ser.Bld.Thermal.SH.Solids.Solids</t>
  </si>
  <si>
    <t>TES_per_building.kWh.IT.Ser.Bld.Thermal.SH.LPG.LPG</t>
  </si>
  <si>
    <t>TES_per_building.kWh.IT.Ser.Bld.Thermal.SH.Oil.Oil_LiqBio</t>
  </si>
  <si>
    <t>TES_per_building.kWh.IT.Ser.Bld.Thermal.SH.GasHP.NG_Biogas</t>
  </si>
  <si>
    <t>TES_per_building.kWh.IT.Ser.Bld.Thermal.SH.GasTH.NG_Biogas</t>
  </si>
  <si>
    <t>TES_per_building.kWh.IT.Ser.Bld.Thermal.SH.Biomass.Biomass_Waste</t>
  </si>
  <si>
    <t>TES_per_building.kWh.IT.Ser.Bld.Thermal.SH.Geo.Geo</t>
  </si>
  <si>
    <t>TES_per_building.kWh.IT.Ser.Bld.Thermal.SH.DistrHeat.Steam_Distr</t>
  </si>
  <si>
    <t>TES_per_building.kWh.IT.Ser.Bld.Thermal.SH.AdvElc.Elec</t>
  </si>
  <si>
    <t>TES_per_building.kWh.IT.Ser.Bld.Thermal.SH.ConvElc.Elec</t>
  </si>
  <si>
    <t>TES_per_building.kWh.IT.Ser.Bld.Thermal.SH.TotalCirculation.Elec</t>
  </si>
  <si>
    <t>TES_per_building.kWh.IT.Ser.Bld.Thermal.SC</t>
  </si>
  <si>
    <t>TES_per_building.kWh.IT.Ser.Bld.Thermal.SC.GasHP.NG_Biogas</t>
  </si>
  <si>
    <t>TES_per_building.kWh.IT.Ser.Bld.Thermal.SC.AC.Elec</t>
  </si>
  <si>
    <t>TES_per_building.kWh.IT.Ser.Bld.Thermal.HW</t>
  </si>
  <si>
    <t>TES_per_building.kWh.IT.Ser.Bld.Thermal.HW.Solids.Solids</t>
  </si>
  <si>
    <t>TES_per_building.kWh.IT.Ser.Bld.Thermal.HW.LPG.LPG</t>
  </si>
  <si>
    <t>TES_per_building.kWh.IT.Ser.Bld.Thermal.HW.Oil.Oil_LiqBio</t>
  </si>
  <si>
    <t>TES_per_building.kWh.IT.Ser.Bld.Thermal.HW.Gas.NG_Biogas</t>
  </si>
  <si>
    <t>TES_per_building.kWh.IT.Ser.Bld.Thermal.HW.Biomass.Biomass_Waste</t>
  </si>
  <si>
    <t>TES_per_building.kWh.IT.Ser.Bld.Thermal.HW.DistrHeat.Steam_Distr</t>
  </si>
  <si>
    <t>TES_per_building.kWh.IT.Ser.Bld.Thermal.HW.Elc.Elec</t>
  </si>
  <si>
    <t>TES_per_building.kWh.IT.Ser.Bld.Thermal.HW.TotalSolar.Solar</t>
  </si>
  <si>
    <t>TES_per_building.kWh.IT.Ser.Bld.Thermal.CA</t>
  </si>
  <si>
    <t>TES_per_building.kWh.IT.Ser.Bld.Thermal.CA.LPG</t>
  </si>
  <si>
    <t>TES_per_building.kWh.IT.Ser.Bld.Thermal.CA.Gas.NG_Biogas</t>
  </si>
  <si>
    <t>TES_per_building.kWh.IT.Ser.Bld.Thermal.CA.Biomass.Biomass_Waste</t>
  </si>
  <si>
    <t>TES_per_building.kWh.IT.Ser.Bld.Thermal.CA.Elc.Elec</t>
  </si>
  <si>
    <t>IT - CO2 emissions per building</t>
  </si>
  <si>
    <t>EMI_per_building.kgCO2.IT.Ser.Bld.Thermal</t>
  </si>
  <si>
    <t>EMI_per_building.kgCO2.IT.Ser.Bld.Thermal.SH</t>
  </si>
  <si>
    <t>EMI_per_building.kgCO2.IT.Ser.Bld.Thermal.SH.Solids.Solids</t>
  </si>
  <si>
    <t>EMI_per_building.kgCO2.IT.Ser.Bld.Thermal.SH.LPG.LPG</t>
  </si>
  <si>
    <t>EMI_per_building.kgCO2.IT.Ser.Bld.Thermal.SH.Oil.Oil_LiqBio</t>
  </si>
  <si>
    <t>EMI_per_building.kgCO2.IT.Ser.Bld.Thermal.SH.GasHP.NG_Biogas</t>
  </si>
  <si>
    <t>EMI_per_building.kgCO2.IT.Ser.Bld.Thermal.SH.GasTH.NG_Biogas</t>
  </si>
  <si>
    <t>EMI_per_building.kgCO2.IT.Ser.Bld.Thermal.SH.Biomass.Biomass_Waste</t>
  </si>
  <si>
    <t>EMI_per_building.kgCO2.IT.Ser.Bld.Thermal.SH.Geo.Geo</t>
  </si>
  <si>
    <t>EMI_per_building.kgCO2.IT.Ser.Bld.Thermal.SH.DistrHeat.Steam_Distr</t>
  </si>
  <si>
    <t>EMI_per_building.kgCO2.IT.Ser.Bld.Thermal.SH.AdvElc.Elec</t>
  </si>
  <si>
    <t>EMI_per_building.kgCO2.IT.Ser.Bld.Thermal.SH.ConvElc.Elec</t>
  </si>
  <si>
    <t>EMI_per_building.kgCO2.IT.Ser.Bld.Thermal.SH.TotalCirculation.Elec</t>
  </si>
  <si>
    <t>EMI_per_building.kgCO2.IT.Ser.Bld.Thermal.SC</t>
  </si>
  <si>
    <t>EMI_per_building.kgCO2.IT.Ser.Bld.Thermal.SC.GasHP.NG_Biogas</t>
  </si>
  <si>
    <t>EMI_per_building.kgCO2.IT.Ser.Bld.Thermal.SC.AC.Elec</t>
  </si>
  <si>
    <t>EMI_per_building.kgCO2.IT.Ser.Bld.Thermal.HW</t>
  </si>
  <si>
    <t>EMI_per_building.kgCO2.IT.Ser.Bld.Thermal.HW.Solids.Solids</t>
  </si>
  <si>
    <t>EMI_per_building.kgCO2.IT.Ser.Bld.Thermal.HW.LPG.LPG</t>
  </si>
  <si>
    <t>EMI_per_building.kgCO2.IT.Ser.Bld.Thermal.HW.Oil.Oil_LiqBio</t>
  </si>
  <si>
    <t>EMI_per_building.kgCO2.IT.Ser.Bld.Thermal.HW.Gas.NG_Biogas</t>
  </si>
  <si>
    <t>EMI_per_building.kgCO2.IT.Ser.Bld.Thermal.HW.Biomass.Biomass_Waste</t>
  </si>
  <si>
    <t>EMI_per_building.kgCO2.IT.Ser.Bld.Thermal.HW.DistrHeat.Steam_Distr</t>
  </si>
  <si>
    <t>EMI_per_building.kgCO2.IT.Ser.Bld.Thermal.HW.Elc.Elec</t>
  </si>
  <si>
    <t>EMI_per_building.kgCO2.IT.Ser.Bld.Thermal.HW.TotalSolar.Solar</t>
  </si>
  <si>
    <t>EMI_per_building.kgCO2.IT.Ser.Bld.Thermal.CA</t>
  </si>
  <si>
    <t>EMI_per_building.kgCO2.IT.Ser.Bld.Thermal.CA.LPG</t>
  </si>
  <si>
    <t>EMI_per_building.kgCO2.IT.Ser.Bld.Thermal.CA.Gas.NG_Biogas</t>
  </si>
  <si>
    <t>EMI_per_building.kgCO2.IT.Ser.Bld.Thermal.CA.Biomass.Biomass_Waste</t>
  </si>
  <si>
    <t>EMI_per_building.kgCO2.IT.Ser.Bld.Thermal.CA.Elc.Elec</t>
  </si>
  <si>
    <t>IT - Final energy consumption per useful surface area</t>
  </si>
  <si>
    <t>FEC_per_sqm.kWh.IT.Ser.Bld.Thermal</t>
  </si>
  <si>
    <t>FEC_per_sqm.kWh.IT.Ser.Bld.Thermal.SH</t>
  </si>
  <si>
    <t>FEC_per_sqm.kWh.IT.Ser.Bld.Thermal.SH.Solids.Solids</t>
  </si>
  <si>
    <t>FEC_per_sqm.kWh.IT.Ser.Bld.Thermal.SH.LPG.LPG</t>
  </si>
  <si>
    <t>FEC_per_sqm.kWh.IT.Ser.Bld.Thermal.SH.Oil.Oil_LiqBio</t>
  </si>
  <si>
    <t>FEC_per_sqm.kWh.IT.Ser.Bld.Thermal.SH.GasHP.NG_Biogas</t>
  </si>
  <si>
    <t>FEC_per_sqm.kWh.IT.Ser.Bld.Thermal.SH.GasTH.NG_Biogas</t>
  </si>
  <si>
    <t>FEC_per_sqm.kWh.IT.Ser.Bld.Thermal.SH.Biomass.Biomass_Waste</t>
  </si>
  <si>
    <t>FEC_per_sqm.kWh.IT.Ser.Bld.Thermal.SH.Geo.Geo</t>
  </si>
  <si>
    <t>FEC_per_sqm.kWh.IT.Ser.Bld.Thermal.SH.DistrHeat.Steam_Distr</t>
  </si>
  <si>
    <t>FEC_per_sqm.kWh.IT.Ser.Bld.Thermal.SH.AdvElc.Elec</t>
  </si>
  <si>
    <t>FEC_per_sqm.kWh.IT.Ser.Bld.Thermal.SH.ConvElc.Elec</t>
  </si>
  <si>
    <t>FEC_per_sqm.kWh.IT.Ser.Bld.Thermal.SH.TotalCirculation.Elec</t>
  </si>
  <si>
    <t>FEC_per_sqm.kWh.IT.Ser.Bld.Thermal.SC</t>
  </si>
  <si>
    <t>FEC_per_sqm.kWh.IT.Ser.Bld.Thermal.SC.GasHP.NG_Biogas</t>
  </si>
  <si>
    <t>FEC_per_sqm.kWh.IT.Ser.Bld.Thermal.SC.AC.Elec</t>
  </si>
  <si>
    <t>FEC_per_sqm.kWh.IT.Ser.Bld.Thermal.HW</t>
  </si>
  <si>
    <t>FEC_per_sqm.kWh.IT.Ser.Bld.Thermal.HW.Solids.Solids</t>
  </si>
  <si>
    <t>FEC_per_sqm.kWh.IT.Ser.Bld.Thermal.HW.LPG.LPG</t>
  </si>
  <si>
    <t>FEC_per_sqm.kWh.IT.Ser.Bld.Thermal.HW.Oil.Oil_LiqBio</t>
  </si>
  <si>
    <t>FEC_per_sqm.kWh.IT.Ser.Bld.Thermal.HW.Gas.NG_Biogas</t>
  </si>
  <si>
    <t>FEC_per_sqm.kWh.IT.Ser.Bld.Thermal.HW.Biomass.Biomass_Waste</t>
  </si>
  <si>
    <t>FEC_per_sqm.kWh.IT.Ser.Bld.Thermal.HW.DistrHeat.Steam_Distr</t>
  </si>
  <si>
    <t>FEC_per_sqm.kWh.IT.Ser.Bld.Thermal.HW.Elc.Elec</t>
  </si>
  <si>
    <t>FEC_per_sqm.kWh.IT.Ser.Bld.Thermal.HW.TotalSolar.Solar</t>
  </si>
  <si>
    <t>FEC_per_sqm.kWh.IT.Ser.Bld.Thermal.CA</t>
  </si>
  <si>
    <t>FEC_per_sqm.kWh.IT.Ser.Bld.Thermal.CA.LPG</t>
  </si>
  <si>
    <t>FEC_per_sqm.kWh.IT.Ser.Bld.Thermal.CA.Gas.NG_Biogas</t>
  </si>
  <si>
    <t>FEC_per_sqm.kWh.IT.Ser.Bld.Thermal.CA.Biomass.Biomass_Waste</t>
  </si>
  <si>
    <t>FEC_per_sqm.kWh.IT.Ser.Bld.Thermal.CA.Elc.Elec</t>
  </si>
  <si>
    <t>IT - Thermal energy service per useful surface area</t>
  </si>
  <si>
    <t>TES_per_sqm.kWh.IT.Ser.Bld.Thermal</t>
  </si>
  <si>
    <t>TES_per_sqm.kWh.IT.Ser.Bld.Thermal.SH</t>
  </si>
  <si>
    <t>TES_per_sqm.kWh.IT.Ser.Bld.Thermal.SH.Solids.Solids</t>
  </si>
  <si>
    <t>TES_per_sqm.kWh.IT.Ser.Bld.Thermal.SH.LPG.LPG</t>
  </si>
  <si>
    <t>TES_per_sqm.kWh.IT.Ser.Bld.Thermal.SH.Oil.Oil_LiqBio</t>
  </si>
  <si>
    <t>TES_per_sqm.kWh.IT.Ser.Bld.Thermal.SH.GasHP.NG_Biogas</t>
  </si>
  <si>
    <t>TES_per_sqm.kWh.IT.Ser.Bld.Thermal.SH.GasTH.NG_Biogas</t>
  </si>
  <si>
    <t>TES_per_sqm.kWh.IT.Ser.Bld.Thermal.SH.Biomass.Biomass_Waste</t>
  </si>
  <si>
    <t>TES_per_sqm.kWh.IT.Ser.Bld.Thermal.SH.Geo.Geo</t>
  </si>
  <si>
    <t>TES_per_sqm.kWh.IT.Ser.Bld.Thermal.SH.DistrHeat.Steam_Distr</t>
  </si>
  <si>
    <t>TES_per_sqm.kWh.IT.Ser.Bld.Thermal.SH.AdvElc.Elec</t>
  </si>
  <si>
    <t>TES_per_sqm.kWh.IT.Ser.Bld.Thermal.SH.ConvElc.Elec</t>
  </si>
  <si>
    <t>TES_per_sqm.kWh.IT.Ser.Bld.Thermal.SH.TotalCirculation.Elec</t>
  </si>
  <si>
    <t>TES_per_sqm.kWh.IT.Ser.Bld.Thermal.SC</t>
  </si>
  <si>
    <t>TES_per_sqm.kWh.IT.Ser.Bld.Thermal.SC.GasHP.NG_Biogas</t>
  </si>
  <si>
    <t>TES_per_sqm.kWh.IT.Ser.Bld.Thermal.SC.AC.Elec</t>
  </si>
  <si>
    <t>TES_per_sqm.kWh.IT.Ser.Bld.Thermal.HW</t>
  </si>
  <si>
    <t>TES_per_sqm.kWh.IT.Ser.Bld.Thermal.HW.Solids.Solids</t>
  </si>
  <si>
    <t>TES_per_sqm.kWh.IT.Ser.Bld.Thermal.HW.LPG.LPG</t>
  </si>
  <si>
    <t>TES_per_sqm.kWh.IT.Ser.Bld.Thermal.HW.Oil.Oil_LiqBio</t>
  </si>
  <si>
    <t>TES_per_sqm.kWh.IT.Ser.Bld.Thermal.HW.Gas.NG_Biogas</t>
  </si>
  <si>
    <t>TES_per_sqm.kWh.IT.Ser.Bld.Thermal.HW.Biomass.Biomass_Waste</t>
  </si>
  <si>
    <t>TES_per_sqm.kWh.IT.Ser.Bld.Thermal.HW.DistrHeat.Steam_Distr</t>
  </si>
  <si>
    <t>TES_per_sqm.kWh.IT.Ser.Bld.Thermal.HW.Elc.Elec</t>
  </si>
  <si>
    <t>TES_per_sqm.kWh.IT.Ser.Bld.Thermal.HW.TotalSolar.Solar</t>
  </si>
  <si>
    <t>TES_per_sqm.kWh.IT.Ser.Bld.Thermal.CA</t>
  </si>
  <si>
    <t>TES_per_sqm.kWh.IT.Ser.Bld.Thermal.CA.LPG</t>
  </si>
  <si>
    <t>TES_per_sqm.kWh.IT.Ser.Bld.Thermal.CA.Gas.NG_Biogas</t>
  </si>
  <si>
    <t>TES_per_sqm.kWh.IT.Ser.Bld.Thermal.CA.Biomass.Biomass_Waste</t>
  </si>
  <si>
    <t>TES_per_sqm.kWh.IT.Ser.Bld.Thermal.CA.Elc.Elec</t>
  </si>
  <si>
    <t>IT - CO2 emissions per useful surface area</t>
  </si>
  <si>
    <t>EMI_per_sqm.kgCO2.IT.Ser.Bld.Thermal</t>
  </si>
  <si>
    <t>EMI_per_sqm.kgCO2.IT.Ser.Bld.Thermal.SH</t>
  </si>
  <si>
    <t>EMI_per_sqm.kgCO2.IT.Ser.Bld.Thermal.SH.Solids.Solids</t>
  </si>
  <si>
    <t>EMI_per_sqm.kgCO2.IT.Ser.Bld.Thermal.SH.LPG.LPG</t>
  </si>
  <si>
    <t>EMI_per_sqm.kgCO2.IT.Ser.Bld.Thermal.SH.Oil.Oil_LiqBio</t>
  </si>
  <si>
    <t>EMI_per_sqm.kgCO2.IT.Ser.Bld.Thermal.SH.GasHP.NG_Biogas</t>
  </si>
  <si>
    <t>EMI_per_sqm.kgCO2.IT.Ser.Bld.Thermal.SH.GasTH.NG_Biogas</t>
  </si>
  <si>
    <t>EMI_per_sqm.kgCO2.IT.Ser.Bld.Thermal.SH.Biomass.Biomass_Waste</t>
  </si>
  <si>
    <t>EMI_per_sqm.kgCO2.IT.Ser.Bld.Thermal.SH.Geo.Geo</t>
  </si>
  <si>
    <t>EMI_per_sqm.kgCO2.IT.Ser.Bld.Thermal.SH.DistrHeat.Steam_Distr</t>
  </si>
  <si>
    <t>EMI_per_sqm.kgCO2.IT.Ser.Bld.Thermal.SH.AdvElc.Elec</t>
  </si>
  <si>
    <t>EMI_per_sqm.kgCO2.IT.Ser.Bld.Thermal.SH.ConvElc.Elec</t>
  </si>
  <si>
    <t>EMI_per_sqm.kgCO2.IT.Ser.Bld.Thermal.SH.TotalCirculation.Elec</t>
  </si>
  <si>
    <t>EMI_per_sqm.kgCO2.IT.Ser.Bld.Thermal.SC</t>
  </si>
  <si>
    <t>EMI_per_sqm.kgCO2.IT.Ser.Bld.Thermal.SC.GasHP.NG_Biogas</t>
  </si>
  <si>
    <t>EMI_per_sqm.kgCO2.IT.Ser.Bld.Thermal.SC.AC.Elec</t>
  </si>
  <si>
    <t>EMI_per_sqm.kgCO2.IT.Ser.Bld.Thermal.HW</t>
  </si>
  <si>
    <t>EMI_per_sqm.kgCO2.IT.Ser.Bld.Thermal.HW.Solids.Solids</t>
  </si>
  <si>
    <t>EMI_per_sqm.kgCO2.IT.Ser.Bld.Thermal.HW.LPG.LPG</t>
  </si>
  <si>
    <t>EMI_per_sqm.kgCO2.IT.Ser.Bld.Thermal.HW.Oil.Oil_LiqBio</t>
  </si>
  <si>
    <t>EMI_per_sqm.kgCO2.IT.Ser.Bld.Thermal.HW.Gas.NG_Biogas</t>
  </si>
  <si>
    <t>EMI_per_sqm.kgCO2.IT.Ser.Bld.Thermal.HW.Biomass.Biomass_Waste</t>
  </si>
  <si>
    <t>EMI_per_sqm.kgCO2.IT.Ser.Bld.Thermal.HW.DistrHeat.Steam_Distr</t>
  </si>
  <si>
    <t>EMI_per_sqm.kgCO2.IT.Ser.Bld.Thermal.HW.Elc.Elec</t>
  </si>
  <si>
    <t>EMI_per_sqm.kgCO2.IT.Ser.Bld.Thermal.HW.TotalSolar.Solar</t>
  </si>
  <si>
    <t>EMI_per_sqm.kgCO2.IT.Ser.Bld.Thermal.CA</t>
  </si>
  <si>
    <t>EMI_per_sqm.kgCO2.IT.Ser.Bld.Thermal.CA.LPG</t>
  </si>
  <si>
    <t>EMI_per_sqm.kgCO2.IT.Ser.Bld.Thermal.CA.Gas.NG_Biogas</t>
  </si>
  <si>
    <t>EMI_per_sqm.kgCO2.IT.Ser.Bld.Thermal.CA.Biomass.Biomass_Waste</t>
  </si>
  <si>
    <t>EMI_per_sqm.kgCO2.IT.Ser.Bld.Thermal.CA.Elc.Elec</t>
  </si>
  <si>
    <t>IT - Number of new and renovated buildings</t>
  </si>
  <si>
    <t>NUM.number.IT.Ser.BldNew.Thermal</t>
  </si>
  <si>
    <t>NUM.number.IT.Ser.BldNew.Thermal.SH</t>
  </si>
  <si>
    <t>NUM.number.IT.Ser.BldNew.Thermal.SH.Solids</t>
  </si>
  <si>
    <t>NUM.number.IT.Ser.BldNew.Thermal.SH.LPG</t>
  </si>
  <si>
    <t>NUM.number.IT.Ser.BldNew.Thermal.SH.Oil</t>
  </si>
  <si>
    <t>NUM.number.IT.Ser.BldNew.Thermal.SH.GasHP</t>
  </si>
  <si>
    <t>NUM.number.IT.Ser.BldNew.Thermal.SH.GasTH</t>
  </si>
  <si>
    <t>NUM.number.IT.Ser.BldNew.Thermal.SH.Biomass</t>
  </si>
  <si>
    <t>NUM.number.IT.Ser.BldNew.Thermal.SH.Geo</t>
  </si>
  <si>
    <t>NUM.number.IT.Ser.BldNew.Thermal.SH.DistrHeat</t>
  </si>
  <si>
    <t>NUM.number.IT.Ser.BldNew.Thermal.SH.AdvElc</t>
  </si>
  <si>
    <t>NUM.number.IT.Ser.BldNew.Thermal.SH.ConvElc</t>
  </si>
  <si>
    <t>NUM.number.IT.Ser.BldNew.Thermal.SC</t>
  </si>
  <si>
    <t>NUM.number.IT.Ser.BldNew.Thermal.SC.GasHP</t>
  </si>
  <si>
    <t>NUM.number.IT.Ser.BldNew.Thermal.SC.AC</t>
  </si>
  <si>
    <t>NUM.number.IT.Ser.BldNew.Thermal.HW</t>
  </si>
  <si>
    <t>NUM.number.IT.Ser.BldNew.Thermal.HW.Solids</t>
  </si>
  <si>
    <t>NUM.number.IT.Ser.BldNew.Thermal.HW.LPG</t>
  </si>
  <si>
    <t>NUM.number.IT.Ser.BldNew.Thermal.HW.Oil</t>
  </si>
  <si>
    <t>NUM.number.IT.Ser.BldNew.Thermal.HW.Gas</t>
  </si>
  <si>
    <t>NUM.number.IT.Ser.BldNew.Thermal.HW.Biomass</t>
  </si>
  <si>
    <t>NUM.number.IT.Ser.BldNew.Thermal.HW.DistrHeat</t>
  </si>
  <si>
    <t>NUM.number.IT.Ser.BldNew.Thermal.HW.Elc</t>
  </si>
  <si>
    <t>NUM.number.IT.Ser.BldNew.Thermal.HW.Solar</t>
  </si>
  <si>
    <t>NUM.number.IT.Ser.BldNew.Thermal.CA</t>
  </si>
  <si>
    <t>NUM.number.IT.Ser.BldNew.Thermal.CA.LPG</t>
  </si>
  <si>
    <t>NUM.number.IT.Ser.BldNew.Thermal.CA.Gas</t>
  </si>
  <si>
    <t>NUM.number.IT.Ser.BldNew.Thermal.CA.Biomass</t>
  </si>
  <si>
    <t>NUM.number.IT.Ser.BldNew.Thermal.CA.Elc</t>
  </si>
  <si>
    <t>IT - Final energy consumption in new and renovated buildings</t>
  </si>
  <si>
    <t>FEC.ktoe.IT.Ser.BldNew.Thermal</t>
  </si>
  <si>
    <t>FEC.ktoe.IT.Ser.BldNew.Thermal.SH</t>
  </si>
  <si>
    <t>FEC.ktoe.IT.Ser.BldNew.Thermal.SH.Solids.Solids</t>
  </si>
  <si>
    <t>FEC.ktoe.IT.Ser.BldNew.Thermal.SH.LPG.LPG</t>
  </si>
  <si>
    <t>FEC.ktoe.IT.Ser.BldNew.Thermal.SH.Oil.Oil_LiqBio</t>
  </si>
  <si>
    <t>FEC.ktoe.IT.Ser.BldNew.Thermal.SH.GasHP.NG_Biogas</t>
  </si>
  <si>
    <t>FEC.ktoe.IT.Ser.BldNew.Thermal.SH.GasTH.NG_Biogas</t>
  </si>
  <si>
    <t>FEC.ktoe.IT.Ser.BldNew.Thermal.SH.Biomass.Biomass_Waste</t>
  </si>
  <si>
    <t>FEC.ktoe.IT.Ser.BldNew.Thermal.SH.Geo.Geo</t>
  </si>
  <si>
    <t>FEC.ktoe.IT.Ser.BldNew.Thermal.SH.DistrHeat.Steam_Distr</t>
  </si>
  <si>
    <t>FEC.ktoe.IT.Ser.BldNew.Thermal.SH.AdvElc.Elec</t>
  </si>
  <si>
    <t>FEC.ktoe.IT.Ser.BldNew.Thermal.SH.ConvElc.Elec</t>
  </si>
  <si>
    <t>FEC.ktoe.IT.Ser.BldNew.Thermal.SH.TotalCirculation.Elec</t>
  </si>
  <si>
    <t>FEC.ktoe.IT.Ser.BldNew.Thermal.SC</t>
  </si>
  <si>
    <t>FEC.ktoe.IT.Ser.BldNew.Thermal.SC.GasHP.NG_Biogas</t>
  </si>
  <si>
    <t>FEC.ktoe.IT.Ser.BldNew.Thermal.SC.AC.Elec</t>
  </si>
  <si>
    <t>FEC.ktoe.IT.Ser.BldNew.Thermal.HW</t>
  </si>
  <si>
    <t>FEC.ktoe.IT.Ser.BldNew.Thermal.HW.Solids.Solids</t>
  </si>
  <si>
    <t>FEC.ktoe.IT.Ser.BldNew.Thermal.HW.LPG.LPG</t>
  </si>
  <si>
    <t>FEC.ktoe.IT.Ser.BldNew.Thermal.HW.Oil.Oil_LiqBio</t>
  </si>
  <si>
    <t>FEC.ktoe.IT.Ser.BldNew.Thermal.HW.Gas.NG_Biogas</t>
  </si>
  <si>
    <t>FEC.ktoe.IT.Ser.BldNew.Thermal.HW.Biomass.Biomass_Waste</t>
  </si>
  <si>
    <t>FEC.ktoe.IT.Ser.BldNew.Thermal.HW.DistrHeat.Steam_Distr</t>
  </si>
  <si>
    <t>FEC.ktoe.IT.Ser.BldNew.Thermal.HW.Elc.Elec</t>
  </si>
  <si>
    <t>FEC.ktoe.IT.Ser.BldNew.Thermal.HW.TotalSolar.Solar</t>
  </si>
  <si>
    <t>FEC.ktoe.IT.Ser.BldNew.Thermal.CA</t>
  </si>
  <si>
    <t>FEC.ktoe.IT.Ser.BldNew.Thermal.CA.LPG</t>
  </si>
  <si>
    <t>FEC.ktoe.IT.Ser.BldNew.Thermal.CA.Gas.NG_Biogas</t>
  </si>
  <si>
    <t>FEC.ktoe.IT.Ser.BldNew.Thermal.CA.Biomass.Biomass_Waste</t>
  </si>
  <si>
    <t>FEC.ktoe.IT.Ser.BldNew.Thermal.CA.Elc.Elec</t>
  </si>
  <si>
    <t>IT - Thermal energy service in new and renovated buildings</t>
  </si>
  <si>
    <t>TES.ktoe.IT.Ser.BldNew.Thermal</t>
  </si>
  <si>
    <t>TES.ktoe.IT.Ser.BldNew.Thermal.SH</t>
  </si>
  <si>
    <t>TES.ktoe.IT.Ser.BldNew.Thermal.SH.Solids.Solids</t>
  </si>
  <si>
    <t>TES.ktoe.IT.Ser.BldNew.Thermal.SH.LPG.LPG</t>
  </si>
  <si>
    <t>TES.ktoe.IT.Ser.BldNew.Thermal.SH.Oil.Oil_LiqBio</t>
  </si>
  <si>
    <t>TES.ktoe.IT.Ser.BldNew.Thermal.SH.GasHP.NG_Biogas</t>
  </si>
  <si>
    <t>TES.ktoe.IT.Ser.BldNew.Thermal.SH.GasTH.NG_Biogas</t>
  </si>
  <si>
    <t>TES.ktoe.IT.Ser.BldNew.Thermal.SH.Biomass.Biomass_Waste</t>
  </si>
  <si>
    <t>TES.ktoe.IT.Ser.BldNew.Thermal.SH.Geo.Geo</t>
  </si>
  <si>
    <t>TES.ktoe.IT.Ser.BldNew.Thermal.SH.DistrHeat.Steam_Distr</t>
  </si>
  <si>
    <t>TES.ktoe.IT.Ser.BldNew.Thermal.SH.AdvElc.Elec</t>
  </si>
  <si>
    <t>TES.ktoe.IT.Ser.BldNew.Thermal.SH.ConvElc.Elec</t>
  </si>
  <si>
    <t>TES.ktoe.IT.Ser.BldNew.Thermal.SH.TotalCirculation.Elec</t>
  </si>
  <si>
    <t>TES.ktoe.IT.Ser.BldNew.Thermal.SC</t>
  </si>
  <si>
    <t>TES.ktoe.IT.Ser.BldNew.Thermal.SC.GasHP.NG_Biogas</t>
  </si>
  <si>
    <t>TES.ktoe.IT.Ser.BldNew.Thermal.SC.AC.Elec</t>
  </si>
  <si>
    <t>TES.ktoe.IT.Ser.BldNew.Thermal.HW</t>
  </si>
  <si>
    <t>TES.ktoe.IT.Ser.BldNew.Thermal.HW.Solids.Solids</t>
  </si>
  <si>
    <t>TES.ktoe.IT.Ser.BldNew.Thermal.HW.LPG.LPG</t>
  </si>
  <si>
    <t>TES.ktoe.IT.Ser.BldNew.Thermal.HW.Oil.Oil_LiqBio</t>
  </si>
  <si>
    <t>TES.ktoe.IT.Ser.BldNew.Thermal.HW.Gas.NG_Biogas</t>
  </si>
  <si>
    <t>TES.ktoe.IT.Ser.BldNew.Thermal.HW.Biomass.Biomass_Waste</t>
  </si>
  <si>
    <t>TES.ktoe.IT.Ser.BldNew.Thermal.HW.DistrHeat.Steam_Distr</t>
  </si>
  <si>
    <t>TES.ktoe.IT.Ser.BldNew.Thermal.HW.Elc.Elec</t>
  </si>
  <si>
    <t>TES.ktoe.IT.Ser.BldNew.Thermal.HW.TotalSolar.Solar</t>
  </si>
  <si>
    <t>TES.ktoe.IT.Ser.BldNew.Thermal.CA</t>
  </si>
  <si>
    <t>TES.ktoe.IT.Ser.BldNew.Thermal.CA.LPG</t>
  </si>
  <si>
    <t>TES.ktoe.IT.Ser.BldNew.Thermal.CA.Gas.NG_Biogas</t>
  </si>
  <si>
    <t>TES.ktoe.IT.Ser.BldNew.Thermal.CA.Biomass.Biomass_Waste</t>
  </si>
  <si>
    <t>TES.ktoe.IT.Ser.BldNew.Thermal.CA.Elc.Elec</t>
  </si>
  <si>
    <t>IT - System efficiency indicator of new and renovated buildings</t>
  </si>
  <si>
    <t>Eff.ratio.IT.Ser.BldNew.Thermal</t>
  </si>
  <si>
    <t>Eff.ratio.IT.Ser.BldNew.Thermal.SH</t>
  </si>
  <si>
    <t>Eff.ratio.IT.Ser.BldNew.Thermal.SH.Solids.Solids</t>
  </si>
  <si>
    <t>Eff.ratio.IT.Ser.BldNew.Thermal.SH.LPG.LPG</t>
  </si>
  <si>
    <t>Eff.ratio.IT.Ser.BldNew.Thermal.SH.Oil.Oil_LiqBio</t>
  </si>
  <si>
    <t>Eff.ratio.IT.Ser.BldNew.Thermal.SH.GasHP.NG_Biogas</t>
  </si>
  <si>
    <t>Eff.ratio.IT.Ser.BldNew.Thermal.SH.GasTH.NG_Biogas</t>
  </si>
  <si>
    <t>Eff.ratio.IT.Ser.BldNew.Thermal.SH.Biomass.Biomass_Waste</t>
  </si>
  <si>
    <t>Eff.ratio.IT.Ser.BldNew.Thermal.SH.Geo.Geo</t>
  </si>
  <si>
    <t>Eff.ratio.IT.Ser.BldNew.Thermal.SH.DistrHeat.Steam_Distr</t>
  </si>
  <si>
    <t>Eff.ratio.IT.Ser.BldNew.Thermal.SH.AdvElc.Elec</t>
  </si>
  <si>
    <t>Eff.ratio.IT.Ser.BldNew.Thermal.SH.ConvElc.Elec</t>
  </si>
  <si>
    <t>Eff.ratio.IT.Ser.BldNew.Thermal.SH.TotalCirculation.Elec</t>
  </si>
  <si>
    <t>Eff.ratio.IT.Ser.BldNew.Thermal.SC</t>
  </si>
  <si>
    <t>Eff.ratio.IT.Ser.BldNew.Thermal.SC.GasHP.NG_Biogas</t>
  </si>
  <si>
    <t>Eff.ratio.IT.Ser.BldNew.Thermal.SC.AC.Elec</t>
  </si>
  <si>
    <t>Eff.ratio.IT.Ser.BldNew.Thermal.HW</t>
  </si>
  <si>
    <t>Eff.ratio.IT.Ser.BldNew.Thermal.HW.Solids.Solids</t>
  </si>
  <si>
    <t>Eff.ratio.IT.Ser.BldNew.Thermal.HW.LPG.LPG</t>
  </si>
  <si>
    <t>Eff.ratio.IT.Ser.BldNew.Thermal.HW.Oil.Oil_LiqBio</t>
  </si>
  <si>
    <t>Eff.ratio.IT.Ser.BldNew.Thermal.HW.Gas.NG_Biogas</t>
  </si>
  <si>
    <t>Eff.ratio.IT.Ser.BldNew.Thermal.HW.Biomass.Biomass_Waste</t>
  </si>
  <si>
    <t>Eff.ratio.IT.Ser.BldNew.Thermal.HW.DistrHeat.Steam_Distr</t>
  </si>
  <si>
    <t>Eff.ratio.IT.Ser.BldNew.Thermal.HW.Elc.Elec</t>
  </si>
  <si>
    <t>Eff.ratio.IT.Ser.BldNew.Thermal.HW.TotalSolar.Solar</t>
  </si>
  <si>
    <t>Eff.ratio.IT.Ser.BldNew.Thermal.CA</t>
  </si>
  <si>
    <t>Eff.ratio.IT.Ser.BldNew.Thermal.CA.LPG</t>
  </si>
  <si>
    <t>Eff.ratio.IT.Ser.BldNew.Thermal.CA.Gas.NG_Biogas</t>
  </si>
  <si>
    <t>Eff.ratio.IT.Ser.BldNew.Thermal.CA.Biomass.Biomass_Waste</t>
  </si>
  <si>
    <t>Eff.ratio.IT.Ser.BldNew.Thermal.CA.Elc.Elec</t>
  </si>
  <si>
    <t>IT - CO2 emissions in new and renovated buildings</t>
  </si>
  <si>
    <t>EMI.ktCO2.IT.Ser.BldNew.Thermal</t>
  </si>
  <si>
    <t>EMI.ktCO2.IT.Ser.BldNew.Thermal.SH</t>
  </si>
  <si>
    <t>EMI.ktCO2.IT.Ser.BldNew.Thermal.SH.Solids.Solids</t>
  </si>
  <si>
    <t>EMI.ktCO2.IT.Ser.BldNew.Thermal.SH.LPG.LPG</t>
  </si>
  <si>
    <t>EMI.ktCO2.IT.Ser.BldNew.Thermal.SH.Oil.Oil_LiqBio</t>
  </si>
  <si>
    <t>EMI.ktCO2.IT.Ser.BldNew.Thermal.SH.GasHP.NG_Biogas</t>
  </si>
  <si>
    <t>EMI.ktCO2.IT.Ser.BldNew.Thermal.SH.GasTH.NG_Biogas</t>
  </si>
  <si>
    <t>EMI.ktCO2.IT.Ser.BldNew.Thermal.SH.Biomass.Biomass_Waste</t>
  </si>
  <si>
    <t>EMI.ktCO2.IT.Ser.BldNew.Thermal.SH.Geo.Geo</t>
  </si>
  <si>
    <t>EMI.ktCO2.IT.Ser.BldNew.Thermal.SH.DistrHeat.Steam_Distr</t>
  </si>
  <si>
    <t>EMI.ktCO2.IT.Ser.BldNew.Thermal.SH.AdvElc.Elec</t>
  </si>
  <si>
    <t>EMI.ktCO2.IT.Ser.BldNew.Thermal.SH.ConvElc.Elec</t>
  </si>
  <si>
    <t>EMI.ktCO2.IT.Ser.BldNew.Thermal.SH.TotalCirculation.Elec</t>
  </si>
  <si>
    <t>EMI.ktCO2.IT.Ser.BldNew.Thermal.SC</t>
  </si>
  <si>
    <t>EMI.ktCO2.IT.Ser.BldNew.Thermal.SC.GasHP.NG_Biogas</t>
  </si>
  <si>
    <t>EMI.ktCO2.IT.Ser.BldNew.Thermal.SC.AC.Elec</t>
  </si>
  <si>
    <t>EMI.ktCO2.IT.Ser.BldNew.Thermal.HW</t>
  </si>
  <si>
    <t>EMI.ktCO2.IT.Ser.BldNew.Thermal.HW.Solids.Solids</t>
  </si>
  <si>
    <t>EMI.ktCO2.IT.Ser.BldNew.Thermal.HW.LPG.LPG</t>
  </si>
  <si>
    <t>EMI.ktCO2.IT.Ser.BldNew.Thermal.HW.Oil.Oil_LiqBio</t>
  </si>
  <si>
    <t>EMI.ktCO2.IT.Ser.BldNew.Thermal.HW.Gas.NG_Biogas</t>
  </si>
  <si>
    <t>EMI.ktCO2.IT.Ser.BldNew.Thermal.HW.Biomass.Biomass_Waste</t>
  </si>
  <si>
    <t>EMI.ktCO2.IT.Ser.BldNew.Thermal.HW.DistrHeat.Steam_Distr</t>
  </si>
  <si>
    <t>EMI.ktCO2.IT.Ser.BldNew.Thermal.HW.Elc.Elec</t>
  </si>
  <si>
    <t>EMI.ktCO2.IT.Ser.BldNew.Thermal.HW.TotalSolar.Solar</t>
  </si>
  <si>
    <t>EMI.ktCO2.IT.Ser.BldNew.Thermal.CA</t>
  </si>
  <si>
    <t>EMI.ktCO2.IT.Ser.BldNew.Thermal.CA.LPG</t>
  </si>
  <si>
    <t>EMI.ktCO2.IT.Ser.BldNew.Thermal.CA.Gas.NG_Biogas</t>
  </si>
  <si>
    <t>EMI.ktCO2.IT.Ser.BldNew.Thermal.CA.Biomass.Biomass_Waste</t>
  </si>
  <si>
    <t>EMI.ktCO2.IT.Ser.BldNew.Thermal.CA.Elc.Elec</t>
  </si>
  <si>
    <t>IT - Final energy consumption of new and renovated buildings (per building)</t>
  </si>
  <si>
    <t>FEC_per_building.kWh.IT.Ser.BldNew.Thermal</t>
  </si>
  <si>
    <t>FEC_per_building.kWh.IT.Ser.BldNew.Thermal.SH</t>
  </si>
  <si>
    <t>FEC_per_building.kWh.IT.Ser.BldNew.Thermal.SH.Solids.Solids</t>
  </si>
  <si>
    <t>FEC_per_building.kWh.IT.Ser.BldNew.Thermal.SH.LPG.LPG</t>
  </si>
  <si>
    <t>FEC_per_building.kWh.IT.Ser.BldNew.Thermal.SH.Oil.Oil_LiqBio</t>
  </si>
  <si>
    <t>FEC_per_building.kWh.IT.Ser.BldNew.Thermal.SH.GasHP.NG_Biogas</t>
  </si>
  <si>
    <t>FEC_per_building.kWh.IT.Ser.BldNew.Thermal.SH.GasTH.NG_Biogas</t>
  </si>
  <si>
    <t>FEC_per_building.kWh.IT.Ser.BldNew.Thermal.SH.Biomass.Biomass_Waste</t>
  </si>
  <si>
    <t>FEC_per_building.kWh.IT.Ser.BldNew.Thermal.SH.Geo.Geo</t>
  </si>
  <si>
    <t>FEC_per_building.kWh.IT.Ser.BldNew.Thermal.SH.DistrHeat.Steam_Distr</t>
  </si>
  <si>
    <t>FEC_per_building.kWh.IT.Ser.BldNew.Thermal.SH.AdvElc.Elec</t>
  </si>
  <si>
    <t>FEC_per_building.kWh.IT.Ser.BldNew.Thermal.SH.ConvElc.Elec</t>
  </si>
  <si>
    <t>FEC_per_building.kWh.IT.Ser.BldNew.Thermal.SH.TotalCirculation.Elec</t>
  </si>
  <si>
    <t>FEC_per_building.kWh.IT.Ser.BldNew.Thermal.SC</t>
  </si>
  <si>
    <t>FEC_per_building.kWh.IT.Ser.BldNew.Thermal.SC.GasHP.NG_Biogas</t>
  </si>
  <si>
    <t>FEC_per_building.kWh.IT.Ser.BldNew.Thermal.SC.AC.Elec</t>
  </si>
  <si>
    <t>FEC_per_building.kWh.IT.Ser.BldNew.Thermal.HW</t>
  </si>
  <si>
    <t>FEC_per_building.kWh.IT.Ser.BldNew.Thermal.HW.Solids.Solids</t>
  </si>
  <si>
    <t>FEC_per_building.kWh.IT.Ser.BldNew.Thermal.HW.LPG.LPG</t>
  </si>
  <si>
    <t>FEC_per_building.kWh.IT.Ser.BldNew.Thermal.HW.Oil.Oil_LiqBio</t>
  </si>
  <si>
    <t>FEC_per_building.kWh.IT.Ser.BldNew.Thermal.HW.Gas.NG_Biogas</t>
  </si>
  <si>
    <t>FEC_per_building.kWh.IT.Ser.BldNew.Thermal.HW.Biomass.Biomass_Waste</t>
  </si>
  <si>
    <t>FEC_per_building.kWh.IT.Ser.BldNew.Thermal.HW.DistrHeat.Steam_Distr</t>
  </si>
  <si>
    <t>FEC_per_building.kWh.IT.Ser.BldNew.Thermal.HW.Elc.Elec</t>
  </si>
  <si>
    <t>FEC_per_building.kWh.IT.Ser.BldNew.Thermal.HW.TotalSolar.Solar</t>
  </si>
  <si>
    <t>FEC_per_building.kWh.IT.Ser.BldNew.Thermal.CA</t>
  </si>
  <si>
    <t>FEC_per_building.kWh.IT.Ser.BldNew.Thermal.CA.LPG</t>
  </si>
  <si>
    <t>FEC_per_building.kWh.IT.Ser.BldNew.Thermal.CA.Gas.NG_Biogas</t>
  </si>
  <si>
    <t>FEC_per_building.kWh.IT.Ser.BldNew.Thermal.CA.Biomass.Biomass_Waste</t>
  </si>
  <si>
    <t>FEC_per_building.kWh.IT.Ser.BldNew.Thermal.CA.Elc.Elec</t>
  </si>
  <si>
    <t>IT - Thermal energy service of new and renovated buildings (per building)</t>
  </si>
  <si>
    <t>TES_per_building.kWh.IT.Ser.BldNew.Thermal</t>
  </si>
  <si>
    <t>TES_per_building.kWh.IT.Ser.BldNew.Thermal.SH</t>
  </si>
  <si>
    <t>TES_per_building.kWh.IT.Ser.BldNew.Thermal.SH.Solids.Solids</t>
  </si>
  <si>
    <t>TES_per_building.kWh.IT.Ser.BldNew.Thermal.SH.LPG.LPG</t>
  </si>
  <si>
    <t>TES_per_building.kWh.IT.Ser.BldNew.Thermal.SH.Oil.Oil_LiqBio</t>
  </si>
  <si>
    <t>TES_per_building.kWh.IT.Ser.BldNew.Thermal.SH.GasHP.NG_Biogas</t>
  </si>
  <si>
    <t>TES_per_building.kWh.IT.Ser.BldNew.Thermal.SH.GasTH.NG_Biogas</t>
  </si>
  <si>
    <t>TES_per_building.kWh.IT.Ser.BldNew.Thermal.SH.Biomass.Biomass_Waste</t>
  </si>
  <si>
    <t>TES_per_building.kWh.IT.Ser.BldNew.Thermal.SH.Geo.Geo</t>
  </si>
  <si>
    <t>TES_per_building.kWh.IT.Ser.BldNew.Thermal.SH.DistrHeat.Steam_Distr</t>
  </si>
  <si>
    <t>TES_per_building.kWh.IT.Ser.BldNew.Thermal.SH.AdvElc.Elec</t>
  </si>
  <si>
    <t>TES_per_building.kWh.IT.Ser.BldNew.Thermal.SH.ConvElc.Elec</t>
  </si>
  <si>
    <t>TES_per_building.kWh.IT.Ser.BldNew.Thermal.SH.TotalCirculation.Elec</t>
  </si>
  <si>
    <t>TES_per_building.kWh.IT.Ser.BldNew.Thermal.SC</t>
  </si>
  <si>
    <t>TES_per_building.kWh.IT.Ser.BldNew.Thermal.SC.GasHP.NG_Biogas</t>
  </si>
  <si>
    <t>TES_per_building.kWh.IT.Ser.BldNew.Thermal.SC.AC.Elec</t>
  </si>
  <si>
    <t>TES_per_building.kWh.IT.Ser.BldNew.Thermal.HW</t>
  </si>
  <si>
    <t>TES_per_building.kWh.IT.Ser.BldNew.Thermal.HW.Solids.Solids</t>
  </si>
  <si>
    <t>TES_per_building.kWh.IT.Ser.BldNew.Thermal.HW.LPG.LPG</t>
  </si>
  <si>
    <t>TES_per_building.kWh.IT.Ser.BldNew.Thermal.HW.Oil.Oil_LiqBio</t>
  </si>
  <si>
    <t>TES_per_building.kWh.IT.Ser.BldNew.Thermal.HW.Gas.NG_Biogas</t>
  </si>
  <si>
    <t>TES_per_building.kWh.IT.Ser.BldNew.Thermal.HW.Biomass.Biomass_Waste</t>
  </si>
  <si>
    <t>TES_per_building.kWh.IT.Ser.BldNew.Thermal.HW.DistrHeat.Steam_Distr</t>
  </si>
  <si>
    <t>TES_per_building.kWh.IT.Ser.BldNew.Thermal.HW.Elc.Elec</t>
  </si>
  <si>
    <t>TES_per_building.kWh.IT.Ser.BldNew.Thermal.HW.TotalSolar.Solar</t>
  </si>
  <si>
    <t>TES_per_building.kWh.IT.Ser.BldNew.Thermal.CA</t>
  </si>
  <si>
    <t>TES_per_building.kWh.IT.Ser.BldNew.Thermal.CA.LPG</t>
  </si>
  <si>
    <t>TES_per_building.kWh.IT.Ser.BldNew.Thermal.CA.Gas.NG_Biogas</t>
  </si>
  <si>
    <t>TES_per_building.kWh.IT.Ser.BldNew.Thermal.CA.Biomass.Biomass_Waste</t>
  </si>
  <si>
    <t>TES_per_building.kWh.IT.Ser.BldNew.Thermal.CA.Elc.Elec</t>
  </si>
  <si>
    <t>IT - CO2 emissions in new and renovated buildings (per building)</t>
  </si>
  <si>
    <t>EMI_per_building.kgCO2.IT.Ser.BldNew.Thermal</t>
  </si>
  <si>
    <t>EMI_per_building.kgCO2.IT.Ser.BldNew.Thermal.SH</t>
  </si>
  <si>
    <t>EMI_per_building.kgCO2.IT.Ser.BldNew.Thermal.SH.Solids.Solids</t>
  </si>
  <si>
    <t>EMI_per_building.kgCO2.IT.Ser.BldNew.Thermal.SH.LPG.LPG</t>
  </si>
  <si>
    <t>EMI_per_building.kgCO2.IT.Ser.BldNew.Thermal.SH.Oil.Oil_LiqBio</t>
  </si>
  <si>
    <t>EMI_per_building.kgCO2.IT.Ser.BldNew.Thermal.SH.GasHP.NG_Biogas</t>
  </si>
  <si>
    <t>EMI_per_building.kgCO2.IT.Ser.BldNew.Thermal.SH.GasTH.NG_Biogas</t>
  </si>
  <si>
    <t>EMI_per_building.kgCO2.IT.Ser.BldNew.Thermal.SH.Biomass.Biomass_Waste</t>
  </si>
  <si>
    <t>EMI_per_building.kgCO2.IT.Ser.BldNew.Thermal.SH.Geo.Geo</t>
  </si>
  <si>
    <t>EMI_per_building.kgCO2.IT.Ser.BldNew.Thermal.SH.DistrHeat.Steam_Distr</t>
  </si>
  <si>
    <t>EMI_per_building.kgCO2.IT.Ser.BldNew.Thermal.SH.AdvElc.Elec</t>
  </si>
  <si>
    <t>EMI_per_building.kgCO2.IT.Ser.BldNew.Thermal.SH.ConvElc.Elec</t>
  </si>
  <si>
    <t>EMI_per_building.kgCO2.IT.Ser.BldNew.Thermal.SH.TotalCirculation.Elec</t>
  </si>
  <si>
    <t>EMI_per_building.kgCO2.IT.Ser.BldNew.Thermal.SC</t>
  </si>
  <si>
    <t>EMI_per_building.kgCO2.IT.Ser.BldNew.Thermal.SC.GasHP.NG_Biogas</t>
  </si>
  <si>
    <t>EMI_per_building.kgCO2.IT.Ser.BldNew.Thermal.SC.AC.Elec</t>
  </si>
  <si>
    <t>EMI_per_building.kgCO2.IT.Ser.BldNew.Thermal.HW</t>
  </si>
  <si>
    <t>EMI_per_building.kgCO2.IT.Ser.BldNew.Thermal.HW.Solids.Solids</t>
  </si>
  <si>
    <t>EMI_per_building.kgCO2.IT.Ser.BldNew.Thermal.HW.LPG.LPG</t>
  </si>
  <si>
    <t>EMI_per_building.kgCO2.IT.Ser.BldNew.Thermal.HW.Oil.Oil_LiqBio</t>
  </si>
  <si>
    <t>EMI_per_building.kgCO2.IT.Ser.BldNew.Thermal.HW.Gas.NG_Biogas</t>
  </si>
  <si>
    <t>EMI_per_building.kgCO2.IT.Ser.BldNew.Thermal.HW.Biomass.Biomass_Waste</t>
  </si>
  <si>
    <t>EMI_per_building.kgCO2.IT.Ser.BldNew.Thermal.HW.DistrHeat.Steam_Distr</t>
  </si>
  <si>
    <t>EMI_per_building.kgCO2.IT.Ser.BldNew.Thermal.HW.Elc.Elec</t>
  </si>
  <si>
    <t>EMI_per_building.kgCO2.IT.Ser.BldNew.Thermal.HW.TotalSolar.Solar</t>
  </si>
  <si>
    <t>EMI_per_building.kgCO2.IT.Ser.BldNew.Thermal.CA</t>
  </si>
  <si>
    <t>EMI_per_building.kgCO2.IT.Ser.BldNew.Thermal.CA.LPG</t>
  </si>
  <si>
    <t>EMI_per_building.kgCO2.IT.Ser.BldNew.Thermal.CA.Gas.NG_Biogas</t>
  </si>
  <si>
    <t>EMI_per_building.kgCO2.IT.Ser.BldNew.Thermal.CA.Biomass.Biomass_Waste</t>
  </si>
  <si>
    <t>EMI_per_building.kgCO2.IT.Ser.BldNew.Thermal.CA.Elc.Elec</t>
  </si>
  <si>
    <t>IT - Final energy consumption in new and renovated buildings per surface area</t>
  </si>
  <si>
    <t>FEC_per_sqm.kWh.IT.Ser.BldNew.Thermal</t>
  </si>
  <si>
    <t>FEC_per_sqm.kWh.IT.Ser.BldNew.Thermal.SH</t>
  </si>
  <si>
    <t>FEC_per_sqm.kWh.IT.Ser.BldNew.Thermal.SH.Solids.Solids</t>
  </si>
  <si>
    <t>FEC_per_sqm.kWh.IT.Ser.BldNew.Thermal.SH.LPG.LPG</t>
  </si>
  <si>
    <t>FEC_per_sqm.kWh.IT.Ser.BldNew.Thermal.SH.Oil.Oil_LiqBio</t>
  </si>
  <si>
    <t>FEC_per_sqm.kWh.IT.Ser.BldNew.Thermal.SH.GasHP.NG_Biogas</t>
  </si>
  <si>
    <t>FEC_per_sqm.kWh.IT.Ser.BldNew.Thermal.SH.GasTH.NG_Biogas</t>
  </si>
  <si>
    <t>FEC_per_sqm.kWh.IT.Ser.BldNew.Thermal.SH.Biomass.Biomass_Waste</t>
  </si>
  <si>
    <t>FEC_per_sqm.kWh.IT.Ser.BldNew.Thermal.SH.Geo.Geo</t>
  </si>
  <si>
    <t>FEC_per_sqm.kWh.IT.Ser.BldNew.Thermal.SH.DistrHeat.Steam_Distr</t>
  </si>
  <si>
    <t>FEC_per_sqm.kWh.IT.Ser.BldNew.Thermal.SH.AdvElc.Elec</t>
  </si>
  <si>
    <t>FEC_per_sqm.kWh.IT.Ser.BldNew.Thermal.SH.ConvElc.Elec</t>
  </si>
  <si>
    <t>FEC_per_sqm.kWh.IT.Ser.BldNew.Thermal.SH.TotalCirculation.Elec</t>
  </si>
  <si>
    <t>FEC_per_sqm.kWh.IT.Ser.BldNew.Thermal.SC</t>
  </si>
  <si>
    <t>FEC_per_sqm.kWh.IT.Ser.BldNew.Thermal.SC.GasHP.NG_Biogas</t>
  </si>
  <si>
    <t>FEC_per_sqm.kWh.IT.Ser.BldNew.Thermal.SC.AC.Elec</t>
  </si>
  <si>
    <t>FEC_per_sqm.kWh.IT.Ser.BldNew.Thermal.HW</t>
  </si>
  <si>
    <t>FEC_per_sqm.kWh.IT.Ser.BldNew.Thermal.HW.Solids.Solids</t>
  </si>
  <si>
    <t>FEC_per_sqm.kWh.IT.Ser.BldNew.Thermal.HW.LPG.LPG</t>
  </si>
  <si>
    <t>FEC_per_sqm.kWh.IT.Ser.BldNew.Thermal.HW.Oil.Oil_LiqBio</t>
  </si>
  <si>
    <t>FEC_per_sqm.kWh.IT.Ser.BldNew.Thermal.HW.Gas.NG_Biogas</t>
  </si>
  <si>
    <t>FEC_per_sqm.kWh.IT.Ser.BldNew.Thermal.HW.Biomass.Biomass_Waste</t>
  </si>
  <si>
    <t>FEC_per_sqm.kWh.IT.Ser.BldNew.Thermal.HW.DistrHeat.Steam_Distr</t>
  </si>
  <si>
    <t>FEC_per_sqm.kWh.IT.Ser.BldNew.Thermal.HW.Elc.Elec</t>
  </si>
  <si>
    <t>FEC_per_sqm.kWh.IT.Ser.BldNew.Thermal.HW.TotalSolar.Solar</t>
  </si>
  <si>
    <t>FEC_per_sqm.kWh.IT.Ser.BldNew.Thermal.CA</t>
  </si>
  <si>
    <t>FEC_per_sqm.kWh.IT.Ser.BldNew.Thermal.CA.LPG</t>
  </si>
  <si>
    <t>FEC_per_sqm.kWh.IT.Ser.BldNew.Thermal.CA.Gas.NG_Biogas</t>
  </si>
  <si>
    <t>FEC_per_sqm.kWh.IT.Ser.BldNew.Thermal.CA.Biomass.Biomass_Waste</t>
  </si>
  <si>
    <t>FEC_per_sqm.kWh.IT.Ser.BldNew.Thermal.CA.Elc.Elec</t>
  </si>
  <si>
    <t>IT - Thermal energy service in new and renovated buildings per surface area</t>
  </si>
  <si>
    <t>TES_per_sqm.kWh.IT.Ser.BldNew.Thermal</t>
  </si>
  <si>
    <t>TES_per_sqm.kWh.IT.Ser.BldNew.Thermal.SH</t>
  </si>
  <si>
    <t>TES_per_sqm.kWh.IT.Ser.BldNew.Thermal.SH.Solids.Solids</t>
  </si>
  <si>
    <t>TES_per_sqm.kWh.IT.Ser.BldNew.Thermal.SH.LPG.LPG</t>
  </si>
  <si>
    <t>TES_per_sqm.kWh.IT.Ser.BldNew.Thermal.SH.Oil.Oil_LiqBio</t>
  </si>
  <si>
    <t>TES_per_sqm.kWh.IT.Ser.BldNew.Thermal.SH.GasHP.NG_Biogas</t>
  </si>
  <si>
    <t>TES_per_sqm.kWh.IT.Ser.BldNew.Thermal.SH.GasTH.NG_Biogas</t>
  </si>
  <si>
    <t>TES_per_sqm.kWh.IT.Ser.BldNew.Thermal.SH.Biomass.Biomass_Waste</t>
  </si>
  <si>
    <t>TES_per_sqm.kWh.IT.Ser.BldNew.Thermal.SH.Geo.Geo</t>
  </si>
  <si>
    <t>TES_per_sqm.kWh.IT.Ser.BldNew.Thermal.SH.DistrHeat.Steam_Distr</t>
  </si>
  <si>
    <t>TES_per_sqm.kWh.IT.Ser.BldNew.Thermal.SH.AdvElc.Elec</t>
  </si>
  <si>
    <t>TES_per_sqm.kWh.IT.Ser.BldNew.Thermal.SH.ConvElc.Elec</t>
  </si>
  <si>
    <t>TES_per_sqm.kWh.IT.Ser.BldNew.Thermal.SH.TotalCirculation.Elec</t>
  </si>
  <si>
    <t>TES_per_sqm.kWh.IT.Ser.BldNew.Thermal.SC</t>
  </si>
  <si>
    <t>TES_per_sqm.kWh.IT.Ser.BldNew.Thermal.SC.GasHP.NG_Biogas</t>
  </si>
  <si>
    <t>TES_per_sqm.kWh.IT.Ser.BldNew.Thermal.SC.AC.Elec</t>
  </si>
  <si>
    <t>TES_per_sqm.kWh.IT.Ser.BldNew.Thermal.HW</t>
  </si>
  <si>
    <t>TES_per_sqm.kWh.IT.Ser.BldNew.Thermal.HW.Solids.Solids</t>
  </si>
  <si>
    <t>TES_per_sqm.kWh.IT.Ser.BldNew.Thermal.HW.LPG.LPG</t>
  </si>
  <si>
    <t>TES_per_sqm.kWh.IT.Ser.BldNew.Thermal.HW.Oil.Oil_LiqBio</t>
  </si>
  <si>
    <t>TES_per_sqm.kWh.IT.Ser.BldNew.Thermal.HW.Gas.NG_Biogas</t>
  </si>
  <si>
    <t>TES_per_sqm.kWh.IT.Ser.BldNew.Thermal.HW.Biomass.Biomass_Waste</t>
  </si>
  <si>
    <t>TES_per_sqm.kWh.IT.Ser.BldNew.Thermal.HW.DistrHeat.Steam_Distr</t>
  </si>
  <si>
    <t>TES_per_sqm.kWh.IT.Ser.BldNew.Thermal.HW.Elc.Elec</t>
  </si>
  <si>
    <t>TES_per_sqm.kWh.IT.Ser.BldNew.Thermal.HW.TotalSolar.Solar</t>
  </si>
  <si>
    <t>TES_per_sqm.kWh.IT.Ser.BldNew.Thermal.CA</t>
  </si>
  <si>
    <t>TES_per_sqm.kWh.IT.Ser.BldNew.Thermal.CA.LPG</t>
  </si>
  <si>
    <t>TES_per_sqm.kWh.IT.Ser.BldNew.Thermal.CA.Gas.NG_Biogas</t>
  </si>
  <si>
    <t>TES_per_sqm.kWh.IT.Ser.BldNew.Thermal.CA.Biomass.Biomass_Waste</t>
  </si>
  <si>
    <t>TES_per_sqm.kWh.IT.Ser.BldNew.Thermal.CA.Elc.Elec</t>
  </si>
  <si>
    <t>IT - CO2 emissions in new and renovated buildings per surface area</t>
  </si>
  <si>
    <t>EMI_per_sqm.kgCO2.IT.Ser.BldNew.Thermal</t>
  </si>
  <si>
    <t>EMI_per_sqm.kgCO2.IT.Ser.BldNew.Thermal.SH</t>
  </si>
  <si>
    <t>EMI_per_sqm.kgCO2.IT.Ser.BldNew.Thermal.SH.Solids.Solids</t>
  </si>
  <si>
    <t>EMI_per_sqm.kgCO2.IT.Ser.BldNew.Thermal.SH.LPG.LPG</t>
  </si>
  <si>
    <t>EMI_per_sqm.kgCO2.IT.Ser.BldNew.Thermal.SH.Oil.Oil_LiqBio</t>
  </si>
  <si>
    <t>EMI_per_sqm.kgCO2.IT.Ser.BldNew.Thermal.SH.GasHP.NG_Biogas</t>
  </si>
  <si>
    <t>EMI_per_sqm.kgCO2.IT.Ser.BldNew.Thermal.SH.GasTH.NG_Biogas</t>
  </si>
  <si>
    <t>EMI_per_sqm.kgCO2.IT.Ser.BldNew.Thermal.SH.Biomass.Biomass_Waste</t>
  </si>
  <si>
    <t>EMI_per_sqm.kgCO2.IT.Ser.BldNew.Thermal.SH.Geo.Geo</t>
  </si>
  <si>
    <t>EMI_per_sqm.kgCO2.IT.Ser.BldNew.Thermal.SH.DistrHeat.Steam_Distr</t>
  </si>
  <si>
    <t>EMI_per_sqm.kgCO2.IT.Ser.BldNew.Thermal.SH.AdvElc.Elec</t>
  </si>
  <si>
    <t>EMI_per_sqm.kgCO2.IT.Ser.BldNew.Thermal.SH.ConvElc.Elec</t>
  </si>
  <si>
    <t>EMI_per_sqm.kgCO2.IT.Ser.BldNew.Thermal.SH.TotalCirculation.Elec</t>
  </si>
  <si>
    <t>EMI_per_sqm.kgCO2.IT.Ser.BldNew.Thermal.SC</t>
  </si>
  <si>
    <t>EMI_per_sqm.kgCO2.IT.Ser.BldNew.Thermal.SC.GasHP.NG_Biogas</t>
  </si>
  <si>
    <t>EMI_per_sqm.kgCO2.IT.Ser.BldNew.Thermal.SC.AC.Elec</t>
  </si>
  <si>
    <t>EMI_per_sqm.kgCO2.IT.Ser.BldNew.Thermal.HW</t>
  </si>
  <si>
    <t>EMI_per_sqm.kgCO2.IT.Ser.BldNew.Thermal.HW.Solids.Solids</t>
  </si>
  <si>
    <t>EMI_per_sqm.kgCO2.IT.Ser.BldNew.Thermal.HW.LPG.LPG</t>
  </si>
  <si>
    <t>EMI_per_sqm.kgCO2.IT.Ser.BldNew.Thermal.HW.Oil.Oil_LiqBio</t>
  </si>
  <si>
    <t>EMI_per_sqm.kgCO2.IT.Ser.BldNew.Thermal.HW.Gas.NG_Biogas</t>
  </si>
  <si>
    <t>EMI_per_sqm.kgCO2.IT.Ser.BldNew.Thermal.HW.Biomass.Biomass_Waste</t>
  </si>
  <si>
    <t>EMI_per_sqm.kgCO2.IT.Ser.BldNew.Thermal.HW.DistrHeat.Steam_Distr</t>
  </si>
  <si>
    <t>EMI_per_sqm.kgCO2.IT.Ser.BldNew.Thermal.HW.Elc.Elec</t>
  </si>
  <si>
    <t>EMI_per_sqm.kgCO2.IT.Ser.BldNew.Thermal.HW.TotalSolar.Solar</t>
  </si>
  <si>
    <t>EMI_per_sqm.kgCO2.IT.Ser.BldNew.Thermal.CA</t>
  </si>
  <si>
    <t>EMI_per_sqm.kgCO2.IT.Ser.BldNew.Thermal.CA.LPG</t>
  </si>
  <si>
    <t>EMI_per_sqm.kgCO2.IT.Ser.BldNew.Thermal.CA.Gas.NG_Biogas</t>
  </si>
  <si>
    <t>EMI_per_sqm.kgCO2.IT.Ser.BldNew.Thermal.CA.Biomass.Biomass_Waste</t>
  </si>
  <si>
    <t>EMI_per_sqm.kgCO2.IT.Ser.BldNew.Thermal.CA.Elc.Elec</t>
  </si>
  <si>
    <t>FEC.ktoe.IT.Ser.SEU.VE</t>
  </si>
  <si>
    <t>FEC.ktoe.IT.Ser.SEU.SL</t>
  </si>
  <si>
    <t>FEC.ktoe.IT.Ser.SEU.BL</t>
  </si>
  <si>
    <t>FEC.ktoe.IT.Ser.SEU.CR</t>
  </si>
  <si>
    <t>FEC.ktoe.IT.Ser.SEU.BT</t>
  </si>
  <si>
    <t>FEC.ktoe.IT.Ser.SEU.IT</t>
  </si>
  <si>
    <t>Size.MW.IT.Ser.SEU</t>
  </si>
  <si>
    <t>Size.MW.IT.Ser.SEU.VE</t>
  </si>
  <si>
    <t>Size.MW.IT.Ser.SEU.SL</t>
  </si>
  <si>
    <t>Size.MW.IT.Ser.SEU.BL</t>
  </si>
  <si>
    <t>Size.MW.IT.Ser.SEU.CR</t>
  </si>
  <si>
    <t>Size.MW.IT.Ser.SEU.BT</t>
  </si>
  <si>
    <t>Size.MW.IT.Ser.SEU.IT</t>
  </si>
  <si>
    <t>NUM.Msqm.IT.Ser.SEU.VE</t>
  </si>
  <si>
    <t>NUM.k.IT.Ser.SEU.SL</t>
  </si>
  <si>
    <t>NUM.M.IT.Ser.SEU.BL</t>
  </si>
  <si>
    <t>NUM.k.IT.Ser.SEU.CR</t>
  </si>
  <si>
    <t>NUM.Msqm.IT.Ser.SEU.BT</t>
  </si>
  <si>
    <t>NUM.k.IT.Ser.SEU.IT</t>
  </si>
  <si>
    <t>NUM.Msqm.IT.Ser.SEUnew.VE</t>
  </si>
  <si>
    <t>NUM.k.IT.Ser.SEUnew.SL</t>
  </si>
  <si>
    <t>NUM.M.IT.Ser.SEUnew.BL</t>
  </si>
  <si>
    <t>NUM.k.IT.Ser.SEUnew.CR</t>
  </si>
  <si>
    <t>NUM.Msqm.IT.Ser.SEUnew.BT</t>
  </si>
  <si>
    <t>NUM.k.IT.Ser.SEUnew.IT</t>
  </si>
  <si>
    <t>NUM.Msqm.IT.Ser.SEUrepl.VE</t>
  </si>
  <si>
    <t>NUM.k.IT.Ser.SEUrepl.SL</t>
  </si>
  <si>
    <t>NUM.M.IT.Ser.SEUrepl.BL</t>
  </si>
  <si>
    <t>NUM.k.IT.Ser.SEUrepl.CR</t>
  </si>
  <si>
    <t>NUM.Msqm.IT.Ser.SEUrepl.BT</t>
  </si>
  <si>
    <t>NUM.k.IT.Ser.SEUrepl.IT</t>
  </si>
  <si>
    <t>Op.hours.IT.Ser.SEU.VE</t>
  </si>
  <si>
    <t>Op.hours.IT.Ser.SEU.SL</t>
  </si>
  <si>
    <t>Op.hours.IT.Ser.SEU.BL</t>
  </si>
  <si>
    <t>Op.hours.IT.Ser.SEU.CR</t>
  </si>
  <si>
    <t>Op.hours.IT.Ser.SEU.BT</t>
  </si>
  <si>
    <t>Op.hours.IT.Ser.SEU.IT</t>
  </si>
  <si>
    <t>Size_per_appl.W.IT.Ser.SEU.VE</t>
  </si>
  <si>
    <t>Size_per_appl.W.IT.Ser.SEU.SL</t>
  </si>
  <si>
    <t>Size_per_appl.W.IT.Ser.SEU.BL</t>
  </si>
  <si>
    <t>Size_per_appl.W.IT.Ser.SEU.CR</t>
  </si>
  <si>
    <t>Size_per_appl.W.IT.Ser.SEU.BT</t>
  </si>
  <si>
    <t>Size_per_appl.W.IT.Ser.SEU.IT</t>
  </si>
  <si>
    <t>Size_per_appl.W.IT.Ser.SEUnew.VE</t>
  </si>
  <si>
    <t>Size_per_appl.W.IT.Ser.SEUnew.SL</t>
  </si>
  <si>
    <t>Size_per_appl.W.IT.Ser.SEUnew.BL</t>
  </si>
  <si>
    <t>Size_per_appl.W.IT.Ser.SEUnew.CR</t>
  </si>
  <si>
    <t>Size_per_appl.W.IT.Ser.SEUnew.BT</t>
  </si>
  <si>
    <t>Size_per_appl.W.IT.Ser.SEUnew.IT</t>
  </si>
  <si>
    <t>NUM.sqm_per_building.IT.Ser.SEU.VE</t>
  </si>
  <si>
    <t>NUM.number_per_capita.IT.Ser.SEU.SL</t>
  </si>
  <si>
    <t>NUM.number_per_building.IT.Ser.SEU.BL</t>
  </si>
  <si>
    <t>NUM.number_per_capita.IT.Ser.SEU.CR</t>
  </si>
  <si>
    <t>NUM.sqm_per_building.IT.Ser.SEU.BT</t>
  </si>
  <si>
    <t>NUM.number_per_capita.IT.Ser.SEU.IT</t>
  </si>
  <si>
    <t>Lumens_per_sqm.lumen.IT.Ser.SEU.BL</t>
  </si>
  <si>
    <t>IT - Services / specific electric uses</t>
  </si>
  <si>
    <t>IT - Ventilation and others</t>
  </si>
  <si>
    <t>IT - Street lighting</t>
  </si>
  <si>
    <t>IT - Building lighting</t>
  </si>
  <si>
    <t>IT - Commercial refrigeration</t>
  </si>
  <si>
    <t>IT - Miscellaneous building technologies</t>
  </si>
  <si>
    <t>IT - ICT and multimedia</t>
  </si>
  <si>
    <t>IT - Agriculture, forestry and fishing</t>
  </si>
  <si>
    <t>VA.Meuro2015.IT.AGR.AGR</t>
  </si>
  <si>
    <t>OUTPUT.index.IT.AGR.AGR</t>
  </si>
  <si>
    <t>CAP.index.IT.AGR.AGR</t>
  </si>
  <si>
    <t>NEWCAP.index.IT.AGR.AGR</t>
  </si>
  <si>
    <t>CAPOUT.index.IT.AGR.AGR</t>
  </si>
  <si>
    <t>CAPIDLE.index.IT.AGR.AGR</t>
  </si>
  <si>
    <t>FEC.ktoe.IT.ES.AGR</t>
  </si>
  <si>
    <t>FEC.ktoe.IT.ES.AGR.Solids</t>
  </si>
  <si>
    <t>FEC.ktoe.IT.ES.AGR.LPG</t>
  </si>
  <si>
    <t>FEC.ktoe.IT.ES.AGR.Diesel</t>
  </si>
  <si>
    <t>FEC.ktoe.IT.ES.AGR.RFO</t>
  </si>
  <si>
    <t>FEC.ktoe.IT.ES.AGR.NG</t>
  </si>
  <si>
    <t>FEC.ktoe.IT.ES.AGR.Biomass_Waste</t>
  </si>
  <si>
    <t>FEC.ktoe.IT.ES.AGR.Biogas</t>
  </si>
  <si>
    <t>FEC.ktoe.IT.ES.AGR.LiqBio</t>
  </si>
  <si>
    <t>FEC.ktoe.IT.ES.AGR.Solar</t>
  </si>
  <si>
    <t>FEC.ktoe.IT.ES.AGR.Geo</t>
  </si>
  <si>
    <t>FEC.ktoe.IT.ES.AGR.Ambient</t>
  </si>
  <si>
    <t>FEC.ktoe.IT.ES.AGR.Steam_Distr</t>
  </si>
  <si>
    <t>FEC.ktoe.IT.ES.AGR.Elec</t>
  </si>
  <si>
    <t>IT - Agriculture, forestry and fishing / final energy consumption</t>
  </si>
  <si>
    <t>FEC.ktoe.IT.AGR.AGR.LIGHT.GENERIC.ELEC</t>
  </si>
  <si>
    <t>FEC.ktoe.IT.AGR.AGR.FANS.GENERIC.ELEC</t>
  </si>
  <si>
    <t>FEC.ktoe.IT.AGR.AGR.MOTOR.GENERIC.ELEC</t>
  </si>
  <si>
    <t>FEC.ktoe.IT.AGR.AGR.LOW_ENTH.THERM.DIESEL_LIQBIO</t>
  </si>
  <si>
    <t>FEC.ktoe.IT.AGR.AGR.LOW_ENTH.THERM.NG_BIOGAS</t>
  </si>
  <si>
    <t>FEC.ktoe.IT.AGR.AGR.LOW_ENTH.THERM.SOLAR_GEO</t>
  </si>
  <si>
    <t>FEC.ktoe.IT.AGR.AGR.LOW_ENTH.HP.AMBIENT</t>
  </si>
  <si>
    <t>FEC.ktoe.IT.AGR.AGR.LOW_ENTH.THERM.STEAM_DISTR</t>
  </si>
  <si>
    <t>FEC.ktoe.IT.AGR.AGR.LOW_ENTH.THERM.ELEC</t>
  </si>
  <si>
    <t>FEC.ktoe.IT.AGR.AGR.FARM_DRIVES.MECH.DIESEL_LIQBIO</t>
  </si>
  <si>
    <t>FEC.ktoe.IT.AGR.AGR.HEAT_USE.THERM.SOLIDS</t>
  </si>
  <si>
    <t>FEC.ktoe.IT.AGR.AGR.HEAT_USE.THERM.LPG</t>
  </si>
  <si>
    <t>FEC.ktoe.IT.AGR.AGR.HEAT_USE.THERM.DIESEL_LIQBIO</t>
  </si>
  <si>
    <t>FEC.ktoe.IT.AGR.AGR.HEAT_USE.THERM.RFO</t>
  </si>
  <si>
    <t>FEC.ktoe.IT.AGR.AGR.HEAT_USE.THERM.NG_BIOGAS</t>
  </si>
  <si>
    <t>FEC.ktoe.IT.AGR.AGR.HEAT_USE.THERM.BIOMASS_WASTE</t>
  </si>
  <si>
    <t>FEC.ktoe.IT.AGR.AGR.HEAT_USE.THERM.SOLAR_GEO</t>
  </si>
  <si>
    <t>FEC.ktoe.IT.AGR.AGR.FARM_PUMP.MECH.DIESEL_LIQBIO</t>
  </si>
  <si>
    <t>FEC.ktoe.IT.AGR.AGR.FARM_PUMP_ELEC.MECH.ELEC</t>
  </si>
  <si>
    <t>FEC.ktoe.IT.AGR.AGR.GENERIC.MECH.ELEC</t>
  </si>
  <si>
    <t>IT - Agriculture, forestry and fishing / useful energy demand</t>
  </si>
  <si>
    <t>UED.ktoe.IT.AGR.AGR.LIGHT.GENERIC.ELEC</t>
  </si>
  <si>
    <t>UED.ktoe.IT.AGR.AGR.FANS.GENERIC.ELEC</t>
  </si>
  <si>
    <t>UED.ktoe.IT.AGR.AGR.MOTOR.GENERIC.ELEC</t>
  </si>
  <si>
    <t>UED.ktoe.IT.AGR.AGR.LOW_ENTH.THERM.DIESEL_LIQBIO</t>
  </si>
  <si>
    <t>UED.ktoe.IT.AGR.AGR.LOW_ENTH.THERM.NG_BIOGAS</t>
  </si>
  <si>
    <t>UED.ktoe.IT.AGR.AGR.LOW_ENTH.THERM.SOLAR_GEO</t>
  </si>
  <si>
    <t>UED.ktoe.IT.AGR.AGR.LOW_ENTH.HP.AMBIENT</t>
  </si>
  <si>
    <t>UED.ktoe.IT.AGR.AGR.LOW_ENTH.THERM.STEAM_DISTR</t>
  </si>
  <si>
    <t>UED.ktoe.IT.AGR.AGR.LOW_ENTH.THERM.ELEC</t>
  </si>
  <si>
    <t>UED.ktoe.IT.AGR.AGR.FARM_DRIVES.MECH.DIESEL_LIQBIO</t>
  </si>
  <si>
    <t>UED.ktoe.IT.AGR.AGR.HEAT_USE.THERM.SOLIDS</t>
  </si>
  <si>
    <t>UED.ktoe.IT.AGR.AGR.HEAT_USE.THERM.LPG</t>
  </si>
  <si>
    <t>UED.ktoe.IT.AGR.AGR.HEAT_USE.THERM.DIESEL_LIQBIO</t>
  </si>
  <si>
    <t>UED.ktoe.IT.AGR.AGR.HEAT_USE.THERM.RFO</t>
  </si>
  <si>
    <t>UED.ktoe.IT.AGR.AGR.HEAT_USE.THERM.NG_BIOGAS</t>
  </si>
  <si>
    <t>UED.ktoe.IT.AGR.AGR.HEAT_USE.THERM.BIOMASS_WASTE</t>
  </si>
  <si>
    <t>UED.ktoe.IT.AGR.AGR.HEAT_USE.THERM.SOLAR_GEO</t>
  </si>
  <si>
    <t>UED.ktoe.IT.AGR.AGR.FARM_PUMP.MECH.DIESEL_LIQBIO</t>
  </si>
  <si>
    <t>UED.ktoe.IT.AGR.AGR.FARM_PUMP_ELEC.MECH.ELEC</t>
  </si>
  <si>
    <t>UED.ktoe.IT.AGR.AGR.GENERIC.MECH.ELEC</t>
  </si>
  <si>
    <t>IT - Agriculture, forestry and fishing / CO2 emissions</t>
  </si>
  <si>
    <t>FUEL_EMI.ktCO2.IT.AGR.AGR.LIGHT.GENERIC.ELEC</t>
  </si>
  <si>
    <t>FUEL_EMI.ktCO2.IT.AGR.AGR.FANS.GENERIC.ELEC</t>
  </si>
  <si>
    <t>FUEL_EMI.ktCO2.IT.AGR.AGR.MOTOR.GENERIC.ELEC</t>
  </si>
  <si>
    <t>FUEL_EMI.ktCO2.IT.AGR.AGR.LOW_ENTH.THERM.DIESEL_LIQBIO</t>
  </si>
  <si>
    <t>FUEL_EMI.ktCO2.IT.AGR.AGR.LOW_ENTH.THERM.NG_BIOGAS</t>
  </si>
  <si>
    <t>FUEL_EMI.ktCO2.IT.AGR.AGR.LOW_ENTH.THERM.SOLAR_GEO</t>
  </si>
  <si>
    <t>FUEL_EMI.ktCO2.IT.AGR.AGR.LOW_ENTH.HP.AMBIENT</t>
  </si>
  <si>
    <t>FUEL_EMI.ktCO2.IT.AGR.AGR.LOW_ENTH.THERM.STEAM_DISTR</t>
  </si>
  <si>
    <t>FUEL_EMI.ktCO2.IT.AGR.AGR.LOW_ENTH.THERM.ELEC</t>
  </si>
  <si>
    <t>FUEL_EMI.ktCO2.IT.AGR.AGR.FARM_DRIVES.MECH.DIESEL_LIQBIO</t>
  </si>
  <si>
    <t>FUEL_EMI.ktCO2.IT.AGR.AGR.HEAT_USE.THERM.SOLIDS</t>
  </si>
  <si>
    <t>FUEL_EMI.ktCO2.IT.AGR.AGR.HEAT_USE.THERM.LPG</t>
  </si>
  <si>
    <t>FUEL_EMI.ktCO2.IT.AGR.AGR.HEAT_USE.THERM.DIESEL_LIQBIO</t>
  </si>
  <si>
    <t>FUEL_EMI.ktCO2.IT.AGR.AGR.HEAT_USE.THERM.RFO</t>
  </si>
  <si>
    <t>FUEL_EMI.ktCO2.IT.AGR.AGR.HEAT_USE.THERM.NG_BIOGAS</t>
  </si>
  <si>
    <t>FUEL_EMI.ktCO2.IT.AGR.AGR.HEAT_USE.THERM.BIOMASS_WASTE</t>
  </si>
  <si>
    <t>FUEL_EMI.ktCO2.IT.AGR.AGR.HEAT_USE.THERM.SOLAR_GEO</t>
  </si>
  <si>
    <t>FUEL_EMI.ktCO2.IT.AGR.AGR.FARM_PUMP.MECH.DIESEL_LIQBIO</t>
  </si>
  <si>
    <t>FUEL_EMI.ktCO2.IT.AGR.AGR.FARM_PUMP_ELEC.MECH.ELEC</t>
  </si>
  <si>
    <t>FUEL_EMI.ktCO2.IT.AGR.AGR.GENERIC.MECH.ELEC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</si>
</sst>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45432.786319444444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56923524</v>
      </c>
      <c r="C3" s="34">
        <v>56960692</v>
      </c>
      <c r="D3" s="34">
        <v>56987507</v>
      </c>
      <c r="E3" s="34">
        <v>57130506</v>
      </c>
      <c r="F3" s="34">
        <v>57495900</v>
      </c>
      <c r="G3" s="34">
        <v>57874753</v>
      </c>
      <c r="H3" s="34">
        <v>58064214</v>
      </c>
      <c r="I3" s="34">
        <v>58223744</v>
      </c>
      <c r="J3" s="34">
        <v>58652875</v>
      </c>
      <c r="K3" s="34">
        <v>59000586</v>
      </c>
      <c r="L3" s="34">
        <v>59190143</v>
      </c>
      <c r="M3" s="34">
        <v>59364690</v>
      </c>
      <c r="N3" s="34">
        <v>59394207</v>
      </c>
      <c r="O3" s="34">
        <v>59685227</v>
      </c>
      <c r="P3" s="34">
        <v>60782668</v>
      </c>
      <c r="Q3" s="34">
        <v>60795612</v>
      </c>
      <c r="R3" s="34">
        <v>60665551</v>
      </c>
      <c r="S3" s="34">
        <v>60589445</v>
      </c>
      <c r="T3" s="34">
        <v>60483973</v>
      </c>
      <c r="U3" s="34">
        <v>59816673</v>
      </c>
      <c r="V3" s="34">
        <v>59641488</v>
      </c>
      <c r="W3" s="34">
        <v>59236213</v>
      </c>
      <c r="DA3" s="88" t="s">
        <v>187</v>
      </c>
    </row>
    <row r="4" spans="1:105" ht="12" customHeight="1" x14ac:dyDescent="0.25">
      <c r="A4" s="35" t="s">
        <v>178</v>
      </c>
      <c r="B4" s="36">
        <v>1660309.3238472235</v>
      </c>
      <c r="C4" s="36">
        <v>1692694.9185540918</v>
      </c>
      <c r="D4" s="36">
        <v>1697008.6845048829</v>
      </c>
      <c r="E4" s="36">
        <v>1699353.2508041719</v>
      </c>
      <c r="F4" s="36">
        <v>1723554.822401291</v>
      </c>
      <c r="G4" s="36">
        <v>1737633.8444356546</v>
      </c>
      <c r="H4" s="36">
        <v>1768758.315866217</v>
      </c>
      <c r="I4" s="36">
        <v>1795064.2507781237</v>
      </c>
      <c r="J4" s="36">
        <v>1777789.1880156316</v>
      </c>
      <c r="K4" s="36">
        <v>1683915.0812461299</v>
      </c>
      <c r="L4" s="36">
        <v>1712760.4570821153</v>
      </c>
      <c r="M4" s="36">
        <v>1724874.5122244656</v>
      </c>
      <c r="N4" s="36">
        <v>1673457.9564420085</v>
      </c>
      <c r="O4" s="36">
        <v>1642647.4842126705</v>
      </c>
      <c r="P4" s="36">
        <v>1642566.4886906145</v>
      </c>
      <c r="Q4" s="36">
        <v>1655355</v>
      </c>
      <c r="R4" s="36">
        <v>1676772.2032155357</v>
      </c>
      <c r="S4" s="36">
        <v>1704731.3706819543</v>
      </c>
      <c r="T4" s="36">
        <v>1720515.5550375402</v>
      </c>
      <c r="U4" s="36">
        <v>1728826.6312558337</v>
      </c>
      <c r="V4" s="36">
        <v>1573680.2318972377</v>
      </c>
      <c r="W4" s="36">
        <v>1704511.6122454708</v>
      </c>
      <c r="DA4" s="89" t="s">
        <v>188</v>
      </c>
    </row>
    <row r="5" spans="1:105" ht="12" customHeight="1" x14ac:dyDescent="0.25">
      <c r="A5" s="35" t="s">
        <v>147</v>
      </c>
      <c r="B5" s="36">
        <v>1031829.7562268149</v>
      </c>
      <c r="C5" s="36">
        <v>1057938.8815814678</v>
      </c>
      <c r="D5" s="36">
        <v>1065397.1632961212</v>
      </c>
      <c r="E5" s="36">
        <v>1076975.3322497371</v>
      </c>
      <c r="F5" s="36">
        <v>1094136.754134767</v>
      </c>
      <c r="G5" s="36">
        <v>1110453.8676821433</v>
      </c>
      <c r="H5" s="36">
        <v>1128310.2988079351</v>
      </c>
      <c r="I5" s="36">
        <v>1141124.1305569946</v>
      </c>
      <c r="J5" s="36">
        <v>1138662.4559594397</v>
      </c>
      <c r="K5" s="36">
        <v>1107062.9046691584</v>
      </c>
      <c r="L5" s="36">
        <v>1126293.625947359</v>
      </c>
      <c r="M5" s="36">
        <v>1134031.9043907509</v>
      </c>
      <c r="N5" s="36">
        <v>1108733.139516966</v>
      </c>
      <c r="O5" s="36">
        <v>1092433.7968653184</v>
      </c>
      <c r="P5" s="36">
        <v>1101060.2591901571</v>
      </c>
      <c r="Q5" s="36">
        <v>1108614.8</v>
      </c>
      <c r="R5" s="36">
        <v>1119483.2658155127</v>
      </c>
      <c r="S5" s="36">
        <v>1134866.3112125443</v>
      </c>
      <c r="T5" s="36">
        <v>1143485.8760910393</v>
      </c>
      <c r="U5" s="36">
        <v>1148186.3780613672</v>
      </c>
      <c r="V5" s="36">
        <v>1053067.3236367081</v>
      </c>
      <c r="W5" s="36">
        <v>1109153.6719021706</v>
      </c>
      <c r="DA5" s="89" t="s">
        <v>189</v>
      </c>
    </row>
    <row r="6" spans="1:105" ht="12" customHeight="1" x14ac:dyDescent="0.25">
      <c r="A6" s="37" t="s">
        <v>70</v>
      </c>
      <c r="B6" s="38">
        <v>15910200</v>
      </c>
      <c r="C6" s="38">
        <v>16256800</v>
      </c>
      <c r="D6" s="38">
        <v>16615400.000000002</v>
      </c>
      <c r="E6" s="38">
        <v>16929300</v>
      </c>
      <c r="F6" s="38">
        <v>17064100</v>
      </c>
      <c r="G6" s="38">
        <v>17173500</v>
      </c>
      <c r="H6" s="38">
        <v>17578600</v>
      </c>
      <c r="I6" s="38">
        <v>17830700</v>
      </c>
      <c r="J6" s="38">
        <v>17955000</v>
      </c>
      <c r="K6" s="38">
        <v>17795600.000000004</v>
      </c>
      <c r="L6" s="38">
        <v>17813300</v>
      </c>
      <c r="M6" s="38">
        <v>17972100</v>
      </c>
      <c r="N6" s="38">
        <v>18096100.000000004</v>
      </c>
      <c r="O6" s="38">
        <v>17926400</v>
      </c>
      <c r="P6" s="38">
        <v>18075500</v>
      </c>
      <c r="Q6" s="38">
        <v>18280200</v>
      </c>
      <c r="R6" s="38">
        <v>18557000</v>
      </c>
      <c r="S6" s="38">
        <v>18857199.999999996</v>
      </c>
      <c r="T6" s="38">
        <v>19028000</v>
      </c>
      <c r="U6" s="38">
        <v>19162000</v>
      </c>
      <c r="V6" s="38">
        <v>18680500</v>
      </c>
      <c r="W6" s="38">
        <v>18826300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560630.92586591316</v>
      </c>
      <c r="C8" s="34">
        <v>569930.70012286073</v>
      </c>
      <c r="D8" s="34">
        <v>579592.12967373536</v>
      </c>
      <c r="E8" s="34">
        <v>585919.47199467896</v>
      </c>
      <c r="F8" s="34">
        <v>590077.97858302016</v>
      </c>
      <c r="G8" s="34">
        <v>592915.42432537139</v>
      </c>
      <c r="H8" s="34">
        <v>605943.92879110784</v>
      </c>
      <c r="I8" s="34">
        <v>616608.19487047626</v>
      </c>
      <c r="J8" s="34">
        <v>619868.73999800812</v>
      </c>
      <c r="K8" s="34">
        <v>619733.56173573481</v>
      </c>
      <c r="L8" s="34">
        <v>623093.49500217196</v>
      </c>
      <c r="M8" s="34">
        <v>628061.71176296624</v>
      </c>
      <c r="N8" s="34">
        <v>630339.81939663494</v>
      </c>
      <c r="O8" s="34">
        <v>628304.61462974234</v>
      </c>
      <c r="P8" s="34">
        <v>636026.78457838378</v>
      </c>
      <c r="Q8" s="34">
        <v>638144.82424571074</v>
      </c>
      <c r="R8" s="34">
        <v>638276.42670124164</v>
      </c>
      <c r="S8" s="34">
        <v>641181.97692381672</v>
      </c>
      <c r="T8" s="34">
        <v>643268.97870794521</v>
      </c>
      <c r="U8" s="34">
        <v>644900.56672284775</v>
      </c>
      <c r="V8" s="34">
        <v>646018.61</v>
      </c>
      <c r="W8" s="34">
        <v>646934.17557687254</v>
      </c>
      <c r="DA8" s="88" t="s">
        <v>191</v>
      </c>
    </row>
    <row r="9" spans="1:105" ht="12" customHeight="1" x14ac:dyDescent="0.25">
      <c r="A9" s="39" t="s">
        <v>68</v>
      </c>
      <c r="B9" s="40">
        <v>504567.83327932179</v>
      </c>
      <c r="C9" s="40">
        <v>512937.63011057465</v>
      </c>
      <c r="D9" s="40">
        <v>521632.91670636181</v>
      </c>
      <c r="E9" s="40">
        <v>527327.52479521104</v>
      </c>
      <c r="F9" s="40">
        <v>531070.18072471814</v>
      </c>
      <c r="G9" s="40">
        <v>533623.88189283432</v>
      </c>
      <c r="H9" s="40">
        <v>545349.53591199708</v>
      </c>
      <c r="I9" s="40">
        <v>554947.37538342865</v>
      </c>
      <c r="J9" s="40">
        <v>557881.86599820724</v>
      </c>
      <c r="K9" s="40">
        <v>557760.2055621614</v>
      </c>
      <c r="L9" s="40">
        <v>560784.14550195471</v>
      </c>
      <c r="M9" s="40">
        <v>565255.54058666958</v>
      </c>
      <c r="N9" s="40">
        <v>567305.83745697141</v>
      </c>
      <c r="O9" s="40">
        <v>565474.15316676814</v>
      </c>
      <c r="P9" s="40">
        <v>572424.10612054542</v>
      </c>
      <c r="Q9" s="40">
        <v>574330.34182113968</v>
      </c>
      <c r="R9" s="40">
        <v>574448.78403111757</v>
      </c>
      <c r="S9" s="40">
        <v>577063.77923143504</v>
      </c>
      <c r="T9" s="40">
        <v>578942.08083715069</v>
      </c>
      <c r="U9" s="40">
        <v>580410.51005056303</v>
      </c>
      <c r="V9" s="40">
        <v>581416.74899999995</v>
      </c>
      <c r="W9" s="40">
        <v>582240.75801918528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11542.175670495013</v>
      </c>
      <c r="D10" s="41">
        <v>11941.143536422667</v>
      </c>
      <c r="E10" s="41">
        <v>8645.7716067630226</v>
      </c>
      <c r="F10" s="41">
        <v>6502.1849830334886</v>
      </c>
      <c r="G10" s="41">
        <v>5197.6763306377361</v>
      </c>
      <c r="H10" s="41">
        <v>15400.237425842588</v>
      </c>
      <c r="I10" s="41">
        <v>13088.180531144768</v>
      </c>
      <c r="J10" s="41">
        <v>5727.1025187376608</v>
      </c>
      <c r="K10" s="41">
        <v>2479.4624912962918</v>
      </c>
      <c r="L10" s="41">
        <v>5838.8346664250985</v>
      </c>
      <c r="M10" s="41">
        <v>7460.5843521810784</v>
      </c>
      <c r="N10" s="41">
        <v>4790.3939664994459</v>
      </c>
      <c r="O10" s="41">
        <v>2521.2637937632694</v>
      </c>
      <c r="P10" s="41">
        <v>10235.297918434551</v>
      </c>
      <c r="Q10" s="41">
        <v>4662.027659075673</v>
      </c>
      <c r="R10" s="41">
        <v>3404.1400157654125</v>
      </c>
      <c r="S10" s="41">
        <v>6178.7626671969529</v>
      </c>
      <c r="T10" s="41">
        <v>5375.1144863018926</v>
      </c>
      <c r="U10" s="41">
        <v>4930.4032903282668</v>
      </c>
      <c r="V10" s="41">
        <v>4425.2256706023463</v>
      </c>
      <c r="W10" s="41">
        <v>4228.4815255905314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10387.958103445513</v>
      </c>
      <c r="D11" s="42">
        <v>10747.029182780399</v>
      </c>
      <c r="E11" s="42">
        <v>7781.1944460867198</v>
      </c>
      <c r="F11" s="42">
        <v>5851.9664847301401</v>
      </c>
      <c r="G11" s="42">
        <v>4677.9086975739629</v>
      </c>
      <c r="H11" s="42">
        <v>13860.213683258329</v>
      </c>
      <c r="I11" s="42">
        <v>11779.362478030293</v>
      </c>
      <c r="J11" s="42">
        <v>5154.3922668638943</v>
      </c>
      <c r="K11" s="42">
        <v>2231.5162421666632</v>
      </c>
      <c r="L11" s="42">
        <v>5254.9511997825884</v>
      </c>
      <c r="M11" s="42">
        <v>6714.5259169629708</v>
      </c>
      <c r="N11" s="42">
        <v>4311.3545698495009</v>
      </c>
      <c r="O11" s="42">
        <v>2269.137414386943</v>
      </c>
      <c r="P11" s="42">
        <v>9211.768126591096</v>
      </c>
      <c r="Q11" s="42">
        <v>4195.8248931681055</v>
      </c>
      <c r="R11" s="42">
        <v>3063.7260141888714</v>
      </c>
      <c r="S11" s="42">
        <v>5560.8864004772577</v>
      </c>
      <c r="T11" s="42">
        <v>4837.6030376717044</v>
      </c>
      <c r="U11" s="42">
        <v>4437.3629612954401</v>
      </c>
      <c r="V11" s="42">
        <v>3982.7031035421119</v>
      </c>
      <c r="W11" s="42">
        <v>3805.6333730314777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1848.2</v>
      </c>
      <c r="C13" s="43">
        <v>1877.19</v>
      </c>
      <c r="D13" s="43">
        <v>1804.77</v>
      </c>
      <c r="E13" s="43">
        <v>2007.84</v>
      </c>
      <c r="F13" s="43">
        <v>2006.05</v>
      </c>
      <c r="G13" s="43">
        <v>2162.84</v>
      </c>
      <c r="H13" s="43">
        <v>1949</v>
      </c>
      <c r="I13" s="43">
        <v>1836.76</v>
      </c>
      <c r="J13" s="43">
        <v>1896.16</v>
      </c>
      <c r="K13" s="43">
        <v>1947.26</v>
      </c>
      <c r="L13" s="43">
        <v>2074.34</v>
      </c>
      <c r="M13" s="43">
        <v>1856.24</v>
      </c>
      <c r="N13" s="43">
        <v>1952.79</v>
      </c>
      <c r="O13" s="43">
        <v>1932.55</v>
      </c>
      <c r="P13" s="43">
        <v>1631.87</v>
      </c>
      <c r="Q13" s="43">
        <v>1808.06</v>
      </c>
      <c r="R13" s="43">
        <v>1766.12</v>
      </c>
      <c r="S13" s="43">
        <v>1879.86</v>
      </c>
      <c r="T13" s="43">
        <v>1746.84</v>
      </c>
      <c r="U13" s="43">
        <v>1813.91</v>
      </c>
      <c r="V13" s="43">
        <v>1750.4</v>
      </c>
      <c r="W13" s="43">
        <v>1916.57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1883.2880952380954</v>
      </c>
      <c r="C14" s="44">
        <f t="shared" ref="C14:W14" si="0">AVERAGE($B$13:$V$13)</f>
        <v>1883.2880952380954</v>
      </c>
      <c r="D14" s="44">
        <f t="shared" si="0"/>
        <v>1883.2880952380954</v>
      </c>
      <c r="E14" s="44">
        <f t="shared" si="0"/>
        <v>1883.2880952380954</v>
      </c>
      <c r="F14" s="44">
        <f t="shared" si="0"/>
        <v>1883.2880952380954</v>
      </c>
      <c r="G14" s="44">
        <f t="shared" si="0"/>
        <v>1883.2880952380954</v>
      </c>
      <c r="H14" s="44">
        <f t="shared" si="0"/>
        <v>1883.2880952380954</v>
      </c>
      <c r="I14" s="44">
        <f t="shared" si="0"/>
        <v>1883.2880952380954</v>
      </c>
      <c r="J14" s="44">
        <f t="shared" si="0"/>
        <v>1883.2880952380954</v>
      </c>
      <c r="K14" s="44">
        <f t="shared" si="0"/>
        <v>1883.2880952380954</v>
      </c>
      <c r="L14" s="44">
        <f t="shared" si="0"/>
        <v>1883.2880952380954</v>
      </c>
      <c r="M14" s="44">
        <f t="shared" si="0"/>
        <v>1883.2880952380954</v>
      </c>
      <c r="N14" s="44">
        <f t="shared" si="0"/>
        <v>1883.2880952380954</v>
      </c>
      <c r="O14" s="44">
        <f t="shared" si="0"/>
        <v>1883.2880952380954</v>
      </c>
      <c r="P14" s="44">
        <f t="shared" si="0"/>
        <v>1883.2880952380954</v>
      </c>
      <c r="Q14" s="44">
        <f t="shared" si="0"/>
        <v>1883.2880952380954</v>
      </c>
      <c r="R14" s="44">
        <f t="shared" si="0"/>
        <v>1883.2880952380954</v>
      </c>
      <c r="S14" s="44">
        <f t="shared" si="0"/>
        <v>1883.2880952380954</v>
      </c>
      <c r="T14" s="44">
        <f t="shared" si="0"/>
        <v>1883.2880952380954</v>
      </c>
      <c r="U14" s="44">
        <f t="shared" si="0"/>
        <v>1883.2880952380954</v>
      </c>
      <c r="V14" s="44">
        <f t="shared" si="0"/>
        <v>1883.2880952380954</v>
      </c>
      <c r="W14" s="44">
        <f t="shared" si="0"/>
        <v>1883.2880952380954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0.98136870544298782</v>
      </c>
      <c r="C15" s="46">
        <f t="shared" ref="C15:W15" si="1">C13/C14</f>
        <v>0.99676199554730138</v>
      </c>
      <c r="D15" s="46">
        <f t="shared" si="1"/>
        <v>0.95830797452783312</v>
      </c>
      <c r="E15" s="46">
        <f t="shared" si="1"/>
        <v>1.0661353433268308</v>
      </c>
      <c r="F15" s="46">
        <f t="shared" si="1"/>
        <v>1.0651848780185618</v>
      </c>
      <c r="G15" s="46">
        <f t="shared" si="1"/>
        <v>1.1484382052160544</v>
      </c>
      <c r="H15" s="46">
        <f t="shared" si="1"/>
        <v>1.03489211498127</v>
      </c>
      <c r="I15" s="46">
        <f t="shared" si="1"/>
        <v>0.97529422324935733</v>
      </c>
      <c r="J15" s="46">
        <f t="shared" si="1"/>
        <v>1.0068348038701309</v>
      </c>
      <c r="K15" s="46">
        <f t="shared" si="1"/>
        <v>1.0339681989832878</v>
      </c>
      <c r="L15" s="46">
        <f t="shared" si="1"/>
        <v>1.1014459260083365</v>
      </c>
      <c r="M15" s="46">
        <f t="shared" si="1"/>
        <v>0.98563783453711273</v>
      </c>
      <c r="N15" s="46">
        <f t="shared" si="1"/>
        <v>1.036904552701013</v>
      </c>
      <c r="O15" s="46">
        <f t="shared" si="1"/>
        <v>1.0261573918968976</v>
      </c>
      <c r="P15" s="46">
        <f t="shared" si="1"/>
        <v>0.86650045955591837</v>
      </c>
      <c r="Q15" s="46">
        <f t="shared" si="1"/>
        <v>0.96005491914470753</v>
      </c>
      <c r="R15" s="46">
        <f t="shared" si="1"/>
        <v>0.93778535767610083</v>
      </c>
      <c r="S15" s="46">
        <f t="shared" si="1"/>
        <v>0.99817972871661886</v>
      </c>
      <c r="T15" s="46">
        <f t="shared" si="1"/>
        <v>0.92754794362949289</v>
      </c>
      <c r="U15" s="46">
        <f t="shared" si="1"/>
        <v>0.9631611884482687</v>
      </c>
      <c r="V15" s="46">
        <f t="shared" si="1"/>
        <v>0.92943825452191642</v>
      </c>
      <c r="W15" s="46">
        <f t="shared" si="1"/>
        <v>1.0176722323292215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29167.367147670331</v>
      </c>
      <c r="C19" s="34">
        <f t="shared" si="2"/>
        <v>29716.895267952361</v>
      </c>
      <c r="D19" s="34">
        <f t="shared" ref="D19:W19" si="3">D4*1000000/D3</f>
        <v>29778.608923967895</v>
      </c>
      <c r="E19" s="34">
        <f t="shared" si="3"/>
        <v>29745.111146121686</v>
      </c>
      <c r="F19" s="34">
        <f t="shared" si="3"/>
        <v>29977.003967261859</v>
      </c>
      <c r="G19" s="34">
        <f t="shared" si="3"/>
        <v>30024.039056126159</v>
      </c>
      <c r="H19" s="34">
        <f t="shared" si="3"/>
        <v>30462.107277749717</v>
      </c>
      <c r="I19" s="34">
        <f t="shared" si="3"/>
        <v>30830.450387699628</v>
      </c>
      <c r="J19" s="34">
        <f t="shared" si="3"/>
        <v>30310.350311312643</v>
      </c>
      <c r="K19" s="34">
        <f t="shared" si="3"/>
        <v>28540.650108901118</v>
      </c>
      <c r="L19" s="34">
        <f t="shared" si="3"/>
        <v>28936.582516486153</v>
      </c>
      <c r="M19" s="34">
        <f t="shared" si="3"/>
        <v>29055.563369815722</v>
      </c>
      <c r="N19" s="34">
        <f t="shared" si="3"/>
        <v>28175.440686362032</v>
      </c>
      <c r="O19" s="34">
        <f t="shared" si="3"/>
        <v>27521.843624933696</v>
      </c>
      <c r="P19" s="34">
        <f t="shared" si="3"/>
        <v>27023.599699352035</v>
      </c>
      <c r="Q19" s="34">
        <f t="shared" si="3"/>
        <v>27228.198640388717</v>
      </c>
      <c r="R19" s="34">
        <f t="shared" si="3"/>
        <v>27639.610546280797</v>
      </c>
      <c r="S19" s="34">
        <f t="shared" si="3"/>
        <v>28135.781251700759</v>
      </c>
      <c r="T19" s="34">
        <f t="shared" si="3"/>
        <v>28445.809190436947</v>
      </c>
      <c r="U19" s="34">
        <f t="shared" si="3"/>
        <v>28902.086066469023</v>
      </c>
      <c r="V19" s="34">
        <f t="shared" si="3"/>
        <v>26385.663481387954</v>
      </c>
      <c r="W19" s="34">
        <f t="shared" si="3"/>
        <v>28774.824147611711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64853.34918648508</v>
      </c>
      <c r="C20" s="36">
        <f t="shared" si="4"/>
        <v>65076.699078629732</v>
      </c>
      <c r="D20" s="36">
        <f t="shared" ref="D20:W20" si="5">D5*1000000/D6</f>
        <v>64121.066197390435</v>
      </c>
      <c r="E20" s="36">
        <f t="shared" si="5"/>
        <v>63616.05809157715</v>
      </c>
      <c r="F20" s="36">
        <f t="shared" si="5"/>
        <v>64119.21836690871</v>
      </c>
      <c r="G20" s="36">
        <f t="shared" si="5"/>
        <v>64660.894266290699</v>
      </c>
      <c r="H20" s="36">
        <f t="shared" si="5"/>
        <v>64186.584756916651</v>
      </c>
      <c r="I20" s="36">
        <f t="shared" si="5"/>
        <v>63997.719133684863</v>
      </c>
      <c r="J20" s="36">
        <f t="shared" si="5"/>
        <v>63417.569254215523</v>
      </c>
      <c r="K20" s="36">
        <f t="shared" si="5"/>
        <v>62209.922939892909</v>
      </c>
      <c r="L20" s="36">
        <f t="shared" si="5"/>
        <v>63227.679652134029</v>
      </c>
      <c r="M20" s="36">
        <f t="shared" si="5"/>
        <v>63099.576810208659</v>
      </c>
      <c r="N20" s="36">
        <f t="shared" si="5"/>
        <v>61269.176204649943</v>
      </c>
      <c r="O20" s="36">
        <f t="shared" si="5"/>
        <v>60939.943148948951</v>
      </c>
      <c r="P20" s="36">
        <f t="shared" si="5"/>
        <v>60914.511863580927</v>
      </c>
      <c r="Q20" s="36">
        <f t="shared" si="5"/>
        <v>60645.660331943851</v>
      </c>
      <c r="R20" s="36">
        <f t="shared" si="5"/>
        <v>60326.737393733507</v>
      </c>
      <c r="S20" s="36">
        <f t="shared" si="5"/>
        <v>60182.122012416723</v>
      </c>
      <c r="T20" s="36">
        <f t="shared" si="5"/>
        <v>60094.906248215222</v>
      </c>
      <c r="U20" s="36">
        <f t="shared" si="5"/>
        <v>59919.965455660538</v>
      </c>
      <c r="V20" s="36">
        <f t="shared" si="5"/>
        <v>56372.544826782374</v>
      </c>
      <c r="W20" s="36">
        <f t="shared" si="5"/>
        <v>58915.117250982439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18126.596593471881</v>
      </c>
      <c r="C21" s="36">
        <f t="shared" si="6"/>
        <v>18573.13955352698</v>
      </c>
      <c r="D21" s="36">
        <f t="shared" ref="D21:W21" si="7">D5*1000000/D3</f>
        <v>18695.275848724548</v>
      </c>
      <c r="E21" s="36">
        <f t="shared" si="7"/>
        <v>18851.142894651362</v>
      </c>
      <c r="F21" s="36">
        <f t="shared" si="7"/>
        <v>19029.822198361395</v>
      </c>
      <c r="G21" s="36">
        <f t="shared" si="7"/>
        <v>19187.189752363061</v>
      </c>
      <c r="H21" s="36">
        <f t="shared" si="7"/>
        <v>19432.111813447351</v>
      </c>
      <c r="I21" s="36">
        <f t="shared" si="7"/>
        <v>19598.947992025292</v>
      </c>
      <c r="J21" s="36">
        <f t="shared" si="7"/>
        <v>19413.582982239826</v>
      </c>
      <c r="K21" s="36">
        <f t="shared" si="7"/>
        <v>18763.591681431069</v>
      </c>
      <c r="L21" s="36">
        <f t="shared" si="7"/>
        <v>19028.398460658544</v>
      </c>
      <c r="M21" s="36">
        <f t="shared" si="7"/>
        <v>19102.801756241817</v>
      </c>
      <c r="N21" s="36">
        <f t="shared" si="7"/>
        <v>18667.361608464038</v>
      </c>
      <c r="O21" s="36">
        <f t="shared" si="7"/>
        <v>18303.252777531005</v>
      </c>
      <c r="P21" s="36">
        <f t="shared" si="7"/>
        <v>18114.707620109024</v>
      </c>
      <c r="Q21" s="36">
        <f t="shared" si="7"/>
        <v>18235.112099866681</v>
      </c>
      <c r="R21" s="36">
        <f t="shared" si="7"/>
        <v>18453.360224413238</v>
      </c>
      <c r="S21" s="36">
        <f t="shared" si="7"/>
        <v>18730.429222656592</v>
      </c>
      <c r="T21" s="36">
        <f t="shared" si="7"/>
        <v>18905.6012588829</v>
      </c>
      <c r="U21" s="36">
        <f t="shared" si="7"/>
        <v>19195.08926986573</v>
      </c>
      <c r="V21" s="36">
        <f t="shared" si="7"/>
        <v>17656.623919857735</v>
      </c>
      <c r="W21" s="36">
        <f t="shared" si="7"/>
        <v>18724.250179567873</v>
      </c>
      <c r="DA21" s="89"/>
    </row>
    <row r="22" spans="1:105" ht="12" customHeight="1" x14ac:dyDescent="0.25">
      <c r="A22" s="51" t="s">
        <v>152</v>
      </c>
      <c r="B22" s="52">
        <v>1.2459248191638341</v>
      </c>
      <c r="C22" s="52">
        <v>1.2441801690567107</v>
      </c>
      <c r="D22" s="52">
        <v>1.2285045733680984</v>
      </c>
      <c r="E22" s="52">
        <v>1.2250005300608509</v>
      </c>
      <c r="F22" s="52">
        <v>1.2083035251675849</v>
      </c>
      <c r="G22" s="52">
        <v>1.1941349803266514</v>
      </c>
      <c r="H22" s="52">
        <v>1.1752100505647878</v>
      </c>
      <c r="I22" s="52">
        <v>1.1502970891191922</v>
      </c>
      <c r="J22" s="52">
        <v>1.124628647327178</v>
      </c>
      <c r="K22" s="52">
        <v>1.1119416358037419</v>
      </c>
      <c r="L22" s="52">
        <v>1.1126049459403702</v>
      </c>
      <c r="M22" s="52">
        <v>1.096148185567281</v>
      </c>
      <c r="N22" s="52">
        <v>1.0744238897719738</v>
      </c>
      <c r="O22" s="52">
        <v>1.049475200246536</v>
      </c>
      <c r="P22" s="52">
        <v>1.0252344040822119</v>
      </c>
      <c r="Q22" s="52">
        <v>1.017234636896849</v>
      </c>
      <c r="R22" s="52">
        <v>1.0129636887125311</v>
      </c>
      <c r="S22" s="52">
        <v>1.001758954240737</v>
      </c>
      <c r="T22" s="52">
        <v>0.99021350397012531</v>
      </c>
      <c r="U22" s="52">
        <v>0.9865547412090715</v>
      </c>
      <c r="V22" s="52">
        <v>0.96136912211999026</v>
      </c>
      <c r="W22" s="52">
        <v>0.96762232193306186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28.379098023224753</v>
      </c>
      <c r="C23" s="53">
        <f t="shared" si="8"/>
        <v>28.524169686762793</v>
      </c>
      <c r="D23" s="53">
        <f t="shared" ref="D23:W23" si="9">D6/D8</f>
        <v>28.667401003794101</v>
      </c>
      <c r="E23" s="53">
        <f t="shared" si="9"/>
        <v>28.893560991183005</v>
      </c>
      <c r="F23" s="53">
        <f t="shared" si="9"/>
        <v>28.918381331526323</v>
      </c>
      <c r="G23" s="53">
        <f t="shared" si="9"/>
        <v>28.964502010620286</v>
      </c>
      <c r="H23" s="53">
        <f t="shared" si="9"/>
        <v>29.010274985459947</v>
      </c>
      <c r="I23" s="53">
        <f t="shared" si="9"/>
        <v>28.917390570434257</v>
      </c>
      <c r="J23" s="53">
        <f t="shared" si="9"/>
        <v>28.965809761688735</v>
      </c>
      <c r="K23" s="53">
        <f t="shared" si="9"/>
        <v>28.714920570314952</v>
      </c>
      <c r="L23" s="53">
        <f t="shared" si="9"/>
        <v>28.588486547974487</v>
      </c>
      <c r="M23" s="53">
        <f t="shared" si="9"/>
        <v>28.615181698550611</v>
      </c>
      <c r="N23" s="53">
        <f t="shared" si="9"/>
        <v>28.708483016861759</v>
      </c>
      <c r="O23" s="53">
        <f t="shared" si="9"/>
        <v>28.531383635569767</v>
      </c>
      <c r="P23" s="53">
        <f t="shared" si="9"/>
        <v>28.419400626314943</v>
      </c>
      <c r="Q23" s="53">
        <f t="shared" si="9"/>
        <v>28.645848568320297</v>
      </c>
      <c r="R23" s="53">
        <f t="shared" si="9"/>
        <v>29.073610153373224</v>
      </c>
      <c r="S23" s="53">
        <f t="shared" si="9"/>
        <v>29.410059357049818</v>
      </c>
      <c r="T23" s="53">
        <f t="shared" si="9"/>
        <v>29.580161067644191</v>
      </c>
      <c r="U23" s="53">
        <f t="shared" si="9"/>
        <v>29.713107708021376</v>
      </c>
      <c r="V23" s="53">
        <f t="shared" si="9"/>
        <v>28.916349638905913</v>
      </c>
      <c r="W23" s="53">
        <f t="shared" si="9"/>
        <v>29.100796820963353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8.8639598855355786</v>
      </c>
      <c r="C24" s="54">
        <f t="shared" si="10"/>
        <v>9.0051158456883673</v>
      </c>
      <c r="D24" s="54">
        <f t="shared" ref="D24:W24" si="11">D9*1000/D3</f>
        <v>9.1534608928648495</v>
      </c>
      <c r="E24" s="54">
        <f t="shared" si="11"/>
        <v>9.2302267512773479</v>
      </c>
      <c r="F24" s="54">
        <f t="shared" si="11"/>
        <v>9.2366617571812633</v>
      </c>
      <c r="G24" s="54">
        <f t="shared" si="11"/>
        <v>9.2203224071268917</v>
      </c>
      <c r="H24" s="54">
        <f t="shared" si="11"/>
        <v>9.392179766904226</v>
      </c>
      <c r="I24" s="54">
        <f t="shared" si="11"/>
        <v>9.5312897669965828</v>
      </c>
      <c r="J24" s="54">
        <f t="shared" si="11"/>
        <v>9.5115860219675028</v>
      </c>
      <c r="K24" s="54">
        <f t="shared" si="11"/>
        <v>9.4534689123623519</v>
      </c>
      <c r="L24" s="54">
        <f t="shared" si="11"/>
        <v>9.474282660576689</v>
      </c>
      <c r="M24" s="54">
        <f t="shared" si="11"/>
        <v>9.5217466912851663</v>
      </c>
      <c r="N24" s="54">
        <f t="shared" si="11"/>
        <v>9.5515348400387161</v>
      </c>
      <c r="O24" s="54">
        <f t="shared" si="11"/>
        <v>9.4742733099895595</v>
      </c>
      <c r="P24" s="54">
        <f t="shared" si="11"/>
        <v>9.4175547891472178</v>
      </c>
      <c r="Q24" s="54">
        <f t="shared" si="11"/>
        <v>9.4469045203647219</v>
      </c>
      <c r="R24" s="54">
        <f t="shared" si="11"/>
        <v>9.4691101384889347</v>
      </c>
      <c r="S24" s="54">
        <f t="shared" si="11"/>
        <v>9.5241634781674449</v>
      </c>
      <c r="T24" s="54">
        <f t="shared" si="11"/>
        <v>9.5718262561414527</v>
      </c>
      <c r="U24" s="54">
        <f t="shared" si="11"/>
        <v>9.7031560088700175</v>
      </c>
      <c r="V24" s="54">
        <f t="shared" si="11"/>
        <v>9.7485285578387977</v>
      </c>
      <c r="W24" s="54">
        <f t="shared" si="11"/>
        <v>9.8291353976187725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31.713481494847443</v>
      </c>
      <c r="C25" s="54">
        <f t="shared" si="12"/>
        <v>31.552189244536113</v>
      </c>
      <c r="D25" s="54">
        <f t="shared" ref="D25:W25" si="13">D9*1000/D6</f>
        <v>31.394544621637863</v>
      </c>
      <c r="E25" s="54">
        <f t="shared" si="13"/>
        <v>31.148808562386574</v>
      </c>
      <c r="F25" s="54">
        <f t="shared" si="13"/>
        <v>31.122073869979555</v>
      </c>
      <c r="G25" s="54">
        <f t="shared" si="13"/>
        <v>31.072517651779446</v>
      </c>
      <c r="H25" s="54">
        <f t="shared" si="13"/>
        <v>31.023490830441393</v>
      </c>
      <c r="I25" s="54">
        <f t="shared" si="13"/>
        <v>31.123140167431941</v>
      </c>
      <c r="J25" s="54">
        <f t="shared" si="13"/>
        <v>31.071114786867568</v>
      </c>
      <c r="K25" s="54">
        <f t="shared" si="13"/>
        <v>31.342590615779255</v>
      </c>
      <c r="L25" s="54">
        <f t="shared" si="13"/>
        <v>31.481204802139676</v>
      </c>
      <c r="M25" s="54">
        <f t="shared" si="13"/>
        <v>31.451835933845771</v>
      </c>
      <c r="N25" s="54">
        <f t="shared" si="13"/>
        <v>31.349618838145858</v>
      </c>
      <c r="O25" s="54">
        <f t="shared" si="13"/>
        <v>31.544211507428606</v>
      </c>
      <c r="P25" s="54">
        <f t="shared" si="13"/>
        <v>31.668507433849431</v>
      </c>
      <c r="Q25" s="54">
        <f t="shared" si="13"/>
        <v>31.418165108759187</v>
      </c>
      <c r="R25" s="54">
        <f t="shared" si="13"/>
        <v>30.95590796093752</v>
      </c>
      <c r="S25" s="54">
        <f t="shared" si="13"/>
        <v>30.601774347805357</v>
      </c>
      <c r="T25" s="54">
        <f t="shared" si="13"/>
        <v>30.425797815700584</v>
      </c>
      <c r="U25" s="54">
        <f t="shared" si="13"/>
        <v>30.289662355211512</v>
      </c>
      <c r="V25" s="54">
        <f t="shared" si="13"/>
        <v>31.1242605390648</v>
      </c>
      <c r="W25" s="54">
        <f t="shared" si="13"/>
        <v>30.926988203692989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899.99999999999989</v>
      </c>
      <c r="F26" s="55">
        <f t="shared" si="15"/>
        <v>900</v>
      </c>
      <c r="G26" s="55">
        <f t="shared" si="15"/>
        <v>900.00000000000011</v>
      </c>
      <c r="H26" s="55">
        <f t="shared" si="15"/>
        <v>900</v>
      </c>
      <c r="I26" s="55">
        <f t="shared" si="15"/>
        <v>900.00000000000011</v>
      </c>
      <c r="J26" s="55">
        <f t="shared" si="15"/>
        <v>899.99999999999989</v>
      </c>
      <c r="K26" s="55">
        <f t="shared" si="15"/>
        <v>900.00000000000023</v>
      </c>
      <c r="L26" s="55">
        <f t="shared" si="15"/>
        <v>899.99999999999989</v>
      </c>
      <c r="M26" s="55">
        <f t="shared" si="15"/>
        <v>899.99999999999989</v>
      </c>
      <c r="N26" s="55">
        <f t="shared" si="15"/>
        <v>900</v>
      </c>
      <c r="O26" s="55">
        <f t="shared" si="15"/>
        <v>900.00000000000011</v>
      </c>
      <c r="P26" s="55">
        <f t="shared" si="15"/>
        <v>900</v>
      </c>
      <c r="Q26" s="55">
        <f t="shared" si="15"/>
        <v>900</v>
      </c>
      <c r="R26" s="55">
        <f t="shared" si="15"/>
        <v>900.00000000000011</v>
      </c>
      <c r="S26" s="55">
        <f t="shared" si="15"/>
        <v>900</v>
      </c>
      <c r="T26" s="55">
        <f t="shared" si="15"/>
        <v>900</v>
      </c>
      <c r="U26" s="55">
        <f t="shared" si="15"/>
        <v>900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900</v>
      </c>
      <c r="E27" s="57">
        <f t="shared" si="17"/>
        <v>899.99999999999989</v>
      </c>
      <c r="F27" s="57">
        <f t="shared" si="17"/>
        <v>900.00000000000011</v>
      </c>
      <c r="G27" s="57">
        <f t="shared" si="17"/>
        <v>900</v>
      </c>
      <c r="H27" s="57">
        <f t="shared" si="17"/>
        <v>900</v>
      </c>
      <c r="I27" s="57">
        <f t="shared" si="17"/>
        <v>900.00000000000011</v>
      </c>
      <c r="J27" s="57">
        <f t="shared" si="17"/>
        <v>900</v>
      </c>
      <c r="K27" s="57">
        <f t="shared" si="17"/>
        <v>900.00000000000023</v>
      </c>
      <c r="L27" s="57">
        <f t="shared" si="17"/>
        <v>900</v>
      </c>
      <c r="M27" s="57">
        <f t="shared" si="17"/>
        <v>900</v>
      </c>
      <c r="N27" s="57">
        <f t="shared" si="17"/>
        <v>899.99999999999977</v>
      </c>
      <c r="O27" s="57">
        <f t="shared" si="17"/>
        <v>900.00000000000023</v>
      </c>
      <c r="P27" s="57">
        <f t="shared" si="17"/>
        <v>900</v>
      </c>
      <c r="Q27" s="57">
        <f t="shared" si="17"/>
        <v>900</v>
      </c>
      <c r="R27" s="57">
        <f t="shared" si="17"/>
        <v>900</v>
      </c>
      <c r="S27" s="57">
        <f t="shared" si="17"/>
        <v>900</v>
      </c>
      <c r="T27" s="57">
        <f t="shared" si="17"/>
        <v>900.00000000000023</v>
      </c>
      <c r="U27" s="57">
        <f t="shared" si="17"/>
        <v>899.99999999999989</v>
      </c>
      <c r="V27" s="57">
        <f t="shared" si="17"/>
        <v>900</v>
      </c>
      <c r="W27" s="57">
        <f t="shared" si="17"/>
        <v>899.99999999999989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12017.077472055029</v>
      </c>
      <c r="C31" s="80">
        <f t="shared" ref="C31:W31" si="18">SUM(C32:C33,C36:C37,C44:C45)</f>
        <v>12396.309802235597</v>
      </c>
      <c r="D31" s="80">
        <f t="shared" si="18"/>
        <v>12386.326139294926</v>
      </c>
      <c r="E31" s="80">
        <f t="shared" si="18"/>
        <v>13725.561220980224</v>
      </c>
      <c r="F31" s="80">
        <f t="shared" si="18"/>
        <v>14009.080825451418</v>
      </c>
      <c r="G31" s="80">
        <f t="shared" si="18"/>
        <v>15631.496646603609</v>
      </c>
      <c r="H31" s="80">
        <f t="shared" si="18"/>
        <v>16163.824419604469</v>
      </c>
      <c r="I31" s="80">
        <f t="shared" si="18"/>
        <v>15771.333705932931</v>
      </c>
      <c r="J31" s="80">
        <f t="shared" si="18"/>
        <v>17643.6562338779</v>
      </c>
      <c r="K31" s="80">
        <f t="shared" si="18"/>
        <v>17543.515305245055</v>
      </c>
      <c r="L31" s="80">
        <f t="shared" si="18"/>
        <v>17620.049785682604</v>
      </c>
      <c r="M31" s="80">
        <f t="shared" si="18"/>
        <v>16382.458364939597</v>
      </c>
      <c r="N31" s="80">
        <f t="shared" si="18"/>
        <v>16562.03930256849</v>
      </c>
      <c r="O31" s="80">
        <f t="shared" si="18"/>
        <v>16431.049621869093</v>
      </c>
      <c r="P31" s="80">
        <f t="shared" si="18"/>
        <v>15202.495412339626</v>
      </c>
      <c r="Q31" s="80">
        <f t="shared" si="18"/>
        <v>15982.752761710042</v>
      </c>
      <c r="R31" s="80">
        <f t="shared" si="18"/>
        <v>16041.218558052598</v>
      </c>
      <c r="S31" s="80">
        <f t="shared" si="18"/>
        <v>16254.42163671547</v>
      </c>
      <c r="T31" s="80">
        <f t="shared" si="18"/>
        <v>17075.460776031039</v>
      </c>
      <c r="U31" s="80">
        <f t="shared" si="18"/>
        <v>16332.185997748404</v>
      </c>
      <c r="V31" s="80">
        <f t="shared" si="18"/>
        <v>14642.11915517966</v>
      </c>
      <c r="W31" s="80">
        <f t="shared" si="18"/>
        <v>14793.083471156708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1128.7618228718829</v>
      </c>
      <c r="C33" s="55">
        <f t="shared" ref="C33:W33" si="19">SUM(C34:C35)</f>
        <v>972.67601031814263</v>
      </c>
      <c r="D33" s="55">
        <f t="shared" si="19"/>
        <v>1020.9276870163369</v>
      </c>
      <c r="E33" s="55">
        <f t="shared" si="19"/>
        <v>1169.0694754944109</v>
      </c>
      <c r="F33" s="55">
        <f t="shared" si="19"/>
        <v>1176.8367153912295</v>
      </c>
      <c r="G33" s="55">
        <f t="shared" si="19"/>
        <v>1213.6238177128116</v>
      </c>
      <c r="H33" s="55">
        <f t="shared" si="19"/>
        <v>1184.2122957867584</v>
      </c>
      <c r="I33" s="55">
        <f t="shared" si="19"/>
        <v>1107.3898538263111</v>
      </c>
      <c r="J33" s="55">
        <f t="shared" si="19"/>
        <v>1148.4188306104902</v>
      </c>
      <c r="K33" s="55">
        <f t="shared" si="19"/>
        <v>947.31057609630261</v>
      </c>
      <c r="L33" s="55">
        <f t="shared" si="19"/>
        <v>959.37704213241602</v>
      </c>
      <c r="M33" s="55">
        <f t="shared" si="19"/>
        <v>869.28443680137559</v>
      </c>
      <c r="N33" s="55">
        <f t="shared" si="19"/>
        <v>756.85967325881336</v>
      </c>
      <c r="O33" s="55">
        <f t="shared" si="19"/>
        <v>711.11590713671535</v>
      </c>
      <c r="P33" s="55">
        <f t="shared" si="19"/>
        <v>686.26165090283735</v>
      </c>
      <c r="Q33" s="55">
        <f t="shared" si="19"/>
        <v>689.85864144453978</v>
      </c>
      <c r="R33" s="55">
        <f t="shared" si="19"/>
        <v>703.84058469475497</v>
      </c>
      <c r="S33" s="55">
        <f t="shared" si="19"/>
        <v>631.62605331040402</v>
      </c>
      <c r="T33" s="55">
        <f t="shared" si="19"/>
        <v>635.29045571797064</v>
      </c>
      <c r="U33" s="55">
        <f t="shared" si="19"/>
        <v>576.52949269131568</v>
      </c>
      <c r="V33" s="55">
        <f t="shared" si="19"/>
        <v>543.87618228718827</v>
      </c>
      <c r="W33" s="55">
        <f t="shared" si="19"/>
        <v>657.43998280309552</v>
      </c>
      <c r="DA33" s="101"/>
    </row>
    <row r="34" spans="1:105" ht="12" customHeight="1" x14ac:dyDescent="0.25">
      <c r="A34" s="61" t="s">
        <v>52</v>
      </c>
      <c r="B34" s="55">
        <v>672.39896818572652</v>
      </c>
      <c r="C34" s="55">
        <v>650.42510748065342</v>
      </c>
      <c r="D34" s="55">
        <v>628.45133276010313</v>
      </c>
      <c r="E34" s="55">
        <v>672.39896818572652</v>
      </c>
      <c r="F34" s="55">
        <v>651.52381771281159</v>
      </c>
      <c r="G34" s="55">
        <v>664.70816852966459</v>
      </c>
      <c r="H34" s="55">
        <v>614.16835769561476</v>
      </c>
      <c r="I34" s="55">
        <v>582.30627687016329</v>
      </c>
      <c r="J34" s="55">
        <v>561.43112639724848</v>
      </c>
      <c r="K34" s="55">
        <v>592.19449699054167</v>
      </c>
      <c r="L34" s="55">
        <v>587.79974204643156</v>
      </c>
      <c r="M34" s="55">
        <v>533.96388650042991</v>
      </c>
      <c r="N34" s="55">
        <v>444.9699054170249</v>
      </c>
      <c r="O34" s="55">
        <v>450.46337059329318</v>
      </c>
      <c r="P34" s="55">
        <v>430.68693035253648</v>
      </c>
      <c r="Q34" s="55">
        <v>410.91049011177978</v>
      </c>
      <c r="R34" s="55">
        <v>431.78564058469482</v>
      </c>
      <c r="S34" s="55">
        <v>443.10765262252789</v>
      </c>
      <c r="T34" s="55">
        <v>430.86706792777301</v>
      </c>
      <c r="U34" s="55">
        <v>431.72846087704221</v>
      </c>
      <c r="V34" s="55">
        <v>434.61143594153049</v>
      </c>
      <c r="W34" s="55">
        <v>482.58907996560617</v>
      </c>
      <c r="DA34" s="101" t="s">
        <v>200</v>
      </c>
    </row>
    <row r="35" spans="1:105" ht="12" customHeight="1" x14ac:dyDescent="0.25">
      <c r="A35" s="61" t="s">
        <v>170</v>
      </c>
      <c r="B35" s="55">
        <v>456.36285468615642</v>
      </c>
      <c r="C35" s="55">
        <v>322.25090283748921</v>
      </c>
      <c r="D35" s="55">
        <v>392.47635425623378</v>
      </c>
      <c r="E35" s="55">
        <v>496.67050730868436</v>
      </c>
      <c r="F35" s="55">
        <v>525.31289767841793</v>
      </c>
      <c r="G35" s="55">
        <v>548.91564918314702</v>
      </c>
      <c r="H35" s="55">
        <v>570.04393809114367</v>
      </c>
      <c r="I35" s="55">
        <v>525.08357695614779</v>
      </c>
      <c r="J35" s="55">
        <v>586.98770421324173</v>
      </c>
      <c r="K35" s="55">
        <v>355.11607910576095</v>
      </c>
      <c r="L35" s="55">
        <v>371.57730008598446</v>
      </c>
      <c r="M35" s="55">
        <v>335.32055030094568</v>
      </c>
      <c r="N35" s="55">
        <v>311.88976784178845</v>
      </c>
      <c r="O35" s="55">
        <v>260.65253654342217</v>
      </c>
      <c r="P35" s="55">
        <v>255.57472055030087</v>
      </c>
      <c r="Q35" s="55">
        <v>278.94815133276001</v>
      </c>
      <c r="R35" s="55">
        <v>272.05494411006015</v>
      </c>
      <c r="S35" s="55">
        <v>188.51840068787612</v>
      </c>
      <c r="T35" s="55">
        <v>204.42338779019764</v>
      </c>
      <c r="U35" s="55">
        <v>144.80103181427347</v>
      </c>
      <c r="V35" s="55">
        <v>109.26474634565778</v>
      </c>
      <c r="W35" s="55">
        <v>174.85090283748934</v>
      </c>
      <c r="DA35" s="101" t="s">
        <v>201</v>
      </c>
    </row>
    <row r="36" spans="1:105" ht="12" customHeight="1" x14ac:dyDescent="0.25">
      <c r="A36" s="60" t="s">
        <v>153</v>
      </c>
      <c r="B36" s="55">
        <v>5571.7540842648323</v>
      </c>
      <c r="C36" s="55">
        <v>5860.5116079105755</v>
      </c>
      <c r="D36" s="55">
        <v>5467.4333619948402</v>
      </c>
      <c r="E36" s="55">
        <v>6230.0945829750644</v>
      </c>
      <c r="F36" s="55">
        <v>6205.7179707652622</v>
      </c>
      <c r="G36" s="55">
        <v>7434.3723129836626</v>
      </c>
      <c r="H36" s="55">
        <v>7562.854686156491</v>
      </c>
      <c r="I36" s="55">
        <v>7071.109200343938</v>
      </c>
      <c r="J36" s="55">
        <v>8623.387790197763</v>
      </c>
      <c r="K36" s="55">
        <v>8610.2536543422175</v>
      </c>
      <c r="L36" s="55">
        <v>8613.8435081685293</v>
      </c>
      <c r="M36" s="55">
        <v>7254.4711951848658</v>
      </c>
      <c r="N36" s="55">
        <v>7276.4402407566631</v>
      </c>
      <c r="O36" s="55">
        <v>7258.9853826311264</v>
      </c>
      <c r="P36" s="55">
        <v>6012.1023215821151</v>
      </c>
      <c r="Q36" s="55">
        <v>6499.1616509028372</v>
      </c>
      <c r="R36" s="55">
        <v>6542.0249355116084</v>
      </c>
      <c r="S36" s="55">
        <v>6590.1762682717108</v>
      </c>
      <c r="T36" s="55">
        <v>7250.1576956147892</v>
      </c>
      <c r="U36" s="55">
        <v>7086.3661220980212</v>
      </c>
      <c r="V36" s="55">
        <v>6690.2288907996553</v>
      </c>
      <c r="W36" s="55">
        <v>6283.004901117798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141.75503009458296</v>
      </c>
      <c r="C37" s="55">
        <f t="shared" ref="C37:W37" si="20">SUM(C38:C42)</f>
        <v>144.97944969905421</v>
      </c>
      <c r="D37" s="55">
        <f t="shared" si="20"/>
        <v>144.74067067927777</v>
      </c>
      <c r="E37" s="55">
        <f t="shared" si="20"/>
        <v>145.31375752364579</v>
      </c>
      <c r="F37" s="55">
        <f t="shared" si="20"/>
        <v>143.42691315563198</v>
      </c>
      <c r="G37" s="55">
        <f t="shared" si="20"/>
        <v>145.48099742046432</v>
      </c>
      <c r="H37" s="55">
        <f t="shared" si="20"/>
        <v>149.39810834049868</v>
      </c>
      <c r="I37" s="55">
        <f t="shared" si="20"/>
        <v>151.14170249355115</v>
      </c>
      <c r="J37" s="55">
        <f t="shared" si="20"/>
        <v>154.48546861564915</v>
      </c>
      <c r="K37" s="55">
        <f t="shared" si="20"/>
        <v>162.79733447979365</v>
      </c>
      <c r="L37" s="55">
        <f t="shared" si="20"/>
        <v>124.70137575236458</v>
      </c>
      <c r="M37" s="55">
        <f t="shared" si="20"/>
        <v>128.40352536543423</v>
      </c>
      <c r="N37" s="55">
        <f t="shared" si="20"/>
        <v>153.93628546861561</v>
      </c>
      <c r="O37" s="55">
        <f t="shared" si="20"/>
        <v>171.06147893379193</v>
      </c>
      <c r="P37" s="55">
        <f t="shared" si="20"/>
        <v>194.06233877901974</v>
      </c>
      <c r="Q37" s="55">
        <f t="shared" si="20"/>
        <v>189.73920894239035</v>
      </c>
      <c r="R37" s="55">
        <f t="shared" si="20"/>
        <v>204.59544282029233</v>
      </c>
      <c r="S37" s="55">
        <f t="shared" si="20"/>
        <v>209.9579535683576</v>
      </c>
      <c r="T37" s="55">
        <f t="shared" si="20"/>
        <v>209.97807394668965</v>
      </c>
      <c r="U37" s="55">
        <f t="shared" si="20"/>
        <v>215.21891659501301</v>
      </c>
      <c r="V37" s="55">
        <f t="shared" si="20"/>
        <v>209.55081685296651</v>
      </c>
      <c r="W37" s="55">
        <f t="shared" si="20"/>
        <v>215.91891659501275</v>
      </c>
      <c r="DA37" s="101"/>
    </row>
    <row r="38" spans="1:105" ht="12" customHeight="1" x14ac:dyDescent="0.25">
      <c r="A38" s="61" t="s">
        <v>171</v>
      </c>
      <c r="B38" s="55">
        <v>7.4042132416165032</v>
      </c>
      <c r="C38" s="55">
        <v>7.7625107480653526</v>
      </c>
      <c r="D38" s="55">
        <v>7.1415305245055833</v>
      </c>
      <c r="E38" s="55">
        <v>7.2608770421324209</v>
      </c>
      <c r="F38" s="55">
        <v>7.4758383490971596</v>
      </c>
      <c r="G38" s="55">
        <v>7.6669819432502209</v>
      </c>
      <c r="H38" s="55">
        <v>10.007652622527928</v>
      </c>
      <c r="I38" s="55">
        <v>8.0969045571796983</v>
      </c>
      <c r="J38" s="55">
        <v>8.3356835769561428</v>
      </c>
      <c r="K38" s="55">
        <v>12.849871023215826</v>
      </c>
      <c r="L38" s="55">
        <v>20.612381771281179</v>
      </c>
      <c r="M38" s="55">
        <v>21.281169389509898</v>
      </c>
      <c r="N38" s="55">
        <v>21.209544282029228</v>
      </c>
      <c r="O38" s="55">
        <v>35.46861564918315</v>
      </c>
      <c r="P38" s="55">
        <v>59.424849527085101</v>
      </c>
      <c r="Q38" s="55">
        <v>50.611435941530516</v>
      </c>
      <c r="R38" s="55">
        <v>64.273430782459144</v>
      </c>
      <c r="S38" s="55">
        <v>65.598452278589775</v>
      </c>
      <c r="T38" s="55">
        <v>64.370421324161725</v>
      </c>
      <c r="U38" s="55">
        <v>70.97987962166826</v>
      </c>
      <c r="V38" s="55">
        <v>73.126397248495323</v>
      </c>
      <c r="W38" s="55">
        <v>81.588907996560465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1.1942390369733451</v>
      </c>
      <c r="M39" s="55">
        <v>2.9855546001719691</v>
      </c>
      <c r="N39" s="55">
        <v>24.648925193465171</v>
      </c>
      <c r="O39" s="55">
        <v>24.768357695614789</v>
      </c>
      <c r="P39" s="55">
        <v>24.768357695614789</v>
      </c>
      <c r="Q39" s="55">
        <v>24.768357695614789</v>
      </c>
      <c r="R39" s="55">
        <v>24.195098882201201</v>
      </c>
      <c r="S39" s="55">
        <v>22.714273430782459</v>
      </c>
      <c r="T39" s="55">
        <v>23.001547721410141</v>
      </c>
      <c r="U39" s="55">
        <v>19.972226999140151</v>
      </c>
      <c r="V39" s="55">
        <v>20.009974204643161</v>
      </c>
      <c r="W39" s="55">
        <v>19.53061049011178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2.2929492691315558</v>
      </c>
      <c r="C41" s="55">
        <v>2.5556319862424761</v>
      </c>
      <c r="D41" s="55">
        <v>2.937833190025795</v>
      </c>
      <c r="E41" s="55">
        <v>3.3915735167669818</v>
      </c>
      <c r="F41" s="55">
        <v>3.893207222699913</v>
      </c>
      <c r="G41" s="55">
        <v>5.7561478933791914</v>
      </c>
      <c r="H41" s="55">
        <v>7.3325881341358556</v>
      </c>
      <c r="I41" s="55">
        <v>10.98693035253654</v>
      </c>
      <c r="J41" s="55">
        <v>14.09191745485812</v>
      </c>
      <c r="K41" s="55">
        <v>17.889595872742909</v>
      </c>
      <c r="L41" s="55">
        <v>26.822355975924332</v>
      </c>
      <c r="M41" s="55">
        <v>28.064402407566639</v>
      </c>
      <c r="N41" s="55">
        <v>31.073860705073081</v>
      </c>
      <c r="O41" s="55">
        <v>33.629492691315562</v>
      </c>
      <c r="P41" s="55">
        <v>35.898538263112627</v>
      </c>
      <c r="Q41" s="55">
        <v>38.000343938091142</v>
      </c>
      <c r="R41" s="55">
        <v>40.030610490111783</v>
      </c>
      <c r="S41" s="55">
        <v>41.754342218400687</v>
      </c>
      <c r="T41" s="55">
        <v>43.684264832330179</v>
      </c>
      <c r="U41" s="55">
        <v>45.58933791917454</v>
      </c>
      <c r="V41" s="55">
        <v>43.261306964746353</v>
      </c>
      <c r="W41" s="55">
        <v>44.432416165090281</v>
      </c>
      <c r="DA41" s="101" t="s">
        <v>206</v>
      </c>
    </row>
    <row r="42" spans="1:105" ht="12" customHeight="1" x14ac:dyDescent="0.25">
      <c r="A42" s="61" t="s">
        <v>25</v>
      </c>
      <c r="B42" s="55">
        <v>132.05786758383491</v>
      </c>
      <c r="C42" s="55">
        <v>134.66130696474639</v>
      </c>
      <c r="D42" s="55">
        <v>134.66130696474639</v>
      </c>
      <c r="E42" s="55">
        <v>134.66130696474639</v>
      </c>
      <c r="F42" s="55">
        <v>132.05786758383491</v>
      </c>
      <c r="G42" s="55">
        <v>132.05786758383491</v>
      </c>
      <c r="H42" s="55">
        <v>132.05786758383491</v>
      </c>
      <c r="I42" s="55">
        <v>132.05786758383491</v>
      </c>
      <c r="J42" s="55">
        <v>132.05786758383491</v>
      </c>
      <c r="K42" s="55">
        <v>132.05786758383491</v>
      </c>
      <c r="L42" s="55">
        <v>76.072398968185723</v>
      </c>
      <c r="M42" s="55">
        <v>76.072398968185723</v>
      </c>
      <c r="N42" s="55">
        <v>77.003955288048147</v>
      </c>
      <c r="O42" s="55">
        <v>77.19501289767841</v>
      </c>
      <c r="P42" s="55">
        <v>73.970593293207216</v>
      </c>
      <c r="Q42" s="55">
        <v>76.359071367153916</v>
      </c>
      <c r="R42" s="55">
        <v>76.096302665520199</v>
      </c>
      <c r="S42" s="55">
        <v>79.890885640584685</v>
      </c>
      <c r="T42" s="55">
        <v>78.921840068787617</v>
      </c>
      <c r="U42" s="55">
        <v>78.677472055030094</v>
      </c>
      <c r="V42" s="55">
        <v>73.153138435081672</v>
      </c>
      <c r="W42" s="55">
        <v>70.366981943250209</v>
      </c>
      <c r="DA42" s="101" t="s">
        <v>207</v>
      </c>
    </row>
    <row r="43" spans="1:105" ht="12" customHeight="1" x14ac:dyDescent="0.25">
      <c r="A43" s="61" t="s">
        <v>157</v>
      </c>
      <c r="B43" s="55">
        <v>1.6229444202585062</v>
      </c>
      <c r="C43" s="55">
        <v>3.4194336767723201</v>
      </c>
      <c r="D43" s="55">
        <v>10.261887365329681</v>
      </c>
      <c r="E43" s="55">
        <v>13.041852951552691</v>
      </c>
      <c r="F43" s="55">
        <v>29.118566999839267</v>
      </c>
      <c r="G43" s="55">
        <v>58.914648252437843</v>
      </c>
      <c r="H43" s="55">
        <v>82.719174717310793</v>
      </c>
      <c r="I43" s="55">
        <v>99.607175051393526</v>
      </c>
      <c r="J43" s="55">
        <v>116.5980286146156</v>
      </c>
      <c r="K43" s="55">
        <v>160.36720335648172</v>
      </c>
      <c r="L43" s="55">
        <v>195.42462601127264</v>
      </c>
      <c r="M43" s="55">
        <v>311.7669830304406</v>
      </c>
      <c r="N43" s="55">
        <v>525.57526606649742</v>
      </c>
      <c r="O43" s="55">
        <v>696.62322278214958</v>
      </c>
      <c r="P43" s="55">
        <v>1156.8763233563732</v>
      </c>
      <c r="Q43" s="55">
        <v>2146.2294250652499</v>
      </c>
      <c r="R43" s="55">
        <v>2275.6240238403734</v>
      </c>
      <c r="S43" s="55">
        <v>2548.6674978503875</v>
      </c>
      <c r="T43" s="55">
        <v>2496.4920894239017</v>
      </c>
      <c r="U43" s="55">
        <v>2402.3334479793652</v>
      </c>
      <c r="V43" s="55">
        <v>2380.0477214101443</v>
      </c>
      <c r="W43" s="55">
        <v>1931.040756663798</v>
      </c>
      <c r="DA43" s="101" t="s">
        <v>208</v>
      </c>
    </row>
    <row r="44" spans="1:105" ht="12" customHeight="1" x14ac:dyDescent="0.25">
      <c r="A44" s="60" t="s">
        <v>169</v>
      </c>
      <c r="B44" s="55">
        <v>0</v>
      </c>
      <c r="C44" s="55">
        <v>0</v>
      </c>
      <c r="D44" s="55">
        <v>0</v>
      </c>
      <c r="E44" s="55">
        <v>0</v>
      </c>
      <c r="F44" s="55">
        <v>68.739810834049862</v>
      </c>
      <c r="G44" s="55">
        <v>70.00576096302666</v>
      </c>
      <c r="H44" s="55">
        <v>97.281943250214951</v>
      </c>
      <c r="I44" s="55">
        <v>100.93628546861559</v>
      </c>
      <c r="J44" s="55">
        <v>100.76913155631986</v>
      </c>
      <c r="K44" s="55">
        <v>92.027343078245906</v>
      </c>
      <c r="L44" s="55">
        <v>78.651934651762673</v>
      </c>
      <c r="M44" s="55">
        <v>173.49767841788483</v>
      </c>
      <c r="N44" s="55">
        <v>139.89200343938094</v>
      </c>
      <c r="O44" s="55">
        <v>190.95726569217541</v>
      </c>
      <c r="P44" s="55">
        <v>276.87016337059327</v>
      </c>
      <c r="Q44" s="55">
        <v>237.8188306104901</v>
      </c>
      <c r="R44" s="55">
        <v>256.85494411006022</v>
      </c>
      <c r="S44" s="55">
        <v>324.48950988822008</v>
      </c>
      <c r="T44" s="55">
        <v>398.77506448839205</v>
      </c>
      <c r="U44" s="55">
        <v>311.02020636285476</v>
      </c>
      <c r="V44" s="55">
        <v>307.60180567497844</v>
      </c>
      <c r="W44" s="55">
        <v>347.6052450558899</v>
      </c>
      <c r="DA44" s="101" t="s">
        <v>209</v>
      </c>
    </row>
    <row r="45" spans="1:105" ht="12" customHeight="1" x14ac:dyDescent="0.25">
      <c r="A45" s="62" t="s">
        <v>24</v>
      </c>
      <c r="B45" s="63">
        <v>5174.8065348237315</v>
      </c>
      <c r="C45" s="63">
        <v>5418.1427343078249</v>
      </c>
      <c r="D45" s="63">
        <v>5753.2244196044712</v>
      </c>
      <c r="E45" s="63">
        <v>6181.0834049871019</v>
      </c>
      <c r="F45" s="63">
        <v>6414.3594153052445</v>
      </c>
      <c r="G45" s="63">
        <v>6768.0137575236449</v>
      </c>
      <c r="H45" s="63">
        <v>7170.0773860705076</v>
      </c>
      <c r="I45" s="63">
        <v>7340.7566638005164</v>
      </c>
      <c r="J45" s="63">
        <v>7616.5950128976783</v>
      </c>
      <c r="K45" s="63">
        <v>7731.126397248494</v>
      </c>
      <c r="L45" s="63">
        <v>7843.4759249775288</v>
      </c>
      <c r="M45" s="63">
        <v>7956.8015291700349</v>
      </c>
      <c r="N45" s="63">
        <v>8234.9110996450145</v>
      </c>
      <c r="O45" s="63">
        <v>8098.9295874752852</v>
      </c>
      <c r="P45" s="63">
        <v>8033.1989377050595</v>
      </c>
      <c r="Q45" s="63">
        <v>8366.1744298097838</v>
      </c>
      <c r="R45" s="63">
        <v>8333.9026509158812</v>
      </c>
      <c r="S45" s="63">
        <v>8498.1718516767778</v>
      </c>
      <c r="T45" s="63">
        <v>8581.2594862631995</v>
      </c>
      <c r="U45" s="63">
        <v>8143.0512600011989</v>
      </c>
      <c r="V45" s="63">
        <v>6890.8614595648714</v>
      </c>
      <c r="W45" s="63">
        <v>7289.1144255849104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12017.077472055029</v>
      </c>
      <c r="C47" s="82">
        <f t="shared" ref="C47:W47" si="22">SUM(C48,C53)</f>
        <v>12396.309802235597</v>
      </c>
      <c r="D47" s="82">
        <f t="shared" si="22"/>
        <v>12386.326139294926</v>
      </c>
      <c r="E47" s="82">
        <f t="shared" si="22"/>
        <v>13725.561220980222</v>
      </c>
      <c r="F47" s="82">
        <f t="shared" si="22"/>
        <v>14009.080825451418</v>
      </c>
      <c r="G47" s="82">
        <f t="shared" si="22"/>
        <v>15631.496646603609</v>
      </c>
      <c r="H47" s="82">
        <f t="shared" si="22"/>
        <v>16163.824419604476</v>
      </c>
      <c r="I47" s="82">
        <f t="shared" si="22"/>
        <v>15771.333705932935</v>
      </c>
      <c r="J47" s="82">
        <f t="shared" si="22"/>
        <v>17643.656233877904</v>
      </c>
      <c r="K47" s="82">
        <f t="shared" si="22"/>
        <v>17543.515305245055</v>
      </c>
      <c r="L47" s="82">
        <f t="shared" si="22"/>
        <v>17620.049785682604</v>
      </c>
      <c r="M47" s="82">
        <f t="shared" si="22"/>
        <v>16382.458364939586</v>
      </c>
      <c r="N47" s="82">
        <f t="shared" si="22"/>
        <v>16562.039302568486</v>
      </c>
      <c r="O47" s="82">
        <f t="shared" si="22"/>
        <v>16431.049621869097</v>
      </c>
      <c r="P47" s="82">
        <f t="shared" si="22"/>
        <v>15202.495412339631</v>
      </c>
      <c r="Q47" s="82">
        <f t="shared" si="22"/>
        <v>15982.752761710039</v>
      </c>
      <c r="R47" s="82">
        <f t="shared" si="22"/>
        <v>16041.218558052597</v>
      </c>
      <c r="S47" s="82">
        <f t="shared" si="22"/>
        <v>16254.421636715471</v>
      </c>
      <c r="T47" s="82">
        <f t="shared" si="22"/>
        <v>17075.460776031035</v>
      </c>
      <c r="U47" s="82">
        <f t="shared" si="22"/>
        <v>16332.185997748407</v>
      </c>
      <c r="V47" s="82">
        <f t="shared" si="22"/>
        <v>14642.119155179666</v>
      </c>
      <c r="W47" s="82">
        <f t="shared" si="22"/>
        <v>14793.083471156708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9419.746364650422</v>
      </c>
      <c r="C48" s="64">
        <f t="shared" ref="C48:W48" si="24">SUM(C49:C52)</f>
        <v>9717.3252594798905</v>
      </c>
      <c r="D48" s="64">
        <f t="shared" si="24"/>
        <v>9618.3592637528509</v>
      </c>
      <c r="E48" s="64">
        <f t="shared" si="24"/>
        <v>10861.523993898543</v>
      </c>
      <c r="F48" s="64">
        <f t="shared" si="24"/>
        <v>11048.949713150334</v>
      </c>
      <c r="G48" s="64">
        <f t="shared" si="24"/>
        <v>12582.933550484742</v>
      </c>
      <c r="H48" s="64">
        <f t="shared" si="24"/>
        <v>13000.694834850561</v>
      </c>
      <c r="I48" s="64">
        <f t="shared" si="24"/>
        <v>12507.192152826612</v>
      </c>
      <c r="J48" s="64">
        <f t="shared" si="24"/>
        <v>14305.454973618736</v>
      </c>
      <c r="K48" s="64">
        <f t="shared" si="24"/>
        <v>14149.84047421025</v>
      </c>
      <c r="L48" s="64">
        <f t="shared" si="24"/>
        <v>14175.964399437464</v>
      </c>
      <c r="M48" s="64">
        <f t="shared" si="24"/>
        <v>12887.862075477955</v>
      </c>
      <c r="N48" s="64">
        <f t="shared" si="24"/>
        <v>13026.346122070525</v>
      </c>
      <c r="O48" s="64">
        <f t="shared" si="24"/>
        <v>12843.353057816341</v>
      </c>
      <c r="P48" s="64">
        <f t="shared" si="24"/>
        <v>11514.753487672211</v>
      </c>
      <c r="Q48" s="64">
        <f t="shared" si="24"/>
        <v>12226.154921149933</v>
      </c>
      <c r="R48" s="64">
        <f t="shared" si="24"/>
        <v>12268.969992415212</v>
      </c>
      <c r="S48" s="64">
        <f t="shared" si="24"/>
        <v>12433.026803995095</v>
      </c>
      <c r="T48" s="64">
        <f t="shared" si="24"/>
        <v>13274.787798158031</v>
      </c>
      <c r="U48" s="64">
        <f t="shared" si="24"/>
        <v>12612.698666005856</v>
      </c>
      <c r="V48" s="64">
        <f t="shared" si="24"/>
        <v>11284.990859509591</v>
      </c>
      <c r="W48" s="64">
        <f t="shared" si="24"/>
        <v>11417.619172615803</v>
      </c>
      <c r="DA48" s="108" t="s">
        <v>212</v>
      </c>
    </row>
    <row r="49" spans="1:105" ht="12" customHeight="1" x14ac:dyDescent="0.25">
      <c r="A49" s="61" t="s">
        <v>32</v>
      </c>
      <c r="B49" s="65">
        <v>6295.573302771114</v>
      </c>
      <c r="C49" s="65">
        <v>6528.7628965018139</v>
      </c>
      <c r="D49" s="65">
        <v>6405.092297220428</v>
      </c>
      <c r="E49" s="65">
        <v>7483.1832020397078</v>
      </c>
      <c r="F49" s="65">
        <v>7813.6656283836601</v>
      </c>
      <c r="G49" s="65">
        <v>9295.1947624617424</v>
      </c>
      <c r="H49" s="65">
        <v>9652.1264347163396</v>
      </c>
      <c r="I49" s="65">
        <v>9057.36527782759</v>
      </c>
      <c r="J49" s="65">
        <v>10808.160338934764</v>
      </c>
      <c r="K49" s="65">
        <v>10607.425556877359</v>
      </c>
      <c r="L49" s="65">
        <v>10660.395490318242</v>
      </c>
      <c r="M49" s="65">
        <v>9306.6931049476425</v>
      </c>
      <c r="N49" s="65">
        <v>9316.591491393845</v>
      </c>
      <c r="O49" s="65">
        <v>9245.3006508220169</v>
      </c>
      <c r="P49" s="65">
        <v>7866.0692391220746</v>
      </c>
      <c r="Q49" s="65">
        <v>8411.6018970340483</v>
      </c>
      <c r="R49" s="65">
        <v>8555.7374114005634</v>
      </c>
      <c r="S49" s="65">
        <v>8648.7557524182703</v>
      </c>
      <c r="T49" s="65">
        <v>9624.325066512436</v>
      </c>
      <c r="U49" s="65">
        <v>8978.5959911477239</v>
      </c>
      <c r="V49" s="65">
        <v>8067.9995215237341</v>
      </c>
      <c r="W49" s="65">
        <v>7932.5839513608335</v>
      </c>
      <c r="DA49" s="109" t="s">
        <v>213</v>
      </c>
    </row>
    <row r="50" spans="1:105" ht="12" customHeight="1" x14ac:dyDescent="0.25">
      <c r="A50" s="61" t="s">
        <v>31</v>
      </c>
      <c r="B50" s="65">
        <v>149.05110265289528</v>
      </c>
      <c r="C50" s="65">
        <v>169.13562270296077</v>
      </c>
      <c r="D50" s="65">
        <v>155.16110894310174</v>
      </c>
      <c r="E50" s="65">
        <v>365.36458460247758</v>
      </c>
      <c r="F50" s="65">
        <v>169.79465399816414</v>
      </c>
      <c r="G50" s="65">
        <v>171.949800202902</v>
      </c>
      <c r="H50" s="65">
        <v>212.63387898479561</v>
      </c>
      <c r="I50" s="65">
        <v>206.06554340980117</v>
      </c>
      <c r="J50" s="65">
        <v>244.38942032620159</v>
      </c>
      <c r="K50" s="65">
        <v>263.87933925501306</v>
      </c>
      <c r="L50" s="65">
        <v>223.50995717052311</v>
      </c>
      <c r="M50" s="65">
        <v>249.30255217395884</v>
      </c>
      <c r="N50" s="65">
        <v>398.04280072987149</v>
      </c>
      <c r="O50" s="65">
        <v>236.18987077050502</v>
      </c>
      <c r="P50" s="65">
        <v>203.87328432181189</v>
      </c>
      <c r="Q50" s="65">
        <v>358.00254942321658</v>
      </c>
      <c r="R50" s="65">
        <v>224.71434924063863</v>
      </c>
      <c r="S50" s="65">
        <v>335.45938895928214</v>
      </c>
      <c r="T50" s="65">
        <v>250.76763847837091</v>
      </c>
      <c r="U50" s="65">
        <v>328.57602450406614</v>
      </c>
      <c r="V50" s="65">
        <v>234.5235444363511</v>
      </c>
      <c r="W50" s="65">
        <v>287.13693323855136</v>
      </c>
      <c r="DA50" s="109" t="s">
        <v>214</v>
      </c>
    </row>
    <row r="51" spans="1:105" ht="12" customHeight="1" x14ac:dyDescent="0.25">
      <c r="A51" s="61" t="s">
        <v>35</v>
      </c>
      <c r="B51" s="65">
        <v>1487.3010888360789</v>
      </c>
      <c r="C51" s="65">
        <v>1529.4385463890637</v>
      </c>
      <c r="D51" s="65">
        <v>1560.7794719486019</v>
      </c>
      <c r="E51" s="65">
        <v>1550.3324256086867</v>
      </c>
      <c r="F51" s="65">
        <v>1577.1570755742882</v>
      </c>
      <c r="G51" s="65">
        <v>1557.505126917544</v>
      </c>
      <c r="H51" s="65">
        <v>1580.18409914685</v>
      </c>
      <c r="I51" s="65">
        <v>1622.9637831879929</v>
      </c>
      <c r="J51" s="65">
        <v>1614.2286870260825</v>
      </c>
      <c r="K51" s="65">
        <v>1592.0784705056817</v>
      </c>
      <c r="L51" s="65">
        <v>1588.9975129518084</v>
      </c>
      <c r="M51" s="65">
        <v>1606.4310013638451</v>
      </c>
      <c r="N51" s="65">
        <v>1572.3019040228517</v>
      </c>
      <c r="O51" s="65">
        <v>1599.4787641733462</v>
      </c>
      <c r="P51" s="65">
        <v>1622.2274833953572</v>
      </c>
      <c r="Q51" s="65">
        <v>1616.3797648123748</v>
      </c>
      <c r="R51" s="65">
        <v>1632.5745848883801</v>
      </c>
      <c r="S51" s="65">
        <v>1593.8494345003141</v>
      </c>
      <c r="T51" s="65">
        <v>1566.3517780494831</v>
      </c>
      <c r="U51" s="65">
        <v>1468.0193729532537</v>
      </c>
      <c r="V51" s="65">
        <v>1325.0369486827592</v>
      </c>
      <c r="W51" s="65">
        <v>1409.166273638205</v>
      </c>
      <c r="DA51" s="109" t="s">
        <v>215</v>
      </c>
    </row>
    <row r="52" spans="1:105" ht="12" customHeight="1" x14ac:dyDescent="0.25">
      <c r="A52" s="66" t="s">
        <v>34</v>
      </c>
      <c r="B52" s="67">
        <v>1487.8208703903333</v>
      </c>
      <c r="C52" s="67">
        <v>1489.9881938860522</v>
      </c>
      <c r="D52" s="67">
        <v>1497.32638564072</v>
      </c>
      <c r="E52" s="67">
        <v>1462.6437816476719</v>
      </c>
      <c r="F52" s="67">
        <v>1488.3323551942203</v>
      </c>
      <c r="G52" s="67">
        <v>1558.2838609025555</v>
      </c>
      <c r="H52" s="67">
        <v>1555.7504220025749</v>
      </c>
      <c r="I52" s="67">
        <v>1620.7975484012281</v>
      </c>
      <c r="J52" s="67">
        <v>1638.6765273316889</v>
      </c>
      <c r="K52" s="67">
        <v>1686.4571075721983</v>
      </c>
      <c r="L52" s="67">
        <v>1703.061438996891</v>
      </c>
      <c r="M52" s="67">
        <v>1725.4354169925093</v>
      </c>
      <c r="N52" s="67">
        <v>1739.4099259239576</v>
      </c>
      <c r="O52" s="67">
        <v>1762.3837720504721</v>
      </c>
      <c r="P52" s="67">
        <v>1822.5834808329676</v>
      </c>
      <c r="Q52" s="67">
        <v>1840.1707098802945</v>
      </c>
      <c r="R52" s="67">
        <v>1855.9436468856291</v>
      </c>
      <c r="S52" s="67">
        <v>1854.9622281172287</v>
      </c>
      <c r="T52" s="67">
        <v>1833.3433151177419</v>
      </c>
      <c r="U52" s="67">
        <v>1837.5072774008127</v>
      </c>
      <c r="V52" s="67">
        <v>1657.4308448667471</v>
      </c>
      <c r="W52" s="67">
        <v>1788.7320143782126</v>
      </c>
      <c r="DA52" s="110" t="s">
        <v>216</v>
      </c>
    </row>
    <row r="53" spans="1:105" ht="12" customHeight="1" x14ac:dyDescent="0.25">
      <c r="A53" s="78" t="s">
        <v>33</v>
      </c>
      <c r="B53" s="68">
        <v>2597.3311074046078</v>
      </c>
      <c r="C53" s="68">
        <v>2678.9845427557061</v>
      </c>
      <c r="D53" s="68">
        <v>2767.9668755420757</v>
      </c>
      <c r="E53" s="68">
        <v>2864.0372270816788</v>
      </c>
      <c r="F53" s="68">
        <v>2960.1311123010837</v>
      </c>
      <c r="G53" s="68">
        <v>3048.5630961188676</v>
      </c>
      <c r="H53" s="68">
        <v>3163.129584753915</v>
      </c>
      <c r="I53" s="68">
        <v>3264.1415531063226</v>
      </c>
      <c r="J53" s="68">
        <v>3338.2012602591662</v>
      </c>
      <c r="K53" s="68">
        <v>3393.6748310348062</v>
      </c>
      <c r="L53" s="68">
        <v>3444.0853862451422</v>
      </c>
      <c r="M53" s="68">
        <v>3494.5962894616305</v>
      </c>
      <c r="N53" s="68">
        <v>3535.6931804979627</v>
      </c>
      <c r="O53" s="68">
        <v>3587.6965640527555</v>
      </c>
      <c r="P53" s="68">
        <v>3687.7419246674194</v>
      </c>
      <c r="Q53" s="68">
        <v>3756.5978405601059</v>
      </c>
      <c r="R53" s="68">
        <v>3772.2485656373851</v>
      </c>
      <c r="S53" s="68">
        <v>3821.3948327203757</v>
      </c>
      <c r="T53" s="68">
        <v>3800.6729778730041</v>
      </c>
      <c r="U53" s="68">
        <v>3719.4873317425513</v>
      </c>
      <c r="V53" s="68">
        <v>3357.1282956700734</v>
      </c>
      <c r="W53" s="68">
        <v>3375.4642985409037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0.78386333004471842</v>
      </c>
      <c r="C56" s="70">
        <f t="shared" ref="C56:W56" si="28">IF(C48=0,0,C48/C$47)</f>
        <v>0.78388854542239916</v>
      </c>
      <c r="D56" s="70">
        <f t="shared" si="28"/>
        <v>0.7765304381287963</v>
      </c>
      <c r="E56" s="70">
        <f t="shared" si="28"/>
        <v>0.79133551036850491</v>
      </c>
      <c r="F56" s="70">
        <f t="shared" si="28"/>
        <v>0.78869911957941041</v>
      </c>
      <c r="G56" s="70">
        <f t="shared" si="28"/>
        <v>0.8049730512029214</v>
      </c>
      <c r="H56" s="70">
        <f t="shared" si="28"/>
        <v>0.80430809549518012</v>
      </c>
      <c r="I56" s="70">
        <f t="shared" si="28"/>
        <v>0.79303325806374869</v>
      </c>
      <c r="J56" s="70">
        <f t="shared" si="28"/>
        <v>0.81079878138583161</v>
      </c>
      <c r="K56" s="70">
        <f t="shared" si="28"/>
        <v>0.8065567378038434</v>
      </c>
      <c r="L56" s="70">
        <f t="shared" si="28"/>
        <v>0.80453600142244341</v>
      </c>
      <c r="M56" s="70">
        <f t="shared" si="28"/>
        <v>0.78668669795367929</v>
      </c>
      <c r="N56" s="70">
        <f t="shared" si="28"/>
        <v>0.78651824718531871</v>
      </c>
      <c r="O56" s="70">
        <f t="shared" si="28"/>
        <v>0.78165140714579373</v>
      </c>
      <c r="P56" s="70">
        <f t="shared" si="28"/>
        <v>0.75742522364623532</v>
      </c>
      <c r="Q56" s="70">
        <f t="shared" si="28"/>
        <v>0.76495927225003402</v>
      </c>
      <c r="R56" s="70">
        <f t="shared" si="28"/>
        <v>0.76484027369954766</v>
      </c>
      <c r="S56" s="70">
        <f t="shared" si="28"/>
        <v>0.76490121161317648</v>
      </c>
      <c r="T56" s="70">
        <f t="shared" si="28"/>
        <v>0.7774190092013189</v>
      </c>
      <c r="U56" s="70">
        <f t="shared" si="28"/>
        <v>0.77226028822747128</v>
      </c>
      <c r="V56" s="70">
        <f t="shared" si="28"/>
        <v>0.77072114629783717</v>
      </c>
      <c r="W56" s="70">
        <f t="shared" si="28"/>
        <v>0.7718214525644822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0.52388555515357882</v>
      </c>
      <c r="C57" s="71">
        <f t="shared" ref="C57:W57" si="30">IF(C49=0,0,C49/C$47)</f>
        <v>0.52666987197467363</v>
      </c>
      <c r="D57" s="71">
        <f t="shared" si="30"/>
        <v>0.51710993438971631</v>
      </c>
      <c r="E57" s="71">
        <f t="shared" si="30"/>
        <v>0.54520052634359895</v>
      </c>
      <c r="F57" s="71">
        <f t="shared" si="30"/>
        <v>0.55775719518927669</v>
      </c>
      <c r="G57" s="71">
        <f t="shared" si="30"/>
        <v>0.59464522000722109</v>
      </c>
      <c r="H57" s="71">
        <f t="shared" si="30"/>
        <v>0.5971437318392081</v>
      </c>
      <c r="I57" s="71">
        <f t="shared" si="30"/>
        <v>0.57429291946440442</v>
      </c>
      <c r="J57" s="71">
        <f t="shared" si="30"/>
        <v>0.6125805329499574</v>
      </c>
      <c r="K57" s="71">
        <f t="shared" si="30"/>
        <v>0.60463512427899868</v>
      </c>
      <c r="L57" s="71">
        <f t="shared" si="30"/>
        <v>0.605015060682773</v>
      </c>
      <c r="M57" s="71">
        <f t="shared" si="30"/>
        <v>0.56808892155435442</v>
      </c>
      <c r="N57" s="71">
        <f t="shared" si="30"/>
        <v>0.56252683146024185</v>
      </c>
      <c r="O57" s="71">
        <f t="shared" si="30"/>
        <v>0.56267255370690838</v>
      </c>
      <c r="P57" s="71">
        <f t="shared" si="30"/>
        <v>0.51741960946341137</v>
      </c>
      <c r="Q57" s="71">
        <f t="shared" si="30"/>
        <v>0.52629243675631177</v>
      </c>
      <c r="R57" s="71">
        <f t="shared" si="30"/>
        <v>0.5333595686909729</v>
      </c>
      <c r="S57" s="71">
        <f t="shared" si="30"/>
        <v>0.53208634214843231</v>
      </c>
      <c r="T57" s="71">
        <f t="shared" si="30"/>
        <v>0.56363486717864619</v>
      </c>
      <c r="U57" s="71">
        <f t="shared" si="30"/>
        <v>0.5497485757500884</v>
      </c>
      <c r="V57" s="71">
        <f t="shared" si="30"/>
        <v>0.55101310377396229</v>
      </c>
      <c r="W57" s="71">
        <f t="shared" si="30"/>
        <v>0.53623600291498696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1.2403273840873906E-2</v>
      </c>
      <c r="C58" s="72">
        <f t="shared" ref="C58:W58" si="32">IF(C50=0,0,C50/C$47)</f>
        <v>1.364402998967146E-2</v>
      </c>
      <c r="D58" s="72">
        <f t="shared" si="32"/>
        <v>1.2526806350662915E-2</v>
      </c>
      <c r="E58" s="72">
        <f t="shared" si="32"/>
        <v>2.6619281989285738E-2</v>
      </c>
      <c r="F58" s="72">
        <f t="shared" si="32"/>
        <v>1.2120327958254377E-2</v>
      </c>
      <c r="G58" s="72">
        <f t="shared" si="32"/>
        <v>1.1000213485012839E-2</v>
      </c>
      <c r="H58" s="72">
        <f t="shared" si="32"/>
        <v>1.3154923826498648E-2</v>
      </c>
      <c r="I58" s="72">
        <f t="shared" si="32"/>
        <v>1.3065828626293187E-2</v>
      </c>
      <c r="J58" s="72">
        <f t="shared" si="32"/>
        <v>1.3851404555079974E-2</v>
      </c>
      <c r="K58" s="72">
        <f t="shared" si="32"/>
        <v>1.5041417564478654E-2</v>
      </c>
      <c r="L58" s="72">
        <f t="shared" si="32"/>
        <v>1.2684978753700173E-2</v>
      </c>
      <c r="M58" s="72">
        <f t="shared" si="32"/>
        <v>1.5217652114257529E-2</v>
      </c>
      <c r="N58" s="72">
        <f t="shared" si="32"/>
        <v>2.4033441381107093E-2</v>
      </c>
      <c r="O58" s="72">
        <f t="shared" si="32"/>
        <v>1.4374606382792816E-2</v>
      </c>
      <c r="P58" s="72">
        <f t="shared" si="32"/>
        <v>1.3410514444643811E-2</v>
      </c>
      <c r="Q58" s="72">
        <f t="shared" si="32"/>
        <v>2.2399304723081565E-2</v>
      </c>
      <c r="R58" s="72">
        <f t="shared" si="32"/>
        <v>1.4008558541073761E-2</v>
      </c>
      <c r="S58" s="72">
        <f t="shared" si="32"/>
        <v>2.0638039079873924E-2</v>
      </c>
      <c r="T58" s="72">
        <f t="shared" si="32"/>
        <v>1.4685848995089814E-2</v>
      </c>
      <c r="U58" s="72">
        <f t="shared" si="32"/>
        <v>2.0118312671026671E-2</v>
      </c>
      <c r="V58" s="72">
        <f t="shared" si="32"/>
        <v>1.6017049304873889E-2</v>
      </c>
      <c r="W58" s="72">
        <f t="shared" si="32"/>
        <v>1.9410215172408502E-2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0.12376562373794341</v>
      </c>
      <c r="C59" s="72">
        <f t="shared" ref="C59:W59" si="34">IF(C51=0,0,C51/C$47)</f>
        <v>0.12337853528904538</v>
      </c>
      <c r="D59" s="72">
        <f t="shared" si="34"/>
        <v>0.12600826543692537</v>
      </c>
      <c r="E59" s="72">
        <f t="shared" si="34"/>
        <v>0.11295220651807843</v>
      </c>
      <c r="F59" s="72">
        <f t="shared" si="34"/>
        <v>0.11258105333427307</v>
      </c>
      <c r="G59" s="72">
        <f t="shared" si="34"/>
        <v>9.9638899724675864E-2</v>
      </c>
      <c r="H59" s="72">
        <f t="shared" si="34"/>
        <v>9.7760533530066432E-2</v>
      </c>
      <c r="I59" s="72">
        <f t="shared" si="34"/>
        <v>0.10290593132129712</v>
      </c>
      <c r="J59" s="72">
        <f t="shared" si="34"/>
        <v>9.1490599546287507E-2</v>
      </c>
      <c r="K59" s="72">
        <f t="shared" si="34"/>
        <v>9.0750254028603469E-2</v>
      </c>
      <c r="L59" s="72">
        <f t="shared" si="34"/>
        <v>9.0181215846675336E-2</v>
      </c>
      <c r="M59" s="72">
        <f t="shared" si="34"/>
        <v>9.8057993835760263E-2</v>
      </c>
      <c r="N59" s="72">
        <f t="shared" si="34"/>
        <v>9.4934076371803733E-2</v>
      </c>
      <c r="O59" s="72">
        <f t="shared" si="34"/>
        <v>9.7344892808582439E-2</v>
      </c>
      <c r="P59" s="72">
        <f t="shared" si="34"/>
        <v>0.10670797388161816</v>
      </c>
      <c r="Q59" s="72">
        <f t="shared" si="34"/>
        <v>0.1011327515923755</v>
      </c>
      <c r="R59" s="72">
        <f t="shared" si="34"/>
        <v>0.10177372616551236</v>
      </c>
      <c r="S59" s="72">
        <f t="shared" si="34"/>
        <v>9.8056360916596919E-2</v>
      </c>
      <c r="T59" s="72">
        <f t="shared" si="34"/>
        <v>9.1731157278530595E-2</v>
      </c>
      <c r="U59" s="72">
        <f t="shared" si="34"/>
        <v>8.98850510982203E-2</v>
      </c>
      <c r="V59" s="72">
        <f t="shared" si="34"/>
        <v>9.0494889068979192E-2</v>
      </c>
      <c r="W59" s="72">
        <f t="shared" si="34"/>
        <v>9.5258454830311243E-2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0.1238088773123223</v>
      </c>
      <c r="C60" s="73">
        <f t="shared" ref="C60:W60" si="36">IF(C52=0,0,C52/C$47)</f>
        <v>0.12019610816900866</v>
      </c>
      <c r="D60" s="73">
        <f t="shared" si="36"/>
        <v>0.12088543195149172</v>
      </c>
      <c r="E60" s="73">
        <f t="shared" si="36"/>
        <v>0.10656349551754182</v>
      </c>
      <c r="F60" s="73">
        <f t="shared" si="36"/>
        <v>0.10624054309760622</v>
      </c>
      <c r="G60" s="73">
        <f t="shared" si="36"/>
        <v>9.9688717986011741E-2</v>
      </c>
      <c r="H60" s="73">
        <f t="shared" si="36"/>
        <v>9.6248906299406814E-2</v>
      </c>
      <c r="I60" s="73">
        <f t="shared" si="36"/>
        <v>0.10276857865175403</v>
      </c>
      <c r="J60" s="73">
        <f t="shared" si="36"/>
        <v>9.2876244334506836E-2</v>
      </c>
      <c r="K60" s="73">
        <f t="shared" si="36"/>
        <v>9.6129941931762761E-2</v>
      </c>
      <c r="L60" s="73">
        <f t="shared" si="36"/>
        <v>9.6654746139294978E-2</v>
      </c>
      <c r="M60" s="73">
        <f t="shared" si="36"/>
        <v>0.10532213044930709</v>
      </c>
      <c r="N60" s="73">
        <f t="shared" si="36"/>
        <v>0.1050238979721661</v>
      </c>
      <c r="O60" s="73">
        <f t="shared" si="36"/>
        <v>0.10725935424750996</v>
      </c>
      <c r="P60" s="73">
        <f t="shared" si="36"/>
        <v>0.11988712585656199</v>
      </c>
      <c r="Q60" s="73">
        <f t="shared" si="36"/>
        <v>0.11513477917826526</v>
      </c>
      <c r="R60" s="73">
        <f t="shared" si="36"/>
        <v>0.11569842030198861</v>
      </c>
      <c r="S60" s="73">
        <f t="shared" si="36"/>
        <v>0.1141204694682733</v>
      </c>
      <c r="T60" s="73">
        <f t="shared" si="36"/>
        <v>0.10736713574905228</v>
      </c>
      <c r="U60" s="73">
        <f t="shared" si="36"/>
        <v>0.11250834870813592</v>
      </c>
      <c r="V60" s="73">
        <f t="shared" si="36"/>
        <v>0.11319610415002183</v>
      </c>
      <c r="W60" s="73">
        <f t="shared" si="36"/>
        <v>0.12091677964677551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0.21613666995528164</v>
      </c>
      <c r="C61" s="70">
        <f t="shared" ref="C61:W61" si="38">IF(C53=0,0,C53/C$47)</f>
        <v>0.21611145457760084</v>
      </c>
      <c r="D61" s="70">
        <f t="shared" si="38"/>
        <v>0.22346956187120376</v>
      </c>
      <c r="E61" s="70">
        <f t="shared" si="38"/>
        <v>0.20866448963149511</v>
      </c>
      <c r="F61" s="70">
        <f t="shared" si="38"/>
        <v>0.21130088042058953</v>
      </c>
      <c r="G61" s="70">
        <f t="shared" si="38"/>
        <v>0.19502694879707858</v>
      </c>
      <c r="H61" s="70">
        <f t="shared" si="38"/>
        <v>0.19569190450481988</v>
      </c>
      <c r="I61" s="70">
        <f t="shared" si="38"/>
        <v>0.20696674193625123</v>
      </c>
      <c r="J61" s="70">
        <f t="shared" si="38"/>
        <v>0.18920121861416828</v>
      </c>
      <c r="K61" s="70">
        <f t="shared" si="38"/>
        <v>0.19344326219615665</v>
      </c>
      <c r="L61" s="70">
        <f t="shared" si="38"/>
        <v>0.19546399857755667</v>
      </c>
      <c r="M61" s="70">
        <f t="shared" si="38"/>
        <v>0.21331330204632065</v>
      </c>
      <c r="N61" s="70">
        <f t="shared" si="38"/>
        <v>0.21348175281468132</v>
      </c>
      <c r="O61" s="70">
        <f t="shared" si="38"/>
        <v>0.2183485928542063</v>
      </c>
      <c r="P61" s="70">
        <f t="shared" si="38"/>
        <v>0.24257477635376468</v>
      </c>
      <c r="Q61" s="70">
        <f t="shared" si="38"/>
        <v>0.23504072774996596</v>
      </c>
      <c r="R61" s="70">
        <f t="shared" si="38"/>
        <v>0.23515972630045232</v>
      </c>
      <c r="S61" s="70">
        <f t="shared" si="38"/>
        <v>0.23509878838682349</v>
      </c>
      <c r="T61" s="70">
        <f t="shared" si="38"/>
        <v>0.2225809907986811</v>
      </c>
      <c r="U61" s="70">
        <f t="shared" si="38"/>
        <v>0.22773971177252869</v>
      </c>
      <c r="V61" s="70">
        <f t="shared" si="38"/>
        <v>0.22927885370216275</v>
      </c>
      <c r="W61" s="70">
        <f t="shared" si="38"/>
        <v>0.22817854743551769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16263.801720000003</v>
      </c>
      <c r="C65" s="80">
        <v>16476.04594656</v>
      </c>
      <c r="D65" s="80">
        <v>15712.413492600001</v>
      </c>
      <c r="E65" s="80">
        <v>17939.038277520001</v>
      </c>
      <c r="F65" s="80">
        <v>17913.980258280004</v>
      </c>
      <c r="G65" s="80">
        <v>20905.90756236</v>
      </c>
      <c r="H65" s="80">
        <v>21142.080441720002</v>
      </c>
      <c r="I65" s="80">
        <v>19765.301832000001</v>
      </c>
      <c r="J65" s="80">
        <v>23549.796985320001</v>
      </c>
      <c r="K65" s="80">
        <v>22879.722359520001</v>
      </c>
      <c r="L65" s="80">
        <v>22925.816019720001</v>
      </c>
      <c r="M65" s="80">
        <v>19476.447390720001</v>
      </c>
      <c r="N65" s="80">
        <v>19220.049671760004</v>
      </c>
      <c r="O65" s="80">
        <v>19037.720671920004</v>
      </c>
      <c r="P65" s="80">
        <v>16040.953305720001</v>
      </c>
      <c r="Q65" s="80">
        <v>17204.547701520001</v>
      </c>
      <c r="R65" s="80">
        <v>17336.958008400004</v>
      </c>
      <c r="S65" s="80">
        <v>17226.193755960001</v>
      </c>
      <c r="T65" s="80">
        <v>18792.698389199999</v>
      </c>
      <c r="U65" s="80">
        <v>18228.661858079999</v>
      </c>
      <c r="V65" s="80">
        <v>17198.160999840002</v>
      </c>
      <c r="W65" s="80">
        <v>16566.168783599998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3176.8947000000003</v>
      </c>
      <c r="C67" s="55">
        <f t="shared" ref="C67:W67" si="39">SUM(C68:C69)</f>
        <v>2710.9067565599998</v>
      </c>
      <c r="D67" s="55">
        <f t="shared" si="39"/>
        <v>2870.5344426000001</v>
      </c>
      <c r="E67" s="55">
        <f t="shared" si="39"/>
        <v>3305.82451752</v>
      </c>
      <c r="F67" s="55">
        <f t="shared" si="39"/>
        <v>3338.0221582800004</v>
      </c>
      <c r="G67" s="55">
        <f t="shared" si="39"/>
        <v>3444.0925323600004</v>
      </c>
      <c r="H67" s="55">
        <f t="shared" si="39"/>
        <v>3378.4866817200004</v>
      </c>
      <c r="I67" s="55">
        <f t="shared" si="39"/>
        <v>3156.7173119999998</v>
      </c>
      <c r="J67" s="55">
        <f t="shared" si="39"/>
        <v>3295.2285853200001</v>
      </c>
      <c r="K67" s="55">
        <f t="shared" si="39"/>
        <v>2656.00334952</v>
      </c>
      <c r="L67" s="55">
        <f t="shared" si="39"/>
        <v>2693.6651797200002</v>
      </c>
      <c r="M67" s="55">
        <f t="shared" si="39"/>
        <v>2437.1831707199999</v>
      </c>
      <c r="N67" s="55">
        <f t="shared" si="39"/>
        <v>2129.1846717600001</v>
      </c>
      <c r="O67" s="55">
        <f t="shared" si="39"/>
        <v>1987.8535519200002</v>
      </c>
      <c r="P67" s="55">
        <f t="shared" si="39"/>
        <v>1919.7586357199998</v>
      </c>
      <c r="Q67" s="55">
        <f t="shared" si="39"/>
        <v>1939.3506115199998</v>
      </c>
      <c r="R67" s="55">
        <f t="shared" si="39"/>
        <v>1971.0838584000003</v>
      </c>
      <c r="S67" s="55">
        <f t="shared" si="39"/>
        <v>1747.2220059599997</v>
      </c>
      <c r="T67" s="55">
        <f t="shared" si="39"/>
        <v>1763.5656945600003</v>
      </c>
      <c r="U67" s="55">
        <f t="shared" si="39"/>
        <v>1584.2419596000004</v>
      </c>
      <c r="V67" s="55">
        <f t="shared" si="39"/>
        <v>1484.1861703200002</v>
      </c>
      <c r="W67" s="55">
        <f t="shared" si="39"/>
        <v>1808.6795434800003</v>
      </c>
      <c r="DA67" s="101"/>
    </row>
    <row r="68" spans="1:105" ht="12" customHeight="1" x14ac:dyDescent="0.25">
      <c r="A68" s="61" t="s">
        <v>52</v>
      </c>
      <c r="B68" s="55">
        <v>1776.3912</v>
      </c>
      <c r="C68" s="55">
        <v>1718.3390990400001</v>
      </c>
      <c r="D68" s="55">
        <v>1660.2872252400002</v>
      </c>
      <c r="E68" s="55">
        <v>1776.3912</v>
      </c>
      <c r="F68" s="55">
        <v>1721.24174952</v>
      </c>
      <c r="G68" s="55">
        <v>1756.0731009600001</v>
      </c>
      <c r="H68" s="55">
        <v>1622.5534504800003</v>
      </c>
      <c r="I68" s="55">
        <v>1538.3779495200001</v>
      </c>
      <c r="J68" s="55">
        <v>1483.2284990400001</v>
      </c>
      <c r="K68" s="55">
        <v>1564.5013495200001</v>
      </c>
      <c r="L68" s="55">
        <v>1552.8909747600001</v>
      </c>
      <c r="M68" s="55">
        <v>1410.6636000000001</v>
      </c>
      <c r="N68" s="55">
        <v>1175.5530000000001</v>
      </c>
      <c r="O68" s="55">
        <v>1190.06602524</v>
      </c>
      <c r="P68" s="55">
        <v>1137.8192252399999</v>
      </c>
      <c r="Q68" s="55">
        <v>1085.5724252399998</v>
      </c>
      <c r="R68" s="55">
        <v>1140.7218757200003</v>
      </c>
      <c r="S68" s="55">
        <v>1170.63316872</v>
      </c>
      <c r="T68" s="55">
        <v>1138.2951254400002</v>
      </c>
      <c r="U68" s="55">
        <v>1140.5708143200004</v>
      </c>
      <c r="V68" s="55">
        <v>1148.1872619600001</v>
      </c>
      <c r="W68" s="55">
        <v>1274.9379987600003</v>
      </c>
      <c r="DA68" s="101" t="s">
        <v>220</v>
      </c>
    </row>
    <row r="69" spans="1:105" ht="12" customHeight="1" x14ac:dyDescent="0.25">
      <c r="A69" s="61" t="s">
        <v>170</v>
      </c>
      <c r="B69" s="55">
        <v>1400.5035000000003</v>
      </c>
      <c r="C69" s="55">
        <v>992.56765751999978</v>
      </c>
      <c r="D69" s="55">
        <v>1210.2472173599999</v>
      </c>
      <c r="E69" s="55">
        <v>1529.4333175199999</v>
      </c>
      <c r="F69" s="55">
        <v>1616.7804087600005</v>
      </c>
      <c r="G69" s="55">
        <v>1688.0194314000003</v>
      </c>
      <c r="H69" s="55">
        <v>1755.9332312400002</v>
      </c>
      <c r="I69" s="55">
        <v>1618.3393624799996</v>
      </c>
      <c r="J69" s="55">
        <v>1812.00008628</v>
      </c>
      <c r="K69" s="55">
        <v>1091.502</v>
      </c>
      <c r="L69" s="55">
        <v>1140.7742049600001</v>
      </c>
      <c r="M69" s="55">
        <v>1026.5195707199998</v>
      </c>
      <c r="N69" s="55">
        <v>953.63167176000002</v>
      </c>
      <c r="O69" s="55">
        <v>797.78752668000016</v>
      </c>
      <c r="P69" s="55">
        <v>781.93941047999988</v>
      </c>
      <c r="Q69" s="55">
        <v>853.77818628</v>
      </c>
      <c r="R69" s="55">
        <v>830.36198267999998</v>
      </c>
      <c r="S69" s="55">
        <v>576.58883723999975</v>
      </c>
      <c r="T69" s="55">
        <v>625.27056912000012</v>
      </c>
      <c r="U69" s="55">
        <v>443.67114528000002</v>
      </c>
      <c r="V69" s="55">
        <v>335.99890836000009</v>
      </c>
      <c r="W69" s="55">
        <v>533.74154472000009</v>
      </c>
      <c r="DA69" s="101" t="s">
        <v>221</v>
      </c>
    </row>
    <row r="70" spans="1:105" ht="12" customHeight="1" x14ac:dyDescent="0.25">
      <c r="A70" s="60" t="s">
        <v>153</v>
      </c>
      <c r="B70" s="55">
        <v>13086.907020000002</v>
      </c>
      <c r="C70" s="55">
        <v>13765.13919</v>
      </c>
      <c r="D70" s="55">
        <v>12841.87905</v>
      </c>
      <c r="E70" s="55">
        <v>14633.213760000002</v>
      </c>
      <c r="F70" s="55">
        <v>14575.958100000002</v>
      </c>
      <c r="G70" s="55">
        <v>17461.815030000002</v>
      </c>
      <c r="H70" s="55">
        <v>17763.59376</v>
      </c>
      <c r="I70" s="55">
        <v>16608.58452</v>
      </c>
      <c r="J70" s="55">
        <v>20254.5684</v>
      </c>
      <c r="K70" s="55">
        <v>20223.719010000001</v>
      </c>
      <c r="L70" s="55">
        <v>20232.150840000002</v>
      </c>
      <c r="M70" s="55">
        <v>17039.264220000001</v>
      </c>
      <c r="N70" s="55">
        <v>17090.865000000002</v>
      </c>
      <c r="O70" s="55">
        <v>17049.867120000003</v>
      </c>
      <c r="P70" s="55">
        <v>14121.194670000001</v>
      </c>
      <c r="Q70" s="55">
        <v>15265.197090000001</v>
      </c>
      <c r="R70" s="55">
        <v>15365.874150000003</v>
      </c>
      <c r="S70" s="55">
        <v>15478.971750000001</v>
      </c>
      <c r="T70" s="55">
        <v>17029.13269464</v>
      </c>
      <c r="U70" s="55">
        <v>16644.419898479999</v>
      </c>
      <c r="V70" s="55">
        <v>15713.974829520001</v>
      </c>
      <c r="W70" s="55">
        <v>14757.48924012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16263.801720000003</v>
      </c>
      <c r="C81" s="82">
        <f t="shared" ref="C81:W81" si="42">C82+C87</f>
        <v>16476.04594656</v>
      </c>
      <c r="D81" s="82">
        <f t="shared" si="42"/>
        <v>15712.413492600002</v>
      </c>
      <c r="E81" s="82">
        <f t="shared" si="42"/>
        <v>17939.038277519998</v>
      </c>
      <c r="F81" s="82">
        <f t="shared" si="42"/>
        <v>17913.98025828</v>
      </c>
      <c r="G81" s="82">
        <f t="shared" si="42"/>
        <v>20905.90756236</v>
      </c>
      <c r="H81" s="82">
        <f t="shared" si="42"/>
        <v>21142.080441720012</v>
      </c>
      <c r="I81" s="82">
        <f t="shared" si="42"/>
        <v>19765.301832000005</v>
      </c>
      <c r="J81" s="82">
        <f t="shared" si="42"/>
        <v>23549.796985320008</v>
      </c>
      <c r="K81" s="82">
        <f t="shared" si="42"/>
        <v>22879.722359520016</v>
      </c>
      <c r="L81" s="82">
        <f t="shared" si="42"/>
        <v>22925.816019720009</v>
      </c>
      <c r="M81" s="82">
        <f t="shared" si="42"/>
        <v>19476.447390719986</v>
      </c>
      <c r="N81" s="82">
        <f t="shared" si="42"/>
        <v>19220.049671759996</v>
      </c>
      <c r="O81" s="82">
        <f t="shared" si="42"/>
        <v>19037.720671920011</v>
      </c>
      <c r="P81" s="82">
        <f t="shared" si="42"/>
        <v>16040.953305720011</v>
      </c>
      <c r="Q81" s="82">
        <f t="shared" si="42"/>
        <v>17204.547701519994</v>
      </c>
      <c r="R81" s="82">
        <f t="shared" si="42"/>
        <v>17336.958008400001</v>
      </c>
      <c r="S81" s="82">
        <f t="shared" si="42"/>
        <v>17226.193755959997</v>
      </c>
      <c r="T81" s="82">
        <f t="shared" si="42"/>
        <v>18792.698389199988</v>
      </c>
      <c r="U81" s="82">
        <f t="shared" si="42"/>
        <v>18228.661858080006</v>
      </c>
      <c r="V81" s="82">
        <f t="shared" si="42"/>
        <v>17198.160999840016</v>
      </c>
      <c r="W81" s="82">
        <f t="shared" si="42"/>
        <v>16566.168783599998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16263.801720000003</v>
      </c>
      <c r="C82" s="64">
        <f t="shared" ref="C82:W82" si="44">SUM(C83:C86)</f>
        <v>16476.04594656</v>
      </c>
      <c r="D82" s="64">
        <f t="shared" si="44"/>
        <v>15712.413492600002</v>
      </c>
      <c r="E82" s="64">
        <f t="shared" si="44"/>
        <v>17939.038277519998</v>
      </c>
      <c r="F82" s="64">
        <f t="shared" si="44"/>
        <v>17913.98025828</v>
      </c>
      <c r="G82" s="64">
        <f t="shared" si="44"/>
        <v>20905.90756236</v>
      </c>
      <c r="H82" s="64">
        <f t="shared" si="44"/>
        <v>21142.080441720012</v>
      </c>
      <c r="I82" s="64">
        <f t="shared" si="44"/>
        <v>19765.301832000005</v>
      </c>
      <c r="J82" s="64">
        <f t="shared" si="44"/>
        <v>23549.796985320008</v>
      </c>
      <c r="K82" s="64">
        <f t="shared" si="44"/>
        <v>22879.722359520016</v>
      </c>
      <c r="L82" s="64">
        <f t="shared" si="44"/>
        <v>22925.816019720009</v>
      </c>
      <c r="M82" s="64">
        <f t="shared" si="44"/>
        <v>19476.447390719986</v>
      </c>
      <c r="N82" s="64">
        <f t="shared" si="44"/>
        <v>19220.049671759996</v>
      </c>
      <c r="O82" s="64">
        <f t="shared" si="44"/>
        <v>19037.720671920011</v>
      </c>
      <c r="P82" s="64">
        <f t="shared" si="44"/>
        <v>16040.953305720011</v>
      </c>
      <c r="Q82" s="64">
        <f t="shared" si="44"/>
        <v>17204.547701519994</v>
      </c>
      <c r="R82" s="64">
        <f t="shared" si="44"/>
        <v>17336.958008400001</v>
      </c>
      <c r="S82" s="64">
        <f t="shared" si="44"/>
        <v>17226.193755959997</v>
      </c>
      <c r="T82" s="64">
        <f t="shared" si="44"/>
        <v>18792.698389199988</v>
      </c>
      <c r="U82" s="64">
        <f t="shared" si="44"/>
        <v>18228.661858080006</v>
      </c>
      <c r="V82" s="64">
        <f t="shared" si="44"/>
        <v>17198.160999840016</v>
      </c>
      <c r="W82" s="64">
        <f t="shared" si="44"/>
        <v>16566.168783599998</v>
      </c>
      <c r="DA82" s="108" t="s">
        <v>232</v>
      </c>
    </row>
    <row r="83" spans="1:105" ht="12" customHeight="1" x14ac:dyDescent="0.25">
      <c r="A83" s="61" t="s">
        <v>32</v>
      </c>
      <c r="B83" s="65">
        <v>10924.22277036452</v>
      </c>
      <c r="C83" s="65">
        <v>11229.331429653465</v>
      </c>
      <c r="D83" s="65">
        <v>10699.045103764804</v>
      </c>
      <c r="E83" s="65">
        <v>13400.365630063219</v>
      </c>
      <c r="F83" s="65">
        <v>13579.417972423877</v>
      </c>
      <c r="G83" s="65">
        <v>16421.11691726165</v>
      </c>
      <c r="H83" s="65">
        <v>16855.688059962384</v>
      </c>
      <c r="I83" s="65">
        <v>15225.803564135858</v>
      </c>
      <c r="J83" s="65">
        <v>19173.952628755094</v>
      </c>
      <c r="K83" s="65">
        <v>18291.450925277597</v>
      </c>
      <c r="L83" s="65">
        <v>18335.466122675345</v>
      </c>
      <c r="M83" s="65">
        <v>14795.240466340572</v>
      </c>
      <c r="N83" s="65">
        <v>14539.168102441994</v>
      </c>
      <c r="O83" s="65">
        <v>14259.363259599044</v>
      </c>
      <c r="P83" s="65">
        <v>10937.754594762333</v>
      </c>
      <c r="Q83" s="65">
        <v>12050.895077683534</v>
      </c>
      <c r="R83" s="65">
        <v>12092.143210964137</v>
      </c>
      <c r="S83" s="65">
        <v>11917.308243421803</v>
      </c>
      <c r="T83" s="65">
        <v>13621.048723821266</v>
      </c>
      <c r="U83" s="65">
        <v>13110.319638358587</v>
      </c>
      <c r="V83" s="65">
        <v>12488.301394250277</v>
      </c>
      <c r="W83" s="65">
        <v>11601.397798377944</v>
      </c>
      <c r="DA83" s="109" t="s">
        <v>233</v>
      </c>
    </row>
    <row r="84" spans="1:105" ht="12" customHeight="1" x14ac:dyDescent="0.25">
      <c r="A84" s="61" t="s">
        <v>31</v>
      </c>
      <c r="B84" s="65">
        <v>1.0112558920605279</v>
      </c>
      <c r="C84" s="65">
        <v>1.7405307139656438</v>
      </c>
      <c r="D84" s="65">
        <v>1.626783895158094</v>
      </c>
      <c r="E84" s="65">
        <v>4.936689068481213</v>
      </c>
      <c r="F84" s="65">
        <v>2.9479154792096187</v>
      </c>
      <c r="G84" s="65">
        <v>3.3180247492499242</v>
      </c>
      <c r="H84" s="65">
        <v>4.8616192993499157</v>
      </c>
      <c r="I84" s="65">
        <v>5.4078105803517067</v>
      </c>
      <c r="J84" s="65">
        <v>7.5899839458585525</v>
      </c>
      <c r="K84" s="65">
        <v>9.6759470139708839</v>
      </c>
      <c r="L84" s="65">
        <v>9.299083148881687</v>
      </c>
      <c r="M84" s="65">
        <v>11.447431911462346</v>
      </c>
      <c r="N84" s="65">
        <v>19.885734025803842</v>
      </c>
      <c r="O84" s="65">
        <v>13.435817859284921</v>
      </c>
      <c r="P84" s="65">
        <v>12.9394197513168</v>
      </c>
      <c r="Q84" s="65">
        <v>24.82735666313415</v>
      </c>
      <c r="R84" s="65">
        <v>17.438434574103347</v>
      </c>
      <c r="S84" s="65">
        <v>27.857834341108514</v>
      </c>
      <c r="T84" s="65">
        <v>21.971840670661145</v>
      </c>
      <c r="U84" s="65">
        <v>29.570641909861244</v>
      </c>
      <c r="V84" s="65">
        <v>21.671073884659339</v>
      </c>
      <c r="W84" s="65">
        <v>26.614388488445353</v>
      </c>
      <c r="DA84" s="109" t="s">
        <v>234</v>
      </c>
    </row>
    <row r="85" spans="1:105" ht="12" customHeight="1" x14ac:dyDescent="0.25">
      <c r="A85" s="61" t="s">
        <v>35</v>
      </c>
      <c r="B85" s="65">
        <v>2089.4739519497375</v>
      </c>
      <c r="C85" s="65">
        <v>2087.7155264104363</v>
      </c>
      <c r="D85" s="65">
        <v>2051.3868727631884</v>
      </c>
      <c r="E85" s="65">
        <v>2015.2789248920417</v>
      </c>
      <c r="F85" s="65">
        <v>1982.1587809657071</v>
      </c>
      <c r="G85" s="65">
        <v>1991.3693995899009</v>
      </c>
      <c r="H85" s="65">
        <v>1982.6853409381577</v>
      </c>
      <c r="I85" s="65">
        <v>1951.9209277080556</v>
      </c>
      <c r="J85" s="65">
        <v>1949.863217832203</v>
      </c>
      <c r="K85" s="65">
        <v>1904.087027001972</v>
      </c>
      <c r="L85" s="65">
        <v>1856.762060306738</v>
      </c>
      <c r="M85" s="65">
        <v>1858.3194927106326</v>
      </c>
      <c r="N85" s="65">
        <v>1830.1262265466096</v>
      </c>
      <c r="O85" s="65">
        <v>1823.4893914602046</v>
      </c>
      <c r="P85" s="65">
        <v>1809.3483922810788</v>
      </c>
      <c r="Q85" s="65">
        <v>1810.096038603853</v>
      </c>
      <c r="R85" s="65">
        <v>1825.7431251055987</v>
      </c>
      <c r="S85" s="65">
        <v>1893.543194363871</v>
      </c>
      <c r="T85" s="65">
        <v>1978.8119647574501</v>
      </c>
      <c r="U85" s="65">
        <v>1705.6887336934208</v>
      </c>
      <c r="V85" s="65">
        <v>1571.9974176398218</v>
      </c>
      <c r="W85" s="65">
        <v>1746.6042440542751</v>
      </c>
      <c r="DA85" s="109" t="s">
        <v>235</v>
      </c>
    </row>
    <row r="86" spans="1:105" ht="12" customHeight="1" x14ac:dyDescent="0.25">
      <c r="A86" s="66" t="s">
        <v>34</v>
      </c>
      <c r="B86" s="67">
        <v>3249.0937417936839</v>
      </c>
      <c r="C86" s="67">
        <v>3157.2584597821333</v>
      </c>
      <c r="D86" s="67">
        <v>2960.3547321768506</v>
      </c>
      <c r="E86" s="67">
        <v>2518.4570334962555</v>
      </c>
      <c r="F86" s="67">
        <v>2349.4555894112068</v>
      </c>
      <c r="G86" s="67">
        <v>2490.1032207592011</v>
      </c>
      <c r="H86" s="67">
        <v>2298.84542152012</v>
      </c>
      <c r="I86" s="67">
        <v>2582.1695295757386</v>
      </c>
      <c r="J86" s="67">
        <v>2418.3911547868529</v>
      </c>
      <c r="K86" s="67">
        <v>2674.5084602264751</v>
      </c>
      <c r="L86" s="67">
        <v>2724.2887535890432</v>
      </c>
      <c r="M86" s="67">
        <v>2811.43999975732</v>
      </c>
      <c r="N86" s="67">
        <v>2830.8696087455892</v>
      </c>
      <c r="O86" s="67">
        <v>2941.4322030014755</v>
      </c>
      <c r="P86" s="67">
        <v>3280.9108989252823</v>
      </c>
      <c r="Q86" s="67">
        <v>3318.7292285694721</v>
      </c>
      <c r="R86" s="67">
        <v>3401.6332377561603</v>
      </c>
      <c r="S86" s="67">
        <v>3387.484483833216</v>
      </c>
      <c r="T86" s="67">
        <v>3170.8658599506107</v>
      </c>
      <c r="U86" s="67">
        <v>3383.0828441181375</v>
      </c>
      <c r="V86" s="67">
        <v>3116.1911140652574</v>
      </c>
      <c r="W86" s="67">
        <v>3191.5523526793327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0.67168937241350712</v>
      </c>
      <c r="C91" s="71">
        <f t="shared" ref="C91:W91" si="50">IF(C83=0,0,C83/C$81)</f>
        <v>0.68155499602730918</v>
      </c>
      <c r="D91" s="71">
        <f t="shared" si="50"/>
        <v>0.68092945165958618</v>
      </c>
      <c r="E91" s="71">
        <f t="shared" si="50"/>
        <v>0.74699465059147907</v>
      </c>
      <c r="F91" s="71">
        <f t="shared" si="50"/>
        <v>0.75803466212637749</v>
      </c>
      <c r="G91" s="71">
        <f t="shared" si="50"/>
        <v>0.78547735219240222</v>
      </c>
      <c r="H91" s="71">
        <f t="shared" si="50"/>
        <v>0.79725777727629776</v>
      </c>
      <c r="I91" s="71">
        <f t="shared" si="50"/>
        <v>0.77032992936567746</v>
      </c>
      <c r="J91" s="71">
        <f t="shared" si="50"/>
        <v>0.81418759748576008</v>
      </c>
      <c r="K91" s="71">
        <f t="shared" si="50"/>
        <v>0.79946122762572391</v>
      </c>
      <c r="L91" s="71">
        <f t="shared" si="50"/>
        <v>0.79977376189810645</v>
      </c>
      <c r="M91" s="71">
        <f t="shared" si="50"/>
        <v>0.75964780278102029</v>
      </c>
      <c r="N91" s="71">
        <f t="shared" si="50"/>
        <v>0.75645840415305388</v>
      </c>
      <c r="O91" s="71">
        <f t="shared" si="50"/>
        <v>0.74900580302300146</v>
      </c>
      <c r="P91" s="71">
        <f t="shared" si="50"/>
        <v>0.68186437466045491</v>
      </c>
      <c r="Q91" s="71">
        <f t="shared" si="50"/>
        <v>0.70044823535923917</v>
      </c>
      <c r="R91" s="71">
        <f t="shared" si="50"/>
        <v>0.69747779311141689</v>
      </c>
      <c r="S91" s="71">
        <f t="shared" si="50"/>
        <v>0.69181320100376775</v>
      </c>
      <c r="T91" s="71">
        <f t="shared" si="50"/>
        <v>0.72480537077363905</v>
      </c>
      <c r="U91" s="71">
        <f t="shared" si="50"/>
        <v>0.71921459405136368</v>
      </c>
      <c r="V91" s="71">
        <f t="shared" si="50"/>
        <v>0.72614167261060336</v>
      </c>
      <c r="W91" s="71">
        <f t="shared" si="50"/>
        <v>0.70030662791888088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6.2178321493981407E-5</v>
      </c>
      <c r="C92" s="72">
        <f t="shared" ref="C92:W92" si="52">IF(C84=0,0,C84/C$81)</f>
        <v>1.0564007405727378E-4</v>
      </c>
      <c r="D92" s="72">
        <f t="shared" si="52"/>
        <v>1.0353494680650126E-4</v>
      </c>
      <c r="E92" s="72">
        <f t="shared" si="52"/>
        <v>2.7519251545761746E-4</v>
      </c>
      <c r="F92" s="72">
        <f t="shared" si="52"/>
        <v>1.6455949134180082E-4</v>
      </c>
      <c r="G92" s="72">
        <f t="shared" si="52"/>
        <v>1.587123036564007E-4</v>
      </c>
      <c r="H92" s="72">
        <f t="shared" si="52"/>
        <v>2.2994990075604873E-4</v>
      </c>
      <c r="I92" s="72">
        <f t="shared" si="52"/>
        <v>2.7360121420440269E-4</v>
      </c>
      <c r="J92" s="72">
        <f t="shared" si="52"/>
        <v>3.2229509029694999E-4</v>
      </c>
      <c r="K92" s="72">
        <f t="shared" si="52"/>
        <v>4.2290491387649302E-4</v>
      </c>
      <c r="L92" s="72">
        <f t="shared" si="52"/>
        <v>4.056162337202275E-4</v>
      </c>
      <c r="M92" s="72">
        <f t="shared" si="52"/>
        <v>5.8775769943119835E-4</v>
      </c>
      <c r="N92" s="72">
        <f t="shared" si="52"/>
        <v>1.0346348924905192E-3</v>
      </c>
      <c r="O92" s="72">
        <f t="shared" si="52"/>
        <v>7.057471895310605E-4</v>
      </c>
      <c r="P92" s="72">
        <f t="shared" si="52"/>
        <v>8.0664905038422858E-4</v>
      </c>
      <c r="Q92" s="72">
        <f t="shared" si="52"/>
        <v>1.4430694194268584E-3</v>
      </c>
      <c r="R92" s="72">
        <f t="shared" si="52"/>
        <v>1.0058531932565205E-3</v>
      </c>
      <c r="S92" s="72">
        <f t="shared" si="52"/>
        <v>1.617178741616681E-3</v>
      </c>
      <c r="T92" s="72">
        <f t="shared" si="52"/>
        <v>1.1691690153069335E-3</v>
      </c>
      <c r="U92" s="72">
        <f t="shared" si="52"/>
        <v>1.6222058503298096E-3</v>
      </c>
      <c r="V92" s="72">
        <f t="shared" si="52"/>
        <v>1.2600808821862368E-3</v>
      </c>
      <c r="W92" s="72">
        <f t="shared" si="52"/>
        <v>1.6065506053996495E-3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0.12847389484466348</v>
      </c>
      <c r="C93" s="72">
        <f t="shared" ref="C93:W93" si="54">IF(C85=0,0,C85/C$81)</f>
        <v>0.12671216948422787</v>
      </c>
      <c r="D93" s="72">
        <f t="shared" si="54"/>
        <v>0.13055835589671314</v>
      </c>
      <c r="E93" s="72">
        <f t="shared" si="54"/>
        <v>0.11234041054572332</v>
      </c>
      <c r="F93" s="72">
        <f t="shared" si="54"/>
        <v>0.11064870857215195</v>
      </c>
      <c r="G93" s="72">
        <f t="shared" si="54"/>
        <v>9.5253908190776559E-2</v>
      </c>
      <c r="H93" s="72">
        <f t="shared" si="54"/>
        <v>9.3779103073777556E-2</v>
      </c>
      <c r="I93" s="72">
        <f t="shared" si="54"/>
        <v>9.875492640076447E-2</v>
      </c>
      <c r="J93" s="72">
        <f t="shared" si="54"/>
        <v>8.2797453372853658E-2</v>
      </c>
      <c r="K93" s="72">
        <f t="shared" si="54"/>
        <v>8.3221596708305381E-2</v>
      </c>
      <c r="L93" s="72">
        <f t="shared" si="54"/>
        <v>8.0990009634100454E-2</v>
      </c>
      <c r="M93" s="72">
        <f t="shared" si="54"/>
        <v>9.5413678656615417E-2</v>
      </c>
      <c r="N93" s="72">
        <f t="shared" si="54"/>
        <v>9.5219640833478836E-2</v>
      </c>
      <c r="O93" s="72">
        <f t="shared" si="54"/>
        <v>9.5782968081351741E-2</v>
      </c>
      <c r="P93" s="72">
        <f t="shared" si="54"/>
        <v>0.11279556506382241</v>
      </c>
      <c r="Q93" s="72">
        <f t="shared" si="54"/>
        <v>0.10521032403798293</v>
      </c>
      <c r="R93" s="72">
        <f t="shared" si="54"/>
        <v>0.10530931229232951</v>
      </c>
      <c r="S93" s="72">
        <f t="shared" si="54"/>
        <v>0.10992232069308602</v>
      </c>
      <c r="T93" s="72">
        <f t="shared" si="54"/>
        <v>0.10529685113738947</v>
      </c>
      <c r="U93" s="72">
        <f t="shared" si="54"/>
        <v>9.3571801757755466E-2</v>
      </c>
      <c r="V93" s="72">
        <f t="shared" si="54"/>
        <v>9.140497159286072E-2</v>
      </c>
      <c r="W93" s="72">
        <f t="shared" si="54"/>
        <v>0.10543199618872409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0.19977455442033532</v>
      </c>
      <c r="C94" s="73">
        <f t="shared" ref="C94:W94" si="56">IF(C86=0,0,C86/C$81)</f>
        <v>0.19162719441440565</v>
      </c>
      <c r="D94" s="73">
        <f t="shared" si="56"/>
        <v>0.18840865749689403</v>
      </c>
      <c r="E94" s="73">
        <f t="shared" si="56"/>
        <v>0.14038974634734</v>
      </c>
      <c r="F94" s="73">
        <f t="shared" si="56"/>
        <v>0.13115206981012875</v>
      </c>
      <c r="G94" s="73">
        <f t="shared" si="56"/>
        <v>0.11911002731316495</v>
      </c>
      <c r="H94" s="73">
        <f t="shared" si="56"/>
        <v>0.10873316974916862</v>
      </c>
      <c r="I94" s="73">
        <f t="shared" si="56"/>
        <v>0.13064154301935368</v>
      </c>
      <c r="J94" s="73">
        <f t="shared" si="56"/>
        <v>0.10269265405108928</v>
      </c>
      <c r="K94" s="73">
        <f t="shared" si="56"/>
        <v>0.11689427075209415</v>
      </c>
      <c r="L94" s="73">
        <f t="shared" si="56"/>
        <v>0.11883061223407282</v>
      </c>
      <c r="M94" s="73">
        <f t="shared" si="56"/>
        <v>0.14435076086293319</v>
      </c>
      <c r="N94" s="73">
        <f t="shared" si="56"/>
        <v>0.14728732012097678</v>
      </c>
      <c r="O94" s="73">
        <f t="shared" si="56"/>
        <v>0.15450548170611558</v>
      </c>
      <c r="P94" s="73">
        <f t="shared" si="56"/>
        <v>0.20453341122533839</v>
      </c>
      <c r="Q94" s="73">
        <f t="shared" si="56"/>
        <v>0.19289837118335099</v>
      </c>
      <c r="R94" s="73">
        <f t="shared" si="56"/>
        <v>0.19620704140299705</v>
      </c>
      <c r="S94" s="73">
        <f t="shared" si="56"/>
        <v>0.19664729956152957</v>
      </c>
      <c r="T94" s="73">
        <f t="shared" si="56"/>
        <v>0.16872860907366458</v>
      </c>
      <c r="U94" s="73">
        <f t="shared" si="56"/>
        <v>0.18559139834055113</v>
      </c>
      <c r="V94" s="73">
        <f t="shared" si="56"/>
        <v>0.18119327491434958</v>
      </c>
      <c r="W94" s="73">
        <f t="shared" si="56"/>
        <v>0.19265482528699526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249288.08696048683</v>
      </c>
      <c r="C99" s="82">
        <f t="shared" ref="C99:W99" si="60">C47*11630*1000/C$8</f>
        <v>252958.97022027639</v>
      </c>
      <c r="D99" s="82">
        <f t="shared" si="60"/>
        <v>248541.9756839874</v>
      </c>
      <c r="E99" s="82">
        <f t="shared" si="60"/>
        <v>272440.64181135397</v>
      </c>
      <c r="F99" s="82">
        <f t="shared" si="60"/>
        <v>276108.60922354757</v>
      </c>
      <c r="G99" s="82">
        <f t="shared" si="60"/>
        <v>306610.85635754612</v>
      </c>
      <c r="H99" s="82">
        <f t="shared" si="60"/>
        <v>310235.43444859865</v>
      </c>
      <c r="I99" s="82">
        <f t="shared" si="60"/>
        <v>297467.03421372641</v>
      </c>
      <c r="J99" s="82">
        <f t="shared" si="60"/>
        <v>331030.92438676517</v>
      </c>
      <c r="K99" s="82">
        <f t="shared" si="60"/>
        <v>329223.87231789524</v>
      </c>
      <c r="L99" s="82">
        <f t="shared" si="60"/>
        <v>328877.0957346849</v>
      </c>
      <c r="M99" s="82">
        <f t="shared" si="60"/>
        <v>303358.71016470058</v>
      </c>
      <c r="N99" s="82">
        <f t="shared" si="60"/>
        <v>305575.67705820204</v>
      </c>
      <c r="O99" s="82">
        <f t="shared" si="60"/>
        <v>304140.86201634549</v>
      </c>
      <c r="P99" s="82">
        <f t="shared" si="60"/>
        <v>277983.61001842446</v>
      </c>
      <c r="Q99" s="82">
        <f t="shared" si="60"/>
        <v>291280.92488785414</v>
      </c>
      <c r="R99" s="82">
        <f t="shared" si="60"/>
        <v>292286.16948041331</v>
      </c>
      <c r="S99" s="82">
        <f t="shared" si="60"/>
        <v>294828.81683909521</v>
      </c>
      <c r="T99" s="82">
        <f t="shared" si="60"/>
        <v>308716.28416485945</v>
      </c>
      <c r="U99" s="82">
        <f t="shared" si="60"/>
        <v>294531.17729301669</v>
      </c>
      <c r="V99" s="82">
        <f t="shared" si="60"/>
        <v>263595.88274823769</v>
      </c>
      <c r="W99" s="82">
        <f t="shared" si="60"/>
        <v>265936.73245989962</v>
      </c>
      <c r="DA99" s="107"/>
    </row>
    <row r="100" spans="1:105" ht="12" customHeight="1" x14ac:dyDescent="0.25">
      <c r="A100" s="77" t="s">
        <v>36</v>
      </c>
      <c r="B100" s="64">
        <f t="shared" si="59"/>
        <v>195407.78998532455</v>
      </c>
      <c r="C100" s="64">
        <f t="shared" ref="C100:W100" si="61">C48*11630*1000/C$8</f>
        <v>198291.63921752042</v>
      </c>
      <c r="D100" s="64">
        <f t="shared" si="61"/>
        <v>193000.40927128334</v>
      </c>
      <c r="E100" s="64">
        <f t="shared" si="61"/>
        <v>215591.95433291086</v>
      </c>
      <c r="F100" s="64">
        <f t="shared" si="61"/>
        <v>217766.61700290747</v>
      </c>
      <c r="G100" s="64">
        <f t="shared" si="61"/>
        <v>246813.47657407459</v>
      </c>
      <c r="H100" s="64">
        <f t="shared" si="61"/>
        <v>249524.87143647214</v>
      </c>
      <c r="I100" s="64">
        <f t="shared" si="61"/>
        <v>235901.25130907207</v>
      </c>
      <c r="J100" s="64">
        <f t="shared" si="61"/>
        <v>268399.4700938146</v>
      </c>
      <c r="K100" s="64">
        <f t="shared" si="61"/>
        <v>265537.73246387066</v>
      </c>
      <c r="L100" s="64">
        <f t="shared" si="61"/>
        <v>264593.46356180951</v>
      </c>
      <c r="M100" s="64">
        <f t="shared" si="61"/>
        <v>238648.26199495551</v>
      </c>
      <c r="N100" s="64">
        <f t="shared" si="61"/>
        <v>240340.84590228405</v>
      </c>
      <c r="O100" s="64">
        <f t="shared" si="61"/>
        <v>237732.13276561111</v>
      </c>
      <c r="P100" s="64">
        <f t="shared" si="61"/>
        <v>210551.79798819302</v>
      </c>
      <c r="Q100" s="64">
        <f t="shared" si="61"/>
        <v>222818.04432252975</v>
      </c>
      <c r="R100" s="64">
        <f t="shared" si="61"/>
        <v>223552.23386399169</v>
      </c>
      <c r="S100" s="64">
        <f t="shared" si="61"/>
        <v>225514.91921870326</v>
      </c>
      <c r="T100" s="64">
        <f t="shared" si="61"/>
        <v>240001.90775975786</v>
      </c>
      <c r="U100" s="64">
        <f t="shared" si="61"/>
        <v>227454.73186828147</v>
      </c>
      <c r="V100" s="64">
        <f t="shared" si="61"/>
        <v>203158.92091111204</v>
      </c>
      <c r="W100" s="64">
        <f t="shared" si="61"/>
        <v>205255.67513745185</v>
      </c>
      <c r="DA100" s="108"/>
    </row>
    <row r="101" spans="1:105" ht="12" customHeight="1" x14ac:dyDescent="0.25">
      <c r="A101" s="61" t="s">
        <v>32</v>
      </c>
      <c r="B101" s="65">
        <f t="shared" si="59"/>
        <v>130598.42783046825</v>
      </c>
      <c r="C101" s="65">
        <f t="shared" ref="C101:W101" si="62">C49*11630*1000/C$8</f>
        <v>133225.86846075824</v>
      </c>
      <c r="D101" s="65">
        <f t="shared" si="62"/>
        <v>128523.52473903718</v>
      </c>
      <c r="E101" s="65">
        <f t="shared" si="62"/>
        <v>148534.78131293811</v>
      </c>
      <c r="F101" s="65">
        <f t="shared" si="62"/>
        <v>154001.56344813795</v>
      </c>
      <c r="G101" s="65">
        <f t="shared" si="62"/>
        <v>182324.68013533548</v>
      </c>
      <c r="H101" s="65">
        <f t="shared" si="62"/>
        <v>185255.14507539425</v>
      </c>
      <c r="I101" s="65">
        <f t="shared" si="62"/>
        <v>170833.21152301878</v>
      </c>
      <c r="J101" s="65">
        <f t="shared" si="62"/>
        <v>202783.10008376164</v>
      </c>
      <c r="K101" s="65">
        <f t="shared" si="62"/>
        <v>199060.31695454376</v>
      </c>
      <c r="L101" s="65">
        <f t="shared" si="62"/>
        <v>198975.59603309451</v>
      </c>
      <c r="M101" s="65">
        <f t="shared" si="62"/>
        <v>172334.72250158474</v>
      </c>
      <c r="N101" s="65">
        <f t="shared" si="62"/>
        <v>171894.51738686851</v>
      </c>
      <c r="O101" s="65">
        <f t="shared" si="62"/>
        <v>171131.7155173576</v>
      </c>
      <c r="P101" s="65">
        <f t="shared" si="62"/>
        <v>143834.17093296241</v>
      </c>
      <c r="Q101" s="65">
        <f t="shared" si="62"/>
        <v>153298.94773986097</v>
      </c>
      <c r="R101" s="65">
        <f t="shared" si="62"/>
        <v>155893.62528840982</v>
      </c>
      <c r="S101" s="65">
        <f t="shared" si="62"/>
        <v>156874.3867118643</v>
      </c>
      <c r="T101" s="65">
        <f t="shared" si="62"/>
        <v>174003.26182114577</v>
      </c>
      <c r="U101" s="65">
        <f t="shared" si="62"/>
        <v>161918.0952308327</v>
      </c>
      <c r="V101" s="65">
        <f t="shared" si="62"/>
        <v>145244.78549514391</v>
      </c>
      <c r="W101" s="65">
        <f t="shared" si="62"/>
        <v>142604.85044256886</v>
      </c>
      <c r="DA101" s="109"/>
    </row>
    <row r="102" spans="1:105" ht="12" customHeight="1" x14ac:dyDescent="0.25">
      <c r="A102" s="61" t="s">
        <v>31</v>
      </c>
      <c r="B102" s="65">
        <f t="shared" si="59"/>
        <v>3091.9884078385057</v>
      </c>
      <c r="C102" s="65">
        <f t="shared" ref="C102:W102" si="63">C50*11630*1000/C$8</f>
        <v>3451.3797758418605</v>
      </c>
      <c r="D102" s="65">
        <f t="shared" si="63"/>
        <v>3113.4371994044805</v>
      </c>
      <c r="E102" s="65">
        <f t="shared" si="63"/>
        <v>7252.1742697184209</v>
      </c>
      <c r="F102" s="65">
        <f t="shared" si="63"/>
        <v>3346.5268958868965</v>
      </c>
      <c r="G102" s="65">
        <f t="shared" si="63"/>
        <v>3372.7848767556138</v>
      </c>
      <c r="H102" s="65">
        <f t="shared" si="63"/>
        <v>4081.1235084520299</v>
      </c>
      <c r="I102" s="65">
        <f t="shared" si="63"/>
        <v>3886.6532910082415</v>
      </c>
      <c r="J102" s="65">
        <f t="shared" si="63"/>
        <v>4585.2432539231741</v>
      </c>
      <c r="K102" s="65">
        <f t="shared" si="63"/>
        <v>4951.9937357280669</v>
      </c>
      <c r="L102" s="65">
        <f t="shared" si="63"/>
        <v>4171.7989719730958</v>
      </c>
      <c r="M102" s="65">
        <f t="shared" si="63"/>
        <v>4616.4073171162936</v>
      </c>
      <c r="N102" s="65">
        <f t="shared" si="63"/>
        <v>7344.0351220704088</v>
      </c>
      <c r="O102" s="65">
        <f t="shared" si="63"/>
        <v>4371.9051764082687</v>
      </c>
      <c r="P102" s="65">
        <f t="shared" si="63"/>
        <v>3727.9032175263137</v>
      </c>
      <c r="Q102" s="65">
        <f t="shared" si="63"/>
        <v>6524.4901965840772</v>
      </c>
      <c r="R102" s="65">
        <f t="shared" si="63"/>
        <v>4094.5079159125767</v>
      </c>
      <c r="S102" s="65">
        <f t="shared" si="63"/>
        <v>6084.6886437982375</v>
      </c>
      <c r="T102" s="65">
        <f t="shared" si="63"/>
        <v>4533.7607315703626</v>
      </c>
      <c r="U102" s="65">
        <f t="shared" si="63"/>
        <v>5925.4703161464995</v>
      </c>
      <c r="V102" s="65">
        <f t="shared" si="63"/>
        <v>4222.0282505402793</v>
      </c>
      <c r="W102" s="65">
        <f t="shared" si="63"/>
        <v>5161.8891992938852</v>
      </c>
      <c r="DA102" s="109"/>
    </row>
    <row r="103" spans="1:105" ht="12" customHeight="1" x14ac:dyDescent="0.25">
      <c r="A103" s="61" t="s">
        <v>35</v>
      </c>
      <c r="B103" s="65">
        <f t="shared" si="59"/>
        <v>30853.295573103325</v>
      </c>
      <c r="C103" s="65">
        <f t="shared" ref="C103:W103" si="64">C51*11630*1000/C$8</f>
        <v>31209.707234002948</v>
      </c>
      <c r="D103" s="65">
        <f t="shared" si="64"/>
        <v>31318.343244205731</v>
      </c>
      <c r="E103" s="65">
        <f t="shared" si="64"/>
        <v>30772.771637793892</v>
      </c>
      <c r="F103" s="65">
        <f t="shared" si="64"/>
        <v>31084.598061048167</v>
      </c>
      <c r="G103" s="65">
        <f t="shared" si="64"/>
        <v>30550.368371106528</v>
      </c>
      <c r="H103" s="65">
        <f t="shared" si="64"/>
        <v>30328.781591626954</v>
      </c>
      <c r="I103" s="65">
        <f t="shared" si="64"/>
        <v>30611.122193147665</v>
      </c>
      <c r="J103" s="65">
        <f t="shared" si="64"/>
        <v>30286.217740506916</v>
      </c>
      <c r="K103" s="65">
        <f t="shared" si="64"/>
        <v>29877.150045129507</v>
      </c>
      <c r="L103" s="65">
        <f t="shared" si="64"/>
        <v>29658.536357477322</v>
      </c>
      <c r="M103" s="65">
        <f t="shared" si="64"/>
        <v>29746.746531354394</v>
      </c>
      <c r="N103" s="65">
        <f t="shared" si="64"/>
        <v>29009.544663208981</v>
      </c>
      <c r="O103" s="65">
        <f t="shared" si="64"/>
        <v>29606.559611691016</v>
      </c>
      <c r="P103" s="65">
        <f t="shared" si="64"/>
        <v>29663.067797363965</v>
      </c>
      <c r="Q103" s="65">
        <f t="shared" si="64"/>
        <v>29458.041420280737</v>
      </c>
      <c r="R103" s="65">
        <f t="shared" si="64"/>
        <v>29747.052574666122</v>
      </c>
      <c r="S103" s="65">
        <f t="shared" si="64"/>
        <v>28909.840872587567</v>
      </c>
      <c r="T103" s="65">
        <f t="shared" si="64"/>
        <v>28318.902017170269</v>
      </c>
      <c r="U103" s="65">
        <f t="shared" si="64"/>
        <v>26473.949921001782</v>
      </c>
      <c r="V103" s="65">
        <f t="shared" si="64"/>
        <v>23854.080168341421</v>
      </c>
      <c r="W103" s="65">
        <f t="shared" si="64"/>
        <v>25332.722216751918</v>
      </c>
      <c r="DA103" s="109"/>
    </row>
    <row r="104" spans="1:105" ht="12" customHeight="1" x14ac:dyDescent="0.25">
      <c r="A104" s="66" t="s">
        <v>34</v>
      </c>
      <c r="B104" s="67">
        <f t="shared" si="59"/>
        <v>30864.07817391444</v>
      </c>
      <c r="C104" s="67">
        <f t="shared" ref="C104:W104" si="65">C52*11630*1000/C$8</f>
        <v>30404.683746917381</v>
      </c>
      <c r="D104" s="67">
        <f t="shared" si="65"/>
        <v>30045.10408863597</v>
      </c>
      <c r="E104" s="67">
        <f t="shared" si="65"/>
        <v>29032.227112460441</v>
      </c>
      <c r="F104" s="67">
        <f t="shared" si="65"/>
        <v>29333.928597834423</v>
      </c>
      <c r="G104" s="67">
        <f t="shared" si="65"/>
        <v>30565.64319087697</v>
      </c>
      <c r="H104" s="67">
        <f t="shared" si="65"/>
        <v>29859.821260998935</v>
      </c>
      <c r="I104" s="67">
        <f t="shared" si="65"/>
        <v>30570.26430189735</v>
      </c>
      <c r="J104" s="67">
        <f t="shared" si="65"/>
        <v>30744.909015622859</v>
      </c>
      <c r="K104" s="67">
        <f t="shared" si="65"/>
        <v>31648.271728469343</v>
      </c>
      <c r="L104" s="67">
        <f t="shared" si="65"/>
        <v>31787.532199264573</v>
      </c>
      <c r="M104" s="67">
        <f t="shared" si="65"/>
        <v>31950.385644900136</v>
      </c>
      <c r="N104" s="67">
        <f t="shared" si="65"/>
        <v>32092.748730136187</v>
      </c>
      <c r="O104" s="67">
        <f t="shared" si="65"/>
        <v>32621.952460154251</v>
      </c>
      <c r="P104" s="67">
        <f t="shared" si="65"/>
        <v>33326.656040340298</v>
      </c>
      <c r="Q104" s="67">
        <f t="shared" si="65"/>
        <v>33536.564965803955</v>
      </c>
      <c r="R104" s="67">
        <f t="shared" si="65"/>
        <v>33817.048085003131</v>
      </c>
      <c r="S104" s="67">
        <f t="shared" si="65"/>
        <v>33646.002990453104</v>
      </c>
      <c r="T104" s="67">
        <f t="shared" si="65"/>
        <v>33145.983189871462</v>
      </c>
      <c r="U104" s="67">
        <f t="shared" si="65"/>
        <v>33137.216400300524</v>
      </c>
      <c r="V104" s="67">
        <f t="shared" si="65"/>
        <v>29838.026997086461</v>
      </c>
      <c r="W104" s="67">
        <f t="shared" si="65"/>
        <v>32156.213278837182</v>
      </c>
      <c r="DA104" s="110"/>
    </row>
    <row r="105" spans="1:105" ht="12" customHeight="1" x14ac:dyDescent="0.25">
      <c r="A105" s="78" t="s">
        <v>33</v>
      </c>
      <c r="B105" s="68">
        <f t="shared" si="59"/>
        <v>53880.29697516228</v>
      </c>
      <c r="C105" s="68">
        <f t="shared" ref="C105:W105" si="66">C53*11630*1000/C$8</f>
        <v>54667.331002755942</v>
      </c>
      <c r="D105" s="68">
        <f t="shared" si="66"/>
        <v>55541.566412704036</v>
      </c>
      <c r="E105" s="68">
        <f t="shared" si="66"/>
        <v>56848.687478443142</v>
      </c>
      <c r="F105" s="68">
        <f t="shared" si="66"/>
        <v>58341.992220640117</v>
      </c>
      <c r="G105" s="68">
        <f t="shared" si="66"/>
        <v>59797.379783471573</v>
      </c>
      <c r="H105" s="68">
        <f t="shared" si="66"/>
        <v>60710.563012126484</v>
      </c>
      <c r="I105" s="68">
        <f t="shared" si="66"/>
        <v>61565.782904654319</v>
      </c>
      <c r="J105" s="68">
        <f t="shared" si="66"/>
        <v>62631.454292950562</v>
      </c>
      <c r="K105" s="68">
        <f t="shared" si="66"/>
        <v>63686.139854024608</v>
      </c>
      <c r="L105" s="68">
        <f t="shared" si="66"/>
        <v>64283.632172875412</v>
      </c>
      <c r="M105" s="68">
        <f t="shared" si="66"/>
        <v>64710.448169745025</v>
      </c>
      <c r="N105" s="68">
        <f t="shared" si="66"/>
        <v>65234.831155917971</v>
      </c>
      <c r="O105" s="68">
        <f t="shared" si="66"/>
        <v>66408.729250734352</v>
      </c>
      <c r="P105" s="68">
        <f t="shared" si="66"/>
        <v>67431.812030231449</v>
      </c>
      <c r="Q105" s="68">
        <f t="shared" si="66"/>
        <v>68462.88056532442</v>
      </c>
      <c r="R105" s="68">
        <f t="shared" si="66"/>
        <v>68733.935616421601</v>
      </c>
      <c r="S105" s="68">
        <f t="shared" si="66"/>
        <v>69313.897620391988</v>
      </c>
      <c r="T105" s="68">
        <f t="shared" si="66"/>
        <v>68714.376405101604</v>
      </c>
      <c r="U105" s="68">
        <f t="shared" si="66"/>
        <v>67076.445424735153</v>
      </c>
      <c r="V105" s="68">
        <f t="shared" si="66"/>
        <v>60436.961837125651</v>
      </c>
      <c r="W105" s="68">
        <f t="shared" si="66"/>
        <v>60681.057322447792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118253.25481202008</v>
      </c>
      <c r="C107" s="85">
        <f t="shared" ref="C107:W107" si="68">SUM(C108:C111)</f>
        <v>122001.93917321601</v>
      </c>
      <c r="D107" s="85">
        <f t="shared" si="68"/>
        <v>120905.48669578006</v>
      </c>
      <c r="E107" s="85">
        <f t="shared" si="68"/>
        <v>141183.88639505883</v>
      </c>
      <c r="F107" s="85">
        <f t="shared" si="68"/>
        <v>139596.90292085084</v>
      </c>
      <c r="G107" s="85">
        <f t="shared" si="68"/>
        <v>159114.65211310601</v>
      </c>
      <c r="H107" s="85">
        <f t="shared" si="68"/>
        <v>165307.98671691271</v>
      </c>
      <c r="I107" s="85">
        <f t="shared" si="68"/>
        <v>159766.16099300137</v>
      </c>
      <c r="J107" s="85">
        <f t="shared" si="68"/>
        <v>183540.73815197201</v>
      </c>
      <c r="K107" s="85">
        <f t="shared" si="68"/>
        <v>186244.15400839798</v>
      </c>
      <c r="L107" s="85">
        <f t="shared" si="68"/>
        <v>187147.33502536331</v>
      </c>
      <c r="M107" s="85">
        <f t="shared" si="68"/>
        <v>177216.85246156866</v>
      </c>
      <c r="N107" s="85">
        <f t="shared" si="68"/>
        <v>191744.88245342902</v>
      </c>
      <c r="O107" s="85">
        <f t="shared" si="68"/>
        <v>189358.2777097229</v>
      </c>
      <c r="P107" s="85">
        <f t="shared" si="68"/>
        <v>179491.2268749176</v>
      </c>
      <c r="Q107" s="85">
        <f t="shared" si="68"/>
        <v>215237.07009346504</v>
      </c>
      <c r="R107" s="85">
        <f t="shared" si="68"/>
        <v>213301.72784231338</v>
      </c>
      <c r="S107" s="85">
        <f t="shared" si="68"/>
        <v>228131.99255754126</v>
      </c>
      <c r="T107" s="85">
        <f t="shared" si="68"/>
        <v>236227.50288392953</v>
      </c>
      <c r="U107" s="85">
        <f t="shared" si="68"/>
        <v>231071.14324639857</v>
      </c>
      <c r="V107" s="85">
        <f t="shared" si="68"/>
        <v>209693.25252475505</v>
      </c>
      <c r="W107" s="85">
        <f t="shared" si="68"/>
        <v>207840.3227536272</v>
      </c>
      <c r="DA107" s="117"/>
    </row>
    <row r="108" spans="1:105" ht="12" customHeight="1" x14ac:dyDescent="0.25">
      <c r="A108" s="61" t="s">
        <v>32</v>
      </c>
      <c r="B108" s="65">
        <v>74444.956578068988</v>
      </c>
      <c r="C108" s="65">
        <v>76995.38039476845</v>
      </c>
      <c r="D108" s="65">
        <v>75868.29562649838</v>
      </c>
      <c r="E108" s="65">
        <v>87404.814552499287</v>
      </c>
      <c r="F108" s="65">
        <v>92699.634437832385</v>
      </c>
      <c r="G108" s="65">
        <v>111243.23971083263</v>
      </c>
      <c r="H108" s="65">
        <v>115439.52655630439</v>
      </c>
      <c r="I108" s="65">
        <v>109243.40591440891</v>
      </c>
      <c r="J108" s="65">
        <v>130265.90376199524</v>
      </c>
      <c r="K108" s="65">
        <v>131459.43064301694</v>
      </c>
      <c r="L108" s="65">
        <v>134011.99240161374</v>
      </c>
      <c r="M108" s="65">
        <v>122142.67980345238</v>
      </c>
      <c r="N108" s="65">
        <v>128462.38238140676</v>
      </c>
      <c r="O108" s="65">
        <v>133383.33591469092</v>
      </c>
      <c r="P108" s="65">
        <v>124761.09837595939</v>
      </c>
      <c r="Q108" s="65">
        <v>151031.58616294031</v>
      </c>
      <c r="R108" s="65">
        <v>155822.73960518715</v>
      </c>
      <c r="S108" s="65">
        <v>163796.46549763944</v>
      </c>
      <c r="T108" s="65">
        <v>176767.20309933822</v>
      </c>
      <c r="U108" s="65">
        <v>167459.71916122572</v>
      </c>
      <c r="V108" s="65">
        <v>155788.08062778434</v>
      </c>
      <c r="W108" s="65">
        <v>146581.3778576988</v>
      </c>
      <c r="DA108" s="109"/>
    </row>
    <row r="109" spans="1:105" ht="12" customHeight="1" x14ac:dyDescent="0.25">
      <c r="A109" s="61" t="s">
        <v>31</v>
      </c>
      <c r="B109" s="65">
        <v>5735.0381265292008</v>
      </c>
      <c r="C109" s="65">
        <v>6667.4281917924509</v>
      </c>
      <c r="D109" s="65">
        <v>6285.8344891305842</v>
      </c>
      <c r="E109" s="65">
        <v>15216.454929806094</v>
      </c>
      <c r="F109" s="65">
        <v>7336.7463848299194</v>
      </c>
      <c r="G109" s="65">
        <v>7711.8340297921559</v>
      </c>
      <c r="H109" s="65">
        <v>9810.6493906022642</v>
      </c>
      <c r="I109" s="65">
        <v>9829.1540793704044</v>
      </c>
      <c r="J109" s="65">
        <v>12163.622406423683</v>
      </c>
      <c r="K109" s="65">
        <v>13346.920730405343</v>
      </c>
      <c r="L109" s="65">
        <v>11484.635855667069</v>
      </c>
      <c r="M109" s="65">
        <v>13080.461539630591</v>
      </c>
      <c r="N109" s="65">
        <v>21389.34598586303</v>
      </c>
      <c r="O109" s="65">
        <v>13073.045999186616</v>
      </c>
      <c r="P109" s="65">
        <v>11489.585787935905</v>
      </c>
      <c r="Q109" s="65">
        <v>20741.79891122791</v>
      </c>
      <c r="R109" s="65">
        <v>13414.389934593641</v>
      </c>
      <c r="S109" s="65">
        <v>20611.323913866105</v>
      </c>
      <c r="T109" s="65">
        <v>15821.251416304827</v>
      </c>
      <c r="U109" s="65">
        <v>21231.390905474593</v>
      </c>
      <c r="V109" s="65">
        <v>15481.742095732088</v>
      </c>
      <c r="W109" s="65">
        <v>19442.682341184292</v>
      </c>
      <c r="DA109" s="109"/>
    </row>
    <row r="110" spans="1:105" ht="12" customHeight="1" x14ac:dyDescent="0.25">
      <c r="A110" s="61" t="s">
        <v>35</v>
      </c>
      <c r="B110" s="65">
        <v>18275.676566414364</v>
      </c>
      <c r="C110" s="65">
        <v>18644.347008606153</v>
      </c>
      <c r="D110" s="65">
        <v>18891.509415644541</v>
      </c>
      <c r="E110" s="65">
        <v>18693.471504822752</v>
      </c>
      <c r="F110" s="65">
        <v>19092.270784915767</v>
      </c>
      <c r="G110" s="65">
        <v>18867.924987581118</v>
      </c>
      <c r="H110" s="65">
        <v>18914.914597838331</v>
      </c>
      <c r="I110" s="65">
        <v>19331.071867925028</v>
      </c>
      <c r="J110" s="65">
        <v>19291.818188813206</v>
      </c>
      <c r="K110" s="65">
        <v>19242.285760435363</v>
      </c>
      <c r="L110" s="65">
        <v>19372.020238166304</v>
      </c>
      <c r="M110" s="65">
        <v>19676.242634129696</v>
      </c>
      <c r="N110" s="65">
        <v>19475.355465285447</v>
      </c>
      <c r="O110" s="65">
        <v>20208.917977293208</v>
      </c>
      <c r="P110" s="65">
        <v>20427.412554466817</v>
      </c>
      <c r="Q110" s="65">
        <v>20486.827665131586</v>
      </c>
      <c r="R110" s="65">
        <v>20953.468593035173</v>
      </c>
      <c r="S110" s="65">
        <v>20664.370284267883</v>
      </c>
      <c r="T110" s="65">
        <v>20558.584667932744</v>
      </c>
      <c r="U110" s="65">
        <v>19628.008023279337</v>
      </c>
      <c r="V110" s="65">
        <v>18001.602290858908</v>
      </c>
      <c r="W110" s="65">
        <v>19433.212334636977</v>
      </c>
      <c r="DA110" s="109"/>
    </row>
    <row r="111" spans="1:105" ht="12" customHeight="1" x14ac:dyDescent="0.25">
      <c r="A111" s="74" t="s">
        <v>34</v>
      </c>
      <c r="B111" s="68">
        <v>19797.583541007534</v>
      </c>
      <c r="C111" s="68">
        <v>19694.783578048959</v>
      </c>
      <c r="D111" s="68">
        <v>19859.847164506544</v>
      </c>
      <c r="E111" s="68">
        <v>19869.145407930715</v>
      </c>
      <c r="F111" s="68">
        <v>20468.251313272787</v>
      </c>
      <c r="G111" s="68">
        <v>21291.653384900139</v>
      </c>
      <c r="H111" s="68">
        <v>21142.896172167722</v>
      </c>
      <c r="I111" s="68">
        <v>21362.529131297029</v>
      </c>
      <c r="J111" s="68">
        <v>21819.393794739877</v>
      </c>
      <c r="K111" s="68">
        <v>22195.516874540339</v>
      </c>
      <c r="L111" s="68">
        <v>22278.686529916231</v>
      </c>
      <c r="M111" s="68">
        <v>22317.46848435601</v>
      </c>
      <c r="N111" s="68">
        <v>22417.798620873768</v>
      </c>
      <c r="O111" s="68">
        <v>22692.977818552168</v>
      </c>
      <c r="P111" s="68">
        <v>22813.130156555515</v>
      </c>
      <c r="Q111" s="68">
        <v>22976.857354165222</v>
      </c>
      <c r="R111" s="68">
        <v>23111.129709497407</v>
      </c>
      <c r="S111" s="68">
        <v>23059.832861767856</v>
      </c>
      <c r="T111" s="68">
        <v>23080.463700353765</v>
      </c>
      <c r="U111" s="68">
        <v>22752.025156418902</v>
      </c>
      <c r="V111" s="68">
        <v>20421.827510379691</v>
      </c>
      <c r="W111" s="68">
        <v>22383.050220107121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29009.819062121875</v>
      </c>
      <c r="C113" s="82">
        <f t="shared" ref="C113:W113" si="70">C81*1000000/C$8</f>
        <v>28908.858468245766</v>
      </c>
      <c r="D113" s="82">
        <f t="shared" si="70"/>
        <v>27109.432112966839</v>
      </c>
      <c r="E113" s="82">
        <f t="shared" si="70"/>
        <v>30616.900674847191</v>
      </c>
      <c r="F113" s="82">
        <f t="shared" si="70"/>
        <v>30358.665987328684</v>
      </c>
      <c r="G113" s="82">
        <f t="shared" si="70"/>
        <v>35259.510386573391</v>
      </c>
      <c r="H113" s="82">
        <f t="shared" si="70"/>
        <v>34891.149885600222</v>
      </c>
      <c r="I113" s="82">
        <f t="shared" si="70"/>
        <v>32054.880224470373</v>
      </c>
      <c r="J113" s="82">
        <f t="shared" si="70"/>
        <v>37991.586711399068</v>
      </c>
      <c r="K113" s="82">
        <f t="shared" si="70"/>
        <v>36918.643385133189</v>
      </c>
      <c r="L113" s="82">
        <f t="shared" si="70"/>
        <v>36793.540943065207</v>
      </c>
      <c r="M113" s="82">
        <f t="shared" si="70"/>
        <v>31010.403955448408</v>
      </c>
      <c r="N113" s="82">
        <f t="shared" si="70"/>
        <v>30491.568326046006</v>
      </c>
      <c r="O113" s="82">
        <f t="shared" si="70"/>
        <v>30300.14459330188</v>
      </c>
      <c r="P113" s="82">
        <f t="shared" si="70"/>
        <v>25220.562552807281</v>
      </c>
      <c r="Q113" s="82">
        <f t="shared" si="70"/>
        <v>26960.25580377593</v>
      </c>
      <c r="R113" s="82">
        <f t="shared" si="70"/>
        <v>27162.146811533305</v>
      </c>
      <c r="S113" s="82">
        <f t="shared" si="70"/>
        <v>26866.3099961195</v>
      </c>
      <c r="T113" s="82">
        <f t="shared" si="70"/>
        <v>29214.370677327792</v>
      </c>
      <c r="U113" s="82">
        <f t="shared" si="70"/>
        <v>28265.848719456855</v>
      </c>
      <c r="V113" s="82">
        <f t="shared" si="70"/>
        <v>26621.773326065661</v>
      </c>
      <c r="W113" s="82">
        <f t="shared" si="70"/>
        <v>25607.193759439146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29009.819062121875</v>
      </c>
      <c r="C114" s="64">
        <f t="shared" ref="C114:W114" si="72">C82*1000000/C$8</f>
        <v>28908.858468245766</v>
      </c>
      <c r="D114" s="64">
        <f t="shared" si="72"/>
        <v>27109.432112966839</v>
      </c>
      <c r="E114" s="64">
        <f t="shared" si="72"/>
        <v>30616.900674847191</v>
      </c>
      <c r="F114" s="64">
        <f t="shared" si="72"/>
        <v>30358.665987328684</v>
      </c>
      <c r="G114" s="64">
        <f t="shared" si="72"/>
        <v>35259.510386573391</v>
      </c>
      <c r="H114" s="64">
        <f t="shared" si="72"/>
        <v>34891.149885600222</v>
      </c>
      <c r="I114" s="64">
        <f t="shared" si="72"/>
        <v>32054.880224470373</v>
      </c>
      <c r="J114" s="64">
        <f t="shared" si="72"/>
        <v>37991.586711399068</v>
      </c>
      <c r="K114" s="64">
        <f t="shared" si="72"/>
        <v>36918.643385133189</v>
      </c>
      <c r="L114" s="64">
        <f t="shared" si="72"/>
        <v>36793.540943065207</v>
      </c>
      <c r="M114" s="64">
        <f t="shared" si="72"/>
        <v>31010.403955448408</v>
      </c>
      <c r="N114" s="64">
        <f t="shared" si="72"/>
        <v>30491.568326046006</v>
      </c>
      <c r="O114" s="64">
        <f t="shared" si="72"/>
        <v>30300.14459330188</v>
      </c>
      <c r="P114" s="64">
        <f t="shared" si="72"/>
        <v>25220.562552807281</v>
      </c>
      <c r="Q114" s="64">
        <f t="shared" si="72"/>
        <v>26960.25580377593</v>
      </c>
      <c r="R114" s="64">
        <f t="shared" si="72"/>
        <v>27162.146811533305</v>
      </c>
      <c r="S114" s="64">
        <f t="shared" si="72"/>
        <v>26866.3099961195</v>
      </c>
      <c r="T114" s="64">
        <f t="shared" si="72"/>
        <v>29214.370677327792</v>
      </c>
      <c r="U114" s="64">
        <f t="shared" si="72"/>
        <v>28265.848719456855</v>
      </c>
      <c r="V114" s="64">
        <f t="shared" si="72"/>
        <v>26621.773326065661</v>
      </c>
      <c r="W114" s="64">
        <f t="shared" si="72"/>
        <v>25607.193759439146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19485.58715966604</v>
      </c>
      <c r="C115" s="65">
        <f t="shared" ref="C115:W115" si="74">C83*1000000/C$8</f>
        <v>19702.976918479286</v>
      </c>
      <c r="D115" s="65">
        <f t="shared" si="74"/>
        <v>18459.610743485286</v>
      </c>
      <c r="E115" s="65">
        <f t="shared" si="74"/>
        <v>22870.661021801498</v>
      </c>
      <c r="F115" s="65">
        <f t="shared" si="74"/>
        <v>23012.921114312248</v>
      </c>
      <c r="G115" s="65">
        <f t="shared" si="74"/>
        <v>27695.546858046167</v>
      </c>
      <c r="H115" s="65">
        <f t="shared" si="74"/>
        <v>27817.240604407783</v>
      </c>
      <c r="I115" s="65">
        <f t="shared" si="74"/>
        <v>24692.833619141515</v>
      </c>
      <c r="J115" s="65">
        <f t="shared" si="74"/>
        <v>30932.278709225935</v>
      </c>
      <c r="K115" s="65">
        <f t="shared" si="74"/>
        <v>29515.023962954889</v>
      </c>
      <c r="L115" s="65">
        <f t="shared" si="74"/>
        <v>29426.508653587265</v>
      </c>
      <c r="M115" s="65">
        <f t="shared" si="74"/>
        <v>23556.985228108242</v>
      </c>
      <c r="N115" s="65">
        <f t="shared" si="74"/>
        <v>23065.603116044571</v>
      </c>
      <c r="O115" s="65">
        <f t="shared" si="74"/>
        <v>22694.984132819136</v>
      </c>
      <c r="P115" s="65">
        <f t="shared" si="74"/>
        <v>17197.003113654824</v>
      </c>
      <c r="Q115" s="65">
        <f t="shared" si="74"/>
        <v>18884.263602588533</v>
      </c>
      <c r="R115" s="65">
        <f t="shared" si="74"/>
        <v>18944.994214276558</v>
      </c>
      <c r="S115" s="65">
        <f t="shared" si="74"/>
        <v>18586.467917574952</v>
      </c>
      <c r="T115" s="65">
        <f t="shared" si="74"/>
        <v>21174.732770699095</v>
      </c>
      <c r="U115" s="65">
        <f t="shared" si="74"/>
        <v>20329.210912281418</v>
      </c>
      <c r="V115" s="65">
        <f t="shared" si="74"/>
        <v>19331.179010849668</v>
      </c>
      <c r="W115" s="65">
        <f t="shared" si="74"/>
        <v>17932.887512138241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1.8037818561268439</v>
      </c>
      <c r="C116" s="65">
        <f t="shared" ref="C116:W116" si="76">C84*1000000/C$8</f>
        <v>3.053933949496729</v>
      </c>
      <c r="D116" s="65">
        <f t="shared" si="76"/>
        <v>2.8067736117704789</v>
      </c>
      <c r="E116" s="65">
        <f t="shared" si="76"/>
        <v>8.4255419122272244</v>
      </c>
      <c r="F116" s="65">
        <f t="shared" si="76"/>
        <v>4.9958066326904387</v>
      </c>
      <c r="G116" s="65">
        <f t="shared" si="76"/>
        <v>5.5961181192498497</v>
      </c>
      <c r="H116" s="65">
        <f t="shared" si="76"/>
        <v>8.0232164534581916</v>
      </c>
      <c r="I116" s="65">
        <f t="shared" si="76"/>
        <v>8.770254150591791</v>
      </c>
      <c r="J116" s="65">
        <f t="shared" si="76"/>
        <v>12.244501869674766</v>
      </c>
      <c r="K116" s="65">
        <f t="shared" si="76"/>
        <v>15.613075701226709</v>
      </c>
      <c r="L116" s="65">
        <f t="shared" si="76"/>
        <v>14.924057502557096</v>
      </c>
      <c r="M116" s="65">
        <f t="shared" si="76"/>
        <v>18.226603687286492</v>
      </c>
      <c r="N116" s="65">
        <f t="shared" si="76"/>
        <v>31.547640516885934</v>
      </c>
      <c r="O116" s="65">
        <f t="shared" si="76"/>
        <v>21.384241889107564</v>
      </c>
      <c r="P116" s="65">
        <f t="shared" si="76"/>
        <v>20.344142833378033</v>
      </c>
      <c r="Q116" s="65">
        <f t="shared" si="76"/>
        <v>38.905520690354521</v>
      </c>
      <c r="R116" s="65">
        <f t="shared" si="76"/>
        <v>27.321132106083191</v>
      </c>
      <c r="S116" s="65">
        <f t="shared" si="76"/>
        <v>43.447625391408181</v>
      </c>
      <c r="T116" s="65">
        <f t="shared" si="76"/>
        <v>34.156536997623078</v>
      </c>
      <c r="U116" s="65">
        <f t="shared" si="76"/>
        <v>45.853025157240268</v>
      </c>
      <c r="V116" s="65">
        <f t="shared" si="76"/>
        <v>33.545587618070847</v>
      </c>
      <c r="W116" s="65">
        <f t="shared" si="76"/>
        <v>41.139252636813083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3727.0044436497601</v>
      </c>
      <c r="C117" s="65">
        <f t="shared" ref="C117:W117" si="78">C85*1000000/C$8</f>
        <v>3663.1041738239132</v>
      </c>
      <c r="D117" s="65">
        <f t="shared" si="78"/>
        <v>3539.3628859625082</v>
      </c>
      <c r="E117" s="65">
        <f t="shared" si="78"/>
        <v>3439.515191449967</v>
      </c>
      <c r="F117" s="65">
        <f t="shared" si="78"/>
        <v>3359.1471854712336</v>
      </c>
      <c r="G117" s="65">
        <f t="shared" si="78"/>
        <v>3358.6061652143944</v>
      </c>
      <c r="H117" s="65">
        <f t="shared" si="78"/>
        <v>3272.0607414843253</v>
      </c>
      <c r="I117" s="65">
        <f t="shared" si="78"/>
        <v>3165.5773373528923</v>
      </c>
      <c r="J117" s="65">
        <f t="shared" si="78"/>
        <v>3145.6066292977907</v>
      </c>
      <c r="K117" s="65">
        <f t="shared" si="78"/>
        <v>3072.4284508153005</v>
      </c>
      <c r="L117" s="65">
        <f t="shared" si="78"/>
        <v>2979.9092354515205</v>
      </c>
      <c r="M117" s="65">
        <f t="shared" si="78"/>
        <v>2958.8167180169899</v>
      </c>
      <c r="N117" s="65">
        <f t="shared" si="78"/>
        <v>2903.3961844555806</v>
      </c>
      <c r="O117" s="65">
        <f t="shared" si="78"/>
        <v>2902.2377824405767</v>
      </c>
      <c r="P117" s="65">
        <f t="shared" si="78"/>
        <v>2844.7676043713773</v>
      </c>
      <c r="Q117" s="65">
        <f t="shared" si="78"/>
        <v>2836.4972492621755</v>
      </c>
      <c r="R117" s="65">
        <f t="shared" si="78"/>
        <v>2860.4270011058629</v>
      </c>
      <c r="S117" s="65">
        <f t="shared" si="78"/>
        <v>2953.20714323331</v>
      </c>
      <c r="T117" s="65">
        <f t="shared" si="78"/>
        <v>3076.1812402831001</v>
      </c>
      <c r="U117" s="65">
        <f t="shared" si="78"/>
        <v>2644.8863928917231</v>
      </c>
      <c r="V117" s="65">
        <f t="shared" si="78"/>
        <v>2433.3624346206093</v>
      </c>
      <c r="W117" s="65">
        <f t="shared" si="78"/>
        <v>2699.8175548491072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5795.4236769499475</v>
      </c>
      <c r="C118" s="67">
        <f t="shared" ref="C118:W118" si="80">C86*1000000/C$8</f>
        <v>5539.7234419930683</v>
      </c>
      <c r="D118" s="67">
        <f t="shared" si="80"/>
        <v>5107.6517099072707</v>
      </c>
      <c r="E118" s="67">
        <f t="shared" si="80"/>
        <v>4298.2989196835006</v>
      </c>
      <c r="F118" s="67">
        <f t="shared" si="80"/>
        <v>3981.601880912513</v>
      </c>
      <c r="G118" s="67">
        <f t="shared" si="80"/>
        <v>4199.7612451935793</v>
      </c>
      <c r="H118" s="67">
        <f t="shared" si="80"/>
        <v>3793.8253232546544</v>
      </c>
      <c r="I118" s="67">
        <f t="shared" si="80"/>
        <v>4187.6990138253759</v>
      </c>
      <c r="J118" s="67">
        <f t="shared" si="80"/>
        <v>3901.4568710056651</v>
      </c>
      <c r="K118" s="67">
        <f t="shared" si="80"/>
        <v>4315.5778956617687</v>
      </c>
      <c r="L118" s="67">
        <f t="shared" si="80"/>
        <v>4372.1989965238636</v>
      </c>
      <c r="M118" s="67">
        <f t="shared" si="80"/>
        <v>4476.3754056358912</v>
      </c>
      <c r="N118" s="67">
        <f t="shared" si="80"/>
        <v>4491.0213850289747</v>
      </c>
      <c r="O118" s="67">
        <f t="shared" si="80"/>
        <v>4681.5384361530605</v>
      </c>
      <c r="P118" s="67">
        <f t="shared" si="80"/>
        <v>5158.4476919477029</v>
      </c>
      <c r="Q118" s="67">
        <f t="shared" si="80"/>
        <v>5200.5894312348619</v>
      </c>
      <c r="R118" s="67">
        <f t="shared" si="80"/>
        <v>5329.4044640447992</v>
      </c>
      <c r="S118" s="67">
        <f t="shared" si="80"/>
        <v>5283.1873099198274</v>
      </c>
      <c r="T118" s="67">
        <f t="shared" si="80"/>
        <v>4929.3001293479692</v>
      </c>
      <c r="U118" s="67">
        <f t="shared" si="80"/>
        <v>5245.8983891264743</v>
      </c>
      <c r="V118" s="67">
        <f t="shared" si="80"/>
        <v>4823.6862929773151</v>
      </c>
      <c r="W118" s="67">
        <f t="shared" si="80"/>
        <v>4933.3494398149842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0.60516141562678283</v>
      </c>
      <c r="C121" s="86">
        <f t="shared" ref="C121:W121" si="84">IF(C107=0,"",C107/C100)</f>
        <v>0.61526517030495309</v>
      </c>
      <c r="D121" s="86">
        <f t="shared" si="84"/>
        <v>0.62645197050247736</v>
      </c>
      <c r="E121" s="86">
        <f t="shared" si="84"/>
        <v>0.65486621164464587</v>
      </c>
      <c r="F121" s="86">
        <f t="shared" si="84"/>
        <v>0.64103903914247351</v>
      </c>
      <c r="G121" s="86">
        <f t="shared" si="84"/>
        <v>0.64467570540197761</v>
      </c>
      <c r="H121" s="86">
        <f t="shared" si="84"/>
        <v>0.66249102049532305</v>
      </c>
      <c r="I121" s="86">
        <f t="shared" si="84"/>
        <v>0.67725864151385795</v>
      </c>
      <c r="J121" s="86">
        <f t="shared" si="84"/>
        <v>0.68383420461977207</v>
      </c>
      <c r="K121" s="86">
        <f t="shared" si="84"/>
        <v>0.70138489276185467</v>
      </c>
      <c r="L121" s="86">
        <f t="shared" si="84"/>
        <v>0.70730142954436725</v>
      </c>
      <c r="M121" s="86">
        <f t="shared" si="84"/>
        <v>0.74258597561173367</v>
      </c>
      <c r="N121" s="86">
        <f t="shared" si="84"/>
        <v>0.79780397598911335</v>
      </c>
      <c r="O121" s="86">
        <f t="shared" si="84"/>
        <v>0.7965194923667227</v>
      </c>
      <c r="P121" s="86">
        <f t="shared" si="84"/>
        <v>0.8524801430809098</v>
      </c>
      <c r="Q121" s="86">
        <f t="shared" si="84"/>
        <v>0.9659768388502179</v>
      </c>
      <c r="R121" s="86">
        <f t="shared" si="84"/>
        <v>0.95414715458439714</v>
      </c>
      <c r="S121" s="86">
        <f t="shared" si="84"/>
        <v>1.0116048789494942</v>
      </c>
      <c r="T121" s="86">
        <f t="shared" si="84"/>
        <v>0.9842734380278072</v>
      </c>
      <c r="U121" s="86">
        <f t="shared" si="84"/>
        <v>1.0158994774406864</v>
      </c>
      <c r="V121" s="86">
        <f t="shared" si="84"/>
        <v>1.0321636459986021</v>
      </c>
      <c r="W121" s="86">
        <f t="shared" si="84"/>
        <v>1.0125923320485268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0.57002950046770151</v>
      </c>
      <c r="C122" s="75">
        <f t="shared" ref="C122:W122" si="86">IF(C108=0,"",C108/C101)</f>
        <v>0.57793115769740688</v>
      </c>
      <c r="D122" s="75">
        <f t="shared" si="86"/>
        <v>0.59030668339159287</v>
      </c>
      <c r="E122" s="75">
        <f t="shared" si="86"/>
        <v>0.58844678519000782</v>
      </c>
      <c r="F122" s="75">
        <f t="shared" si="86"/>
        <v>0.60193956712037022</v>
      </c>
      <c r="G122" s="75">
        <f t="shared" si="86"/>
        <v>0.61013813175626741</v>
      </c>
      <c r="H122" s="75">
        <f t="shared" si="86"/>
        <v>0.62313803219512942</v>
      </c>
      <c r="I122" s="75">
        <f t="shared" si="86"/>
        <v>0.63947405156455195</v>
      </c>
      <c r="J122" s="75">
        <f t="shared" si="86"/>
        <v>0.6423903358227957</v>
      </c>
      <c r="K122" s="75">
        <f t="shared" si="86"/>
        <v>0.66039998656807242</v>
      </c>
      <c r="L122" s="75">
        <f t="shared" si="86"/>
        <v>0.67350969200928668</v>
      </c>
      <c r="M122" s="75">
        <f t="shared" si="86"/>
        <v>0.70875258352146187</v>
      </c>
      <c r="N122" s="75">
        <f t="shared" si="86"/>
        <v>0.74733263360743085</v>
      </c>
      <c r="O122" s="75">
        <f t="shared" si="86"/>
        <v>0.77941914806061807</v>
      </c>
      <c r="P122" s="75">
        <f t="shared" si="86"/>
        <v>0.86739540101432144</v>
      </c>
      <c r="Q122" s="75">
        <f t="shared" si="86"/>
        <v>0.98520954246360359</v>
      </c>
      <c r="R122" s="75">
        <f t="shared" si="86"/>
        <v>0.99954529453599184</v>
      </c>
      <c r="S122" s="75">
        <f t="shared" si="86"/>
        <v>1.0441249775113965</v>
      </c>
      <c r="T122" s="75">
        <f t="shared" si="86"/>
        <v>1.0158844222186676</v>
      </c>
      <c r="U122" s="75">
        <f t="shared" si="86"/>
        <v>1.0342248587008933</v>
      </c>
      <c r="V122" s="75">
        <f t="shared" si="86"/>
        <v>1.0725898358188766</v>
      </c>
      <c r="W122" s="75">
        <f t="shared" si="86"/>
        <v>1.0278849380143027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1.854805830445643</v>
      </c>
      <c r="C123" s="76">
        <f t="shared" ref="C123:W123" si="88">IF(C109=0,"",C109/C102)</f>
        <v>1.9318152810830944</v>
      </c>
      <c r="D123" s="76">
        <f t="shared" si="88"/>
        <v>2.0189372987298091</v>
      </c>
      <c r="E123" s="76">
        <f t="shared" si="88"/>
        <v>2.0981921233391572</v>
      </c>
      <c r="F123" s="76">
        <f t="shared" si="88"/>
        <v>2.1923464574114937</v>
      </c>
      <c r="G123" s="76">
        <f t="shared" si="88"/>
        <v>2.2864885581467642</v>
      </c>
      <c r="H123" s="76">
        <f t="shared" si="88"/>
        <v>2.4039089653337746</v>
      </c>
      <c r="I123" s="76">
        <f t="shared" si="88"/>
        <v>2.5289505760933495</v>
      </c>
      <c r="J123" s="76">
        <f t="shared" si="88"/>
        <v>2.6527758142419993</v>
      </c>
      <c r="K123" s="76">
        <f t="shared" si="88"/>
        <v>2.6952620384207759</v>
      </c>
      <c r="L123" s="76">
        <f t="shared" si="88"/>
        <v>2.752921685062713</v>
      </c>
      <c r="M123" s="76">
        <f t="shared" si="88"/>
        <v>2.8334721442650976</v>
      </c>
      <c r="N123" s="76">
        <f t="shared" si="88"/>
        <v>2.9124787164461448</v>
      </c>
      <c r="O123" s="76">
        <f t="shared" si="88"/>
        <v>2.9902400604961779</v>
      </c>
      <c r="P123" s="76">
        <f t="shared" si="88"/>
        <v>3.0820504496787691</v>
      </c>
      <c r="Q123" s="76">
        <f t="shared" si="88"/>
        <v>3.1790681396206804</v>
      </c>
      <c r="R123" s="76">
        <f t="shared" si="88"/>
        <v>3.2761909880454745</v>
      </c>
      <c r="S123" s="76">
        <f t="shared" si="88"/>
        <v>3.3874081519148898</v>
      </c>
      <c r="T123" s="76">
        <f t="shared" si="88"/>
        <v>3.4896529289989253</v>
      </c>
      <c r="U123" s="76">
        <f t="shared" si="88"/>
        <v>3.5830726967985158</v>
      </c>
      <c r="V123" s="76">
        <f t="shared" si="88"/>
        <v>3.6668968507614652</v>
      </c>
      <c r="W123" s="76">
        <f t="shared" si="88"/>
        <v>3.7665826581174837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0.59234114952525108</v>
      </c>
      <c r="C124" s="76">
        <f t="shared" ref="C124:W124" si="90">IF(C110=0,"",C110/C103)</f>
        <v>0.59738935930463177</v>
      </c>
      <c r="D124" s="76">
        <f t="shared" si="90"/>
        <v>0.60320909277791046</v>
      </c>
      <c r="E124" s="76">
        <f t="shared" si="90"/>
        <v>0.60746791757503493</v>
      </c>
      <c r="F124" s="76">
        <f t="shared" si="90"/>
        <v>0.61420355982791752</v>
      </c>
      <c r="G124" s="76">
        <f t="shared" si="90"/>
        <v>0.61760057222176556</v>
      </c>
      <c r="H124" s="76">
        <f t="shared" si="90"/>
        <v>0.6236621982552798</v>
      </c>
      <c r="I124" s="76">
        <f t="shared" si="90"/>
        <v>0.63150484147400221</v>
      </c>
      <c r="J124" s="76">
        <f t="shared" si="90"/>
        <v>0.63698340790210239</v>
      </c>
      <c r="K124" s="76">
        <f t="shared" si="90"/>
        <v>0.64404689641983404</v>
      </c>
      <c r="L124" s="76">
        <f t="shared" si="90"/>
        <v>0.65316845054905592</v>
      </c>
      <c r="M124" s="76">
        <f t="shared" si="90"/>
        <v>0.66145864433914014</v>
      </c>
      <c r="N124" s="76">
        <f t="shared" si="90"/>
        <v>0.67134302490396691</v>
      </c>
      <c r="O124" s="76">
        <f t="shared" si="90"/>
        <v>0.68258244937426382</v>
      </c>
      <c r="P124" s="76">
        <f t="shared" si="90"/>
        <v>0.68864800815653049</v>
      </c>
      <c r="Q124" s="76">
        <f t="shared" si="90"/>
        <v>0.69545790138740138</v>
      </c>
      <c r="R124" s="76">
        <f t="shared" si="90"/>
        <v>0.70438805795771697</v>
      </c>
      <c r="S124" s="76">
        <f t="shared" si="90"/>
        <v>0.71478671831299934</v>
      </c>
      <c r="T124" s="76">
        <f t="shared" si="90"/>
        <v>0.72596687030689599</v>
      </c>
      <c r="U124" s="76">
        <f t="shared" si="90"/>
        <v>0.74140836867370663</v>
      </c>
      <c r="V124" s="76">
        <f t="shared" si="90"/>
        <v>0.75465505958809576</v>
      </c>
      <c r="W124" s="76">
        <f t="shared" si="90"/>
        <v>0.76711899212261769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0.64144418729926511</v>
      </c>
      <c r="C125" s="56">
        <f t="shared" ref="C125:W125" si="92">IF(C111=0,"",C111/C104)</f>
        <v>0.64775492295807025</v>
      </c>
      <c r="D125" s="56">
        <f t="shared" si="92"/>
        <v>0.6610011103944945</v>
      </c>
      <c r="E125" s="56">
        <f t="shared" si="92"/>
        <v>0.68438240480018175</v>
      </c>
      <c r="F125" s="56">
        <f t="shared" si="92"/>
        <v>0.6977671349068415</v>
      </c>
      <c r="G125" s="56">
        <f t="shared" si="92"/>
        <v>0.69658777510218173</v>
      </c>
      <c r="H125" s="56">
        <f t="shared" si="92"/>
        <v>0.70807175928354515</v>
      </c>
      <c r="I125" s="56">
        <f t="shared" si="92"/>
        <v>0.69880093022195944</v>
      </c>
      <c r="J125" s="56">
        <f t="shared" si="92"/>
        <v>0.70969127876268778</v>
      </c>
      <c r="K125" s="56">
        <f t="shared" si="92"/>
        <v>0.70131845002374216</v>
      </c>
      <c r="L125" s="56">
        <f t="shared" si="92"/>
        <v>0.70086241329648313</v>
      </c>
      <c r="M125" s="56">
        <f t="shared" si="92"/>
        <v>0.69850388450376288</v>
      </c>
      <c r="N125" s="56">
        <f t="shared" si="92"/>
        <v>0.69853158448290498</v>
      </c>
      <c r="O125" s="56">
        <f t="shared" si="92"/>
        <v>0.69563518144017511</v>
      </c>
      <c r="P125" s="56">
        <f t="shared" si="92"/>
        <v>0.68453102912399399</v>
      </c>
      <c r="Q125" s="56">
        <f t="shared" si="92"/>
        <v>0.6851285269553965</v>
      </c>
      <c r="R125" s="56">
        <f t="shared" si="92"/>
        <v>0.68341653154955639</v>
      </c>
      <c r="S125" s="56">
        <f t="shared" si="92"/>
        <v>0.68536618950877992</v>
      </c>
      <c r="T125" s="56">
        <f t="shared" si="92"/>
        <v>0.69632762341491039</v>
      </c>
      <c r="U125" s="56">
        <f t="shared" si="92"/>
        <v>0.68660037347652902</v>
      </c>
      <c r="V125" s="56">
        <f t="shared" si="92"/>
        <v>0.68442285116149881</v>
      </c>
      <c r="W125" s="56">
        <f t="shared" si="92"/>
        <v>0.69607232748508896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276.98676328942986</v>
      </c>
      <c r="C129" s="82">
        <f t="shared" ref="C129:W129" si="94">IF(C99=0,0,C99/C$26)</f>
        <v>281.06552246697379</v>
      </c>
      <c r="D129" s="82">
        <f t="shared" si="94"/>
        <v>276.15775075998602</v>
      </c>
      <c r="E129" s="82">
        <f t="shared" si="94"/>
        <v>302.71182423483776</v>
      </c>
      <c r="F129" s="82">
        <f t="shared" si="94"/>
        <v>306.78734358171954</v>
      </c>
      <c r="G129" s="82">
        <f t="shared" si="94"/>
        <v>340.67872928616231</v>
      </c>
      <c r="H129" s="82">
        <f t="shared" si="94"/>
        <v>344.70603827622074</v>
      </c>
      <c r="I129" s="82">
        <f t="shared" si="94"/>
        <v>330.51892690414041</v>
      </c>
      <c r="J129" s="82">
        <f t="shared" si="94"/>
        <v>367.81213820751691</v>
      </c>
      <c r="K129" s="82">
        <f t="shared" si="94"/>
        <v>365.80430257543907</v>
      </c>
      <c r="L129" s="82">
        <f t="shared" si="94"/>
        <v>365.41899526076105</v>
      </c>
      <c r="M129" s="82">
        <f t="shared" si="94"/>
        <v>337.06523351633399</v>
      </c>
      <c r="N129" s="82">
        <f t="shared" si="94"/>
        <v>339.52853006466893</v>
      </c>
      <c r="O129" s="82">
        <f t="shared" si="94"/>
        <v>337.93429112927271</v>
      </c>
      <c r="P129" s="82">
        <f t="shared" si="94"/>
        <v>308.8706777982494</v>
      </c>
      <c r="Q129" s="82">
        <f t="shared" si="94"/>
        <v>323.64547209761571</v>
      </c>
      <c r="R129" s="82">
        <f t="shared" si="94"/>
        <v>324.76241053379255</v>
      </c>
      <c r="S129" s="82">
        <f t="shared" si="94"/>
        <v>327.58757426566132</v>
      </c>
      <c r="T129" s="82">
        <f t="shared" si="94"/>
        <v>343.01809351651048</v>
      </c>
      <c r="U129" s="82">
        <f t="shared" si="94"/>
        <v>327.25686365890743</v>
      </c>
      <c r="V129" s="82">
        <f t="shared" si="94"/>
        <v>292.88431416470854</v>
      </c>
      <c r="W129" s="82">
        <f t="shared" si="94"/>
        <v>295.48525828877735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217.11976665036065</v>
      </c>
      <c r="C130" s="64">
        <f t="shared" ref="C130:W130" si="96">IF(C100=0,0,C100/C$26)</f>
        <v>220.3240435750227</v>
      </c>
      <c r="D130" s="64">
        <f t="shared" si="96"/>
        <v>214.44489919031483</v>
      </c>
      <c r="E130" s="64">
        <f t="shared" si="96"/>
        <v>239.54661592545654</v>
      </c>
      <c r="F130" s="64">
        <f t="shared" si="96"/>
        <v>241.96290778100831</v>
      </c>
      <c r="G130" s="64">
        <f t="shared" si="96"/>
        <v>274.2371961934162</v>
      </c>
      <c r="H130" s="64">
        <f t="shared" si="96"/>
        <v>277.24985715163569</v>
      </c>
      <c r="I130" s="64">
        <f t="shared" si="96"/>
        <v>262.11250145452448</v>
      </c>
      <c r="J130" s="64">
        <f t="shared" si="96"/>
        <v>298.22163343757182</v>
      </c>
      <c r="K130" s="64">
        <f t="shared" si="96"/>
        <v>295.0419249598562</v>
      </c>
      <c r="L130" s="64">
        <f t="shared" si="96"/>
        <v>293.99273729089947</v>
      </c>
      <c r="M130" s="64">
        <f t="shared" si="96"/>
        <v>265.16473554995059</v>
      </c>
      <c r="N130" s="64">
        <f t="shared" si="96"/>
        <v>267.04538433587118</v>
      </c>
      <c r="O130" s="64">
        <f t="shared" si="96"/>
        <v>264.14681418401233</v>
      </c>
      <c r="P130" s="64">
        <f t="shared" si="96"/>
        <v>233.94644220910337</v>
      </c>
      <c r="Q130" s="64">
        <f t="shared" si="96"/>
        <v>247.57560480281083</v>
      </c>
      <c r="R130" s="64">
        <f t="shared" si="96"/>
        <v>248.39137095999072</v>
      </c>
      <c r="S130" s="64">
        <f t="shared" si="96"/>
        <v>250.57213246522585</v>
      </c>
      <c r="T130" s="64">
        <f t="shared" si="96"/>
        <v>266.66878639973095</v>
      </c>
      <c r="U130" s="64">
        <f t="shared" si="96"/>
        <v>252.72747985364606</v>
      </c>
      <c r="V130" s="64">
        <f t="shared" si="96"/>
        <v>225.73213434568004</v>
      </c>
      <c r="W130" s="64">
        <f t="shared" si="96"/>
        <v>228.0618612638354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145.10936425607585</v>
      </c>
      <c r="C131" s="65">
        <f t="shared" ref="C131:W131" si="98">IF(C101=0,0,C101/C$26)</f>
        <v>148.02874273417584</v>
      </c>
      <c r="D131" s="65">
        <f t="shared" si="98"/>
        <v>142.80391637670797</v>
      </c>
      <c r="E131" s="65">
        <f t="shared" si="98"/>
        <v>165.03864590326458</v>
      </c>
      <c r="F131" s="65">
        <f t="shared" si="98"/>
        <v>171.11284827570884</v>
      </c>
      <c r="G131" s="65">
        <f t="shared" si="98"/>
        <v>202.58297792815051</v>
      </c>
      <c r="H131" s="65">
        <f t="shared" si="98"/>
        <v>205.83905008377138</v>
      </c>
      <c r="I131" s="65">
        <f t="shared" si="98"/>
        <v>189.81467947002085</v>
      </c>
      <c r="J131" s="65">
        <f t="shared" si="98"/>
        <v>225.31455564862407</v>
      </c>
      <c r="K131" s="65">
        <f t="shared" si="98"/>
        <v>221.17812994949301</v>
      </c>
      <c r="L131" s="65">
        <f t="shared" si="98"/>
        <v>221.08399559232726</v>
      </c>
      <c r="M131" s="65">
        <f t="shared" si="98"/>
        <v>191.48302500176084</v>
      </c>
      <c r="N131" s="65">
        <f t="shared" si="98"/>
        <v>190.99390820763168</v>
      </c>
      <c r="O131" s="65">
        <f t="shared" si="98"/>
        <v>190.14635057484176</v>
      </c>
      <c r="P131" s="65">
        <f t="shared" si="98"/>
        <v>159.81574548106934</v>
      </c>
      <c r="Q131" s="65">
        <f t="shared" si="98"/>
        <v>170.33216415540107</v>
      </c>
      <c r="R131" s="65">
        <f t="shared" si="98"/>
        <v>173.21513920934422</v>
      </c>
      <c r="S131" s="65">
        <f t="shared" si="98"/>
        <v>174.30487412429366</v>
      </c>
      <c r="T131" s="65">
        <f t="shared" si="98"/>
        <v>193.33695757905085</v>
      </c>
      <c r="U131" s="65">
        <f t="shared" si="98"/>
        <v>179.90899470092521</v>
      </c>
      <c r="V131" s="65">
        <f t="shared" si="98"/>
        <v>161.38309499460433</v>
      </c>
      <c r="W131" s="65">
        <f t="shared" si="98"/>
        <v>158.4498338250765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3.435542675376118</v>
      </c>
      <c r="C132" s="65">
        <f t="shared" ref="C132:W132" si="100">IF(C102=0,0,C102/C$26)</f>
        <v>3.834866417602067</v>
      </c>
      <c r="D132" s="65">
        <f t="shared" si="100"/>
        <v>3.4593746660049782</v>
      </c>
      <c r="E132" s="65">
        <f t="shared" si="100"/>
        <v>8.0579714107982472</v>
      </c>
      <c r="F132" s="65">
        <f t="shared" si="100"/>
        <v>3.7183632176521071</v>
      </c>
      <c r="G132" s="65">
        <f t="shared" si="100"/>
        <v>3.7475387519506818</v>
      </c>
      <c r="H132" s="65">
        <f t="shared" si="100"/>
        <v>4.5345816760578108</v>
      </c>
      <c r="I132" s="65">
        <f t="shared" si="100"/>
        <v>4.3185036566758237</v>
      </c>
      <c r="J132" s="65">
        <f t="shared" si="100"/>
        <v>5.0947147265813051</v>
      </c>
      <c r="K132" s="65">
        <f t="shared" si="100"/>
        <v>5.5022152619200728</v>
      </c>
      <c r="L132" s="65">
        <f t="shared" si="100"/>
        <v>4.6353321910812184</v>
      </c>
      <c r="M132" s="65">
        <f t="shared" si="100"/>
        <v>5.1293414634625494</v>
      </c>
      <c r="N132" s="65">
        <f t="shared" si="100"/>
        <v>8.1600390245226766</v>
      </c>
      <c r="O132" s="65">
        <f t="shared" si="100"/>
        <v>4.8576724182314095</v>
      </c>
      <c r="P132" s="65">
        <f t="shared" si="100"/>
        <v>4.1421146861403484</v>
      </c>
      <c r="Q132" s="65">
        <f t="shared" si="100"/>
        <v>7.2494335517600854</v>
      </c>
      <c r="R132" s="65">
        <f t="shared" si="100"/>
        <v>4.5494532399028627</v>
      </c>
      <c r="S132" s="65">
        <f t="shared" si="100"/>
        <v>6.7607651597758194</v>
      </c>
      <c r="T132" s="65">
        <f t="shared" si="100"/>
        <v>5.0375119239670694</v>
      </c>
      <c r="U132" s="65">
        <f t="shared" si="100"/>
        <v>6.5838559068294442</v>
      </c>
      <c r="V132" s="65">
        <f t="shared" si="100"/>
        <v>4.6911425006003107</v>
      </c>
      <c r="W132" s="65">
        <f t="shared" si="100"/>
        <v>5.7354324436598727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34.281439525670365</v>
      </c>
      <c r="C133" s="65">
        <f t="shared" ref="C133:W133" si="102">IF(C103=0,0,C103/C$26)</f>
        <v>34.677452482225497</v>
      </c>
      <c r="D133" s="65">
        <f t="shared" si="102"/>
        <v>34.798159160228593</v>
      </c>
      <c r="E133" s="65">
        <f t="shared" si="102"/>
        <v>34.191968486437659</v>
      </c>
      <c r="F133" s="65">
        <f t="shared" si="102"/>
        <v>34.538442290053517</v>
      </c>
      <c r="G133" s="65">
        <f t="shared" si="102"/>
        <v>33.944853745673917</v>
      </c>
      <c r="H133" s="65">
        <f t="shared" si="102"/>
        <v>33.698646212918838</v>
      </c>
      <c r="I133" s="65">
        <f t="shared" si="102"/>
        <v>34.012357992386292</v>
      </c>
      <c r="J133" s="65">
        <f t="shared" si="102"/>
        <v>33.651353045007689</v>
      </c>
      <c r="K133" s="65">
        <f t="shared" si="102"/>
        <v>33.19683338347722</v>
      </c>
      <c r="L133" s="65">
        <f t="shared" si="102"/>
        <v>32.953929286085916</v>
      </c>
      <c r="M133" s="65">
        <f t="shared" si="102"/>
        <v>33.051940590393777</v>
      </c>
      <c r="N133" s="65">
        <f t="shared" si="102"/>
        <v>32.232827403565537</v>
      </c>
      <c r="O133" s="65">
        <f t="shared" si="102"/>
        <v>32.896177346323348</v>
      </c>
      <c r="P133" s="65">
        <f t="shared" si="102"/>
        <v>32.958964219293293</v>
      </c>
      <c r="Q133" s="65">
        <f t="shared" si="102"/>
        <v>32.731157133645262</v>
      </c>
      <c r="R133" s="65">
        <f t="shared" si="102"/>
        <v>33.052280638517907</v>
      </c>
      <c r="S133" s="65">
        <f t="shared" si="102"/>
        <v>32.122045413986186</v>
      </c>
      <c r="T133" s="65">
        <f t="shared" si="102"/>
        <v>31.465446685744745</v>
      </c>
      <c r="U133" s="65">
        <f t="shared" si="102"/>
        <v>29.415499912224202</v>
      </c>
      <c r="V133" s="65">
        <f t="shared" si="102"/>
        <v>26.504533520379358</v>
      </c>
      <c r="W133" s="65">
        <f t="shared" si="102"/>
        <v>28.147469129724353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34.293420193238269</v>
      </c>
      <c r="C134" s="67">
        <f t="shared" ref="C134:W134" si="104">IF(C104=0,0,C104/C$26)</f>
        <v>33.782981941019315</v>
      </c>
      <c r="D134" s="67">
        <f t="shared" si="104"/>
        <v>33.383448987373299</v>
      </c>
      <c r="E134" s="67">
        <f t="shared" si="104"/>
        <v>32.258030124956051</v>
      </c>
      <c r="F134" s="67">
        <f t="shared" si="104"/>
        <v>32.593253997593806</v>
      </c>
      <c r="G134" s="67">
        <f t="shared" si="104"/>
        <v>33.961825767641074</v>
      </c>
      <c r="H134" s="67">
        <f t="shared" si="104"/>
        <v>33.177579178887704</v>
      </c>
      <c r="I134" s="67">
        <f t="shared" si="104"/>
        <v>33.966960335441499</v>
      </c>
      <c r="J134" s="67">
        <f t="shared" si="104"/>
        <v>34.161010017358734</v>
      </c>
      <c r="K134" s="67">
        <f t="shared" si="104"/>
        <v>35.164746364965929</v>
      </c>
      <c r="L134" s="67">
        <f t="shared" si="104"/>
        <v>35.319480221405087</v>
      </c>
      <c r="M134" s="67">
        <f t="shared" si="104"/>
        <v>35.500428494333491</v>
      </c>
      <c r="N134" s="67">
        <f t="shared" si="104"/>
        <v>35.658609700151317</v>
      </c>
      <c r="O134" s="67">
        <f t="shared" si="104"/>
        <v>36.24661384461583</v>
      </c>
      <c r="P134" s="67">
        <f t="shared" si="104"/>
        <v>37.029617822600329</v>
      </c>
      <c r="Q134" s="67">
        <f t="shared" si="104"/>
        <v>37.262849962004395</v>
      </c>
      <c r="R134" s="67">
        <f t="shared" si="104"/>
        <v>37.574497872225699</v>
      </c>
      <c r="S134" s="67">
        <f t="shared" si="104"/>
        <v>37.384447767170116</v>
      </c>
      <c r="T134" s="67">
        <f t="shared" si="104"/>
        <v>36.82887021096829</v>
      </c>
      <c r="U134" s="67">
        <f t="shared" si="104"/>
        <v>36.819129333667249</v>
      </c>
      <c r="V134" s="67">
        <f t="shared" si="104"/>
        <v>33.15336333009607</v>
      </c>
      <c r="W134" s="67">
        <f t="shared" si="104"/>
        <v>35.729125865374648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59.866996639069207</v>
      </c>
      <c r="C135" s="68">
        <f t="shared" ref="C135:W135" si="106">IF(C105=0,0,C105/C$26)</f>
        <v>60.741478891951047</v>
      </c>
      <c r="D135" s="68">
        <f t="shared" si="106"/>
        <v>61.712851569671152</v>
      </c>
      <c r="E135" s="68">
        <f t="shared" si="106"/>
        <v>63.165208309381278</v>
      </c>
      <c r="F135" s="68">
        <f t="shared" si="106"/>
        <v>64.824435800711242</v>
      </c>
      <c r="G135" s="68">
        <f t="shared" si="106"/>
        <v>66.441533092746184</v>
      </c>
      <c r="H135" s="68">
        <f t="shared" si="106"/>
        <v>67.456181124584987</v>
      </c>
      <c r="I135" s="68">
        <f t="shared" si="106"/>
        <v>68.406425449615895</v>
      </c>
      <c r="J135" s="68">
        <f t="shared" si="106"/>
        <v>69.590504769945085</v>
      </c>
      <c r="K135" s="68">
        <f t="shared" si="106"/>
        <v>70.762377615582878</v>
      </c>
      <c r="L135" s="68">
        <f t="shared" si="106"/>
        <v>71.426257969861581</v>
      </c>
      <c r="M135" s="68">
        <f t="shared" si="106"/>
        <v>71.900497966383369</v>
      </c>
      <c r="N135" s="68">
        <f t="shared" si="106"/>
        <v>72.483145728797751</v>
      </c>
      <c r="O135" s="68">
        <f t="shared" si="106"/>
        <v>73.78747694526038</v>
      </c>
      <c r="P135" s="68">
        <f t="shared" si="106"/>
        <v>74.924235589146051</v>
      </c>
      <c r="Q135" s="68">
        <f t="shared" si="106"/>
        <v>76.069867294804908</v>
      </c>
      <c r="R135" s="68">
        <f t="shared" si="106"/>
        <v>76.371039573801767</v>
      </c>
      <c r="S135" s="68">
        <f t="shared" si="106"/>
        <v>77.015441800435539</v>
      </c>
      <c r="T135" s="68">
        <f t="shared" si="106"/>
        <v>76.349307116779556</v>
      </c>
      <c r="U135" s="68">
        <f t="shared" si="106"/>
        <v>74.529383805261276</v>
      </c>
      <c r="V135" s="68">
        <f t="shared" si="106"/>
        <v>67.152179819028504</v>
      </c>
      <c r="W135" s="68">
        <f t="shared" si="106"/>
        <v>67.423397024941991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131.39250534668901</v>
      </c>
      <c r="C137" s="85">
        <f t="shared" ref="C137:W137" si="108">IF(C107=0,0,C107/C$26)</f>
        <v>135.55771019246225</v>
      </c>
      <c r="D137" s="85">
        <f t="shared" si="108"/>
        <v>134.33942966197785</v>
      </c>
      <c r="E137" s="85">
        <f t="shared" si="108"/>
        <v>156.87098488339871</v>
      </c>
      <c r="F137" s="85">
        <f t="shared" si="108"/>
        <v>155.10766991205648</v>
      </c>
      <c r="G137" s="85">
        <f t="shared" si="108"/>
        <v>176.79405790345112</v>
      </c>
      <c r="H137" s="85">
        <f t="shared" si="108"/>
        <v>183.67554079656969</v>
      </c>
      <c r="I137" s="85">
        <f t="shared" si="108"/>
        <v>177.51795665889037</v>
      </c>
      <c r="J137" s="85">
        <f t="shared" si="108"/>
        <v>203.93415350219115</v>
      </c>
      <c r="K137" s="85">
        <f t="shared" si="108"/>
        <v>206.93794889821993</v>
      </c>
      <c r="L137" s="85">
        <f t="shared" si="108"/>
        <v>207.94148336151483</v>
      </c>
      <c r="M137" s="85">
        <f t="shared" si="108"/>
        <v>196.90761384618742</v>
      </c>
      <c r="N137" s="85">
        <f t="shared" si="108"/>
        <v>213.04986939269889</v>
      </c>
      <c r="O137" s="85">
        <f t="shared" si="108"/>
        <v>210.39808634413652</v>
      </c>
      <c r="P137" s="85">
        <f t="shared" si="108"/>
        <v>199.43469652768621</v>
      </c>
      <c r="Q137" s="85">
        <f t="shared" si="108"/>
        <v>239.15230010385005</v>
      </c>
      <c r="R137" s="85">
        <f t="shared" si="108"/>
        <v>237.00191982479262</v>
      </c>
      <c r="S137" s="85">
        <f t="shared" si="108"/>
        <v>253.4799917306014</v>
      </c>
      <c r="T137" s="85">
        <f t="shared" si="108"/>
        <v>262.47500320436615</v>
      </c>
      <c r="U137" s="85">
        <f t="shared" si="108"/>
        <v>256.74571471822065</v>
      </c>
      <c r="V137" s="85">
        <f t="shared" si="108"/>
        <v>232.99250280528338</v>
      </c>
      <c r="W137" s="85">
        <f t="shared" si="108"/>
        <v>230.93369194847466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82.716618420076671</v>
      </c>
      <c r="C138" s="65">
        <f t="shared" ref="C138:W138" si="110">IF(C108=0,0,C108/C$26)</f>
        <v>85.55042266085384</v>
      </c>
      <c r="D138" s="65">
        <f t="shared" si="110"/>
        <v>84.298106251664862</v>
      </c>
      <c r="E138" s="65">
        <f t="shared" si="110"/>
        <v>97.116460613888108</v>
      </c>
      <c r="F138" s="65">
        <f t="shared" si="110"/>
        <v>102.99959381981375</v>
      </c>
      <c r="G138" s="65">
        <f t="shared" si="110"/>
        <v>123.60359967870291</v>
      </c>
      <c r="H138" s="65">
        <f t="shared" si="110"/>
        <v>128.266140618116</v>
      </c>
      <c r="I138" s="65">
        <f t="shared" si="110"/>
        <v>121.381562127121</v>
      </c>
      <c r="J138" s="65">
        <f t="shared" si="110"/>
        <v>144.73989306888362</v>
      </c>
      <c r="K138" s="65">
        <f t="shared" si="110"/>
        <v>146.06603404779656</v>
      </c>
      <c r="L138" s="65">
        <f t="shared" si="110"/>
        <v>148.90221377957084</v>
      </c>
      <c r="M138" s="65">
        <f t="shared" si="110"/>
        <v>135.71408867050266</v>
      </c>
      <c r="N138" s="65">
        <f t="shared" si="110"/>
        <v>142.73598042378529</v>
      </c>
      <c r="O138" s="65">
        <f t="shared" si="110"/>
        <v>148.20370657187877</v>
      </c>
      <c r="P138" s="65">
        <f t="shared" si="110"/>
        <v>138.62344263995487</v>
      </c>
      <c r="Q138" s="65">
        <f t="shared" si="110"/>
        <v>167.81287351437811</v>
      </c>
      <c r="R138" s="65">
        <f t="shared" si="110"/>
        <v>173.13637733909681</v>
      </c>
      <c r="S138" s="65">
        <f t="shared" si="110"/>
        <v>181.99607277515494</v>
      </c>
      <c r="T138" s="65">
        <f t="shared" si="110"/>
        <v>196.40800344370913</v>
      </c>
      <c r="U138" s="65">
        <f t="shared" si="110"/>
        <v>186.06635462358412</v>
      </c>
      <c r="V138" s="65">
        <f t="shared" si="110"/>
        <v>173.09786736420483</v>
      </c>
      <c r="W138" s="65">
        <f t="shared" si="110"/>
        <v>162.86819761966532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6.372264585032446</v>
      </c>
      <c r="C139" s="65">
        <f t="shared" ref="C139:W139" si="112">IF(C109=0,0,C109/C$26)</f>
        <v>7.4082535464360566</v>
      </c>
      <c r="D139" s="65">
        <f t="shared" si="112"/>
        <v>6.9842605434784266</v>
      </c>
      <c r="E139" s="65">
        <f t="shared" si="112"/>
        <v>16.907172144228994</v>
      </c>
      <c r="F139" s="65">
        <f t="shared" si="112"/>
        <v>8.1519404275887997</v>
      </c>
      <c r="G139" s="65">
        <f t="shared" si="112"/>
        <v>8.5687044775468379</v>
      </c>
      <c r="H139" s="65">
        <f t="shared" si="112"/>
        <v>10.900721545113626</v>
      </c>
      <c r="I139" s="65">
        <f t="shared" si="112"/>
        <v>10.921282310411559</v>
      </c>
      <c r="J139" s="65">
        <f t="shared" si="112"/>
        <v>13.515136007137427</v>
      </c>
      <c r="K139" s="65">
        <f t="shared" si="112"/>
        <v>14.829911922672601</v>
      </c>
      <c r="L139" s="65">
        <f t="shared" si="112"/>
        <v>12.760706506296746</v>
      </c>
      <c r="M139" s="65">
        <f t="shared" si="112"/>
        <v>14.533846155145103</v>
      </c>
      <c r="N139" s="65">
        <f t="shared" si="112"/>
        <v>23.765939984292256</v>
      </c>
      <c r="O139" s="65">
        <f t="shared" si="112"/>
        <v>14.525606665762904</v>
      </c>
      <c r="P139" s="65">
        <f t="shared" si="112"/>
        <v>12.766206431039894</v>
      </c>
      <c r="Q139" s="65">
        <f t="shared" si="112"/>
        <v>23.046443234697676</v>
      </c>
      <c r="R139" s="65">
        <f t="shared" si="112"/>
        <v>14.904877705104044</v>
      </c>
      <c r="S139" s="65">
        <f t="shared" si="112"/>
        <v>22.901471015406784</v>
      </c>
      <c r="T139" s="65">
        <f t="shared" si="112"/>
        <v>17.579168240338696</v>
      </c>
      <c r="U139" s="65">
        <f t="shared" si="112"/>
        <v>23.590434339416213</v>
      </c>
      <c r="V139" s="65">
        <f t="shared" si="112"/>
        <v>17.201935661924544</v>
      </c>
      <c r="W139" s="65">
        <f t="shared" si="112"/>
        <v>21.602980379093658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20.306307296015962</v>
      </c>
      <c r="C140" s="65">
        <f t="shared" ref="C140:W140" si="114">IF(C110=0,0,C110/C$26)</f>
        <v>20.715941120673502</v>
      </c>
      <c r="D140" s="65">
        <f t="shared" si="114"/>
        <v>20.990566017382825</v>
      </c>
      <c r="E140" s="65">
        <f t="shared" si="114"/>
        <v>20.770523894247503</v>
      </c>
      <c r="F140" s="65">
        <f t="shared" si="114"/>
        <v>21.213634205461965</v>
      </c>
      <c r="G140" s="65">
        <f t="shared" si="114"/>
        <v>20.964361097312352</v>
      </c>
      <c r="H140" s="65">
        <f t="shared" si="114"/>
        <v>21.016571775375922</v>
      </c>
      <c r="I140" s="65">
        <f t="shared" si="114"/>
        <v>21.478968742138917</v>
      </c>
      <c r="J140" s="65">
        <f t="shared" si="114"/>
        <v>21.435353543125785</v>
      </c>
      <c r="K140" s="65">
        <f t="shared" si="114"/>
        <v>21.380317511594843</v>
      </c>
      <c r="L140" s="65">
        <f t="shared" si="114"/>
        <v>21.524466931295898</v>
      </c>
      <c r="M140" s="65">
        <f t="shared" si="114"/>
        <v>21.862491815699666</v>
      </c>
      <c r="N140" s="65">
        <f t="shared" si="114"/>
        <v>21.639283850317163</v>
      </c>
      <c r="O140" s="65">
        <f t="shared" si="114"/>
        <v>22.45435330810356</v>
      </c>
      <c r="P140" s="65">
        <f t="shared" si="114"/>
        <v>22.697125060518687</v>
      </c>
      <c r="Q140" s="65">
        <f t="shared" si="114"/>
        <v>22.763141850146209</v>
      </c>
      <c r="R140" s="65">
        <f t="shared" si="114"/>
        <v>23.281631770039077</v>
      </c>
      <c r="S140" s="65">
        <f t="shared" si="114"/>
        <v>22.960411426964313</v>
      </c>
      <c r="T140" s="65">
        <f t="shared" si="114"/>
        <v>22.842871853258604</v>
      </c>
      <c r="U140" s="65">
        <f t="shared" si="114"/>
        <v>21.808897803643706</v>
      </c>
      <c r="V140" s="65">
        <f t="shared" si="114"/>
        <v>20.001780323176565</v>
      </c>
      <c r="W140" s="65">
        <f t="shared" si="114"/>
        <v>21.592458149596641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21.99731504556393</v>
      </c>
      <c r="C141" s="68">
        <f t="shared" ref="C141:W141" si="116">IF(C111=0,0,C111/C$26)</f>
        <v>21.883092864498842</v>
      </c>
      <c r="D141" s="68">
        <f t="shared" si="116"/>
        <v>22.066496849451717</v>
      </c>
      <c r="E141" s="68">
        <f t="shared" si="116"/>
        <v>22.076828231034131</v>
      </c>
      <c r="F141" s="68">
        <f t="shared" si="116"/>
        <v>22.742501459191985</v>
      </c>
      <c r="G141" s="68">
        <f t="shared" si="116"/>
        <v>23.65739264988904</v>
      </c>
      <c r="H141" s="68">
        <f t="shared" si="116"/>
        <v>23.492106857964135</v>
      </c>
      <c r="I141" s="68">
        <f t="shared" si="116"/>
        <v>23.736143479218917</v>
      </c>
      <c r="J141" s="68">
        <f t="shared" si="116"/>
        <v>24.243770883044313</v>
      </c>
      <c r="K141" s="68">
        <f t="shared" si="116"/>
        <v>24.661685416155926</v>
      </c>
      <c r="L141" s="68">
        <f t="shared" si="116"/>
        <v>24.754096144351372</v>
      </c>
      <c r="M141" s="68">
        <f t="shared" si="116"/>
        <v>24.797187204840014</v>
      </c>
      <c r="N141" s="68">
        <f t="shared" si="116"/>
        <v>24.908665134304186</v>
      </c>
      <c r="O141" s="68">
        <f t="shared" si="116"/>
        <v>25.214419798391294</v>
      </c>
      <c r="P141" s="68">
        <f t="shared" si="116"/>
        <v>25.347922396172795</v>
      </c>
      <c r="Q141" s="68">
        <f t="shared" si="116"/>
        <v>25.529841504628024</v>
      </c>
      <c r="R141" s="68">
        <f t="shared" si="116"/>
        <v>25.679033010552672</v>
      </c>
      <c r="S141" s="68">
        <f t="shared" si="116"/>
        <v>25.622036513075397</v>
      </c>
      <c r="T141" s="68">
        <f t="shared" si="116"/>
        <v>25.644959667059737</v>
      </c>
      <c r="U141" s="68">
        <f t="shared" si="116"/>
        <v>25.280027951576557</v>
      </c>
      <c r="V141" s="68">
        <f t="shared" si="116"/>
        <v>22.690919455977436</v>
      </c>
      <c r="W141" s="68">
        <f t="shared" si="116"/>
        <v>24.870055800119022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32.233132291246534</v>
      </c>
      <c r="C143" s="82">
        <f t="shared" ref="C143:W143" si="118">IF(C113=0,0,C113/C$26)</f>
        <v>32.120953853606409</v>
      </c>
      <c r="D143" s="82">
        <f t="shared" si="118"/>
        <v>30.121591236629822</v>
      </c>
      <c r="E143" s="82">
        <f t="shared" si="118"/>
        <v>34.018778527607992</v>
      </c>
      <c r="F143" s="82">
        <f t="shared" si="118"/>
        <v>33.731851097031871</v>
      </c>
      <c r="G143" s="82">
        <f t="shared" si="118"/>
        <v>39.177233762859316</v>
      </c>
      <c r="H143" s="82">
        <f t="shared" si="118"/>
        <v>38.76794431733358</v>
      </c>
      <c r="I143" s="82">
        <f t="shared" si="118"/>
        <v>35.616533582744857</v>
      </c>
      <c r="J143" s="82">
        <f t="shared" si="118"/>
        <v>42.21287412377675</v>
      </c>
      <c r="K143" s="82">
        <f t="shared" si="118"/>
        <v>41.020714872370199</v>
      </c>
      <c r="L143" s="82">
        <f t="shared" si="118"/>
        <v>40.881712158961349</v>
      </c>
      <c r="M143" s="82">
        <f t="shared" si="118"/>
        <v>34.456004394942681</v>
      </c>
      <c r="N143" s="82">
        <f t="shared" si="118"/>
        <v>33.87952036227334</v>
      </c>
      <c r="O143" s="82">
        <f t="shared" si="118"/>
        <v>33.666827325890971</v>
      </c>
      <c r="P143" s="82">
        <f t="shared" si="118"/>
        <v>28.022847280896979</v>
      </c>
      <c r="Q143" s="82">
        <f t="shared" si="118"/>
        <v>29.955839781973257</v>
      </c>
      <c r="R143" s="82">
        <f t="shared" si="118"/>
        <v>30.18016312392589</v>
      </c>
      <c r="S143" s="82">
        <f t="shared" si="118"/>
        <v>29.851455551243887</v>
      </c>
      <c r="T143" s="82">
        <f t="shared" si="118"/>
        <v>32.460411863697544</v>
      </c>
      <c r="U143" s="82">
        <f t="shared" si="118"/>
        <v>31.406498577174283</v>
      </c>
      <c r="V143" s="82">
        <f t="shared" si="118"/>
        <v>29.579748140072954</v>
      </c>
      <c r="W143" s="82">
        <f t="shared" si="118"/>
        <v>28.45243751048794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32.233132291246534</v>
      </c>
      <c r="C144" s="64">
        <f t="shared" ref="C144:W144" si="120">IF(C114=0,0,C114/C$26)</f>
        <v>32.120953853606409</v>
      </c>
      <c r="D144" s="64">
        <f t="shared" si="120"/>
        <v>30.121591236629822</v>
      </c>
      <c r="E144" s="64">
        <f t="shared" si="120"/>
        <v>34.018778527607992</v>
      </c>
      <c r="F144" s="64">
        <f t="shared" si="120"/>
        <v>33.731851097031871</v>
      </c>
      <c r="G144" s="64">
        <f t="shared" si="120"/>
        <v>39.177233762859316</v>
      </c>
      <c r="H144" s="64">
        <f t="shared" si="120"/>
        <v>38.76794431733358</v>
      </c>
      <c r="I144" s="64">
        <f t="shared" si="120"/>
        <v>35.616533582744857</v>
      </c>
      <c r="J144" s="64">
        <f t="shared" si="120"/>
        <v>42.21287412377675</v>
      </c>
      <c r="K144" s="64">
        <f t="shared" si="120"/>
        <v>41.020714872370199</v>
      </c>
      <c r="L144" s="64">
        <f t="shared" si="120"/>
        <v>40.881712158961349</v>
      </c>
      <c r="M144" s="64">
        <f t="shared" si="120"/>
        <v>34.456004394942681</v>
      </c>
      <c r="N144" s="64">
        <f t="shared" si="120"/>
        <v>33.87952036227334</v>
      </c>
      <c r="O144" s="64">
        <f t="shared" si="120"/>
        <v>33.666827325890971</v>
      </c>
      <c r="P144" s="64">
        <f t="shared" si="120"/>
        <v>28.022847280896979</v>
      </c>
      <c r="Q144" s="64">
        <f t="shared" si="120"/>
        <v>29.955839781973257</v>
      </c>
      <c r="R144" s="64">
        <f t="shared" si="120"/>
        <v>30.18016312392589</v>
      </c>
      <c r="S144" s="64">
        <f t="shared" si="120"/>
        <v>29.851455551243887</v>
      </c>
      <c r="T144" s="64">
        <f t="shared" si="120"/>
        <v>32.460411863697544</v>
      </c>
      <c r="U144" s="64">
        <f t="shared" si="120"/>
        <v>31.406498577174283</v>
      </c>
      <c r="V144" s="64">
        <f t="shared" si="120"/>
        <v>29.579748140072954</v>
      </c>
      <c r="W144" s="64">
        <f t="shared" si="120"/>
        <v>28.45243751048794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21.650652399628935</v>
      </c>
      <c r="C145" s="65">
        <f t="shared" ref="C145:W145" si="122">IF(C115=0,0,C115/C$26)</f>
        <v>21.892196576088097</v>
      </c>
      <c r="D145" s="65">
        <f t="shared" si="122"/>
        <v>20.510678603872538</v>
      </c>
      <c r="E145" s="65">
        <f t="shared" si="122"/>
        <v>25.411845579779445</v>
      </c>
      <c r="F145" s="65">
        <f t="shared" si="122"/>
        <v>25.569912349235832</v>
      </c>
      <c r="G145" s="65">
        <f t="shared" si="122"/>
        <v>30.772829842273516</v>
      </c>
      <c r="H145" s="65">
        <f t="shared" si="122"/>
        <v>30.908045116008648</v>
      </c>
      <c r="I145" s="65">
        <f t="shared" si="122"/>
        <v>27.436481799046124</v>
      </c>
      <c r="J145" s="65">
        <f t="shared" si="122"/>
        <v>34.369198565806599</v>
      </c>
      <c r="K145" s="65">
        <f t="shared" si="122"/>
        <v>32.794471069949871</v>
      </c>
      <c r="L145" s="65">
        <f t="shared" si="122"/>
        <v>32.696120726208079</v>
      </c>
      <c r="M145" s="65">
        <f t="shared" si="122"/>
        <v>26.174428031231383</v>
      </c>
      <c r="N145" s="65">
        <f t="shared" si="122"/>
        <v>25.62844790671619</v>
      </c>
      <c r="O145" s="65">
        <f t="shared" si="122"/>
        <v>25.216649036465704</v>
      </c>
      <c r="P145" s="65">
        <f t="shared" si="122"/>
        <v>19.107781237394249</v>
      </c>
      <c r="Q145" s="65">
        <f t="shared" si="122"/>
        <v>20.982515113987258</v>
      </c>
      <c r="R145" s="65">
        <f t="shared" si="122"/>
        <v>21.049993571418394</v>
      </c>
      <c r="S145" s="65">
        <f t="shared" si="122"/>
        <v>20.651631019527724</v>
      </c>
      <c r="T145" s="65">
        <f t="shared" si="122"/>
        <v>23.527480856332328</v>
      </c>
      <c r="U145" s="65">
        <f t="shared" si="122"/>
        <v>22.588012124757132</v>
      </c>
      <c r="V145" s="65">
        <f t="shared" si="122"/>
        <v>21.479087789832963</v>
      </c>
      <c r="W145" s="65">
        <f t="shared" si="122"/>
        <v>19.92543056904249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2.0042020623631603E-3</v>
      </c>
      <c r="C146" s="65">
        <f t="shared" ref="C146:W146" si="124">IF(C116=0,0,C116/C$26)</f>
        <v>3.3932599438852543E-3</v>
      </c>
      <c r="D146" s="65">
        <f t="shared" si="124"/>
        <v>3.1186373464116434E-3</v>
      </c>
      <c r="E146" s="65">
        <f t="shared" si="124"/>
        <v>9.3617132358080283E-3</v>
      </c>
      <c r="F146" s="65">
        <f t="shared" si="124"/>
        <v>5.5508962585449316E-3</v>
      </c>
      <c r="G146" s="65">
        <f t="shared" si="124"/>
        <v>6.2179090213887213E-3</v>
      </c>
      <c r="H146" s="65">
        <f t="shared" si="124"/>
        <v>8.9146849482868787E-3</v>
      </c>
      <c r="I146" s="65">
        <f t="shared" si="124"/>
        <v>9.7447268339908785E-3</v>
      </c>
      <c r="J146" s="65">
        <f t="shared" si="124"/>
        <v>1.3605002077416408E-2</v>
      </c>
      <c r="K146" s="65">
        <f t="shared" si="124"/>
        <v>1.7347861890251896E-2</v>
      </c>
      <c r="L146" s="65">
        <f t="shared" si="124"/>
        <v>1.6582286113952332E-2</v>
      </c>
      <c r="M146" s="65">
        <f t="shared" si="124"/>
        <v>2.0251781874762773E-2</v>
      </c>
      <c r="N146" s="65">
        <f t="shared" si="124"/>
        <v>3.5052933907651039E-2</v>
      </c>
      <c r="O146" s="65">
        <f t="shared" si="124"/>
        <v>2.376026876567507E-2</v>
      </c>
      <c r="P146" s="65">
        <f t="shared" si="124"/>
        <v>2.2604603148197816E-2</v>
      </c>
      <c r="Q146" s="65">
        <f t="shared" si="124"/>
        <v>4.3228356322616138E-2</v>
      </c>
      <c r="R146" s="65">
        <f t="shared" si="124"/>
        <v>3.035681345120354E-2</v>
      </c>
      <c r="S146" s="65">
        <f t="shared" si="124"/>
        <v>4.8275139323786867E-2</v>
      </c>
      <c r="T146" s="65">
        <f t="shared" si="124"/>
        <v>3.7951707775136755E-2</v>
      </c>
      <c r="U146" s="65">
        <f t="shared" si="124"/>
        <v>5.0947805730266964E-2</v>
      </c>
      <c r="V146" s="65">
        <f t="shared" si="124"/>
        <v>3.7272875131189827E-2</v>
      </c>
      <c r="W146" s="65">
        <f t="shared" si="124"/>
        <v>4.5710280707570092E-2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4.1411160484997342</v>
      </c>
      <c r="C147" s="65">
        <f t="shared" ref="C147:W147" si="126">IF(C117=0,0,C117/C$26)</f>
        <v>4.0701157486932367</v>
      </c>
      <c r="D147" s="65">
        <f t="shared" si="126"/>
        <v>3.9326254288472313</v>
      </c>
      <c r="E147" s="65">
        <f t="shared" si="126"/>
        <v>3.8216835460555192</v>
      </c>
      <c r="F147" s="65">
        <f t="shared" si="126"/>
        <v>3.732385761634704</v>
      </c>
      <c r="G147" s="65">
        <f t="shared" si="126"/>
        <v>3.7317846280159932</v>
      </c>
      <c r="H147" s="65">
        <f t="shared" si="126"/>
        <v>3.6356230460936949</v>
      </c>
      <c r="I147" s="65">
        <f t="shared" si="126"/>
        <v>3.5173081526143242</v>
      </c>
      <c r="J147" s="65">
        <f t="shared" si="126"/>
        <v>3.4951184769975456</v>
      </c>
      <c r="K147" s="65">
        <f t="shared" si="126"/>
        <v>3.4138093897947774</v>
      </c>
      <c r="L147" s="65">
        <f t="shared" si="126"/>
        <v>3.3110102616128012</v>
      </c>
      <c r="M147" s="65">
        <f t="shared" si="126"/>
        <v>3.2875741311299893</v>
      </c>
      <c r="N147" s="65">
        <f t="shared" si="126"/>
        <v>3.2259957605062008</v>
      </c>
      <c r="O147" s="65">
        <f t="shared" si="126"/>
        <v>3.2247086471561959</v>
      </c>
      <c r="P147" s="65">
        <f t="shared" si="126"/>
        <v>3.1608528937459748</v>
      </c>
      <c r="Q147" s="65">
        <f t="shared" si="126"/>
        <v>3.151663610291306</v>
      </c>
      <c r="R147" s="65">
        <f t="shared" si="126"/>
        <v>3.1782522234509583</v>
      </c>
      <c r="S147" s="65">
        <f t="shared" si="126"/>
        <v>3.2813412702592335</v>
      </c>
      <c r="T147" s="65">
        <f t="shared" si="126"/>
        <v>3.4179791558701114</v>
      </c>
      <c r="U147" s="65">
        <f t="shared" si="126"/>
        <v>2.9387626587685811</v>
      </c>
      <c r="V147" s="65">
        <f t="shared" si="126"/>
        <v>2.7037360384673437</v>
      </c>
      <c r="W147" s="65">
        <f t="shared" si="126"/>
        <v>2.9997972831656745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6.4393596410554981</v>
      </c>
      <c r="C148" s="67">
        <f t="shared" ref="C148:W148" si="128">IF(C118=0,0,C118/C$26)</f>
        <v>6.1552482688811869</v>
      </c>
      <c r="D148" s="67">
        <f t="shared" si="128"/>
        <v>5.6751685665636344</v>
      </c>
      <c r="E148" s="67">
        <f t="shared" si="128"/>
        <v>4.7758876885372237</v>
      </c>
      <c r="F148" s="67">
        <f t="shared" si="128"/>
        <v>4.4240020899027925</v>
      </c>
      <c r="G148" s="67">
        <f t="shared" si="128"/>
        <v>4.666401383548421</v>
      </c>
      <c r="H148" s="67">
        <f t="shared" si="128"/>
        <v>4.2153614702829492</v>
      </c>
      <c r="I148" s="67">
        <f t="shared" si="128"/>
        <v>4.652998904250417</v>
      </c>
      <c r="J148" s="67">
        <f t="shared" si="128"/>
        <v>4.3349520788951841</v>
      </c>
      <c r="K148" s="67">
        <f t="shared" si="128"/>
        <v>4.7950865507352978</v>
      </c>
      <c r="L148" s="67">
        <f t="shared" si="128"/>
        <v>4.8579988850265154</v>
      </c>
      <c r="M148" s="67">
        <f t="shared" si="128"/>
        <v>4.9737504507065466</v>
      </c>
      <c r="N148" s="67">
        <f t="shared" si="128"/>
        <v>4.9900237611433056</v>
      </c>
      <c r="O148" s="67">
        <f t="shared" si="128"/>
        <v>5.2017093735033999</v>
      </c>
      <c r="P148" s="67">
        <f t="shared" si="128"/>
        <v>5.7316085466085589</v>
      </c>
      <c r="Q148" s="67">
        <f t="shared" si="128"/>
        <v>5.7784327013720684</v>
      </c>
      <c r="R148" s="67">
        <f t="shared" si="128"/>
        <v>5.9215605156053313</v>
      </c>
      <c r="S148" s="67">
        <f t="shared" si="128"/>
        <v>5.8702081221331417</v>
      </c>
      <c r="T148" s="67">
        <f t="shared" si="128"/>
        <v>5.477000143719966</v>
      </c>
      <c r="U148" s="67">
        <f t="shared" si="128"/>
        <v>5.8287759879183048</v>
      </c>
      <c r="V148" s="67">
        <f t="shared" si="128"/>
        <v>5.3596514366414612</v>
      </c>
      <c r="W148" s="67">
        <f t="shared" si="128"/>
        <v>5.481499377572205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8784.2145918970236</v>
      </c>
      <c r="C153" s="82">
        <f t="shared" ref="C153:W153" si="132">IF(C99=0,0,C99/C$23)</f>
        <v>8868.2325549923735</v>
      </c>
      <c r="D153" s="82">
        <f t="shared" si="132"/>
        <v>8669.8468288455279</v>
      </c>
      <c r="E153" s="82">
        <f t="shared" si="132"/>
        <v>9429.1126626617752</v>
      </c>
      <c r="F153" s="82">
        <f t="shared" si="132"/>
        <v>9547.858369325073</v>
      </c>
      <c r="G153" s="82">
        <f t="shared" si="132"/>
        <v>10585.74582933007</v>
      </c>
      <c r="H153" s="82">
        <f t="shared" si="132"/>
        <v>10693.984617660113</v>
      </c>
      <c r="I153" s="82">
        <f t="shared" si="132"/>
        <v>10286.786890026755</v>
      </c>
      <c r="J153" s="82">
        <f t="shared" si="132"/>
        <v>11428.333166248956</v>
      </c>
      <c r="K153" s="82">
        <f t="shared" si="132"/>
        <v>11465.254501112633</v>
      </c>
      <c r="L153" s="82">
        <f t="shared" si="132"/>
        <v>11503.830228396126</v>
      </c>
      <c r="M153" s="82">
        <f t="shared" si="132"/>
        <v>10601.320423559149</v>
      </c>
      <c r="N153" s="82">
        <f t="shared" si="132"/>
        <v>10644.09000220332</v>
      </c>
      <c r="O153" s="82">
        <f t="shared" si="132"/>
        <v>10659.870754994734</v>
      </c>
      <c r="P153" s="82">
        <f t="shared" si="132"/>
        <v>9781.4733559519736</v>
      </c>
      <c r="Q153" s="82">
        <f t="shared" si="132"/>
        <v>10168.346879065204</v>
      </c>
      <c r="R153" s="82">
        <f t="shared" si="132"/>
        <v>10053.315289656288</v>
      </c>
      <c r="S153" s="82">
        <f t="shared" si="132"/>
        <v>10024.761026822698</v>
      </c>
      <c r="T153" s="82">
        <f t="shared" si="132"/>
        <v>10436.599160460422</v>
      </c>
      <c r="U153" s="82">
        <f t="shared" si="132"/>
        <v>9912.4999036537938</v>
      </c>
      <c r="V153" s="82">
        <f t="shared" si="132"/>
        <v>9115.8077018676959</v>
      </c>
      <c r="W153" s="82">
        <f t="shared" si="132"/>
        <v>9138.4690974621935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6885.623701831807</v>
      </c>
      <c r="C154" s="64">
        <f t="shared" ref="C154:W154" si="134">IF(C100=0,0,C100/C$23)</f>
        <v>6951.7059180005372</v>
      </c>
      <c r="D154" s="64">
        <f t="shared" si="134"/>
        <v>6732.3999565129725</v>
      </c>
      <c r="E154" s="64">
        <f t="shared" si="134"/>
        <v>7461.5916812295882</v>
      </c>
      <c r="F154" s="64">
        <f t="shared" si="134"/>
        <v>7530.3874897555916</v>
      </c>
      <c r="G154" s="64">
        <f t="shared" si="134"/>
        <v>8521.2401194944268</v>
      </c>
      <c r="H154" s="64">
        <f t="shared" si="134"/>
        <v>8601.2584010849569</v>
      </c>
      <c r="I154" s="64">
        <f t="shared" si="134"/>
        <v>8157.764122405375</v>
      </c>
      <c r="J154" s="64">
        <f t="shared" si="134"/>
        <v>9266.078604465938</v>
      </c>
      <c r="K154" s="64">
        <f t="shared" si="134"/>
        <v>9247.3782685082388</v>
      </c>
      <c r="L154" s="64">
        <f t="shared" si="134"/>
        <v>9255.2455729964531</v>
      </c>
      <c r="M154" s="64">
        <f t="shared" si="134"/>
        <v>8339.9177579586467</v>
      </c>
      <c r="N154" s="64">
        <f t="shared" si="134"/>
        <v>8371.7710114157289</v>
      </c>
      <c r="O154" s="64">
        <f t="shared" si="134"/>
        <v>8332.3029756339274</v>
      </c>
      <c r="P154" s="64">
        <f t="shared" si="134"/>
        <v>7408.7346442216167</v>
      </c>
      <c r="Q154" s="64">
        <f t="shared" si="134"/>
        <v>7778.3712285956244</v>
      </c>
      <c r="R154" s="64">
        <f t="shared" si="134"/>
        <v>7689.1804177285621</v>
      </c>
      <c r="S154" s="64">
        <f t="shared" si="134"/>
        <v>7667.9518555492341</v>
      </c>
      <c r="T154" s="64">
        <f t="shared" si="134"/>
        <v>8113.6105787564593</v>
      </c>
      <c r="U154" s="64">
        <f t="shared" si="134"/>
        <v>7655.0300326504585</v>
      </c>
      <c r="V154" s="64">
        <f t="shared" si="134"/>
        <v>7025.745761414124</v>
      </c>
      <c r="W154" s="64">
        <f t="shared" si="134"/>
        <v>7053.2664930189039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4601.9231380641386</v>
      </c>
      <c r="C155" s="65">
        <f t="shared" ref="C155:W155" si="136">IF(C101=0,0,C101/C$23)</f>
        <v>4670.6309043794654</v>
      </c>
      <c r="D155" s="65">
        <f t="shared" si="136"/>
        <v>4483.2639248332007</v>
      </c>
      <c r="E155" s="65">
        <f t="shared" si="136"/>
        <v>5140.7571866362941</v>
      </c>
      <c r="F155" s="65">
        <f t="shared" si="136"/>
        <v>5325.3867041392141</v>
      </c>
      <c r="G155" s="65">
        <f t="shared" si="136"/>
        <v>6294.7631576225031</v>
      </c>
      <c r="H155" s="65">
        <f t="shared" si="136"/>
        <v>6385.8458828206485</v>
      </c>
      <c r="I155" s="65">
        <f t="shared" si="136"/>
        <v>5907.6288749816249</v>
      </c>
      <c r="J155" s="65">
        <f t="shared" si="136"/>
        <v>7000.77442171046</v>
      </c>
      <c r="K155" s="65">
        <f t="shared" si="136"/>
        <v>6932.2955801705848</v>
      </c>
      <c r="L155" s="65">
        <f t="shared" si="136"/>
        <v>6959.9905437173993</v>
      </c>
      <c r="M155" s="65">
        <f t="shared" si="136"/>
        <v>6022.4926864718691</v>
      </c>
      <c r="N155" s="65">
        <f t="shared" si="136"/>
        <v>5987.5862227170719</v>
      </c>
      <c r="O155" s="65">
        <f t="shared" si="136"/>
        <v>5998.0166998984778</v>
      </c>
      <c r="P155" s="65">
        <f t="shared" si="136"/>
        <v>5061.1261238134339</v>
      </c>
      <c r="Q155" s="65">
        <f t="shared" si="136"/>
        <v>5351.5240567666642</v>
      </c>
      <c r="R155" s="65">
        <f t="shared" si="136"/>
        <v>5362.0319068054396</v>
      </c>
      <c r="S155" s="65">
        <f t="shared" si="136"/>
        <v>5334.0384256742518</v>
      </c>
      <c r="T155" s="65">
        <f t="shared" si="136"/>
        <v>5882.4311816028812</v>
      </c>
      <c r="U155" s="65">
        <f t="shared" si="136"/>
        <v>5449.3827041565619</v>
      </c>
      <c r="V155" s="65">
        <f t="shared" si="136"/>
        <v>5022.9294952127102</v>
      </c>
      <c r="W155" s="65">
        <f t="shared" si="136"/>
        <v>4900.376141585255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108.9530190602992</v>
      </c>
      <c r="C156" s="65">
        <f t="shared" ref="C156:W156" si="138">IF(C102=0,0,C102/C$23)</f>
        <v>120.99843093569667</v>
      </c>
      <c r="D156" s="65">
        <f t="shared" si="138"/>
        <v>108.60549231485687</v>
      </c>
      <c r="E156" s="65">
        <f t="shared" si="138"/>
        <v>250.99620887613864</v>
      </c>
      <c r="F156" s="65">
        <f t="shared" si="138"/>
        <v>115.72317473518375</v>
      </c>
      <c r="G156" s="65">
        <f t="shared" si="138"/>
        <v>116.44546402071506</v>
      </c>
      <c r="H156" s="65">
        <f t="shared" si="138"/>
        <v>140.67855304706706</v>
      </c>
      <c r="I156" s="65">
        <f t="shared" si="138"/>
        <v>134.40539462028903</v>
      </c>
      <c r="J156" s="65">
        <f t="shared" si="138"/>
        <v>158.29846607595238</v>
      </c>
      <c r="K156" s="65">
        <f t="shared" si="138"/>
        <v>172.4536804342535</v>
      </c>
      <c r="L156" s="65">
        <f t="shared" si="138"/>
        <v>145.92584203337867</v>
      </c>
      <c r="M156" s="65">
        <f t="shared" si="138"/>
        <v>161.32720615749645</v>
      </c>
      <c r="N156" s="65">
        <f t="shared" si="138"/>
        <v>255.8141131231815</v>
      </c>
      <c r="O156" s="65">
        <f t="shared" si="138"/>
        <v>153.23144619449377</v>
      </c>
      <c r="P156" s="65">
        <f t="shared" si="138"/>
        <v>131.17458972989255</v>
      </c>
      <c r="Q156" s="65">
        <f t="shared" si="138"/>
        <v>227.7639002741769</v>
      </c>
      <c r="R156" s="65">
        <f t="shared" si="138"/>
        <v>140.83245576702203</v>
      </c>
      <c r="S156" s="65">
        <f t="shared" si="138"/>
        <v>206.89140983796386</v>
      </c>
      <c r="T156" s="65">
        <f t="shared" si="138"/>
        <v>153.2703192928029</v>
      </c>
      <c r="U156" s="65">
        <f t="shared" si="138"/>
        <v>199.42277241322876</v>
      </c>
      <c r="V156" s="65">
        <f t="shared" si="138"/>
        <v>146.008341414564</v>
      </c>
      <c r="W156" s="65">
        <f t="shared" si="138"/>
        <v>177.37965152814692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1087.183798014079</v>
      </c>
      <c r="C157" s="65">
        <f t="shared" ref="C157:W157" si="140">IF(C103=0,0,C103/C$23)</f>
        <v>1094.1495432375875</v>
      </c>
      <c r="D157" s="65">
        <f t="shared" si="140"/>
        <v>1092.4723605066529</v>
      </c>
      <c r="E157" s="65">
        <f t="shared" si="140"/>
        <v>1065.0390807552014</v>
      </c>
      <c r="F157" s="65">
        <f t="shared" si="140"/>
        <v>1074.9079523050716</v>
      </c>
      <c r="G157" s="65">
        <f t="shared" si="140"/>
        <v>1054.7520671995244</v>
      </c>
      <c r="H157" s="65">
        <f t="shared" si="140"/>
        <v>1045.4496417847761</v>
      </c>
      <c r="I157" s="65">
        <f t="shared" si="140"/>
        <v>1058.5713852219126</v>
      </c>
      <c r="J157" s="65">
        <f t="shared" si="140"/>
        <v>1045.5850531948395</v>
      </c>
      <c r="K157" s="65">
        <f t="shared" si="140"/>
        <v>1040.4747584785607</v>
      </c>
      <c r="L157" s="65">
        <f t="shared" si="140"/>
        <v>1037.4293968904992</v>
      </c>
      <c r="M157" s="65">
        <f t="shared" si="140"/>
        <v>1039.5442127442825</v>
      </c>
      <c r="N157" s="65">
        <f t="shared" si="140"/>
        <v>1010.4868531775223</v>
      </c>
      <c r="O157" s="65">
        <f t="shared" si="140"/>
        <v>1037.6839759983052</v>
      </c>
      <c r="P157" s="65">
        <f t="shared" si="140"/>
        <v>1043.7612033906671</v>
      </c>
      <c r="Q157" s="65">
        <f t="shared" si="140"/>
        <v>1028.3528990256079</v>
      </c>
      <c r="R157" s="65">
        <f t="shared" si="140"/>
        <v>1023.1633573450376</v>
      </c>
      <c r="S157" s="65">
        <f t="shared" si="140"/>
        <v>982.99158534876119</v>
      </c>
      <c r="T157" s="65">
        <f t="shared" si="140"/>
        <v>957.36131904117553</v>
      </c>
      <c r="U157" s="65">
        <f t="shared" si="140"/>
        <v>890.9855603510249</v>
      </c>
      <c r="V157" s="65">
        <f t="shared" si="140"/>
        <v>824.93400675466341</v>
      </c>
      <c r="W157" s="65">
        <f t="shared" si="140"/>
        <v>870.51644573879753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1087.5637466932897</v>
      </c>
      <c r="C158" s="67">
        <f t="shared" ref="C158:W158" si="142">IF(C104=0,0,C104/C$23)</f>
        <v>1065.9270394477871</v>
      </c>
      <c r="D158" s="67">
        <f t="shared" si="142"/>
        <v>1048.0581788582624</v>
      </c>
      <c r="E158" s="67">
        <f t="shared" si="142"/>
        <v>1004.7992049619551</v>
      </c>
      <c r="F158" s="67">
        <f t="shared" si="142"/>
        <v>1014.3696585761209</v>
      </c>
      <c r="G158" s="67">
        <f t="shared" si="142"/>
        <v>1055.2794306516853</v>
      </c>
      <c r="H158" s="67">
        <f t="shared" si="142"/>
        <v>1029.284323432466</v>
      </c>
      <c r="I158" s="67">
        <f t="shared" si="142"/>
        <v>1057.1584675815468</v>
      </c>
      <c r="J158" s="67">
        <f t="shared" si="142"/>
        <v>1061.4206634846862</v>
      </c>
      <c r="K158" s="67">
        <f t="shared" si="142"/>
        <v>1102.1542494248388</v>
      </c>
      <c r="L158" s="67">
        <f t="shared" si="142"/>
        <v>1111.8997903551751</v>
      </c>
      <c r="M158" s="67">
        <f t="shared" si="142"/>
        <v>1116.5536525850002</v>
      </c>
      <c r="N158" s="67">
        <f t="shared" si="142"/>
        <v>1117.8838223979546</v>
      </c>
      <c r="O158" s="67">
        <f t="shared" si="142"/>
        <v>1143.3708535426517</v>
      </c>
      <c r="P158" s="67">
        <f t="shared" si="142"/>
        <v>1172.6727272876221</v>
      </c>
      <c r="Q158" s="67">
        <f t="shared" si="142"/>
        <v>1170.7303725291749</v>
      </c>
      <c r="R158" s="67">
        <f t="shared" si="142"/>
        <v>1163.1526978110614</v>
      </c>
      <c r="S158" s="67">
        <f t="shared" si="142"/>
        <v>1144.0304346882556</v>
      </c>
      <c r="T158" s="67">
        <f t="shared" si="142"/>
        <v>1120.5477588195993</v>
      </c>
      <c r="U158" s="67">
        <f t="shared" si="142"/>
        <v>1115.2389957296448</v>
      </c>
      <c r="V158" s="67">
        <f t="shared" si="142"/>
        <v>1031.873918032187</v>
      </c>
      <c r="W158" s="67">
        <f t="shared" si="142"/>
        <v>1104.9942541667037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1898.5908900652155</v>
      </c>
      <c r="C159" s="68">
        <f t="shared" ref="C159:W159" si="144">IF(C105=0,0,C105/C$23)</f>
        <v>1916.5266369918352</v>
      </c>
      <c r="D159" s="68">
        <f t="shared" si="144"/>
        <v>1937.4468723325554</v>
      </c>
      <c r="E159" s="68">
        <f t="shared" si="144"/>
        <v>1967.520981432187</v>
      </c>
      <c r="F159" s="68">
        <f t="shared" si="144"/>
        <v>2017.4708795694826</v>
      </c>
      <c r="G159" s="68">
        <f t="shared" si="144"/>
        <v>2064.5057098356442</v>
      </c>
      <c r="H159" s="68">
        <f t="shared" si="144"/>
        <v>2092.7262165751558</v>
      </c>
      <c r="I159" s="68">
        <f t="shared" si="144"/>
        <v>2129.0227676213794</v>
      </c>
      <c r="J159" s="68">
        <f t="shared" si="144"/>
        <v>2162.2545617830187</v>
      </c>
      <c r="K159" s="68">
        <f t="shared" si="144"/>
        <v>2217.8762326043961</v>
      </c>
      <c r="L159" s="68">
        <f t="shared" si="144"/>
        <v>2248.5846553996735</v>
      </c>
      <c r="M159" s="68">
        <f t="shared" si="144"/>
        <v>2261.4026656005012</v>
      </c>
      <c r="N159" s="68">
        <f t="shared" si="144"/>
        <v>2272.3189907875899</v>
      </c>
      <c r="O159" s="68">
        <f t="shared" si="144"/>
        <v>2327.5677793608056</v>
      </c>
      <c r="P159" s="68">
        <f t="shared" si="144"/>
        <v>2372.7387117303583</v>
      </c>
      <c r="Q159" s="68">
        <f t="shared" si="144"/>
        <v>2389.9756504695811</v>
      </c>
      <c r="R159" s="68">
        <f t="shared" si="144"/>
        <v>2364.1348719277248</v>
      </c>
      <c r="S159" s="68">
        <f t="shared" si="144"/>
        <v>2356.8091712734649</v>
      </c>
      <c r="T159" s="68">
        <f t="shared" si="144"/>
        <v>2322.9885817039644</v>
      </c>
      <c r="U159" s="68">
        <f t="shared" si="144"/>
        <v>2257.4698710033331</v>
      </c>
      <c r="V159" s="68">
        <f t="shared" si="144"/>
        <v>2090.0619404535723</v>
      </c>
      <c r="W159" s="68">
        <f t="shared" si="144"/>
        <v>2085.2026044432896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4166.9137868738653</v>
      </c>
      <c r="C161" s="85">
        <f t="shared" ref="C161:W161" si="146">IF(C107=0,0,C107/C$23)</f>
        <v>4277.1425255485501</v>
      </c>
      <c r="D161" s="85">
        <f t="shared" si="146"/>
        <v>4217.5252189683442</v>
      </c>
      <c r="E161" s="85">
        <f t="shared" si="146"/>
        <v>4886.3442771260252</v>
      </c>
      <c r="F161" s="85">
        <f t="shared" si="146"/>
        <v>4827.2723608034275</v>
      </c>
      <c r="G161" s="85">
        <f t="shared" si="146"/>
        <v>5493.4364849347021</v>
      </c>
      <c r="H161" s="85">
        <f t="shared" si="146"/>
        <v>5698.2564556787438</v>
      </c>
      <c r="I161" s="85">
        <f t="shared" si="146"/>
        <v>5524.9162473307542</v>
      </c>
      <c r="J161" s="85">
        <f t="shared" si="146"/>
        <v>6336.4614924292518</v>
      </c>
      <c r="K161" s="85">
        <f t="shared" si="146"/>
        <v>6485.9714151859553</v>
      </c>
      <c r="L161" s="85">
        <f t="shared" si="146"/>
        <v>6546.2484245645674</v>
      </c>
      <c r="M161" s="85">
        <f t="shared" si="146"/>
        <v>6193.1059648153441</v>
      </c>
      <c r="N161" s="85">
        <f t="shared" si="146"/>
        <v>6679.0321989778695</v>
      </c>
      <c r="O161" s="85">
        <f t="shared" si="146"/>
        <v>6636.8417363976687</v>
      </c>
      <c r="P161" s="85">
        <f t="shared" si="146"/>
        <v>6315.799169554537</v>
      </c>
      <c r="Q161" s="85">
        <f t="shared" si="146"/>
        <v>7513.7264508022872</v>
      </c>
      <c r="R161" s="85">
        <f t="shared" si="146"/>
        <v>7336.6096166617735</v>
      </c>
      <c r="S161" s="85">
        <f t="shared" si="146"/>
        <v>7756.9375086234322</v>
      </c>
      <c r="T161" s="85">
        <f t="shared" si="146"/>
        <v>7986.0113791714066</v>
      </c>
      <c r="U161" s="85">
        <f t="shared" si="146"/>
        <v>7776.7410099623612</v>
      </c>
      <c r="V161" s="85">
        <f t="shared" si="146"/>
        <v>7251.7193609604265</v>
      </c>
      <c r="W161" s="85">
        <f t="shared" si="146"/>
        <v>7142.0835667257461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2623.2319475814584</v>
      </c>
      <c r="C162" s="65">
        <f t="shared" ref="C162:W162" si="148">IF(C108=0,0,C108/C$23)</f>
        <v>2699.3031257453108</v>
      </c>
      <c r="D162" s="65">
        <f t="shared" si="148"/>
        <v>2646.5006582374626</v>
      </c>
      <c r="E162" s="65">
        <f t="shared" si="148"/>
        <v>3025.0620399185564</v>
      </c>
      <c r="F162" s="65">
        <f t="shared" si="148"/>
        <v>3205.5609674381335</v>
      </c>
      <c r="G162" s="65">
        <f t="shared" si="148"/>
        <v>3840.6750328399762</v>
      </c>
      <c r="H162" s="65">
        <f t="shared" si="148"/>
        <v>3979.2634373222277</v>
      </c>
      <c r="I162" s="65">
        <f t="shared" si="148"/>
        <v>3777.7753718242352</v>
      </c>
      <c r="J162" s="65">
        <f t="shared" si="148"/>
        <v>4497.2298317822206</v>
      </c>
      <c r="K162" s="65">
        <f t="shared" si="148"/>
        <v>4578.0879080305622</v>
      </c>
      <c r="L162" s="65">
        <f t="shared" si="148"/>
        <v>4687.6210874866538</v>
      </c>
      <c r="M162" s="65">
        <f t="shared" si="148"/>
        <v>4268.4572507760467</v>
      </c>
      <c r="N162" s="65">
        <f t="shared" si="148"/>
        <v>4474.7185807747182</v>
      </c>
      <c r="O162" s="65">
        <f t="shared" si="148"/>
        <v>4674.9690662882313</v>
      </c>
      <c r="P162" s="65">
        <f t="shared" si="148"/>
        <v>4389.9975237492117</v>
      </c>
      <c r="Q162" s="65">
        <f t="shared" si="148"/>
        <v>5272.3725674500529</v>
      </c>
      <c r="R162" s="65">
        <f t="shared" si="148"/>
        <v>5359.5937615992298</v>
      </c>
      <c r="S162" s="65">
        <f t="shared" si="148"/>
        <v>5569.4027512520533</v>
      </c>
      <c r="T162" s="65">
        <f t="shared" si="148"/>
        <v>5975.8702021637173</v>
      </c>
      <c r="U162" s="65">
        <f t="shared" si="148"/>
        <v>5635.887057213411</v>
      </c>
      <c r="V162" s="65">
        <f t="shared" si="148"/>
        <v>5387.5431225999928</v>
      </c>
      <c r="W162" s="65">
        <f t="shared" si="148"/>
        <v>5037.0228265401283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202.0866949976982</v>
      </c>
      <c r="C163" s="65">
        <f t="shared" ref="C163:W163" si="150">IF(C109=0,0,C109/C$23)</f>
        <v>233.74661786865624</v>
      </c>
      <c r="D163" s="65">
        <f t="shared" si="150"/>
        <v>219.26767928137818</v>
      </c>
      <c r="E163" s="65">
        <f t="shared" si="150"/>
        <v>526.63826845190385</v>
      </c>
      <c r="F163" s="65">
        <f t="shared" si="150"/>
        <v>253.70529217109134</v>
      </c>
      <c r="G163" s="65">
        <f t="shared" si="150"/>
        <v>266.25122113145574</v>
      </c>
      <c r="H163" s="65">
        <f t="shared" si="150"/>
        <v>338.17843490002753</v>
      </c>
      <c r="I163" s="65">
        <f t="shared" si="150"/>
        <v>339.9046001550339</v>
      </c>
      <c r="J163" s="65">
        <f t="shared" si="150"/>
        <v>419.93034223789408</v>
      </c>
      <c r="K163" s="65">
        <f t="shared" si="150"/>
        <v>464.80785826039119</v>
      </c>
      <c r="L163" s="65">
        <f t="shared" si="150"/>
        <v>401.72241494472411</v>
      </c>
      <c r="M163" s="65">
        <f t="shared" si="150"/>
        <v>457.11614475937893</v>
      </c>
      <c r="N163" s="65">
        <f t="shared" si="150"/>
        <v>745.05315983781247</v>
      </c>
      <c r="O163" s="65">
        <f t="shared" si="150"/>
        <v>458.19880893853991</v>
      </c>
      <c r="P163" s="65">
        <f t="shared" si="150"/>
        <v>404.28670326344331</v>
      </c>
      <c r="Q163" s="65">
        <f t="shared" si="150"/>
        <v>724.07695871737781</v>
      </c>
      <c r="R163" s="65">
        <f t="shared" si="150"/>
        <v>461.3940224082304</v>
      </c>
      <c r="S163" s="65">
        <f t="shared" si="150"/>
        <v>700.82564824628321</v>
      </c>
      <c r="T163" s="65">
        <f t="shared" si="150"/>
        <v>534.86021864873021</v>
      </c>
      <c r="U163" s="65">
        <f t="shared" si="150"/>
        <v>714.54629095370422</v>
      </c>
      <c r="V163" s="65">
        <f t="shared" si="150"/>
        <v>535.39752731796955</v>
      </c>
      <c r="W163" s="65">
        <f t="shared" si="150"/>
        <v>668.11511934884061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643.98370066088785</v>
      </c>
      <c r="C164" s="65">
        <f t="shared" ref="C164:W164" si="152">IF(C110=0,0,C110/C$23)</f>
        <v>653.63329461815795</v>
      </c>
      <c r="D164" s="65">
        <f t="shared" si="152"/>
        <v>658.98926146616043</v>
      </c>
      <c r="E164" s="65">
        <f t="shared" si="152"/>
        <v>646.97707252239161</v>
      </c>
      <c r="F164" s="65">
        <f t="shared" si="152"/>
        <v>660.21229079311229</v>
      </c>
      <c r="G164" s="65">
        <f t="shared" si="152"/>
        <v>651.4154802545163</v>
      </c>
      <c r="H164" s="65">
        <f t="shared" si="152"/>
        <v>652.00742176068832</v>
      </c>
      <c r="I164" s="65">
        <f t="shared" si="152"/>
        <v>668.49295481347883</v>
      </c>
      <c r="J164" s="65">
        <f t="shared" si="152"/>
        <v>666.02033043554979</v>
      </c>
      <c r="K164" s="65">
        <f t="shared" si="152"/>
        <v>670.11453900129345</v>
      </c>
      <c r="L164" s="65">
        <f t="shared" si="152"/>
        <v>677.61615172100892</v>
      </c>
      <c r="M164" s="65">
        <f t="shared" si="152"/>
        <v>687.61550569243173</v>
      </c>
      <c r="N164" s="65">
        <f t="shared" si="152"/>
        <v>678.38330063788851</v>
      </c>
      <c r="O164" s="65">
        <f t="shared" si="152"/>
        <v>708.30487001334802</v>
      </c>
      <c r="P164" s="65">
        <f t="shared" si="152"/>
        <v>718.78407370604623</v>
      </c>
      <c r="Q164" s="65">
        <f t="shared" si="152"/>
        <v>715.17614904199957</v>
      </c>
      <c r="R164" s="65">
        <f t="shared" si="152"/>
        <v>720.70405025376863</v>
      </c>
      <c r="S164" s="65">
        <f t="shared" si="152"/>
        <v>702.62932942073348</v>
      </c>
      <c r="T164" s="65">
        <f t="shared" si="152"/>
        <v>695.01260053720398</v>
      </c>
      <c r="U164" s="65">
        <f t="shared" si="152"/>
        <v>660.58415081168175</v>
      </c>
      <c r="V164" s="65">
        <f t="shared" si="152"/>
        <v>622.54062202368709</v>
      </c>
      <c r="W164" s="65">
        <f t="shared" si="152"/>
        <v>667.78969848130987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697.61144363382095</v>
      </c>
      <c r="C165" s="68">
        <f t="shared" ref="C165:W165" si="154">IF(C111=0,0,C111/C$23)</f>
        <v>690.45948731642534</v>
      </c>
      <c r="D165" s="68">
        <f t="shared" si="154"/>
        <v>692.76761998334325</v>
      </c>
      <c r="E165" s="68">
        <f t="shared" si="154"/>
        <v>687.66689623317359</v>
      </c>
      <c r="F165" s="68">
        <f t="shared" si="154"/>
        <v>707.79381040109081</v>
      </c>
      <c r="G165" s="68">
        <f t="shared" si="154"/>
        <v>735.09475070875453</v>
      </c>
      <c r="H165" s="68">
        <f t="shared" si="154"/>
        <v>728.80716169579978</v>
      </c>
      <c r="I165" s="68">
        <f t="shared" si="154"/>
        <v>738.74332053800606</v>
      </c>
      <c r="J165" s="68">
        <f t="shared" si="154"/>
        <v>753.28098797358757</v>
      </c>
      <c r="K165" s="68">
        <f t="shared" si="154"/>
        <v>772.96110989370891</v>
      </c>
      <c r="L165" s="68">
        <f t="shared" si="154"/>
        <v>779.28877041218152</v>
      </c>
      <c r="M165" s="68">
        <f t="shared" si="154"/>
        <v>779.91706358748763</v>
      </c>
      <c r="N165" s="68">
        <f t="shared" si="154"/>
        <v>780.87715772744957</v>
      </c>
      <c r="O165" s="68">
        <f t="shared" si="154"/>
        <v>795.36899115755034</v>
      </c>
      <c r="P165" s="68">
        <f t="shared" si="154"/>
        <v>802.73086883583665</v>
      </c>
      <c r="Q165" s="68">
        <f t="shared" si="154"/>
        <v>802.10077559285628</v>
      </c>
      <c r="R165" s="68">
        <f t="shared" si="154"/>
        <v>794.91778240054487</v>
      </c>
      <c r="S165" s="68">
        <f t="shared" si="154"/>
        <v>784.07977970436286</v>
      </c>
      <c r="T165" s="68">
        <f t="shared" si="154"/>
        <v>780.26835782175567</v>
      </c>
      <c r="U165" s="68">
        <f t="shared" si="154"/>
        <v>765.72351098356319</v>
      </c>
      <c r="V165" s="68">
        <f t="shared" si="154"/>
        <v>706.23808901877624</v>
      </c>
      <c r="W165" s="68">
        <f t="shared" si="154"/>
        <v>769.1559223554674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1022.2248444394165</v>
      </c>
      <c r="C167" s="82">
        <f t="shared" ref="C167:W167" si="156">IF(C113=0,0,C113/C$23)</f>
        <v>1013.4864147040008</v>
      </c>
      <c r="D167" s="82">
        <f t="shared" si="156"/>
        <v>945.65364015311093</v>
      </c>
      <c r="E167" s="82">
        <f t="shared" si="156"/>
        <v>1059.6444198826885</v>
      </c>
      <c r="F167" s="82">
        <f t="shared" si="156"/>
        <v>1049.8051616129769</v>
      </c>
      <c r="G167" s="82">
        <f t="shared" si="156"/>
        <v>1217.3352876443359</v>
      </c>
      <c r="H167" s="82">
        <f t="shared" si="156"/>
        <v>1202.7169650438609</v>
      </c>
      <c r="I167" s="82">
        <f t="shared" si="156"/>
        <v>1108.4983669738151</v>
      </c>
      <c r="J167" s="82">
        <f t="shared" si="156"/>
        <v>1311.6010573834592</v>
      </c>
      <c r="K167" s="82">
        <f t="shared" si="156"/>
        <v>1285.6954730113068</v>
      </c>
      <c r="L167" s="82">
        <f t="shared" si="156"/>
        <v>1287.0055531383859</v>
      </c>
      <c r="M167" s="82">
        <f t="shared" si="156"/>
        <v>1083.7045971656059</v>
      </c>
      <c r="N167" s="82">
        <f t="shared" si="156"/>
        <v>1062.1100497764708</v>
      </c>
      <c r="O167" s="82">
        <f t="shared" si="156"/>
        <v>1061.9935219519818</v>
      </c>
      <c r="P167" s="82">
        <f t="shared" si="156"/>
        <v>887.44174743271333</v>
      </c>
      <c r="Q167" s="82">
        <f t="shared" si="156"/>
        <v>941.15752024157246</v>
      </c>
      <c r="R167" s="82">
        <f t="shared" si="156"/>
        <v>934.25435191033046</v>
      </c>
      <c r="S167" s="82">
        <f t="shared" si="156"/>
        <v>913.50750673270704</v>
      </c>
      <c r="T167" s="82">
        <f t="shared" si="156"/>
        <v>987.63392837923004</v>
      </c>
      <c r="U167" s="82">
        <f t="shared" si="156"/>
        <v>951.29223766203972</v>
      </c>
      <c r="V167" s="82">
        <f t="shared" si="156"/>
        <v>920.64778779154813</v>
      </c>
      <c r="W167" s="82">
        <f t="shared" si="156"/>
        <v>879.94819925317233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1022.2248444394165</v>
      </c>
      <c r="C168" s="64">
        <f t="shared" ref="C168:W168" si="158">IF(C114=0,0,C114/C$23)</f>
        <v>1013.4864147040008</v>
      </c>
      <c r="D168" s="64">
        <f t="shared" si="158"/>
        <v>945.65364015311093</v>
      </c>
      <c r="E168" s="64">
        <f t="shared" si="158"/>
        <v>1059.6444198826885</v>
      </c>
      <c r="F168" s="64">
        <f t="shared" si="158"/>
        <v>1049.8051616129769</v>
      </c>
      <c r="G168" s="64">
        <f t="shared" si="158"/>
        <v>1217.3352876443359</v>
      </c>
      <c r="H168" s="64">
        <f t="shared" si="158"/>
        <v>1202.7169650438609</v>
      </c>
      <c r="I168" s="64">
        <f t="shared" si="158"/>
        <v>1108.4983669738151</v>
      </c>
      <c r="J168" s="64">
        <f t="shared" si="158"/>
        <v>1311.6010573834592</v>
      </c>
      <c r="K168" s="64">
        <f t="shared" si="158"/>
        <v>1285.6954730113068</v>
      </c>
      <c r="L168" s="64">
        <f t="shared" si="158"/>
        <v>1287.0055531383859</v>
      </c>
      <c r="M168" s="64">
        <f t="shared" si="158"/>
        <v>1083.7045971656059</v>
      </c>
      <c r="N168" s="64">
        <f t="shared" si="158"/>
        <v>1062.1100497764708</v>
      </c>
      <c r="O168" s="64">
        <f t="shared" si="158"/>
        <v>1061.9935219519818</v>
      </c>
      <c r="P168" s="64">
        <f t="shared" si="158"/>
        <v>887.44174743271333</v>
      </c>
      <c r="Q168" s="64">
        <f t="shared" si="158"/>
        <v>941.15752024157246</v>
      </c>
      <c r="R168" s="64">
        <f t="shared" si="158"/>
        <v>934.25435191033046</v>
      </c>
      <c r="S168" s="64">
        <f t="shared" si="158"/>
        <v>913.50750673270704</v>
      </c>
      <c r="T168" s="64">
        <f t="shared" si="158"/>
        <v>987.63392837923004</v>
      </c>
      <c r="U168" s="64">
        <f t="shared" si="158"/>
        <v>951.29223766203972</v>
      </c>
      <c r="V168" s="64">
        <f t="shared" si="158"/>
        <v>920.64778779154813</v>
      </c>
      <c r="W168" s="64">
        <f t="shared" si="158"/>
        <v>879.94819925317233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686.61756422700671</v>
      </c>
      <c r="C169" s="65">
        <f t="shared" ref="C169:W169" si="160">IF(C115=0,0,C115/C$23)</f>
        <v>690.74672934731711</v>
      </c>
      <c r="D169" s="65">
        <f t="shared" si="160"/>
        <v>643.92341464934941</v>
      </c>
      <c r="E169" s="65">
        <f t="shared" si="160"/>
        <v>791.54871318147934</v>
      </c>
      <c r="F169" s="65">
        <f t="shared" si="160"/>
        <v>795.78870098182006</v>
      </c>
      <c r="G169" s="65">
        <f t="shared" si="160"/>
        <v>956.18929846924914</v>
      </c>
      <c r="H169" s="65">
        <f t="shared" si="160"/>
        <v>958.87545424336315</v>
      </c>
      <c r="I169" s="65">
        <f t="shared" si="160"/>
        <v>853.90946873290784</v>
      </c>
      <c r="J169" s="65">
        <f t="shared" si="160"/>
        <v>1067.8893137708212</v>
      </c>
      <c r="K169" s="65">
        <f t="shared" si="160"/>
        <v>1027.8636812064551</v>
      </c>
      <c r="L169" s="65">
        <f t="shared" si="160"/>
        <v>1029.3132728172402</v>
      </c>
      <c r="M169" s="65">
        <f t="shared" si="160"/>
        <v>823.23381610054321</v>
      </c>
      <c r="N169" s="65">
        <f t="shared" si="160"/>
        <v>803.44207328882976</v>
      </c>
      <c r="O169" s="65">
        <f t="shared" si="160"/>
        <v>795.43931071486998</v>
      </c>
      <c r="P169" s="65">
        <f t="shared" si="160"/>
        <v>605.11491216078855</v>
      </c>
      <c r="Q169" s="65">
        <f t="shared" si="160"/>
        <v>659.23212424828671</v>
      </c>
      <c r="R169" s="65">
        <f t="shared" si="160"/>
        <v>651.62166357515434</v>
      </c>
      <c r="S169" s="65">
        <f t="shared" si="160"/>
        <v>631.97655237372487</v>
      </c>
      <c r="T169" s="65">
        <f t="shared" si="160"/>
        <v>715.84237564753334</v>
      </c>
      <c r="U169" s="65">
        <f t="shared" si="160"/>
        <v>684.18326053431724</v>
      </c>
      <c r="V169" s="65">
        <f t="shared" si="160"/>
        <v>668.5207245122067</v>
      </c>
      <c r="W169" s="65">
        <f t="shared" si="160"/>
        <v>616.23355616228071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6.3560225016689162E-2</v>
      </c>
      <c r="C170" s="65">
        <f t="shared" ref="C170:W170" si="162">IF(C116=0,0,C116/C$23)</f>
        <v>0.10706477990537154</v>
      </c>
      <c r="D170" s="65">
        <f t="shared" si="162"/>
        <v>9.7908199330626638E-2</v>
      </c>
      <c r="E170" s="65">
        <f t="shared" si="162"/>
        <v>0.29160621339814485</v>
      </c>
      <c r="F170" s="65">
        <f t="shared" si="162"/>
        <v>0.1727554034030285</v>
      </c>
      <c r="G170" s="65">
        <f t="shared" si="162"/>
        <v>0.19320608782425969</v>
      </c>
      <c r="H170" s="65">
        <f t="shared" si="162"/>
        <v>0.27656464674945191</v>
      </c>
      <c r="I170" s="65">
        <f t="shared" si="162"/>
        <v>0.30328649914763339</v>
      </c>
      <c r="J170" s="65">
        <f t="shared" si="162"/>
        <v>0.42272258122297696</v>
      </c>
      <c r="K170" s="65">
        <f t="shared" si="162"/>
        <v>0.54372693328524369</v>
      </c>
      <c r="L170" s="65">
        <f t="shared" si="162"/>
        <v>0.52203034524101011</v>
      </c>
      <c r="M170" s="65">
        <f t="shared" si="162"/>
        <v>0.63695572089307018</v>
      </c>
      <c r="N170" s="65">
        <f t="shared" si="162"/>
        <v>1.0988961171635789</v>
      </c>
      <c r="O170" s="65">
        <f t="shared" si="162"/>
        <v>0.74949894341780399</v>
      </c>
      <c r="P170" s="65">
        <f t="shared" si="162"/>
        <v>0.71585404283791876</v>
      </c>
      <c r="Q170" s="65">
        <f t="shared" si="162"/>
        <v>1.3581556363242278</v>
      </c>
      <c r="R170" s="65">
        <f t="shared" si="162"/>
        <v>0.93972272318280692</v>
      </c>
      <c r="S170" s="65">
        <f t="shared" si="162"/>
        <v>1.4773049201953905</v>
      </c>
      <c r="T170" s="65">
        <f t="shared" si="162"/>
        <v>1.1547109875268626</v>
      </c>
      <c r="U170" s="65">
        <f t="shared" si="162"/>
        <v>1.5431918333086965</v>
      </c>
      <c r="V170" s="65">
        <f t="shared" si="162"/>
        <v>1.1600906766231813</v>
      </c>
      <c r="W170" s="65">
        <f t="shared" si="162"/>
        <v>1.4136813122305154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131.32920717211209</v>
      </c>
      <c r="C171" s="65">
        <f t="shared" ref="C171:W171" si="164">IF(C117=0,0,C117/C$23)</f>
        <v>128.4210623499358</v>
      </c>
      <c r="D171" s="65">
        <f t="shared" si="164"/>
        <v>123.46298450613214</v>
      </c>
      <c r="E171" s="65">
        <f t="shared" si="164"/>
        <v>119.04088916210604</v>
      </c>
      <c r="F171" s="65">
        <f t="shared" si="164"/>
        <v>116.15958538485516</v>
      </c>
      <c r="G171" s="65">
        <f t="shared" si="164"/>
        <v>115.95594372666615</v>
      </c>
      <c r="H171" s="65">
        <f t="shared" si="164"/>
        <v>112.78971823342914</v>
      </c>
      <c r="I171" s="65">
        <f t="shared" si="164"/>
        <v>109.46967464586672</v>
      </c>
      <c r="J171" s="65">
        <f t="shared" si="164"/>
        <v>108.5972273924925</v>
      </c>
      <c r="K171" s="65">
        <f t="shared" si="164"/>
        <v>106.99763014464091</v>
      </c>
      <c r="L171" s="65">
        <f t="shared" si="164"/>
        <v>104.23459214781865</v>
      </c>
      <c r="M171" s="65">
        <f t="shared" si="164"/>
        <v>103.40024219265597</v>
      </c>
      <c r="N171" s="65">
        <f t="shared" si="164"/>
        <v>101.13373746534388</v>
      </c>
      <c r="O171" s="65">
        <f t="shared" si="164"/>
        <v>101.72089161572902</v>
      </c>
      <c r="P171" s="65">
        <f t="shared" si="164"/>
        <v>100.0994933628989</v>
      </c>
      <c r="Q171" s="65">
        <f t="shared" si="164"/>
        <v>99.019487675400313</v>
      </c>
      <c r="R171" s="65">
        <f t="shared" si="164"/>
        <v>98.385683305792895</v>
      </c>
      <c r="S171" s="65">
        <f t="shared" si="164"/>
        <v>100.41486511061404</v>
      </c>
      <c r="T171" s="65">
        <f t="shared" si="164"/>
        <v>103.99474273478295</v>
      </c>
      <c r="U171" s="65">
        <f t="shared" si="164"/>
        <v>89.014128676203981</v>
      </c>
      <c r="V171" s="65">
        <f t="shared" si="164"/>
        <v>84.151784890116531</v>
      </c>
      <c r="W171" s="65">
        <f t="shared" si="164"/>
        <v>92.774695189935088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204.21451281528101</v>
      </c>
      <c r="C172" s="67">
        <f t="shared" ref="C172:W172" si="166">IF(C118=0,0,C118/C$23)</f>
        <v>194.2115582268425</v>
      </c>
      <c r="D172" s="67">
        <f t="shared" si="166"/>
        <v>178.1693327982986</v>
      </c>
      <c r="E172" s="67">
        <f t="shared" si="166"/>
        <v>148.7632113257049</v>
      </c>
      <c r="F172" s="67">
        <f t="shared" si="166"/>
        <v>137.68411984289864</v>
      </c>
      <c r="G172" s="67">
        <f t="shared" si="166"/>
        <v>144.99683936059634</v>
      </c>
      <c r="H172" s="67">
        <f t="shared" si="166"/>
        <v>130.77522792031903</v>
      </c>
      <c r="I172" s="67">
        <f t="shared" si="166"/>
        <v>144.81593709589296</v>
      </c>
      <c r="J172" s="67">
        <f t="shared" si="166"/>
        <v>134.69179363892246</v>
      </c>
      <c r="K172" s="67">
        <f t="shared" si="166"/>
        <v>150.29043472692547</v>
      </c>
      <c r="L172" s="67">
        <f t="shared" si="166"/>
        <v>152.93565782808594</v>
      </c>
      <c r="M172" s="67">
        <f t="shared" si="166"/>
        <v>156.43358315151374</v>
      </c>
      <c r="N172" s="67">
        <f t="shared" si="166"/>
        <v>156.43534290513364</v>
      </c>
      <c r="O172" s="67">
        <f t="shared" si="166"/>
        <v>164.08382067796521</v>
      </c>
      <c r="P172" s="67">
        <f t="shared" si="166"/>
        <v>181.51148786618808</v>
      </c>
      <c r="Q172" s="67">
        <f t="shared" si="166"/>
        <v>181.54775268156101</v>
      </c>
      <c r="R172" s="67">
        <f t="shared" si="166"/>
        <v>183.30728230620036</v>
      </c>
      <c r="S172" s="67">
        <f t="shared" si="166"/>
        <v>179.63878432817262</v>
      </c>
      <c r="T172" s="67">
        <f t="shared" si="166"/>
        <v>166.6420990093867</v>
      </c>
      <c r="U172" s="67">
        <f t="shared" si="166"/>
        <v>176.55165661820985</v>
      </c>
      <c r="V172" s="67">
        <f t="shared" si="166"/>
        <v>166.81518771260178</v>
      </c>
      <c r="W172" s="67">
        <f t="shared" si="166"/>
        <v>169.52626658872603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560630.92586591304</v>
      </c>
      <c r="C3" s="125">
        <f t="shared" si="0"/>
        <v>569930.70012286084</v>
      </c>
      <c r="D3" s="125">
        <f t="shared" si="0"/>
        <v>579592.12967373536</v>
      </c>
      <c r="E3" s="125">
        <f t="shared" si="0"/>
        <v>585919.47199467907</v>
      </c>
      <c r="F3" s="125">
        <f t="shared" si="0"/>
        <v>590077.97858301993</v>
      </c>
      <c r="G3" s="125">
        <f t="shared" si="0"/>
        <v>592915.42432537139</v>
      </c>
      <c r="H3" s="125">
        <f t="shared" si="0"/>
        <v>605943.92879110784</v>
      </c>
      <c r="I3" s="125">
        <f t="shared" si="0"/>
        <v>616608.19487047638</v>
      </c>
      <c r="J3" s="125">
        <f t="shared" si="0"/>
        <v>619868.73999800824</v>
      </c>
      <c r="K3" s="125">
        <f t="shared" si="0"/>
        <v>619733.56173573434</v>
      </c>
      <c r="L3" s="125">
        <f t="shared" si="0"/>
        <v>623093.49500217184</v>
      </c>
      <c r="M3" s="125">
        <f t="shared" si="0"/>
        <v>628061.71176296577</v>
      </c>
      <c r="N3" s="125">
        <f t="shared" si="0"/>
        <v>630339.81939663482</v>
      </c>
      <c r="O3" s="125">
        <f t="shared" si="0"/>
        <v>628304.61462974222</v>
      </c>
      <c r="P3" s="125">
        <f t="shared" si="0"/>
        <v>636026.78457838332</v>
      </c>
      <c r="Q3" s="125">
        <f t="shared" si="0"/>
        <v>638144.82424571086</v>
      </c>
      <c r="R3" s="125">
        <f t="shared" si="0"/>
        <v>638276.42670124187</v>
      </c>
      <c r="S3" s="125">
        <f t="shared" si="0"/>
        <v>641181.97692381684</v>
      </c>
      <c r="T3" s="125">
        <f t="shared" si="0"/>
        <v>643268.97870794497</v>
      </c>
      <c r="U3" s="125">
        <f t="shared" si="0"/>
        <v>644900.56672284799</v>
      </c>
      <c r="V3" s="125">
        <f t="shared" si="0"/>
        <v>646018.61000000022</v>
      </c>
      <c r="W3" s="125">
        <f t="shared" si="0"/>
        <v>646934.17557687277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560630.92586591304</v>
      </c>
      <c r="C4" s="140">
        <f t="shared" si="1"/>
        <v>569930.70012286084</v>
      </c>
      <c r="D4" s="140">
        <f t="shared" si="1"/>
        <v>579592.12967373536</v>
      </c>
      <c r="E4" s="140">
        <f t="shared" si="1"/>
        <v>585919.47199467907</v>
      </c>
      <c r="F4" s="140">
        <f t="shared" si="1"/>
        <v>590077.97858301993</v>
      </c>
      <c r="G4" s="140">
        <f t="shared" si="1"/>
        <v>592915.42432537139</v>
      </c>
      <c r="H4" s="140">
        <f t="shared" si="1"/>
        <v>605943.92879110784</v>
      </c>
      <c r="I4" s="140">
        <f t="shared" si="1"/>
        <v>616608.19487047638</v>
      </c>
      <c r="J4" s="140">
        <f t="shared" si="1"/>
        <v>619868.73999800824</v>
      </c>
      <c r="K4" s="140">
        <f t="shared" si="1"/>
        <v>619733.56173573434</v>
      </c>
      <c r="L4" s="140">
        <f t="shared" si="1"/>
        <v>623093.49500217184</v>
      </c>
      <c r="M4" s="140">
        <f t="shared" si="1"/>
        <v>628061.71176296577</v>
      </c>
      <c r="N4" s="140">
        <f t="shared" si="1"/>
        <v>630339.81939663482</v>
      </c>
      <c r="O4" s="140">
        <f t="shared" si="1"/>
        <v>628304.61462974222</v>
      </c>
      <c r="P4" s="140">
        <f t="shared" si="1"/>
        <v>636026.78457838332</v>
      </c>
      <c r="Q4" s="140">
        <f t="shared" si="1"/>
        <v>638144.82424571086</v>
      </c>
      <c r="R4" s="140">
        <f t="shared" ref="R4:W4" si="2">SUM(R5:R14)</f>
        <v>638276.42670124187</v>
      </c>
      <c r="S4" s="140">
        <f t="shared" si="2"/>
        <v>641181.97692381684</v>
      </c>
      <c r="T4" s="140">
        <f t="shared" si="2"/>
        <v>643268.97870794497</v>
      </c>
      <c r="U4" s="140">
        <f t="shared" si="2"/>
        <v>644900.56672284799</v>
      </c>
      <c r="V4" s="140">
        <f t="shared" si="2"/>
        <v>646018.61000000022</v>
      </c>
      <c r="W4" s="140">
        <f t="shared" si="2"/>
        <v>646934.17557687277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23206.517601238549</v>
      </c>
      <c r="C6" s="141">
        <v>22575.282203056984</v>
      </c>
      <c r="D6" s="141">
        <v>22133.715110503657</v>
      </c>
      <c r="E6" s="141">
        <v>21750.305276115374</v>
      </c>
      <c r="F6" s="141">
        <v>20707.435459515829</v>
      </c>
      <c r="G6" s="141">
        <v>19398.656118208877</v>
      </c>
      <c r="H6" s="141">
        <v>18050.995158146583</v>
      </c>
      <c r="I6" s="141">
        <v>17143.146956368892</v>
      </c>
      <c r="J6" s="141">
        <v>16586.806533985597</v>
      </c>
      <c r="K6" s="141">
        <v>16242.451165956691</v>
      </c>
      <c r="L6" s="141">
        <v>15599.221799931898</v>
      </c>
      <c r="M6" s="141">
        <v>14455.200815721577</v>
      </c>
      <c r="N6" s="141">
        <v>12696.013491679991</v>
      </c>
      <c r="O6" s="141">
        <v>11202.590671269676</v>
      </c>
      <c r="P6" s="141">
        <v>9699.681942978812</v>
      </c>
      <c r="Q6" s="141">
        <v>8438.3224821780404</v>
      </c>
      <c r="R6" s="141">
        <v>7879.8589416941468</v>
      </c>
      <c r="S6" s="141">
        <v>7663.1969533218489</v>
      </c>
      <c r="T6" s="141">
        <v>7654.9179358762522</v>
      </c>
      <c r="U6" s="141">
        <v>7857.1822288767817</v>
      </c>
      <c r="V6" s="141">
        <v>8375.6551891420913</v>
      </c>
      <c r="W6" s="141">
        <v>8912.3133287109467</v>
      </c>
      <c r="DA6" s="171" t="s">
        <v>247</v>
      </c>
    </row>
    <row r="7" spans="1:105" ht="12" customHeight="1" x14ac:dyDescent="0.25">
      <c r="A7" s="132" t="s">
        <v>168</v>
      </c>
      <c r="B7" s="141">
        <v>21946.721013164661</v>
      </c>
      <c r="C7" s="141">
        <v>22490.747253718182</v>
      </c>
      <c r="D7" s="141">
        <v>23591.498285617439</v>
      </c>
      <c r="E7" s="141">
        <v>25751.042859158319</v>
      </c>
      <c r="F7" s="141">
        <v>26765.718908306939</v>
      </c>
      <c r="G7" s="141">
        <v>26754.225224834376</v>
      </c>
      <c r="H7" s="141">
        <v>26212.740392834421</v>
      </c>
      <c r="I7" s="141">
        <v>24510.909642143808</v>
      </c>
      <c r="J7" s="141">
        <v>22034.91569078813</v>
      </c>
      <c r="K7" s="141">
        <v>17765.663821653026</v>
      </c>
      <c r="L7" s="141">
        <v>15750.135575591759</v>
      </c>
      <c r="M7" s="141">
        <v>14279.578222301006</v>
      </c>
      <c r="N7" s="141">
        <v>13295.398636536374</v>
      </c>
      <c r="O7" s="141">
        <v>11972.28675222442</v>
      </c>
      <c r="P7" s="141">
        <v>11341.983499305345</v>
      </c>
      <c r="Q7" s="141">
        <v>10406.109677596925</v>
      </c>
      <c r="R7" s="141">
        <v>9429.4613555545147</v>
      </c>
      <c r="S7" s="141">
        <v>7658.894266417431</v>
      </c>
      <c r="T7" s="141">
        <v>6621.284844369392</v>
      </c>
      <c r="U7" s="141">
        <v>5876.9843221182837</v>
      </c>
      <c r="V7" s="141">
        <v>5625.6083988346327</v>
      </c>
      <c r="W7" s="141">
        <v>5564.5954047442847</v>
      </c>
      <c r="DA7" s="171" t="s">
        <v>248</v>
      </c>
    </row>
    <row r="8" spans="1:105" ht="12" customHeight="1" x14ac:dyDescent="0.25">
      <c r="A8" s="132" t="s">
        <v>73</v>
      </c>
      <c r="B8" s="141">
        <v>428.56897421223232</v>
      </c>
      <c r="C8" s="141">
        <v>536.5733493662301</v>
      </c>
      <c r="D8" s="141">
        <v>696.57616233340855</v>
      </c>
      <c r="E8" s="141">
        <v>837.20867741878271</v>
      </c>
      <c r="F8" s="141">
        <v>950.57561100448982</v>
      </c>
      <c r="G8" s="141">
        <v>1054.0921927903441</v>
      </c>
      <c r="H8" s="141">
        <v>1184.4458892692646</v>
      </c>
      <c r="I8" s="141">
        <v>1353.7876686981099</v>
      </c>
      <c r="J8" s="141">
        <v>1501.4432277103522</v>
      </c>
      <c r="K8" s="141">
        <v>1776.8254989777836</v>
      </c>
      <c r="L8" s="141">
        <v>2205.8705398872835</v>
      </c>
      <c r="M8" s="141">
        <v>2949.9489440155112</v>
      </c>
      <c r="N8" s="141">
        <v>4038.3151225472807</v>
      </c>
      <c r="O8" s="141">
        <v>5511.8819590039011</v>
      </c>
      <c r="P8" s="141">
        <v>7169.5038332569929</v>
      </c>
      <c r="Q8" s="141">
        <v>8320.5456977262165</v>
      </c>
      <c r="R8" s="141">
        <v>8805.8476231675286</v>
      </c>
      <c r="S8" s="141">
        <v>9032.7414551367674</v>
      </c>
      <c r="T8" s="141">
        <v>9505.8393226756689</v>
      </c>
      <c r="U8" s="141">
        <v>10799.275475326629</v>
      </c>
      <c r="V8" s="141">
        <v>12721.935107569263</v>
      </c>
      <c r="W8" s="141">
        <v>14543.320650251166</v>
      </c>
      <c r="DA8" s="171" t="s">
        <v>249</v>
      </c>
    </row>
    <row r="9" spans="1:105" ht="12" customHeight="1" x14ac:dyDescent="0.25">
      <c r="A9" s="132" t="s">
        <v>78</v>
      </c>
      <c r="B9" s="141">
        <v>314165.07029205194</v>
      </c>
      <c r="C9" s="141">
        <v>322907.35859815317</v>
      </c>
      <c r="D9" s="141">
        <v>331275.08144508419</v>
      </c>
      <c r="E9" s="141">
        <v>342931.21644787764</v>
      </c>
      <c r="F9" s="141">
        <v>343585.55604159611</v>
      </c>
      <c r="G9" s="141">
        <v>346604.26332256565</v>
      </c>
      <c r="H9" s="141">
        <v>355895.77557501732</v>
      </c>
      <c r="I9" s="141">
        <v>365807.82903487363</v>
      </c>
      <c r="J9" s="141">
        <v>373649.26503425458</v>
      </c>
      <c r="K9" s="141">
        <v>372049.14146671584</v>
      </c>
      <c r="L9" s="141">
        <v>366573.81647328235</v>
      </c>
      <c r="M9" s="141">
        <v>349519.54719179089</v>
      </c>
      <c r="N9" s="141">
        <v>329082.58042930049</v>
      </c>
      <c r="O9" s="141">
        <v>300947.82239037222</v>
      </c>
      <c r="P9" s="141">
        <v>273773.08041532198</v>
      </c>
      <c r="Q9" s="141">
        <v>248858.14464481361</v>
      </c>
      <c r="R9" s="141">
        <v>235445.61715574306</v>
      </c>
      <c r="S9" s="141">
        <v>241873.95469388683</v>
      </c>
      <c r="T9" s="141">
        <v>249146.71913806099</v>
      </c>
      <c r="U9" s="141">
        <v>255137.76197297432</v>
      </c>
      <c r="V9" s="141">
        <v>261355.39342648725</v>
      </c>
      <c r="W9" s="141">
        <v>265911.93302493502</v>
      </c>
      <c r="DA9" s="171" t="s">
        <v>250</v>
      </c>
    </row>
    <row r="10" spans="1:105" ht="12" customHeight="1" x14ac:dyDescent="0.25">
      <c r="A10" s="132" t="s">
        <v>128</v>
      </c>
      <c r="B10" s="141">
        <v>729.30486641318578</v>
      </c>
      <c r="C10" s="141">
        <v>722.61593916236018</v>
      </c>
      <c r="D10" s="141">
        <v>677.02489025838963</v>
      </c>
      <c r="E10" s="141">
        <v>624.67513854240269</v>
      </c>
      <c r="F10" s="141">
        <v>593.76406274382202</v>
      </c>
      <c r="G10" s="141">
        <v>566.54255969932842</v>
      </c>
      <c r="H10" s="141">
        <v>576.73329664817436</v>
      </c>
      <c r="I10" s="141">
        <v>570.93819561808948</v>
      </c>
      <c r="J10" s="141">
        <v>633.40111213187936</v>
      </c>
      <c r="K10" s="141">
        <v>817.63502259024801</v>
      </c>
      <c r="L10" s="141">
        <v>1062.3195828417029</v>
      </c>
      <c r="M10" s="141">
        <v>1305.303366249952</v>
      </c>
      <c r="N10" s="141">
        <v>1673.963501941216</v>
      </c>
      <c r="O10" s="141">
        <v>2205.9549314944293</v>
      </c>
      <c r="P10" s="141">
        <v>2847.930137218319</v>
      </c>
      <c r="Q10" s="141">
        <v>2925.1308700144104</v>
      </c>
      <c r="R10" s="141">
        <v>3061.9972508941505</v>
      </c>
      <c r="S10" s="141">
        <v>3025.1045895176935</v>
      </c>
      <c r="T10" s="141">
        <v>3081.6170203045149</v>
      </c>
      <c r="U10" s="141">
        <v>3338.5786922937668</v>
      </c>
      <c r="V10" s="141">
        <v>3708.7866318041365</v>
      </c>
      <c r="W10" s="141">
        <v>4076.5727831544432</v>
      </c>
      <c r="DA10" s="171" t="s">
        <v>251</v>
      </c>
    </row>
    <row r="11" spans="1:105" ht="12" customHeight="1" x14ac:dyDescent="0.25">
      <c r="A11" s="132" t="s">
        <v>25</v>
      </c>
      <c r="B11" s="141">
        <v>15912.865922330249</v>
      </c>
      <c r="C11" s="141">
        <v>15921.672442783309</v>
      </c>
      <c r="D11" s="141">
        <v>15284.879032446686</v>
      </c>
      <c r="E11" s="141">
        <v>14054.910288867468</v>
      </c>
      <c r="F11" s="141">
        <v>12775.283265997263</v>
      </c>
      <c r="G11" s="141">
        <v>11489.105297802544</v>
      </c>
      <c r="H11" s="141">
        <v>10767.273362700465</v>
      </c>
      <c r="I11" s="141">
        <v>10386.95814542138</v>
      </c>
      <c r="J11" s="141">
        <v>9368.9860321222659</v>
      </c>
      <c r="K11" s="141">
        <v>8318.5348663828481</v>
      </c>
      <c r="L11" s="141">
        <v>6626.4354809328797</v>
      </c>
      <c r="M11" s="141">
        <v>6001.5038066581174</v>
      </c>
      <c r="N11" s="141">
        <v>5642.576917710915</v>
      </c>
      <c r="O11" s="141">
        <v>5562.1381063811095</v>
      </c>
      <c r="P11" s="141">
        <v>5392.9232772834239</v>
      </c>
      <c r="Q11" s="141">
        <v>5039.3033606881008</v>
      </c>
      <c r="R11" s="141">
        <v>4779.403497987546</v>
      </c>
      <c r="S11" s="141">
        <v>4604.3866732254746</v>
      </c>
      <c r="T11" s="141">
        <v>4473.6786564967679</v>
      </c>
      <c r="U11" s="141">
        <v>4493.4157895842181</v>
      </c>
      <c r="V11" s="141">
        <v>4535.4262899930254</v>
      </c>
      <c r="W11" s="141">
        <v>4575.5062116302079</v>
      </c>
      <c r="DA11" s="171" t="s">
        <v>252</v>
      </c>
    </row>
    <row r="12" spans="1:105" ht="12" customHeight="1" x14ac:dyDescent="0.25">
      <c r="A12" s="132" t="s">
        <v>169</v>
      </c>
      <c r="B12" s="141">
        <v>0</v>
      </c>
      <c r="C12" s="141">
        <v>0</v>
      </c>
      <c r="D12" s="141">
        <v>0</v>
      </c>
      <c r="E12" s="141">
        <v>0</v>
      </c>
      <c r="F12" s="141">
        <v>4081.609763789847</v>
      </c>
      <c r="G12" s="141">
        <v>5388.4204856980941</v>
      </c>
      <c r="H12" s="141">
        <v>6638.3338337824052</v>
      </c>
      <c r="I12" s="141">
        <v>6899.6584679095695</v>
      </c>
      <c r="J12" s="141">
        <v>6443.2740147282939</v>
      </c>
      <c r="K12" s="141">
        <v>6449.0596129623982</v>
      </c>
      <c r="L12" s="141">
        <v>6893.4430753516681</v>
      </c>
      <c r="M12" s="141">
        <v>9267.5779975682563</v>
      </c>
      <c r="N12" s="141">
        <v>10644.339494582751</v>
      </c>
      <c r="O12" s="141">
        <v>12751.450019881608</v>
      </c>
      <c r="P12" s="141">
        <v>13769.790445744125</v>
      </c>
      <c r="Q12" s="141">
        <v>14629.820160396055</v>
      </c>
      <c r="R12" s="141">
        <v>15403.413496363013</v>
      </c>
      <c r="S12" s="141">
        <v>16509.970006626925</v>
      </c>
      <c r="T12" s="141">
        <v>17307.48803976829</v>
      </c>
      <c r="U12" s="141">
        <v>17870.260081637334</v>
      </c>
      <c r="V12" s="141">
        <v>18231.593447843294</v>
      </c>
      <c r="W12" s="141">
        <v>18166.897233301424</v>
      </c>
      <c r="DA12" s="171" t="s">
        <v>253</v>
      </c>
    </row>
    <row r="13" spans="1:105" ht="12" customHeight="1" x14ac:dyDescent="0.25">
      <c r="A13" s="132" t="s">
        <v>77</v>
      </c>
      <c r="B13" s="141">
        <v>1048.7451962242569</v>
      </c>
      <c r="C13" s="141">
        <v>1912.5770112734281</v>
      </c>
      <c r="D13" s="141">
        <v>3505.0580820302607</v>
      </c>
      <c r="E13" s="141">
        <v>5317.2883695419141</v>
      </c>
      <c r="F13" s="141">
        <v>8529.1920290613489</v>
      </c>
      <c r="G13" s="141">
        <v>12437.872695453851</v>
      </c>
      <c r="H13" s="141">
        <v>16005.383302444528</v>
      </c>
      <c r="I13" s="141">
        <v>19149.880615939208</v>
      </c>
      <c r="J13" s="141">
        <v>21397.804662619415</v>
      </c>
      <c r="K13" s="141">
        <v>26509.157032798972</v>
      </c>
      <c r="L13" s="141">
        <v>35280.203426582419</v>
      </c>
      <c r="M13" s="141">
        <v>50877.960079164783</v>
      </c>
      <c r="N13" s="141">
        <v>74985.288084582178</v>
      </c>
      <c r="O13" s="141">
        <v>109396.91428709326</v>
      </c>
      <c r="P13" s="141">
        <v>157587.16495609423</v>
      </c>
      <c r="Q13" s="141">
        <v>206491.83354929372</v>
      </c>
      <c r="R13" s="141">
        <v>231203.23499373166</v>
      </c>
      <c r="S13" s="141">
        <v>236289.37132496451</v>
      </c>
      <c r="T13" s="141">
        <v>235699.62999040112</v>
      </c>
      <c r="U13" s="141">
        <v>235562.07282074395</v>
      </c>
      <c r="V13" s="141">
        <v>237133.11978193786</v>
      </c>
      <c r="W13" s="141">
        <v>238110.21310762368</v>
      </c>
      <c r="DA13" s="171" t="s">
        <v>254</v>
      </c>
    </row>
    <row r="14" spans="1:105" ht="12" customHeight="1" x14ac:dyDescent="0.25">
      <c r="A14" s="60" t="s">
        <v>76</v>
      </c>
      <c r="B14" s="142">
        <v>183193.13200027801</v>
      </c>
      <c r="C14" s="142">
        <v>182863.87332534711</v>
      </c>
      <c r="D14" s="142">
        <v>182428.29666546124</v>
      </c>
      <c r="E14" s="142">
        <v>174652.8249371571</v>
      </c>
      <c r="F14" s="142">
        <v>172088.84344100428</v>
      </c>
      <c r="G14" s="142">
        <v>169222.24642831838</v>
      </c>
      <c r="H14" s="142">
        <v>170612.24798026471</v>
      </c>
      <c r="I14" s="142">
        <v>170785.08614350369</v>
      </c>
      <c r="J14" s="142">
        <v>168252.84368966767</v>
      </c>
      <c r="K14" s="142">
        <v>169805.09324769658</v>
      </c>
      <c r="L14" s="142">
        <v>173102.04904776989</v>
      </c>
      <c r="M14" s="142">
        <v>179405.09133949573</v>
      </c>
      <c r="N14" s="142">
        <v>178281.34371775363</v>
      </c>
      <c r="O14" s="142">
        <v>168753.57551202163</v>
      </c>
      <c r="P14" s="142">
        <v>154444.72607118011</v>
      </c>
      <c r="Q14" s="142">
        <v>133035.61380300374</v>
      </c>
      <c r="R14" s="142">
        <v>122267.59238610616</v>
      </c>
      <c r="S14" s="142">
        <v>114524.35696071936</v>
      </c>
      <c r="T14" s="142">
        <v>109777.80375999205</v>
      </c>
      <c r="U14" s="142">
        <v>103965.0353392926</v>
      </c>
      <c r="V14" s="142">
        <v>94331.091726388637</v>
      </c>
      <c r="W14" s="142">
        <v>87072.82383252155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376389.04866941081</v>
      </c>
      <c r="C15" s="144">
        <f t="shared" si="3"/>
        <v>385154.24978624028</v>
      </c>
      <c r="D15" s="144">
        <f t="shared" si="3"/>
        <v>393658.77492624382</v>
      </c>
      <c r="E15" s="144">
        <f t="shared" si="3"/>
        <v>405949.35868798004</v>
      </c>
      <c r="F15" s="144">
        <f t="shared" si="3"/>
        <v>409459.94311295426</v>
      </c>
      <c r="G15" s="144">
        <f t="shared" si="3"/>
        <v>411255.3052015992</v>
      </c>
      <c r="H15" s="144">
        <f t="shared" si="3"/>
        <v>419326.29750839865</v>
      </c>
      <c r="I15" s="144">
        <f t="shared" si="3"/>
        <v>426673.2281110335</v>
      </c>
      <c r="J15" s="144">
        <f t="shared" si="3"/>
        <v>430218.09164572117</v>
      </c>
      <c r="K15" s="144">
        <f t="shared" si="3"/>
        <v>423419.31145523884</v>
      </c>
      <c r="L15" s="144">
        <f t="shared" si="3"/>
        <v>414711.24252781953</v>
      </c>
      <c r="M15" s="144">
        <f t="shared" si="3"/>
        <v>397778.66034430527</v>
      </c>
      <c r="N15" s="144">
        <f t="shared" si="3"/>
        <v>377073.18759429897</v>
      </c>
      <c r="O15" s="144">
        <f t="shared" si="3"/>
        <v>350154.12483062735</v>
      </c>
      <c r="P15" s="144">
        <f t="shared" si="3"/>
        <v>323994.89355110901</v>
      </c>
      <c r="Q15" s="144">
        <f t="shared" si="3"/>
        <v>298617.37689341337</v>
      </c>
      <c r="R15" s="144">
        <f t="shared" ref="R15:W15" si="4">SUM(R5:R12)</f>
        <v>284805.59932140401</v>
      </c>
      <c r="S15" s="144">
        <f t="shared" si="4"/>
        <v>290368.24863813299</v>
      </c>
      <c r="T15" s="144">
        <f t="shared" si="4"/>
        <v>297791.54495755181</v>
      </c>
      <c r="U15" s="144">
        <f t="shared" si="4"/>
        <v>305373.45856281137</v>
      </c>
      <c r="V15" s="144">
        <f t="shared" si="4"/>
        <v>314554.3984916737</v>
      </c>
      <c r="W15" s="144">
        <f t="shared" si="4"/>
        <v>321751.13863672747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140085.50839787305</v>
      </c>
      <c r="C16" s="140">
        <f t="shared" si="5"/>
        <v>151120.9238634886</v>
      </c>
      <c r="D16" s="140">
        <f t="shared" si="5"/>
        <v>164482.57692961956</v>
      </c>
      <c r="E16" s="140">
        <f t="shared" si="5"/>
        <v>172870.22251058559</v>
      </c>
      <c r="F16" s="140">
        <f t="shared" si="5"/>
        <v>185871.81300892856</v>
      </c>
      <c r="G16" s="140">
        <f t="shared" si="5"/>
        <v>195118.33856291673</v>
      </c>
      <c r="H16" s="140">
        <f t="shared" si="5"/>
        <v>215247.66756146497</v>
      </c>
      <c r="I16" s="140">
        <f t="shared" si="5"/>
        <v>237665.58638846801</v>
      </c>
      <c r="J16" s="140">
        <f t="shared" si="5"/>
        <v>250499.16741325305</v>
      </c>
      <c r="K16" s="140">
        <f t="shared" si="5"/>
        <v>267148.2387391341</v>
      </c>
      <c r="L16" s="140">
        <f t="shared" si="5"/>
        <v>283219.41962956142</v>
      </c>
      <c r="M16" s="140">
        <f t="shared" si="5"/>
        <v>298737.12297973165</v>
      </c>
      <c r="N16" s="140">
        <f t="shared" si="5"/>
        <v>308834.61130903871</v>
      </c>
      <c r="O16" s="140">
        <f t="shared" si="5"/>
        <v>314537.15718272683</v>
      </c>
      <c r="P16" s="140">
        <f t="shared" si="5"/>
        <v>321960.71199506038</v>
      </c>
      <c r="Q16" s="140">
        <f t="shared" si="5"/>
        <v>324415.62646541401</v>
      </c>
      <c r="R16" s="140">
        <f t="shared" ref="R16:W16" si="6">SUM(R17:R18)</f>
        <v>319219.79257273889</v>
      </c>
      <c r="S16" s="140">
        <f t="shared" si="6"/>
        <v>323003.99433467438</v>
      </c>
      <c r="T16" s="140">
        <f t="shared" si="6"/>
        <v>327141.70498514082</v>
      </c>
      <c r="U16" s="140">
        <f t="shared" si="6"/>
        <v>328333.70689276559</v>
      </c>
      <c r="V16" s="140">
        <f t="shared" si="6"/>
        <v>317122.02147039224</v>
      </c>
      <c r="W16" s="140">
        <f t="shared" si="6"/>
        <v>323482.35389076895</v>
      </c>
      <c r="DA16" s="170" t="s">
        <v>256</v>
      </c>
    </row>
    <row r="17" spans="1:105" ht="12.95" customHeight="1" x14ac:dyDescent="0.25">
      <c r="A17" s="132" t="s">
        <v>73</v>
      </c>
      <c r="B17" s="141">
        <v>276.25299812515601</v>
      </c>
      <c r="C17" s="141">
        <v>437.85696214787373</v>
      </c>
      <c r="D17" s="141">
        <v>465.74305480468303</v>
      </c>
      <c r="E17" s="141">
        <v>609.74193658520664</v>
      </c>
      <c r="F17" s="141">
        <v>809.22332354382127</v>
      </c>
      <c r="G17" s="141">
        <v>907.06527256763536</v>
      </c>
      <c r="H17" s="141">
        <v>1130.3638226051271</v>
      </c>
      <c r="I17" s="141">
        <v>1364.2423440615362</v>
      </c>
      <c r="J17" s="141">
        <v>1624.8267623858371</v>
      </c>
      <c r="K17" s="141">
        <v>2015.7973887775479</v>
      </c>
      <c r="L17" s="141">
        <v>2376.9442342282246</v>
      </c>
      <c r="M17" s="141">
        <v>2693.7222307846346</v>
      </c>
      <c r="N17" s="141">
        <v>2964.4157732432614</v>
      </c>
      <c r="O17" s="141">
        <v>3369.2829641563821</v>
      </c>
      <c r="P17" s="141">
        <v>3769.1272660202958</v>
      </c>
      <c r="Q17" s="141">
        <v>4063.4277758074973</v>
      </c>
      <c r="R17" s="141">
        <v>4399.994728787472</v>
      </c>
      <c r="S17" s="141">
        <v>4673.3446883192655</v>
      </c>
      <c r="T17" s="141">
        <v>4874.4150089128452</v>
      </c>
      <c r="U17" s="141">
        <v>5029.945263829406</v>
      </c>
      <c r="V17" s="141">
        <v>5165.9782753891413</v>
      </c>
      <c r="W17" s="141">
        <v>5241.4490456187277</v>
      </c>
      <c r="DA17" s="171" t="s">
        <v>257</v>
      </c>
    </row>
    <row r="18" spans="1:105" ht="12" customHeight="1" x14ac:dyDescent="0.25">
      <c r="A18" s="132" t="s">
        <v>72</v>
      </c>
      <c r="B18" s="141">
        <v>139809.2553997479</v>
      </c>
      <c r="C18" s="141">
        <v>150683.06690134073</v>
      </c>
      <c r="D18" s="141">
        <v>164016.83387481488</v>
      </c>
      <c r="E18" s="141">
        <v>172260.48057400039</v>
      </c>
      <c r="F18" s="141">
        <v>185062.58968538474</v>
      </c>
      <c r="G18" s="141">
        <v>194211.27329034908</v>
      </c>
      <c r="H18" s="141">
        <v>214117.30373885983</v>
      </c>
      <c r="I18" s="141">
        <v>236301.34404440649</v>
      </c>
      <c r="J18" s="141">
        <v>248874.34065086721</v>
      </c>
      <c r="K18" s="141">
        <v>265132.44135035656</v>
      </c>
      <c r="L18" s="141">
        <v>280842.4753953332</v>
      </c>
      <c r="M18" s="141">
        <v>296043.400748947</v>
      </c>
      <c r="N18" s="141">
        <v>305870.19553579547</v>
      </c>
      <c r="O18" s="141">
        <v>311167.87421857048</v>
      </c>
      <c r="P18" s="141">
        <v>318191.5847290401</v>
      </c>
      <c r="Q18" s="141">
        <v>320352.19868960651</v>
      </c>
      <c r="R18" s="141">
        <v>314819.79784395144</v>
      </c>
      <c r="S18" s="141">
        <v>318330.64964635513</v>
      </c>
      <c r="T18" s="141">
        <v>322267.28997622797</v>
      </c>
      <c r="U18" s="141">
        <v>323303.76162893616</v>
      </c>
      <c r="V18" s="141">
        <v>311956.04319500312</v>
      </c>
      <c r="W18" s="141">
        <v>318240.90484515025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560630.92586591316</v>
      </c>
      <c r="C19" s="140">
        <f t="shared" si="7"/>
        <v>569930.70012286073</v>
      </c>
      <c r="D19" s="140">
        <f t="shared" si="7"/>
        <v>579592.12967373547</v>
      </c>
      <c r="E19" s="140">
        <f t="shared" si="7"/>
        <v>585919.47199467896</v>
      </c>
      <c r="F19" s="140">
        <f t="shared" si="7"/>
        <v>590077.97858302016</v>
      </c>
      <c r="G19" s="140">
        <f t="shared" si="7"/>
        <v>592915.42432537151</v>
      </c>
      <c r="H19" s="140">
        <f t="shared" si="7"/>
        <v>605943.92879110808</v>
      </c>
      <c r="I19" s="140">
        <f t="shared" si="7"/>
        <v>616608.19487047615</v>
      </c>
      <c r="J19" s="140">
        <f t="shared" si="7"/>
        <v>619868.73999800812</v>
      </c>
      <c r="K19" s="140">
        <f t="shared" si="7"/>
        <v>619733.56173573481</v>
      </c>
      <c r="L19" s="140">
        <f t="shared" si="7"/>
        <v>623093.49500217196</v>
      </c>
      <c r="M19" s="140">
        <f t="shared" si="7"/>
        <v>628061.71176296659</v>
      </c>
      <c r="N19" s="140">
        <f t="shared" si="7"/>
        <v>630339.81939663494</v>
      </c>
      <c r="O19" s="140">
        <f t="shared" si="7"/>
        <v>628304.61462974246</v>
      </c>
      <c r="P19" s="140">
        <f t="shared" si="7"/>
        <v>636026.78457838343</v>
      </c>
      <c r="Q19" s="140">
        <f t="shared" si="7"/>
        <v>638144.82424571086</v>
      </c>
      <c r="R19" s="140">
        <f t="shared" ref="R19:W19" si="8">SUM(R20:R26)</f>
        <v>638276.42670124141</v>
      </c>
      <c r="S19" s="140">
        <f t="shared" si="8"/>
        <v>641181.9769238166</v>
      </c>
      <c r="T19" s="140">
        <f t="shared" si="8"/>
        <v>643268.97870794497</v>
      </c>
      <c r="U19" s="140">
        <f t="shared" si="8"/>
        <v>644900.56672284729</v>
      </c>
      <c r="V19" s="140">
        <f t="shared" si="8"/>
        <v>646018.6100000001</v>
      </c>
      <c r="W19" s="140">
        <f t="shared" si="8"/>
        <v>646934.17557687312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31013.859524950596</v>
      </c>
      <c r="C21" s="141">
        <v>30030.615637739222</v>
      </c>
      <c r="D21" s="141">
        <v>28200.022512925756</v>
      </c>
      <c r="E21" s="141">
        <v>26724.359491935855</v>
      </c>
      <c r="F21" s="141">
        <v>25686.327635424313</v>
      </c>
      <c r="G21" s="141">
        <v>24920.702365892736</v>
      </c>
      <c r="H21" s="141">
        <v>23959.734840665889</v>
      </c>
      <c r="I21" s="141">
        <v>22335.366394185072</v>
      </c>
      <c r="J21" s="141">
        <v>20889.438771746947</v>
      </c>
      <c r="K21" s="141">
        <v>19242.478157792262</v>
      </c>
      <c r="L21" s="141">
        <v>17727.462136108021</v>
      </c>
      <c r="M21" s="141">
        <v>16113.931481615566</v>
      </c>
      <c r="N21" s="141">
        <v>14101.468973211158</v>
      </c>
      <c r="O21" s="141">
        <v>12299.001054529755</v>
      </c>
      <c r="P21" s="141">
        <v>10652.928143542567</v>
      </c>
      <c r="Q21" s="141">
        <v>9920.5084048408171</v>
      </c>
      <c r="R21" s="141">
        <v>10000.364601206549</v>
      </c>
      <c r="S21" s="141">
        <v>10384.222718028572</v>
      </c>
      <c r="T21" s="141">
        <v>10608.6141610535</v>
      </c>
      <c r="U21" s="141">
        <v>10890.185880588348</v>
      </c>
      <c r="V21" s="141">
        <v>10964.093639059194</v>
      </c>
      <c r="W21" s="141">
        <v>10888.60878997802</v>
      </c>
      <c r="DA21" s="171" t="s">
        <v>261</v>
      </c>
    </row>
    <row r="22" spans="1:105" ht="12" customHeight="1" x14ac:dyDescent="0.25">
      <c r="A22" s="132" t="s">
        <v>168</v>
      </c>
      <c r="B22" s="141">
        <v>33764.675663241411</v>
      </c>
      <c r="C22" s="141">
        <v>31330.629883009231</v>
      </c>
      <c r="D22" s="141">
        <v>27964.901764640374</v>
      </c>
      <c r="E22" s="141">
        <v>25284.22916817489</v>
      </c>
      <c r="F22" s="141">
        <v>22911.28209721026</v>
      </c>
      <c r="G22" s="141">
        <v>21392.223813582994</v>
      </c>
      <c r="H22" s="141">
        <v>20301.601913001577</v>
      </c>
      <c r="I22" s="141">
        <v>19061.110732551904</v>
      </c>
      <c r="J22" s="141">
        <v>17678.14149380954</v>
      </c>
      <c r="K22" s="141">
        <v>15833.731712171477</v>
      </c>
      <c r="L22" s="141">
        <v>14331.552779481453</v>
      </c>
      <c r="M22" s="141">
        <v>13390.648130476757</v>
      </c>
      <c r="N22" s="141">
        <v>12874.809656433863</v>
      </c>
      <c r="O22" s="141">
        <v>12445.070889055427</v>
      </c>
      <c r="P22" s="141">
        <v>11834.011206329324</v>
      </c>
      <c r="Q22" s="141">
        <v>11208.437196871022</v>
      </c>
      <c r="R22" s="141">
        <v>10627.323325939153</v>
      </c>
      <c r="S22" s="141">
        <v>10283.416242048484</v>
      </c>
      <c r="T22" s="141">
        <v>9807.9570669121094</v>
      </c>
      <c r="U22" s="141">
        <v>9161.6960571783839</v>
      </c>
      <c r="V22" s="141">
        <v>8303.632606154777</v>
      </c>
      <c r="W22" s="141">
        <v>8036.5578115236576</v>
      </c>
      <c r="DA22" s="171" t="s">
        <v>262</v>
      </c>
    </row>
    <row r="23" spans="1:105" ht="12" customHeight="1" x14ac:dyDescent="0.25">
      <c r="A23" s="132" t="s">
        <v>153</v>
      </c>
      <c r="B23" s="141">
        <v>224160.46670115271</v>
      </c>
      <c r="C23" s="141">
        <v>224807.82429851638</v>
      </c>
      <c r="D23" s="141">
        <v>226729.37500014351</v>
      </c>
      <c r="E23" s="141">
        <v>229318.52921762227</v>
      </c>
      <c r="F23" s="141">
        <v>231346.82464903546</v>
      </c>
      <c r="G23" s="141">
        <v>235202.93131525969</v>
      </c>
      <c r="H23" s="141">
        <v>237806.86118998614</v>
      </c>
      <c r="I23" s="141">
        <v>239921.7880035245</v>
      </c>
      <c r="J23" s="141">
        <v>242825.12095897811</v>
      </c>
      <c r="K23" s="141">
        <v>245735.12918513789</v>
      </c>
      <c r="L23" s="141">
        <v>248542.56035782947</v>
      </c>
      <c r="M23" s="141">
        <v>251552.35875968891</v>
      </c>
      <c r="N23" s="141">
        <v>255166.73868359005</v>
      </c>
      <c r="O23" s="141">
        <v>256481.31908627477</v>
      </c>
      <c r="P23" s="141">
        <v>258137.57355268302</v>
      </c>
      <c r="Q23" s="141">
        <v>262177.47742356901</v>
      </c>
      <c r="R23" s="141">
        <v>270282.46669575421</v>
      </c>
      <c r="S23" s="141">
        <v>281551.43723372871</v>
      </c>
      <c r="T23" s="141">
        <v>286110.3425507542</v>
      </c>
      <c r="U23" s="141">
        <v>290889.13907404622</v>
      </c>
      <c r="V23" s="141">
        <v>292143.80396605347</v>
      </c>
      <c r="W23" s="141">
        <v>291429.9647603535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0</v>
      </c>
      <c r="C25" s="141">
        <v>0</v>
      </c>
      <c r="D25" s="141">
        <v>0</v>
      </c>
      <c r="E25" s="141">
        <v>0</v>
      </c>
      <c r="F25" s="141">
        <v>3817.7301884709227</v>
      </c>
      <c r="G25" s="141">
        <v>4972.8708782812191</v>
      </c>
      <c r="H25" s="141">
        <v>5553.008839065883</v>
      </c>
      <c r="I25" s="141">
        <v>5710.5249712948462</v>
      </c>
      <c r="J25" s="141">
        <v>6077.3213782333114</v>
      </c>
      <c r="K25" s="141">
        <v>6846.2532906758288</v>
      </c>
      <c r="L25" s="141">
        <v>7785.7021409952922</v>
      </c>
      <c r="M25" s="141">
        <v>9245.019077780973</v>
      </c>
      <c r="N25" s="141">
        <v>11229.599964636509</v>
      </c>
      <c r="O25" s="141">
        <v>13523.002908453962</v>
      </c>
      <c r="P25" s="141">
        <v>15457.445214608233</v>
      </c>
      <c r="Q25" s="141">
        <v>16773.788961109662</v>
      </c>
      <c r="R25" s="141">
        <v>17951.920112897362</v>
      </c>
      <c r="S25" s="141">
        <v>18802.639693546516</v>
      </c>
      <c r="T25" s="141">
        <v>19358.504352928147</v>
      </c>
      <c r="U25" s="141">
        <v>19403.626901194293</v>
      </c>
      <c r="V25" s="141">
        <v>19113.545023589144</v>
      </c>
      <c r="W25" s="141">
        <v>19033.859587066381</v>
      </c>
      <c r="DA25" s="171" t="s">
        <v>265</v>
      </c>
    </row>
    <row r="26" spans="1:105" ht="12" customHeight="1" x14ac:dyDescent="0.25">
      <c r="A26" s="132" t="s">
        <v>24</v>
      </c>
      <c r="B26" s="142">
        <v>271691.92397656845</v>
      </c>
      <c r="C26" s="142">
        <v>283761.63030359586</v>
      </c>
      <c r="D26" s="142">
        <v>296697.83039602579</v>
      </c>
      <c r="E26" s="142">
        <v>304592.35411694588</v>
      </c>
      <c r="F26" s="142">
        <v>306315.81401287916</v>
      </c>
      <c r="G26" s="142">
        <v>306426.69595235487</v>
      </c>
      <c r="H26" s="142">
        <v>318322.72200838849</v>
      </c>
      <c r="I26" s="142">
        <v>329579.40476891981</v>
      </c>
      <c r="J26" s="142">
        <v>332398.71739524027</v>
      </c>
      <c r="K26" s="142">
        <v>332075.96938995743</v>
      </c>
      <c r="L26" s="142">
        <v>334706.21758775768</v>
      </c>
      <c r="M26" s="142">
        <v>337759.75431340438</v>
      </c>
      <c r="N26" s="142">
        <v>336967.20211876335</v>
      </c>
      <c r="O26" s="142">
        <v>333556.22069142846</v>
      </c>
      <c r="P26" s="142">
        <v>339944.82646122033</v>
      </c>
      <c r="Q26" s="142">
        <v>338064.61225932039</v>
      </c>
      <c r="R26" s="142">
        <v>329414.35196544422</v>
      </c>
      <c r="S26" s="142">
        <v>320160.26103646436</v>
      </c>
      <c r="T26" s="142">
        <v>317383.56057629699</v>
      </c>
      <c r="U26" s="142">
        <v>314555.91880984011</v>
      </c>
      <c r="V26" s="142">
        <v>315493.53476514353</v>
      </c>
      <c r="W26" s="142">
        <v>317545.18462795147</v>
      </c>
      <c r="DA26" s="172" t="s">
        <v>266</v>
      </c>
    </row>
    <row r="27" spans="1:105" ht="12" customHeight="1" x14ac:dyDescent="0.25">
      <c r="A27" s="145" t="s">
        <v>26</v>
      </c>
      <c r="B27" s="151">
        <v>1779.8538578901137</v>
      </c>
      <c r="C27" s="151">
        <v>1889.5701623118182</v>
      </c>
      <c r="D27" s="151">
        <v>2216.4385657932839</v>
      </c>
      <c r="E27" s="151">
        <v>2494.0436578716512</v>
      </c>
      <c r="F27" s="151">
        <v>2937.9434097267522</v>
      </c>
      <c r="G27" s="151">
        <v>4245.5240579421488</v>
      </c>
      <c r="H27" s="151">
        <v>5411.8071417644069</v>
      </c>
      <c r="I27" s="151">
        <v>7945.1842631497811</v>
      </c>
      <c r="J27" s="151">
        <v>10788.973067915496</v>
      </c>
      <c r="K27" s="151">
        <v>13159.197243698</v>
      </c>
      <c r="L27" s="151">
        <v>19278.630527102716</v>
      </c>
      <c r="M27" s="151">
        <v>20602.009558831745</v>
      </c>
      <c r="N27" s="151">
        <v>21834.966285952243</v>
      </c>
      <c r="O27" s="151">
        <v>22710.424967438921</v>
      </c>
      <c r="P27" s="151">
        <v>26359.956756606243</v>
      </c>
      <c r="Q27" s="151">
        <v>25713.010177301137</v>
      </c>
      <c r="R27" s="151">
        <v>26292.827456442974</v>
      </c>
      <c r="S27" s="151">
        <v>28177.354234642949</v>
      </c>
      <c r="T27" s="151">
        <v>29062.429233308376</v>
      </c>
      <c r="U27" s="151">
        <v>32590.777896598</v>
      </c>
      <c r="V27" s="151">
        <v>33201.509722805022</v>
      </c>
      <c r="W27" s="151">
        <v>33124.512782531769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560630.92586591304</v>
      </c>
      <c r="C29" s="140">
        <f t="shared" si="9"/>
        <v>569930.70012286061</v>
      </c>
      <c r="D29" s="140">
        <f t="shared" si="9"/>
        <v>579592.12967373524</v>
      </c>
      <c r="E29" s="140">
        <f t="shared" si="9"/>
        <v>585919.47199467872</v>
      </c>
      <c r="F29" s="140">
        <f t="shared" si="9"/>
        <v>590077.97858302016</v>
      </c>
      <c r="G29" s="140">
        <f t="shared" si="9"/>
        <v>592915.42432537128</v>
      </c>
      <c r="H29" s="140">
        <f t="shared" si="9"/>
        <v>605943.92879110773</v>
      </c>
      <c r="I29" s="140">
        <f t="shared" si="9"/>
        <v>616608.19487047615</v>
      </c>
      <c r="J29" s="140">
        <f t="shared" si="9"/>
        <v>619868.73999800812</v>
      </c>
      <c r="K29" s="140">
        <f t="shared" si="9"/>
        <v>619733.56173573446</v>
      </c>
      <c r="L29" s="140">
        <f t="shared" si="9"/>
        <v>623093.49500217219</v>
      </c>
      <c r="M29" s="140">
        <f t="shared" si="9"/>
        <v>628061.71176296647</v>
      </c>
      <c r="N29" s="140">
        <f t="shared" si="9"/>
        <v>630339.81939663482</v>
      </c>
      <c r="O29" s="140">
        <f t="shared" si="9"/>
        <v>628304.61462974222</v>
      </c>
      <c r="P29" s="140">
        <f t="shared" si="9"/>
        <v>636026.7845783839</v>
      </c>
      <c r="Q29" s="140">
        <f t="shared" si="9"/>
        <v>638144.82424571062</v>
      </c>
      <c r="R29" s="140">
        <f t="shared" ref="R29:W29" si="10">SUM(R30:R33)</f>
        <v>638276.42670124152</v>
      </c>
      <c r="S29" s="140">
        <f t="shared" si="10"/>
        <v>641181.97692381626</v>
      </c>
      <c r="T29" s="140">
        <f t="shared" si="10"/>
        <v>643268.97870794521</v>
      </c>
      <c r="U29" s="140">
        <f t="shared" si="10"/>
        <v>644900.56672284729</v>
      </c>
      <c r="V29" s="140">
        <f t="shared" si="10"/>
        <v>646018.61</v>
      </c>
      <c r="W29" s="140">
        <f t="shared" si="10"/>
        <v>646934.17557687243</v>
      </c>
      <c r="DA29" s="170" t="s">
        <v>268</v>
      </c>
    </row>
    <row r="30" spans="1:105" ht="12" customHeight="1" x14ac:dyDescent="0.25">
      <c r="A30" s="132" t="s">
        <v>52</v>
      </c>
      <c r="B30" s="141">
        <v>98942.561287013596</v>
      </c>
      <c r="C30" s="141">
        <v>96765.146971958296</v>
      </c>
      <c r="D30" s="141">
        <v>94977.735410385998</v>
      </c>
      <c r="E30" s="141">
        <v>91581.000018070248</v>
      </c>
      <c r="F30" s="141">
        <v>85772.531642370377</v>
      </c>
      <c r="G30" s="141">
        <v>79078.154250392821</v>
      </c>
      <c r="H30" s="141">
        <v>71364.046133211639</v>
      </c>
      <c r="I30" s="141">
        <v>66941.740163850103</v>
      </c>
      <c r="J30" s="141">
        <v>63887.078519960822</v>
      </c>
      <c r="K30" s="141">
        <v>62573.036516307096</v>
      </c>
      <c r="L30" s="141">
        <v>62809.672411288775</v>
      </c>
      <c r="M30" s="141">
        <v>63643.05819372541</v>
      </c>
      <c r="N30" s="141">
        <v>63375.19114190797</v>
      </c>
      <c r="O30" s="141">
        <v>64275.801609262286</v>
      </c>
      <c r="P30" s="141">
        <v>67945.097266802928</v>
      </c>
      <c r="Q30" s="141">
        <v>70239.300823811835</v>
      </c>
      <c r="R30" s="141">
        <v>71594.657189044417</v>
      </c>
      <c r="S30" s="141">
        <v>72168.859300777985</v>
      </c>
      <c r="T30" s="141">
        <v>73479.075955673543</v>
      </c>
      <c r="U30" s="141">
        <v>74955.356390122237</v>
      </c>
      <c r="V30" s="141">
        <v>78091.945364975472</v>
      </c>
      <c r="W30" s="141">
        <v>79388.615702535506</v>
      </c>
      <c r="DA30" s="171" t="s">
        <v>269</v>
      </c>
    </row>
    <row r="31" spans="1:105" ht="12" customHeight="1" x14ac:dyDescent="0.25">
      <c r="A31" s="132" t="s">
        <v>153</v>
      </c>
      <c r="B31" s="141">
        <v>392786.20418437821</v>
      </c>
      <c r="C31" s="141">
        <v>379886.81141390913</v>
      </c>
      <c r="D31" s="141">
        <v>341854.21429776482</v>
      </c>
      <c r="E31" s="141">
        <v>303249.07053143572</v>
      </c>
      <c r="F31" s="141">
        <v>275215.85030363832</v>
      </c>
      <c r="G31" s="141">
        <v>266884.6985196895</v>
      </c>
      <c r="H31" s="141">
        <v>272464.13311954256</v>
      </c>
      <c r="I31" s="141">
        <v>288459.20062417554</v>
      </c>
      <c r="J31" s="141">
        <v>293302.42555206554</v>
      </c>
      <c r="K31" s="141">
        <v>300850.32140907872</v>
      </c>
      <c r="L31" s="141">
        <v>309143.82631904568</v>
      </c>
      <c r="M31" s="141">
        <v>320693.40219085652</v>
      </c>
      <c r="N31" s="141">
        <v>332157.50453461974</v>
      </c>
      <c r="O31" s="141">
        <v>341018.324844555</v>
      </c>
      <c r="P31" s="141">
        <v>362714.45310448704</v>
      </c>
      <c r="Q31" s="141">
        <v>372150.23608286877</v>
      </c>
      <c r="R31" s="141">
        <v>373874.89308628131</v>
      </c>
      <c r="S31" s="141">
        <v>373349.68645072443</v>
      </c>
      <c r="T31" s="141">
        <v>374264.18823916052</v>
      </c>
      <c r="U31" s="141">
        <v>375293.40552325704</v>
      </c>
      <c r="V31" s="141">
        <v>379203.46143008384</v>
      </c>
      <c r="W31" s="141">
        <v>379356.04476046452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68902.160394521285</v>
      </c>
      <c r="C33" s="153">
        <v>93278.741736993237</v>
      </c>
      <c r="D33" s="153">
        <v>142760.17996558448</v>
      </c>
      <c r="E33" s="153">
        <v>191089.40144517279</v>
      </c>
      <c r="F33" s="153">
        <v>229089.59663701148</v>
      </c>
      <c r="G33" s="153">
        <v>246952.57155528897</v>
      </c>
      <c r="H33" s="153">
        <v>262115.74953835356</v>
      </c>
      <c r="I33" s="153">
        <v>261207.25408245056</v>
      </c>
      <c r="J33" s="153">
        <v>262679.23592598177</v>
      </c>
      <c r="K33" s="153">
        <v>256310.20381034864</v>
      </c>
      <c r="L33" s="153">
        <v>251139.99627183776</v>
      </c>
      <c r="M33" s="153">
        <v>243725.25137838454</v>
      </c>
      <c r="N33" s="153">
        <v>234807.12372010716</v>
      </c>
      <c r="O33" s="153">
        <v>223010.4881759249</v>
      </c>
      <c r="P33" s="153">
        <v>205367.23420709392</v>
      </c>
      <c r="Q33" s="153">
        <v>195755.28733903004</v>
      </c>
      <c r="R33" s="153">
        <v>192806.87642591578</v>
      </c>
      <c r="S33" s="153">
        <v>195663.4311723139</v>
      </c>
      <c r="T33" s="153">
        <v>195525.71451311116</v>
      </c>
      <c r="U33" s="153">
        <v>194651.80480946804</v>
      </c>
      <c r="V33" s="153">
        <v>188723.20320494068</v>
      </c>
      <c r="W33" s="153">
        <v>188189.51511387242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9419.746364650422</v>
      </c>
      <c r="C3" s="126">
        <f t="shared" si="0"/>
        <v>9717.3252594798905</v>
      </c>
      <c r="D3" s="126">
        <f t="shared" si="0"/>
        <v>9618.3592637528509</v>
      </c>
      <c r="E3" s="126">
        <f t="shared" si="0"/>
        <v>10861.523993898543</v>
      </c>
      <c r="F3" s="126">
        <f t="shared" si="0"/>
        <v>11048.949713150334</v>
      </c>
      <c r="G3" s="126">
        <f t="shared" si="0"/>
        <v>12582.933550484742</v>
      </c>
      <c r="H3" s="126">
        <f t="shared" si="0"/>
        <v>13000.694834850561</v>
      </c>
      <c r="I3" s="126">
        <f t="shared" si="0"/>
        <v>12507.192152826614</v>
      </c>
      <c r="J3" s="126">
        <f t="shared" si="0"/>
        <v>14305.454973618736</v>
      </c>
      <c r="K3" s="126">
        <f t="shared" si="0"/>
        <v>14149.84047421025</v>
      </c>
      <c r="L3" s="126">
        <f t="shared" si="0"/>
        <v>14175.964399437464</v>
      </c>
      <c r="M3" s="126">
        <f t="shared" si="0"/>
        <v>12887.862075477959</v>
      </c>
      <c r="N3" s="126">
        <f t="shared" si="0"/>
        <v>13026.346122070525</v>
      </c>
      <c r="O3" s="126">
        <f t="shared" si="0"/>
        <v>12843.353057816341</v>
      </c>
      <c r="P3" s="126">
        <f t="shared" si="0"/>
        <v>11514.753487672211</v>
      </c>
      <c r="Q3" s="126">
        <f t="shared" si="0"/>
        <v>12226.154921149933</v>
      </c>
      <c r="R3" s="126">
        <f t="shared" ref="R3:W3" si="1">SUM(R4,R16,R19,R29)</f>
        <v>12268.969992415214</v>
      </c>
      <c r="S3" s="126">
        <f t="shared" si="1"/>
        <v>12433.026803995095</v>
      </c>
      <c r="T3" s="126">
        <f t="shared" si="1"/>
        <v>13274.787798158031</v>
      </c>
      <c r="U3" s="126">
        <f t="shared" si="1"/>
        <v>12612.698666005856</v>
      </c>
      <c r="V3" s="126">
        <f t="shared" si="1"/>
        <v>11284.990859509591</v>
      </c>
      <c r="W3" s="126">
        <f t="shared" si="1"/>
        <v>11417.619172615803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6295.573302771114</v>
      </c>
      <c r="C4" s="131">
        <f t="shared" si="2"/>
        <v>6528.7628965018139</v>
      </c>
      <c r="D4" s="131">
        <f t="shared" si="2"/>
        <v>6405.0922972204271</v>
      </c>
      <c r="E4" s="131">
        <f t="shared" si="2"/>
        <v>7483.1832020397069</v>
      </c>
      <c r="F4" s="131">
        <f t="shared" si="2"/>
        <v>7813.665628383661</v>
      </c>
      <c r="G4" s="131">
        <f t="shared" si="2"/>
        <v>9295.1947624617424</v>
      </c>
      <c r="H4" s="131">
        <f t="shared" si="2"/>
        <v>9652.1264347163396</v>
      </c>
      <c r="I4" s="131">
        <f t="shared" si="2"/>
        <v>9057.3652778275919</v>
      </c>
      <c r="J4" s="131">
        <f t="shared" si="2"/>
        <v>10808.160338934764</v>
      </c>
      <c r="K4" s="131">
        <f t="shared" si="2"/>
        <v>10607.425556877359</v>
      </c>
      <c r="L4" s="131">
        <f t="shared" si="2"/>
        <v>10660.395490318242</v>
      </c>
      <c r="M4" s="131">
        <f t="shared" si="2"/>
        <v>9306.6931049476443</v>
      </c>
      <c r="N4" s="131">
        <f t="shared" si="2"/>
        <v>9316.591491393845</v>
      </c>
      <c r="O4" s="131">
        <f t="shared" si="2"/>
        <v>9245.3006508220169</v>
      </c>
      <c r="P4" s="131">
        <f t="shared" si="2"/>
        <v>7866.0692391220746</v>
      </c>
      <c r="Q4" s="131">
        <f t="shared" si="2"/>
        <v>8411.6018970340483</v>
      </c>
      <c r="R4" s="131">
        <f t="shared" ref="R4:W4" si="3">SUM(R5:R15)</f>
        <v>8555.7374114005652</v>
      </c>
      <c r="S4" s="131">
        <f t="shared" si="3"/>
        <v>8648.7557524182703</v>
      </c>
      <c r="T4" s="131">
        <f t="shared" si="3"/>
        <v>9624.325066512436</v>
      </c>
      <c r="U4" s="131">
        <f t="shared" si="3"/>
        <v>8978.5959911477239</v>
      </c>
      <c r="V4" s="131">
        <f t="shared" si="3"/>
        <v>8067.9995215237341</v>
      </c>
      <c r="W4" s="131">
        <f t="shared" si="3"/>
        <v>7932.5839513608335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305.32709831962836</v>
      </c>
      <c r="C6" s="133">
        <v>301.39574482611846</v>
      </c>
      <c r="D6" s="133">
        <v>281.72440025173444</v>
      </c>
      <c r="E6" s="133">
        <v>336.35811893369714</v>
      </c>
      <c r="F6" s="133">
        <v>329.4976639326008</v>
      </c>
      <c r="G6" s="133">
        <v>360.2996560490048</v>
      </c>
      <c r="H6" s="133">
        <v>340.64326965953103</v>
      </c>
      <c r="I6" s="133">
        <v>305.29608944966549</v>
      </c>
      <c r="J6" s="133">
        <v>346.20713291433378</v>
      </c>
      <c r="K6" s="133">
        <v>340.45937370761425</v>
      </c>
      <c r="L6" s="133">
        <v>338.06807320656526</v>
      </c>
      <c r="M6" s="133">
        <v>281.13108313676554</v>
      </c>
      <c r="N6" s="133">
        <v>227.0592948381377</v>
      </c>
      <c r="O6" s="133">
        <v>220.72118013527086</v>
      </c>
      <c r="P6" s="133">
        <v>177.00067417806008</v>
      </c>
      <c r="Q6" s="133">
        <v>160.70909958883638</v>
      </c>
      <c r="R6" s="133">
        <v>175.00051086140843</v>
      </c>
      <c r="S6" s="133">
        <v>181.15261899889879</v>
      </c>
      <c r="T6" s="133">
        <v>171.59151553726872</v>
      </c>
      <c r="U6" s="133">
        <v>179.13384132201199</v>
      </c>
      <c r="V6" s="133">
        <v>175.14498143174498</v>
      </c>
      <c r="W6" s="133">
        <v>219.75686125982875</v>
      </c>
      <c r="DA6" s="157" t="s">
        <v>275</v>
      </c>
    </row>
    <row r="7" spans="1:105" ht="12" customHeight="1" x14ac:dyDescent="0.25">
      <c r="A7" s="132" t="s">
        <v>168</v>
      </c>
      <c r="B7" s="133">
        <v>352.45666879074713</v>
      </c>
      <c r="C7" s="133">
        <v>225.70634978649022</v>
      </c>
      <c r="D7" s="133">
        <v>308.78242725644571</v>
      </c>
      <c r="E7" s="133">
        <v>419.1163736234289</v>
      </c>
      <c r="F7" s="133">
        <v>456.24847100470379</v>
      </c>
      <c r="G7" s="133">
        <v>484.39340473761342</v>
      </c>
      <c r="H7" s="133">
        <v>506.78595325268969</v>
      </c>
      <c r="I7" s="133">
        <v>465.66523996453753</v>
      </c>
      <c r="J7" s="133">
        <v>530.29446349760053</v>
      </c>
      <c r="K7" s="133">
        <v>307.51585187558038</v>
      </c>
      <c r="L7" s="133">
        <v>329.79464255784421</v>
      </c>
      <c r="M7" s="133">
        <v>295.24345247985161</v>
      </c>
      <c r="N7" s="133">
        <v>273.93787576446755</v>
      </c>
      <c r="O7" s="133">
        <v>223.23887548017925</v>
      </c>
      <c r="P7" s="133">
        <v>220.07677611421104</v>
      </c>
      <c r="Q7" s="133">
        <v>245.42960368813976</v>
      </c>
      <c r="R7" s="133">
        <v>240.61347206492383</v>
      </c>
      <c r="S7" s="133">
        <v>157.20690625021675</v>
      </c>
      <c r="T7" s="133">
        <v>174.07189814941913</v>
      </c>
      <c r="U7" s="133">
        <v>118.52291998670833</v>
      </c>
      <c r="V7" s="133">
        <v>88.621269463549922</v>
      </c>
      <c r="W7" s="133">
        <v>152.878299771766</v>
      </c>
      <c r="DA7" s="157" t="s">
        <v>276</v>
      </c>
    </row>
    <row r="8" spans="1:105" ht="12" customHeight="1" x14ac:dyDescent="0.25">
      <c r="A8" s="132" t="s">
        <v>73</v>
      </c>
      <c r="B8" s="133">
        <v>2.3252089355008558</v>
      </c>
      <c r="C8" s="133">
        <v>3.0758935142297283</v>
      </c>
      <c r="D8" s="133">
        <v>3.520779075724108</v>
      </c>
      <c r="E8" s="133">
        <v>4.6320983482088636</v>
      </c>
      <c r="F8" s="133">
        <v>5.2090700802978391</v>
      </c>
      <c r="G8" s="133">
        <v>5.963263898230081</v>
      </c>
      <c r="H8" s="133">
        <v>6.7056480476033276</v>
      </c>
      <c r="I8" s="133">
        <v>7.4455410541048801</v>
      </c>
      <c r="J8" s="133">
        <v>8.2717716381825888</v>
      </c>
      <c r="K8" s="133">
        <v>9.1470162418228718</v>
      </c>
      <c r="L8" s="133">
        <v>10.166351373794882</v>
      </c>
      <c r="M8" s="133">
        <v>12.132167970334896</v>
      </c>
      <c r="N8" s="133">
        <v>15.178549993522779</v>
      </c>
      <c r="O8" s="133">
        <v>20.301174696450172</v>
      </c>
      <c r="P8" s="133">
        <v>27.162612907516078</v>
      </c>
      <c r="Q8" s="133">
        <v>36.798071463590837</v>
      </c>
      <c r="R8" s="133">
        <v>37.074127418144847</v>
      </c>
      <c r="S8" s="133">
        <v>38.166096385712692</v>
      </c>
      <c r="T8" s="133">
        <v>40.012263345257168</v>
      </c>
      <c r="U8" s="133">
        <v>42.430640704036726</v>
      </c>
      <c r="V8" s="133">
        <v>47.539371450888318</v>
      </c>
      <c r="W8" s="133">
        <v>53.958172419794295</v>
      </c>
      <c r="DA8" s="157" t="s">
        <v>277</v>
      </c>
    </row>
    <row r="9" spans="1:105" ht="12" customHeight="1" x14ac:dyDescent="0.25">
      <c r="A9" s="132" t="s">
        <v>78</v>
      </c>
      <c r="B9" s="133">
        <v>3844.7353081488905</v>
      </c>
      <c r="C9" s="133">
        <v>4142.830265217438</v>
      </c>
      <c r="D9" s="133">
        <v>3829.3378996664628</v>
      </c>
      <c r="E9" s="133">
        <v>4772.7693407009501</v>
      </c>
      <c r="F9" s="133">
        <v>4807.7742381132675</v>
      </c>
      <c r="G9" s="133">
        <v>5945.8765687353462</v>
      </c>
      <c r="H9" s="133">
        <v>6121.8313684441428</v>
      </c>
      <c r="I9" s="133">
        <v>5520.5138567689846</v>
      </c>
      <c r="J9" s="133">
        <v>7068.6883235865726</v>
      </c>
      <c r="K9" s="133">
        <v>6993.0847725037165</v>
      </c>
      <c r="L9" s="133">
        <v>6985.8104594625984</v>
      </c>
      <c r="M9" s="133">
        <v>5588.2329858412068</v>
      </c>
      <c r="N9" s="133">
        <v>5581.7763430384593</v>
      </c>
      <c r="O9" s="133">
        <v>5530.3349856110281</v>
      </c>
      <c r="P9" s="133">
        <v>4161.0150111182156</v>
      </c>
      <c r="Q9" s="133">
        <v>4610.93865232794</v>
      </c>
      <c r="R9" s="133">
        <v>4618.8087149139119</v>
      </c>
      <c r="S9" s="133">
        <v>4643.2446187577671</v>
      </c>
      <c r="T9" s="133">
        <v>5356.5332129600711</v>
      </c>
      <c r="U9" s="133">
        <v>5197.9203397338706</v>
      </c>
      <c r="V9" s="133">
        <v>4971.3005801050567</v>
      </c>
      <c r="W9" s="133">
        <v>4453.4457783072276</v>
      </c>
      <c r="DA9" s="157" t="s">
        <v>278</v>
      </c>
    </row>
    <row r="10" spans="1:105" ht="12" customHeight="1" x14ac:dyDescent="0.25">
      <c r="A10" s="132" t="s">
        <v>128</v>
      </c>
      <c r="B10" s="133">
        <v>7.4042132416165032</v>
      </c>
      <c r="C10" s="133">
        <v>7.7625107480653526</v>
      </c>
      <c r="D10" s="133">
        <v>7.1415305245055833</v>
      </c>
      <c r="E10" s="133">
        <v>7.2608770421324209</v>
      </c>
      <c r="F10" s="133">
        <v>7.4758383490971614</v>
      </c>
      <c r="G10" s="133">
        <v>7.6669819432502226</v>
      </c>
      <c r="H10" s="133">
        <v>10.007652622527933</v>
      </c>
      <c r="I10" s="133">
        <v>8.0969045571796947</v>
      </c>
      <c r="J10" s="133">
        <v>8.3356835769561481</v>
      </c>
      <c r="K10" s="133">
        <v>12.849871023215828</v>
      </c>
      <c r="L10" s="133">
        <v>20.612381771281175</v>
      </c>
      <c r="M10" s="133">
        <v>21.281169389509888</v>
      </c>
      <c r="N10" s="133">
        <v>21.209544282029238</v>
      </c>
      <c r="O10" s="133">
        <v>35.468615649183143</v>
      </c>
      <c r="P10" s="133">
        <v>59.424849527085144</v>
      </c>
      <c r="Q10" s="133">
        <v>50.611435941530559</v>
      </c>
      <c r="R10" s="133">
        <v>64.27343078245913</v>
      </c>
      <c r="S10" s="133">
        <v>65.598452278589818</v>
      </c>
      <c r="T10" s="133">
        <v>64.370421324161725</v>
      </c>
      <c r="U10" s="133">
        <v>70.979879621668388</v>
      </c>
      <c r="V10" s="133">
        <v>73.126397248495323</v>
      </c>
      <c r="W10" s="133">
        <v>81.588907996560437</v>
      </c>
      <c r="DA10" s="157" t="s">
        <v>279</v>
      </c>
    </row>
    <row r="11" spans="1:105" ht="12" customHeight="1" x14ac:dyDescent="0.25">
      <c r="A11" s="132" t="s">
        <v>25</v>
      </c>
      <c r="B11" s="133">
        <v>132.05786758383491</v>
      </c>
      <c r="C11" s="133">
        <v>134.66130696474639</v>
      </c>
      <c r="D11" s="133">
        <v>134.66130696474642</v>
      </c>
      <c r="E11" s="133">
        <v>134.66130696474636</v>
      </c>
      <c r="F11" s="133">
        <v>132.05786758383491</v>
      </c>
      <c r="G11" s="133">
        <v>132.05786758383493</v>
      </c>
      <c r="H11" s="133">
        <v>132.05786758383491</v>
      </c>
      <c r="I11" s="133">
        <v>132.05786758383491</v>
      </c>
      <c r="J11" s="133">
        <v>132.05786758383499</v>
      </c>
      <c r="K11" s="133">
        <v>132.05786758383493</v>
      </c>
      <c r="L11" s="133">
        <v>76.072398968185738</v>
      </c>
      <c r="M11" s="133">
        <v>76.072398968185666</v>
      </c>
      <c r="N11" s="133">
        <v>77.003955288048147</v>
      </c>
      <c r="O11" s="133">
        <v>77.195012897678438</v>
      </c>
      <c r="P11" s="133">
        <v>73.970593293207145</v>
      </c>
      <c r="Q11" s="133">
        <v>76.359071367153916</v>
      </c>
      <c r="R11" s="133">
        <v>76.096302665520113</v>
      </c>
      <c r="S11" s="133">
        <v>79.890885640584656</v>
      </c>
      <c r="T11" s="133">
        <v>78.921840068787475</v>
      </c>
      <c r="U11" s="133">
        <v>78.677472055030108</v>
      </c>
      <c r="V11" s="133">
        <v>73.153138435081758</v>
      </c>
      <c r="W11" s="133">
        <v>70.36698194325011</v>
      </c>
      <c r="DA11" s="157" t="s">
        <v>280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58.001038073188468</v>
      </c>
      <c r="G12" s="133">
        <v>58.936775986071893</v>
      </c>
      <c r="H12" s="133">
        <v>86.233197172660596</v>
      </c>
      <c r="I12" s="133">
        <v>89.785972936170879</v>
      </c>
      <c r="J12" s="133">
        <v>89.289499102522143</v>
      </c>
      <c r="K12" s="133">
        <v>78.043814436648987</v>
      </c>
      <c r="L12" s="133">
        <v>63.538062704341279</v>
      </c>
      <c r="M12" s="133">
        <v>155.73790492644414</v>
      </c>
      <c r="N12" s="133">
        <v>118.22595818600529</v>
      </c>
      <c r="O12" s="133">
        <v>161.90696763585666</v>
      </c>
      <c r="P12" s="133">
        <v>243.32462715523317</v>
      </c>
      <c r="Q12" s="133">
        <v>203.40467946985032</v>
      </c>
      <c r="R12" s="133">
        <v>218.55122443474008</v>
      </c>
      <c r="S12" s="133">
        <v>285.16178718558439</v>
      </c>
      <c r="T12" s="133">
        <v>358.06858875983625</v>
      </c>
      <c r="U12" s="133">
        <v>272.78435494752796</v>
      </c>
      <c r="V12" s="133">
        <v>274.15670606873334</v>
      </c>
      <c r="W12" s="133">
        <v>311.10186364018159</v>
      </c>
      <c r="DA12" s="157" t="s">
        <v>281</v>
      </c>
    </row>
    <row r="13" spans="1:105" ht="12" customHeight="1" x14ac:dyDescent="0.25">
      <c r="A13" s="132" t="s">
        <v>77</v>
      </c>
      <c r="B13" s="133">
        <v>3.994204857685316</v>
      </c>
      <c r="C13" s="133">
        <v>6.3682968481263691</v>
      </c>
      <c r="D13" s="133">
        <v>16.574474976540468</v>
      </c>
      <c r="E13" s="133">
        <v>17.578671981947643</v>
      </c>
      <c r="F13" s="133">
        <v>36.045874330317709</v>
      </c>
      <c r="G13" s="133">
        <v>67.029278080431197</v>
      </c>
      <c r="H13" s="133">
        <v>86.920024830979429</v>
      </c>
      <c r="I13" s="133">
        <v>97.385119661840918</v>
      </c>
      <c r="J13" s="133">
        <v>107.7965773890157</v>
      </c>
      <c r="K13" s="133">
        <v>135.40614536337236</v>
      </c>
      <c r="L13" s="133">
        <v>146.23518174227294</v>
      </c>
      <c r="M13" s="133">
        <v>206.23090607692322</v>
      </c>
      <c r="N13" s="133">
        <v>309.61119010006854</v>
      </c>
      <c r="O13" s="133">
        <v>364.88167364147881</v>
      </c>
      <c r="P13" s="133">
        <v>555.28843306591853</v>
      </c>
      <c r="Q13" s="133">
        <v>971.3518182587145</v>
      </c>
      <c r="R13" s="133">
        <v>997.12068464397885</v>
      </c>
      <c r="S13" s="133">
        <v>1100.3823890637987</v>
      </c>
      <c r="T13" s="133">
        <v>1059.1050929257187</v>
      </c>
      <c r="U13" s="133">
        <v>997.92730237451485</v>
      </c>
      <c r="V13" s="133">
        <v>963.54766373043958</v>
      </c>
      <c r="W13" s="133">
        <v>750.01829257812278</v>
      </c>
      <c r="DA13" s="157" t="s">
        <v>282</v>
      </c>
    </row>
    <row r="14" spans="1:105" ht="12" customHeight="1" x14ac:dyDescent="0.25">
      <c r="A14" s="60" t="s">
        <v>76</v>
      </c>
      <c r="B14" s="65">
        <v>1600.9010889927549</v>
      </c>
      <c r="C14" s="65">
        <v>1659.0575471406592</v>
      </c>
      <c r="D14" s="65">
        <v>1778.2538061743126</v>
      </c>
      <c r="E14" s="65">
        <v>1734.5830289293947</v>
      </c>
      <c r="F14" s="65">
        <v>1924.487387387326</v>
      </c>
      <c r="G14" s="65">
        <v>2164.0595486936131</v>
      </c>
      <c r="H14" s="65">
        <v>2289.9278935004745</v>
      </c>
      <c r="I14" s="65">
        <v>2366.70847758645</v>
      </c>
      <c r="J14" s="65">
        <v>2435.4938583239614</v>
      </c>
      <c r="K14" s="65">
        <v>2519.5465098026925</v>
      </c>
      <c r="L14" s="65">
        <v>2610.3283814532274</v>
      </c>
      <c r="M14" s="65">
        <v>2605.4804887179389</v>
      </c>
      <c r="N14" s="65">
        <v>2627.5141962261846</v>
      </c>
      <c r="O14" s="65">
        <v>2546.2593315715985</v>
      </c>
      <c r="P14" s="65">
        <v>2298.8107492345466</v>
      </c>
      <c r="Q14" s="65">
        <v>2001.391047229602</v>
      </c>
      <c r="R14" s="65">
        <v>2073.3212557273109</v>
      </c>
      <c r="S14" s="65">
        <v>2042.2887591390306</v>
      </c>
      <c r="T14" s="65">
        <v>2256.3336110947967</v>
      </c>
      <c r="U14" s="65">
        <v>1955.8529018883833</v>
      </c>
      <c r="V14" s="65">
        <v>1338.5817437119788</v>
      </c>
      <c r="W14" s="65">
        <v>1780.2012791884749</v>
      </c>
      <c r="DA14" s="109" t="s">
        <v>283</v>
      </c>
    </row>
    <row r="15" spans="1:105" ht="12" customHeight="1" x14ac:dyDescent="0.25">
      <c r="A15" s="134" t="s">
        <v>80</v>
      </c>
      <c r="B15" s="135">
        <v>46.371643900456036</v>
      </c>
      <c r="C15" s="135">
        <v>47.904981455940408</v>
      </c>
      <c r="D15" s="135">
        <v>45.095672329955171</v>
      </c>
      <c r="E15" s="135">
        <v>56.22338551520086</v>
      </c>
      <c r="F15" s="135">
        <v>56.868179529026833</v>
      </c>
      <c r="G15" s="135">
        <v>68.911416754345836</v>
      </c>
      <c r="H15" s="135">
        <v>71.013559601895366</v>
      </c>
      <c r="I15" s="135">
        <v>64.410208264821478</v>
      </c>
      <c r="J15" s="135">
        <v>81.725161321782792</v>
      </c>
      <c r="K15" s="135">
        <v>79.314334338860832</v>
      </c>
      <c r="L15" s="135">
        <v>79.769557078130873</v>
      </c>
      <c r="M15" s="135">
        <v>65.150547440483052</v>
      </c>
      <c r="N15" s="135">
        <v>65.074583676921193</v>
      </c>
      <c r="O15" s="135">
        <v>64.992833503292758</v>
      </c>
      <c r="P15" s="135">
        <v>49.994912528081628</v>
      </c>
      <c r="Q15" s="135">
        <v>54.608417698690772</v>
      </c>
      <c r="R15" s="135">
        <v>54.877687888164793</v>
      </c>
      <c r="S15" s="135">
        <v>55.663238718087833</v>
      </c>
      <c r="T15" s="135">
        <v>65.31662234711861</v>
      </c>
      <c r="U15" s="135">
        <v>64.366338513971499</v>
      </c>
      <c r="V15" s="135">
        <v>62.827669877766645</v>
      </c>
      <c r="W15" s="135">
        <v>59.267514255627425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149.05110265289528</v>
      </c>
      <c r="C16" s="131">
        <f t="shared" si="4"/>
        <v>169.13562270296077</v>
      </c>
      <c r="D16" s="131">
        <f t="shared" si="4"/>
        <v>155.16110894310174</v>
      </c>
      <c r="E16" s="131">
        <f t="shared" si="4"/>
        <v>365.36458460247758</v>
      </c>
      <c r="F16" s="131">
        <f t="shared" si="4"/>
        <v>169.79465399816414</v>
      </c>
      <c r="G16" s="131">
        <f t="shared" si="4"/>
        <v>171.949800202902</v>
      </c>
      <c r="H16" s="131">
        <f t="shared" si="4"/>
        <v>212.63387898479561</v>
      </c>
      <c r="I16" s="131">
        <f t="shared" si="4"/>
        <v>206.06554340980117</v>
      </c>
      <c r="J16" s="131">
        <f t="shared" si="4"/>
        <v>244.38942032620159</v>
      </c>
      <c r="K16" s="131">
        <f t="shared" si="4"/>
        <v>263.87933925501306</v>
      </c>
      <c r="L16" s="131">
        <f t="shared" si="4"/>
        <v>223.50995717052311</v>
      </c>
      <c r="M16" s="131">
        <f t="shared" si="4"/>
        <v>249.30255217395884</v>
      </c>
      <c r="N16" s="131">
        <f t="shared" si="4"/>
        <v>398.04280072987149</v>
      </c>
      <c r="O16" s="131">
        <f t="shared" si="4"/>
        <v>236.18987077050502</v>
      </c>
      <c r="P16" s="131">
        <f t="shared" si="4"/>
        <v>203.87328432181189</v>
      </c>
      <c r="Q16" s="131">
        <f t="shared" si="4"/>
        <v>358.00254942321658</v>
      </c>
      <c r="R16" s="131">
        <f t="shared" ref="R16:W16" si="5">SUM(R17:R18)</f>
        <v>224.71434924063863</v>
      </c>
      <c r="S16" s="131">
        <f t="shared" si="5"/>
        <v>335.45938895928214</v>
      </c>
      <c r="T16" s="131">
        <f t="shared" si="5"/>
        <v>250.76763847837091</v>
      </c>
      <c r="U16" s="131">
        <f t="shared" si="5"/>
        <v>328.57602450406614</v>
      </c>
      <c r="V16" s="131">
        <f t="shared" si="5"/>
        <v>234.5235444363511</v>
      </c>
      <c r="W16" s="131">
        <f t="shared" si="5"/>
        <v>287.13693323855136</v>
      </c>
      <c r="DA16" s="156" t="s">
        <v>214</v>
      </c>
    </row>
    <row r="17" spans="1:105" ht="12.95" customHeight="1" x14ac:dyDescent="0.25">
      <c r="A17" s="132" t="s">
        <v>73</v>
      </c>
      <c r="B17" s="133">
        <v>0.43054246035478611</v>
      </c>
      <c r="C17" s="133">
        <v>0.74103140639005316</v>
      </c>
      <c r="D17" s="133">
        <v>0.69260366855295052</v>
      </c>
      <c r="E17" s="133">
        <v>2.1017966611988466</v>
      </c>
      <c r="F17" s="133">
        <v>1.2550757857645198</v>
      </c>
      <c r="G17" s="133">
        <v>1.4126499042189313</v>
      </c>
      <c r="H17" s="133">
        <v>2.0698356873703547</v>
      </c>
      <c r="I17" s="133">
        <v>2.3023767680138372</v>
      </c>
      <c r="J17" s="133">
        <v>3.2314376487288508</v>
      </c>
      <c r="K17" s="133">
        <v>4.1195369701818496</v>
      </c>
      <c r="L17" s="133">
        <v>3.9596359762024362</v>
      </c>
      <c r="M17" s="133">
        <v>4.8757529034635176</v>
      </c>
      <c r="N17" s="133">
        <v>8.4950362227284728</v>
      </c>
      <c r="O17" s="133">
        <v>5.7398211902847578</v>
      </c>
      <c r="P17" s="133">
        <v>5.5316568837862725</v>
      </c>
      <c r="Q17" s="133">
        <v>10.610536910453844</v>
      </c>
      <c r="R17" s="133">
        <v>7.4518766294166889</v>
      </c>
      <c r="S17" s="133">
        <v>11.901359612380674</v>
      </c>
      <c r="T17" s="133">
        <v>9.3841946582064413</v>
      </c>
      <c r="U17" s="133">
        <v>12.625191379043313</v>
      </c>
      <c r="V17" s="133">
        <v>9.2540610383339104</v>
      </c>
      <c r="W17" s="133">
        <v>11.366305327341147</v>
      </c>
      <c r="DA17" s="157" t="s">
        <v>285</v>
      </c>
    </row>
    <row r="18" spans="1:105" ht="12" customHeight="1" x14ac:dyDescent="0.25">
      <c r="A18" s="132" t="s">
        <v>72</v>
      </c>
      <c r="B18" s="133">
        <v>148.62056019254049</v>
      </c>
      <c r="C18" s="133">
        <v>168.39459129657072</v>
      </c>
      <c r="D18" s="133">
        <v>154.46850527454879</v>
      </c>
      <c r="E18" s="133">
        <v>363.26278794127876</v>
      </c>
      <c r="F18" s="133">
        <v>168.53957821239962</v>
      </c>
      <c r="G18" s="133">
        <v>170.53715029868306</v>
      </c>
      <c r="H18" s="133">
        <v>210.56404329742526</v>
      </c>
      <c r="I18" s="133">
        <v>203.76316664178734</v>
      </c>
      <c r="J18" s="133">
        <v>241.15798267747275</v>
      </c>
      <c r="K18" s="133">
        <v>259.75980228483121</v>
      </c>
      <c r="L18" s="133">
        <v>219.55032119432067</v>
      </c>
      <c r="M18" s="133">
        <v>244.42679927049534</v>
      </c>
      <c r="N18" s="133">
        <v>389.54776450714303</v>
      </c>
      <c r="O18" s="133">
        <v>230.45004958022025</v>
      </c>
      <c r="P18" s="133">
        <v>198.34162743802563</v>
      </c>
      <c r="Q18" s="133">
        <v>347.39201251276273</v>
      </c>
      <c r="R18" s="133">
        <v>217.26247261122194</v>
      </c>
      <c r="S18" s="133">
        <v>323.55802934690149</v>
      </c>
      <c r="T18" s="133">
        <v>241.38344382016447</v>
      </c>
      <c r="U18" s="133">
        <v>315.95083312502283</v>
      </c>
      <c r="V18" s="133">
        <v>225.2694833980172</v>
      </c>
      <c r="W18" s="133">
        <v>275.77062791121023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1487.3010888360789</v>
      </c>
      <c r="C19" s="131">
        <f t="shared" si="6"/>
        <v>1529.438546389064</v>
      </c>
      <c r="D19" s="131">
        <f t="shared" si="6"/>
        <v>1560.7794719486019</v>
      </c>
      <c r="E19" s="131">
        <f t="shared" si="6"/>
        <v>1550.3324256086871</v>
      </c>
      <c r="F19" s="131">
        <f t="shared" si="6"/>
        <v>1577.1570755742882</v>
      </c>
      <c r="G19" s="131">
        <f t="shared" si="6"/>
        <v>1557.505126917544</v>
      </c>
      <c r="H19" s="131">
        <f t="shared" si="6"/>
        <v>1580.1840991468505</v>
      </c>
      <c r="I19" s="131">
        <f t="shared" si="6"/>
        <v>1622.9637831879927</v>
      </c>
      <c r="J19" s="131">
        <f t="shared" si="6"/>
        <v>1614.2286870260828</v>
      </c>
      <c r="K19" s="131">
        <f t="shared" si="6"/>
        <v>1592.0784705056819</v>
      </c>
      <c r="L19" s="131">
        <f t="shared" si="6"/>
        <v>1588.9975129518089</v>
      </c>
      <c r="M19" s="131">
        <f t="shared" si="6"/>
        <v>1606.4310013638453</v>
      </c>
      <c r="N19" s="131">
        <f t="shared" si="6"/>
        <v>1572.3019040228514</v>
      </c>
      <c r="O19" s="131">
        <f t="shared" si="6"/>
        <v>1599.478764173346</v>
      </c>
      <c r="P19" s="131">
        <f t="shared" si="6"/>
        <v>1622.2274833953572</v>
      </c>
      <c r="Q19" s="131">
        <f t="shared" si="6"/>
        <v>1616.3797648123743</v>
      </c>
      <c r="R19" s="131">
        <f t="shared" ref="R19:W19" si="7">SUM(R20:R27)</f>
        <v>1632.5745848883801</v>
      </c>
      <c r="S19" s="131">
        <f t="shared" si="7"/>
        <v>1593.8494345003141</v>
      </c>
      <c r="T19" s="131">
        <f t="shared" si="7"/>
        <v>1566.3517780494831</v>
      </c>
      <c r="U19" s="131">
        <f t="shared" si="7"/>
        <v>1468.0193729532539</v>
      </c>
      <c r="V19" s="131">
        <f t="shared" si="7"/>
        <v>1325.0369486827594</v>
      </c>
      <c r="W19" s="131">
        <f t="shared" si="7"/>
        <v>1409.1662736382054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88.179713643586638</v>
      </c>
      <c r="C21" s="133">
        <v>87.044322690090155</v>
      </c>
      <c r="D21" s="133">
        <v>81.363157994588306</v>
      </c>
      <c r="E21" s="133">
        <v>75.227320504857232</v>
      </c>
      <c r="F21" s="133">
        <v>73.692962871948893</v>
      </c>
      <c r="G21" s="133">
        <v>72.697076944056334</v>
      </c>
      <c r="H21" s="133">
        <v>71.016134162561372</v>
      </c>
      <c r="I21" s="133">
        <v>63.647075925887634</v>
      </c>
      <c r="J21" s="133">
        <v>61.492590325552904</v>
      </c>
      <c r="K21" s="133">
        <v>54.763548920321576</v>
      </c>
      <c r="L21" s="133">
        <v>50.951016099978091</v>
      </c>
      <c r="M21" s="133">
        <v>48.123465879832224</v>
      </c>
      <c r="N21" s="133">
        <v>38.86756350782499</v>
      </c>
      <c r="O21" s="133">
        <v>36.025851864614005</v>
      </c>
      <c r="P21" s="133">
        <v>28.889842216173548</v>
      </c>
      <c r="Q21" s="133">
        <v>26.230750540272869</v>
      </c>
      <c r="R21" s="133">
        <v>29.685115993178684</v>
      </c>
      <c r="S21" s="133">
        <v>29.981894956224789</v>
      </c>
      <c r="T21" s="133">
        <v>27.88453957080559</v>
      </c>
      <c r="U21" s="133">
        <v>28.023006067205774</v>
      </c>
      <c r="V21" s="133">
        <v>23.995301660381855</v>
      </c>
      <c r="W21" s="133">
        <v>25.228320119650874</v>
      </c>
      <c r="DA21" s="157" t="s">
        <v>288</v>
      </c>
    </row>
    <row r="22" spans="1:105" ht="12" customHeight="1" x14ac:dyDescent="0.25">
      <c r="A22" s="132" t="s">
        <v>168</v>
      </c>
      <c r="B22" s="133">
        <v>103.90618589540929</v>
      </c>
      <c r="C22" s="133">
        <v>96.544553050999028</v>
      </c>
      <c r="D22" s="133">
        <v>83.693926999788147</v>
      </c>
      <c r="E22" s="133">
        <v>77.554133685255451</v>
      </c>
      <c r="F22" s="133">
        <v>69.064426673714223</v>
      </c>
      <c r="G22" s="133">
        <v>64.522244445533659</v>
      </c>
      <c r="H22" s="133">
        <v>63.257984838454036</v>
      </c>
      <c r="I22" s="133">
        <v>59.418336991610303</v>
      </c>
      <c r="J22" s="133">
        <v>56.693240715641245</v>
      </c>
      <c r="K22" s="133">
        <v>47.600227230180664</v>
      </c>
      <c r="L22" s="133">
        <v>41.782657528140241</v>
      </c>
      <c r="M22" s="133">
        <v>40.077097821094156</v>
      </c>
      <c r="N22" s="133">
        <v>37.951892077321048</v>
      </c>
      <c r="O22" s="133">
        <v>37.413661063242941</v>
      </c>
      <c r="P22" s="133">
        <v>35.497944436089874</v>
      </c>
      <c r="Q22" s="133">
        <v>33.518547644620206</v>
      </c>
      <c r="R22" s="133">
        <v>31.44147204513601</v>
      </c>
      <c r="S22" s="133">
        <v>31.311494437659452</v>
      </c>
      <c r="T22" s="133">
        <v>30.351489640778393</v>
      </c>
      <c r="U22" s="133">
        <v>26.278111827565073</v>
      </c>
      <c r="V22" s="133">
        <v>20.64347688210794</v>
      </c>
      <c r="W22" s="133">
        <v>21.972603065723405</v>
      </c>
      <c r="DA22" s="157" t="s">
        <v>289</v>
      </c>
    </row>
    <row r="23" spans="1:105" ht="12" customHeight="1" x14ac:dyDescent="0.25">
      <c r="A23" s="132" t="s">
        <v>153</v>
      </c>
      <c r="B23" s="133">
        <v>654.65204894630119</v>
      </c>
      <c r="C23" s="133">
        <v>664.33559871040416</v>
      </c>
      <c r="D23" s="133">
        <v>671.98539754482294</v>
      </c>
      <c r="E23" s="133">
        <v>671.71471331858947</v>
      </c>
      <c r="F23" s="133">
        <v>670.51776258577388</v>
      </c>
      <c r="G23" s="133">
        <v>681.58146924506548</v>
      </c>
      <c r="H23" s="133">
        <v>681.29124571214777</v>
      </c>
      <c r="I23" s="133">
        <v>681.47403327045276</v>
      </c>
      <c r="J23" s="133">
        <v>686.47916575783654</v>
      </c>
      <c r="K23" s="133">
        <v>686.77878531489648</v>
      </c>
      <c r="L23" s="133">
        <v>678.68878630449467</v>
      </c>
      <c r="M23" s="133">
        <v>685.09907031951036</v>
      </c>
      <c r="N23" s="133">
        <v>688.37872177294912</v>
      </c>
      <c r="O23" s="133">
        <v>689.42037996145814</v>
      </c>
      <c r="P23" s="133">
        <v>694.44559764526946</v>
      </c>
      <c r="Q23" s="133">
        <v>700.12527177794118</v>
      </c>
      <c r="R23" s="133">
        <v>705.66448973920239</v>
      </c>
      <c r="S23" s="133">
        <v>734.20257020286181</v>
      </c>
      <c r="T23" s="133">
        <v>774.03869198867733</v>
      </c>
      <c r="U23" s="133">
        <v>662.25922721255813</v>
      </c>
      <c r="V23" s="133">
        <v>617.1022876651457</v>
      </c>
      <c r="W23" s="133">
        <v>688.81937835496171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10.73877276086138</v>
      </c>
      <c r="G25" s="133">
        <v>11.068984976954782</v>
      </c>
      <c r="H25" s="133">
        <v>11.048746077554332</v>
      </c>
      <c r="I25" s="133">
        <v>11.150312532444726</v>
      </c>
      <c r="J25" s="133">
        <v>11.479632453797741</v>
      </c>
      <c r="K25" s="133">
        <v>13.983528641596935</v>
      </c>
      <c r="L25" s="133">
        <v>15.113871947421405</v>
      </c>
      <c r="M25" s="133">
        <v>17.759773491440594</v>
      </c>
      <c r="N25" s="133">
        <v>21.666045253375504</v>
      </c>
      <c r="O25" s="133">
        <v>29.050298056318738</v>
      </c>
      <c r="P25" s="133">
        <v>33.545536215360244</v>
      </c>
      <c r="Q25" s="133">
        <v>34.414151140639802</v>
      </c>
      <c r="R25" s="133">
        <v>38.303719675320075</v>
      </c>
      <c r="S25" s="133">
        <v>39.327722702635825</v>
      </c>
      <c r="T25" s="133">
        <v>40.706475728555816</v>
      </c>
      <c r="U25" s="133">
        <v>38.235851415326884</v>
      </c>
      <c r="V25" s="133">
        <v>33.445099606245293</v>
      </c>
      <c r="W25" s="133">
        <v>36.503381415708027</v>
      </c>
      <c r="DA25" s="157" t="s">
        <v>292</v>
      </c>
    </row>
    <row r="26" spans="1:105" ht="12" customHeight="1" x14ac:dyDescent="0.25">
      <c r="A26" s="132" t="s">
        <v>24</v>
      </c>
      <c r="B26" s="65">
        <v>638.27019108165007</v>
      </c>
      <c r="C26" s="65">
        <v>678.95843995132805</v>
      </c>
      <c r="D26" s="65">
        <v>720.79915621937664</v>
      </c>
      <c r="E26" s="65">
        <v>722.44468458321774</v>
      </c>
      <c r="F26" s="65">
        <v>749.24994345929008</v>
      </c>
      <c r="G26" s="65">
        <v>721.8792034125546</v>
      </c>
      <c r="H26" s="65">
        <v>746.23740022199695</v>
      </c>
      <c r="I26" s="65">
        <v>796.28709411506088</v>
      </c>
      <c r="J26" s="65">
        <v>783.99214031839642</v>
      </c>
      <c r="K26" s="65">
        <v>771.06278452594324</v>
      </c>
      <c r="L26" s="65">
        <v>775.63882509584994</v>
      </c>
      <c r="M26" s="65">
        <v>787.30719144440127</v>
      </c>
      <c r="N26" s="65">
        <v>754.36382070630771</v>
      </c>
      <c r="O26" s="65">
        <v>773.93908053639666</v>
      </c>
      <c r="P26" s="65">
        <v>793.95002461935144</v>
      </c>
      <c r="Q26" s="65">
        <v>784.09069977080912</v>
      </c>
      <c r="R26" s="65">
        <v>787.44917694543108</v>
      </c>
      <c r="S26" s="65">
        <v>717.2714099825314</v>
      </c>
      <c r="T26" s="65">
        <v>649.68631628833577</v>
      </c>
      <c r="U26" s="65">
        <v>667.63383851142339</v>
      </c>
      <c r="V26" s="65">
        <v>586.58947590413231</v>
      </c>
      <c r="W26" s="65">
        <v>592.21017451707098</v>
      </c>
      <c r="DA26" s="109" t="s">
        <v>293</v>
      </c>
    </row>
    <row r="27" spans="1:105" ht="12" customHeight="1" x14ac:dyDescent="0.25">
      <c r="A27" s="145" t="s">
        <v>26</v>
      </c>
      <c r="B27" s="146">
        <v>2.2929492691315554</v>
      </c>
      <c r="C27" s="146">
        <v>2.5556319862424757</v>
      </c>
      <c r="D27" s="146">
        <v>2.9378331900257955</v>
      </c>
      <c r="E27" s="146">
        <v>3.3915735167669818</v>
      </c>
      <c r="F27" s="146">
        <v>3.8932072226999117</v>
      </c>
      <c r="G27" s="146">
        <v>5.7561478933791932</v>
      </c>
      <c r="H27" s="146">
        <v>7.3325881341358574</v>
      </c>
      <c r="I27" s="146">
        <v>10.986930352536543</v>
      </c>
      <c r="J27" s="146">
        <v>14.09191745485812</v>
      </c>
      <c r="K27" s="146">
        <v>17.889595872742913</v>
      </c>
      <c r="L27" s="146">
        <v>26.822355975924339</v>
      </c>
      <c r="M27" s="146">
        <v>28.064402407566639</v>
      </c>
      <c r="N27" s="146">
        <v>31.073860705073091</v>
      </c>
      <c r="O27" s="146">
        <v>33.629492691315576</v>
      </c>
      <c r="P27" s="146">
        <v>35.898538263112627</v>
      </c>
      <c r="Q27" s="146">
        <v>38.000343938091113</v>
      </c>
      <c r="R27" s="146">
        <v>40.030610490111776</v>
      </c>
      <c r="S27" s="146">
        <v>41.754342218400673</v>
      </c>
      <c r="T27" s="146">
        <v>43.684264832330179</v>
      </c>
      <c r="U27" s="146">
        <v>45.589337919174504</v>
      </c>
      <c r="V27" s="146">
        <v>43.261306964746353</v>
      </c>
      <c r="W27" s="146">
        <v>44.432416165090316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1487.8208703903333</v>
      </c>
      <c r="C29" s="131">
        <f t="shared" si="8"/>
        <v>1489.9881938860522</v>
      </c>
      <c r="D29" s="131">
        <f t="shared" si="8"/>
        <v>1497.32638564072</v>
      </c>
      <c r="E29" s="131">
        <f t="shared" si="8"/>
        <v>1462.6437816476719</v>
      </c>
      <c r="F29" s="131">
        <f t="shared" si="8"/>
        <v>1488.3323551942203</v>
      </c>
      <c r="G29" s="131">
        <f t="shared" si="8"/>
        <v>1558.2838609025555</v>
      </c>
      <c r="H29" s="131">
        <f t="shared" si="8"/>
        <v>1555.7504220025749</v>
      </c>
      <c r="I29" s="131">
        <f t="shared" si="8"/>
        <v>1620.7975484012281</v>
      </c>
      <c r="J29" s="131">
        <f t="shared" si="8"/>
        <v>1638.6765273316889</v>
      </c>
      <c r="K29" s="131">
        <f t="shared" si="8"/>
        <v>1686.4571075721983</v>
      </c>
      <c r="L29" s="131">
        <f t="shared" si="8"/>
        <v>1703.061438996891</v>
      </c>
      <c r="M29" s="131">
        <f t="shared" si="8"/>
        <v>1725.4354169925093</v>
      </c>
      <c r="N29" s="131">
        <f t="shared" si="8"/>
        <v>1739.4099259239576</v>
      </c>
      <c r="O29" s="131">
        <f t="shared" si="8"/>
        <v>1762.3837720504721</v>
      </c>
      <c r="P29" s="131">
        <f t="shared" si="8"/>
        <v>1822.5834808329676</v>
      </c>
      <c r="Q29" s="131">
        <f t="shared" si="8"/>
        <v>1840.1707098802945</v>
      </c>
      <c r="R29" s="131">
        <f t="shared" ref="R29:W29" si="9">SUM(R30:R33)</f>
        <v>1855.9436468856291</v>
      </c>
      <c r="S29" s="131">
        <f t="shared" si="9"/>
        <v>1854.9622281172287</v>
      </c>
      <c r="T29" s="131">
        <f t="shared" si="9"/>
        <v>1833.3433151177419</v>
      </c>
      <c r="U29" s="131">
        <f t="shared" si="9"/>
        <v>1837.5072774008127</v>
      </c>
      <c r="V29" s="131">
        <f t="shared" si="9"/>
        <v>1657.4308448667471</v>
      </c>
      <c r="W29" s="131">
        <f t="shared" si="9"/>
        <v>1788.7320143782126</v>
      </c>
      <c r="DA29" s="156" t="s">
        <v>216</v>
      </c>
    </row>
    <row r="30" spans="1:105" ht="12" customHeight="1" x14ac:dyDescent="0.25">
      <c r="A30" s="132" t="s">
        <v>52</v>
      </c>
      <c r="B30" s="133">
        <v>278.89215622251152</v>
      </c>
      <c r="C30" s="133">
        <v>261.98503996444487</v>
      </c>
      <c r="D30" s="133">
        <v>265.36377451378047</v>
      </c>
      <c r="E30" s="133">
        <v>260.8135287471722</v>
      </c>
      <c r="F30" s="133">
        <v>248.33319090826197</v>
      </c>
      <c r="G30" s="133">
        <v>231.71143553660335</v>
      </c>
      <c r="H30" s="133">
        <v>202.5089538735223</v>
      </c>
      <c r="I30" s="133">
        <v>213.36311149461042</v>
      </c>
      <c r="J30" s="133">
        <v>153.73140315736165</v>
      </c>
      <c r="K30" s="133">
        <v>196.97157436260576</v>
      </c>
      <c r="L30" s="133">
        <v>198.78065273988821</v>
      </c>
      <c r="M30" s="133">
        <v>204.70933748383192</v>
      </c>
      <c r="N30" s="133">
        <v>179.04304707106246</v>
      </c>
      <c r="O30" s="133">
        <v>193.7163385934081</v>
      </c>
      <c r="P30" s="133">
        <v>224.79641395830291</v>
      </c>
      <c r="Q30" s="133">
        <v>223.97063998267038</v>
      </c>
      <c r="R30" s="133">
        <v>227.10001373010743</v>
      </c>
      <c r="S30" s="133">
        <v>231.9731386674043</v>
      </c>
      <c r="T30" s="133">
        <v>231.3910128196988</v>
      </c>
      <c r="U30" s="133">
        <v>224.57161348782435</v>
      </c>
      <c r="V30" s="133">
        <v>235.47115284940369</v>
      </c>
      <c r="W30" s="133">
        <v>237.60389858612666</v>
      </c>
      <c r="DA30" s="157" t="s">
        <v>295</v>
      </c>
    </row>
    <row r="31" spans="1:105" ht="12" customHeight="1" x14ac:dyDescent="0.25">
      <c r="A31" s="132" t="s">
        <v>153</v>
      </c>
      <c r="B31" s="133">
        <v>1069.610975773785</v>
      </c>
      <c r="C31" s="133">
        <v>1049.5288190621134</v>
      </c>
      <c r="D31" s="133">
        <v>961.89668203927783</v>
      </c>
      <c r="E31" s="133">
        <v>778.87663394611593</v>
      </c>
      <c r="F31" s="133">
        <v>720.96182420015725</v>
      </c>
      <c r="G31" s="133">
        <v>799.53836120080223</v>
      </c>
      <c r="H31" s="133">
        <v>750.95658826523049</v>
      </c>
      <c r="I31" s="133">
        <v>859.37339248238413</v>
      </c>
      <c r="J31" s="133">
        <v>856.71709156644556</v>
      </c>
      <c r="K31" s="133">
        <v>917.12354331160714</v>
      </c>
      <c r="L31" s="133">
        <v>936.41251408841526</v>
      </c>
      <c r="M31" s="133">
        <v>967.11677275051659</v>
      </c>
      <c r="N31" s="133">
        <v>1007.2605149224665</v>
      </c>
      <c r="O31" s="133">
        <v>1037.9573788675227</v>
      </c>
      <c r="P31" s="133">
        <v>1148.7158007229471</v>
      </c>
      <c r="Q31" s="133">
        <v>1165.4574761185229</v>
      </c>
      <c r="R31" s="133">
        <v>1197.2208256931322</v>
      </c>
      <c r="S31" s="133">
        <v>1185.3758967437693</v>
      </c>
      <c r="T31" s="133">
        <v>1093.1908803839817</v>
      </c>
      <c r="U31" s="133">
        <v>1191.1029500676559</v>
      </c>
      <c r="V31" s="133">
        <v>1065.0425647448799</v>
      </c>
      <c r="W31" s="133">
        <v>1094.9458771985835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139.31773839403684</v>
      </c>
      <c r="C33" s="68">
        <v>178.47433485949398</v>
      </c>
      <c r="D33" s="68">
        <v>270.06592908766174</v>
      </c>
      <c r="E33" s="68">
        <v>422.95361895438378</v>
      </c>
      <c r="F33" s="68">
        <v>519.03734008580102</v>
      </c>
      <c r="G33" s="68">
        <v>527.03406416514986</v>
      </c>
      <c r="H33" s="68">
        <v>602.2848798638222</v>
      </c>
      <c r="I33" s="68">
        <v>548.06104442423373</v>
      </c>
      <c r="J33" s="68">
        <v>628.22803260788169</v>
      </c>
      <c r="K33" s="68">
        <v>572.36198989798561</v>
      </c>
      <c r="L33" s="68">
        <v>567.86827216858751</v>
      </c>
      <c r="M33" s="68">
        <v>553.60930675816076</v>
      </c>
      <c r="N33" s="68">
        <v>553.10636393042864</v>
      </c>
      <c r="O33" s="68">
        <v>530.71005458954107</v>
      </c>
      <c r="P33" s="68">
        <v>449.07126615171757</v>
      </c>
      <c r="Q33" s="68">
        <v>450.7425937791013</v>
      </c>
      <c r="R33" s="68">
        <v>431.62280746238929</v>
      </c>
      <c r="S33" s="68">
        <v>437.6131927060552</v>
      </c>
      <c r="T33" s="68">
        <v>508.76142191406137</v>
      </c>
      <c r="U33" s="68">
        <v>421.83271384533225</v>
      </c>
      <c r="V33" s="68">
        <v>356.9171272724634</v>
      </c>
      <c r="W33" s="68">
        <v>456.18223859350235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5700.4670448770903</v>
      </c>
      <c r="C3" s="126">
        <f t="shared" si="0"/>
        <v>5978.7317806825176</v>
      </c>
      <c r="D3" s="126">
        <f t="shared" si="0"/>
        <v>6025.4401137787308</v>
      </c>
      <c r="E3" s="126">
        <f t="shared" si="0"/>
        <v>7112.8450705717651</v>
      </c>
      <c r="F3" s="126">
        <f t="shared" si="0"/>
        <v>7082.8081076513981</v>
      </c>
      <c r="G3" s="126">
        <f t="shared" si="0"/>
        <v>8111.9115626849634</v>
      </c>
      <c r="H3" s="126">
        <f t="shared" si="0"/>
        <v>8612.8435882884241</v>
      </c>
      <c r="I3" s="126">
        <f t="shared" si="0"/>
        <v>8470.60396657614</v>
      </c>
      <c r="J3" s="126">
        <f t="shared" si="0"/>
        <v>9782.5594236085326</v>
      </c>
      <c r="K3" s="126">
        <f t="shared" si="0"/>
        <v>9924.4843436013034</v>
      </c>
      <c r="L3" s="126">
        <f t="shared" si="0"/>
        <v>10026.679884892177</v>
      </c>
      <c r="M3" s="126">
        <f t="shared" si="0"/>
        <v>9570.3456328682551</v>
      </c>
      <c r="N3" s="126">
        <f t="shared" si="0"/>
        <v>10392.470728798231</v>
      </c>
      <c r="O3" s="126">
        <f t="shared" si="0"/>
        <v>10229.981057898467</v>
      </c>
      <c r="P3" s="126">
        <f t="shared" si="0"/>
        <v>9816.0987007122112</v>
      </c>
      <c r="Q3" s="126">
        <f t="shared" si="0"/>
        <v>11810.18248202545</v>
      </c>
      <c r="R3" s="126">
        <f t="shared" ref="R3:W3" si="1">SUM(R4,R16,R19,R29)</f>
        <v>11706.402807944329</v>
      </c>
      <c r="S3" s="126">
        <f t="shared" si="1"/>
        <v>12577.310575031279</v>
      </c>
      <c r="T3" s="126">
        <f t="shared" si="1"/>
        <v>13066.021025182588</v>
      </c>
      <c r="U3" s="126">
        <f t="shared" si="1"/>
        <v>12813.233983912192</v>
      </c>
      <c r="V3" s="126">
        <f t="shared" si="1"/>
        <v>11647.957310612319</v>
      </c>
      <c r="W3" s="126">
        <f t="shared" si="1"/>
        <v>11561.393624441011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3588.6625049364152</v>
      </c>
      <c r="C4" s="131">
        <f t="shared" si="2"/>
        <v>3773.1754991071684</v>
      </c>
      <c r="D4" s="131">
        <f t="shared" si="2"/>
        <v>3780.9687907892303</v>
      </c>
      <c r="E4" s="131">
        <f t="shared" si="2"/>
        <v>4403.4550982281362</v>
      </c>
      <c r="F4" s="131">
        <f t="shared" si="2"/>
        <v>4703.3545059725739</v>
      </c>
      <c r="G4" s="131">
        <f t="shared" si="2"/>
        <v>5671.3527666790487</v>
      </c>
      <c r="H4" s="131">
        <f t="shared" si="2"/>
        <v>6014.6070730277315</v>
      </c>
      <c r="I4" s="131">
        <f t="shared" si="2"/>
        <v>5791.9500707125035</v>
      </c>
      <c r="J4" s="131">
        <f t="shared" si="2"/>
        <v>6943.0577497549257</v>
      </c>
      <c r="K4" s="131">
        <f t="shared" si="2"/>
        <v>7005.143695283632</v>
      </c>
      <c r="L4" s="131">
        <f t="shared" si="2"/>
        <v>7179.8796833814285</v>
      </c>
      <c r="M4" s="131">
        <f t="shared" si="2"/>
        <v>6596.1427821730122</v>
      </c>
      <c r="N4" s="131">
        <f t="shared" si="2"/>
        <v>6962.5928555079445</v>
      </c>
      <c r="O4" s="131">
        <f t="shared" si="2"/>
        <v>7205.9643568279744</v>
      </c>
      <c r="P4" s="131">
        <f t="shared" si="2"/>
        <v>6822.9922820747061</v>
      </c>
      <c r="Q4" s="131">
        <f t="shared" si="2"/>
        <v>8287.1904563628959</v>
      </c>
      <c r="R4" s="131">
        <f t="shared" ref="R4:W4" si="3">SUM(R5:R15)</f>
        <v>8551.8470708509831</v>
      </c>
      <c r="S4" s="131">
        <f t="shared" si="3"/>
        <v>9030.3819054952892</v>
      </c>
      <c r="T4" s="131">
        <f t="shared" si="3"/>
        <v>9777.2019094386233</v>
      </c>
      <c r="U4" s="131">
        <f t="shared" si="3"/>
        <v>9285.8871702771667</v>
      </c>
      <c r="V4" s="131">
        <f t="shared" si="3"/>
        <v>8653.6542821779185</v>
      </c>
      <c r="W4" s="131">
        <f t="shared" si="3"/>
        <v>8153.7835631377839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147.56906906936345</v>
      </c>
      <c r="C6" s="133">
        <v>146.60774509836918</v>
      </c>
      <c r="D6" s="133">
        <v>138.18131920693088</v>
      </c>
      <c r="E6" s="133">
        <v>166.56653994522713</v>
      </c>
      <c r="F6" s="133">
        <v>164.29701334511972</v>
      </c>
      <c r="G6" s="133">
        <v>180.80343881423829</v>
      </c>
      <c r="H6" s="133">
        <v>172.19405148123212</v>
      </c>
      <c r="I6" s="133">
        <v>156.20717169525625</v>
      </c>
      <c r="J6" s="133">
        <v>180.17333164258685</v>
      </c>
      <c r="K6" s="133">
        <v>180.95726686399396</v>
      </c>
      <c r="L6" s="133">
        <v>183.65798638854707</v>
      </c>
      <c r="M6" s="133">
        <v>156.28692739601507</v>
      </c>
      <c r="N6" s="133">
        <v>129.51482434621084</v>
      </c>
      <c r="O6" s="133">
        <v>129.6772853369128</v>
      </c>
      <c r="P6" s="133">
        <v>104.22435145865578</v>
      </c>
      <c r="Q6" s="133">
        <v>94.793111766752247</v>
      </c>
      <c r="R6" s="133">
        <v>103.50262306907536</v>
      </c>
      <c r="S6" s="133">
        <v>108.96828462412066</v>
      </c>
      <c r="T6" s="133">
        <v>105.57736611161766</v>
      </c>
      <c r="U6" s="133">
        <v>113.10293864393977</v>
      </c>
      <c r="V6" s="133">
        <v>113.70264186763303</v>
      </c>
      <c r="W6" s="133">
        <v>146.49122997526925</v>
      </c>
      <c r="DA6" s="157" t="s">
        <v>303</v>
      </c>
    </row>
    <row r="7" spans="1:105" ht="12" customHeight="1" x14ac:dyDescent="0.25">
      <c r="A7" s="132" t="s">
        <v>168</v>
      </c>
      <c r="B7" s="133">
        <v>164.94212106394403</v>
      </c>
      <c r="C7" s="133">
        <v>106.92944700633649</v>
      </c>
      <c r="D7" s="133">
        <v>148.52230097422333</v>
      </c>
      <c r="E7" s="133">
        <v>205.48650400576719</v>
      </c>
      <c r="F7" s="133">
        <v>226.81781817402211</v>
      </c>
      <c r="G7" s="133">
        <v>243.36237061031571</v>
      </c>
      <c r="H7" s="133">
        <v>257.02129626968213</v>
      </c>
      <c r="I7" s="133">
        <v>237.63359616467716</v>
      </c>
      <c r="J7" s="133">
        <v>272.34779665466851</v>
      </c>
      <c r="K7" s="133">
        <v>159.06983069939614</v>
      </c>
      <c r="L7" s="133">
        <v>171.51777165204533</v>
      </c>
      <c r="M7" s="133">
        <v>155.22577986465225</v>
      </c>
      <c r="N7" s="133">
        <v>147.54239119525124</v>
      </c>
      <c r="O7" s="133">
        <v>123.11532381809448</v>
      </c>
      <c r="P7" s="133">
        <v>122.03455581703979</v>
      </c>
      <c r="Q7" s="133">
        <v>137.30897212161261</v>
      </c>
      <c r="R7" s="133">
        <v>137.08642804079912</v>
      </c>
      <c r="S7" s="133">
        <v>91.119530029199353</v>
      </c>
      <c r="T7" s="133">
        <v>104.79421868327852</v>
      </c>
      <c r="U7" s="133">
        <v>74.723162950067064</v>
      </c>
      <c r="V7" s="133">
        <v>58.148684579862291</v>
      </c>
      <c r="W7" s="133">
        <v>102.95430200356668</v>
      </c>
      <c r="DA7" s="157" t="s">
        <v>304</v>
      </c>
    </row>
    <row r="8" spans="1:105" ht="12" customHeight="1" x14ac:dyDescent="0.25">
      <c r="A8" s="132" t="s">
        <v>73</v>
      </c>
      <c r="B8" s="133">
        <v>2.3872808055975461</v>
      </c>
      <c r="C8" s="133">
        <v>3.5294472899189966</v>
      </c>
      <c r="D8" s="133">
        <v>4.5334931548242796</v>
      </c>
      <c r="E8" s="133">
        <v>6.4878768931557991</v>
      </c>
      <c r="F8" s="133">
        <v>7.7866567359461651</v>
      </c>
      <c r="G8" s="133">
        <v>9.4475461703235037</v>
      </c>
      <c r="H8" s="133">
        <v>11.299765091558545</v>
      </c>
      <c r="I8" s="133">
        <v>13.405101578630228</v>
      </c>
      <c r="J8" s="133">
        <v>15.781254311510144</v>
      </c>
      <c r="K8" s="133">
        <v>18.817444100590421</v>
      </c>
      <c r="L8" s="133">
        <v>22.719475491064578</v>
      </c>
      <c r="M8" s="133">
        <v>29.722140939037082</v>
      </c>
      <c r="N8" s="133">
        <v>40.569267914666383</v>
      </c>
      <c r="O8" s="133">
        <v>58.530446734440829</v>
      </c>
      <c r="P8" s="133">
        <v>82.558635495036754</v>
      </c>
      <c r="Q8" s="133">
        <v>115.93164537809098</v>
      </c>
      <c r="R8" s="133">
        <v>119.32185330703867</v>
      </c>
      <c r="S8" s="133">
        <v>125.13988422007397</v>
      </c>
      <c r="T8" s="133">
        <v>134.01777724321539</v>
      </c>
      <c r="U8" s="133">
        <v>146.15044533973906</v>
      </c>
      <c r="V8" s="133">
        <v>168.36429275893116</v>
      </c>
      <c r="W8" s="133">
        <v>195.27732485659575</v>
      </c>
      <c r="DA8" s="157" t="s">
        <v>305</v>
      </c>
    </row>
    <row r="9" spans="1:105" ht="12" customHeight="1" x14ac:dyDescent="0.25">
      <c r="A9" s="132" t="s">
        <v>78</v>
      </c>
      <c r="B9" s="133">
        <v>1977.7613543331386</v>
      </c>
      <c r="C9" s="133">
        <v>2166.2020933429376</v>
      </c>
      <c r="D9" s="133">
        <v>2035.9815569368566</v>
      </c>
      <c r="E9" s="133">
        <v>2585.0852121231705</v>
      </c>
      <c r="F9" s="133">
        <v>2642.4664627875463</v>
      </c>
      <c r="G9" s="133">
        <v>3322.5503424502917</v>
      </c>
      <c r="H9" s="133">
        <v>3488.3925744952085</v>
      </c>
      <c r="I9" s="133">
        <v>3210.2416905321606</v>
      </c>
      <c r="J9" s="133">
        <v>4195.252468009</v>
      </c>
      <c r="K9" s="133">
        <v>4228.883545621281</v>
      </c>
      <c r="L9" s="133">
        <v>4307.1294773945474</v>
      </c>
      <c r="M9" s="133">
        <v>3510.9840461423923</v>
      </c>
      <c r="N9" s="133">
        <v>3584.967711849089</v>
      </c>
      <c r="O9" s="133">
        <v>3621.8153652131741</v>
      </c>
      <c r="P9" s="133">
        <v>2731.1917091727851</v>
      </c>
      <c r="Q9" s="133">
        <v>3034.4878553518347</v>
      </c>
      <c r="R9" s="133">
        <v>3055.8419126021149</v>
      </c>
      <c r="S9" s="133">
        <v>3156.8744281899435</v>
      </c>
      <c r="T9" s="133">
        <v>3739.3475501216703</v>
      </c>
      <c r="U9" s="133">
        <v>3717.1969601156929</v>
      </c>
      <c r="V9" s="133">
        <v>3632.6470973046835</v>
      </c>
      <c r="W9" s="133">
        <v>3319.649153762296</v>
      </c>
      <c r="DA9" s="157" t="s">
        <v>306</v>
      </c>
    </row>
    <row r="10" spans="1:105" ht="12" customHeight="1" x14ac:dyDescent="0.25">
      <c r="A10" s="132" t="s">
        <v>128</v>
      </c>
      <c r="B10" s="133">
        <v>4.5949886090932468</v>
      </c>
      <c r="C10" s="133">
        <v>4.8354034158874546</v>
      </c>
      <c r="D10" s="133">
        <v>4.4537699026825122</v>
      </c>
      <c r="E10" s="133">
        <v>4.5319055410806692</v>
      </c>
      <c r="F10" s="133">
        <v>4.6788205646688263</v>
      </c>
      <c r="G10" s="133">
        <v>4.8145531047233856</v>
      </c>
      <c r="H10" s="133">
        <v>6.3243768784644088</v>
      </c>
      <c r="I10" s="133">
        <v>5.1441961211874316</v>
      </c>
      <c r="J10" s="133">
        <v>5.3422664688813422</v>
      </c>
      <c r="K10" s="133">
        <v>8.3204957007572879</v>
      </c>
      <c r="L10" s="133">
        <v>13.444198957136244</v>
      </c>
      <c r="M10" s="133">
        <v>13.945772090020215</v>
      </c>
      <c r="N10" s="133">
        <v>13.948597897709607</v>
      </c>
      <c r="O10" s="133">
        <v>23.375236435641007</v>
      </c>
      <c r="P10" s="133">
        <v>39.175702438658334</v>
      </c>
      <c r="Q10" s="133">
        <v>33.368196149915548</v>
      </c>
      <c r="R10" s="133">
        <v>42.381666255205914</v>
      </c>
      <c r="S10" s="133">
        <v>43.258467133452953</v>
      </c>
      <c r="T10" s="133">
        <v>42.455479414918017</v>
      </c>
      <c r="U10" s="133">
        <v>46.832454881238483</v>
      </c>
      <c r="V10" s="133">
        <v>48.272447796730631</v>
      </c>
      <c r="W10" s="133">
        <v>53.88453596573973</v>
      </c>
      <c r="DA10" s="157" t="s">
        <v>307</v>
      </c>
    </row>
    <row r="11" spans="1:105" ht="12" customHeight="1" x14ac:dyDescent="0.25">
      <c r="A11" s="132" t="s">
        <v>25</v>
      </c>
      <c r="B11" s="133">
        <v>101.66134420163743</v>
      </c>
      <c r="C11" s="133">
        <v>104.15023410175588</v>
      </c>
      <c r="D11" s="133">
        <v>104.41843458995969</v>
      </c>
      <c r="E11" s="133">
        <v>104.49082780489327</v>
      </c>
      <c r="F11" s="133">
        <v>102.54713829223162</v>
      </c>
      <c r="G11" s="133">
        <v>102.63703403624791</v>
      </c>
      <c r="H11" s="133">
        <v>102.98044266767138</v>
      </c>
      <c r="I11" s="133">
        <v>103.56476259062526</v>
      </c>
      <c r="J11" s="133">
        <v>103.93761815888426</v>
      </c>
      <c r="K11" s="133">
        <v>104.39402745721691</v>
      </c>
      <c r="L11" s="133">
        <v>60.397590661094299</v>
      </c>
      <c r="M11" s="133">
        <v>60.896900257549319</v>
      </c>
      <c r="N11" s="133">
        <v>62.473048575719105</v>
      </c>
      <c r="O11" s="133">
        <v>63.415696526978202</v>
      </c>
      <c r="P11" s="133">
        <v>60.778482030407659</v>
      </c>
      <c r="Q11" s="133">
        <v>62.753267290892737</v>
      </c>
      <c r="R11" s="133">
        <v>62.558025624829163</v>
      </c>
      <c r="S11" s="133">
        <v>65.71452038548459</v>
      </c>
      <c r="T11" s="133">
        <v>64.937577785940491</v>
      </c>
      <c r="U11" s="133">
        <v>64.755870510920914</v>
      </c>
      <c r="V11" s="133">
        <v>60.232623145064551</v>
      </c>
      <c r="W11" s="133">
        <v>57.966550646285967</v>
      </c>
      <c r="DA11" s="157" t="s">
        <v>308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46.999287313108724</v>
      </c>
      <c r="G12" s="133">
        <v>47.794232132771342</v>
      </c>
      <c r="H12" s="133">
        <v>70.003551858635802</v>
      </c>
      <c r="I12" s="133">
        <v>72.911119380508708</v>
      </c>
      <c r="J12" s="133">
        <v>72.508627372001214</v>
      </c>
      <c r="K12" s="133">
        <v>63.377257765066055</v>
      </c>
      <c r="L12" s="133">
        <v>51.657755469839692</v>
      </c>
      <c r="M12" s="133">
        <v>127.34850367211381</v>
      </c>
      <c r="N12" s="133">
        <v>97.025244798976289</v>
      </c>
      <c r="O12" s="133">
        <v>133.6413332757684</v>
      </c>
      <c r="P12" s="133">
        <v>201.61893090595069</v>
      </c>
      <c r="Q12" s="133">
        <v>169.28665790283947</v>
      </c>
      <c r="R12" s="133">
        <v>182.78705080970462</v>
      </c>
      <c r="S12" s="133">
        <v>240.0432994683373</v>
      </c>
      <c r="T12" s="133">
        <v>303.39552312612688</v>
      </c>
      <c r="U12" s="133">
        <v>232.77960304050873</v>
      </c>
      <c r="V12" s="133">
        <v>235.83711139911887</v>
      </c>
      <c r="W12" s="133">
        <v>268.72261079391865</v>
      </c>
      <c r="DA12" s="157" t="s">
        <v>309</v>
      </c>
    </row>
    <row r="13" spans="1:105" ht="12" customHeight="1" x14ac:dyDescent="0.25">
      <c r="A13" s="132" t="s">
        <v>77</v>
      </c>
      <c r="B13" s="133">
        <v>5.5550774078471319</v>
      </c>
      <c r="C13" s="133">
        <v>9.334176749209421</v>
      </c>
      <c r="D13" s="133">
        <v>25.823648262769979</v>
      </c>
      <c r="E13" s="133">
        <v>28.764746388553398</v>
      </c>
      <c r="F13" s="133">
        <v>62.58685467450865</v>
      </c>
      <c r="G13" s="133">
        <v>122.45964406077562</v>
      </c>
      <c r="H13" s="133">
        <v>165.045082504335</v>
      </c>
      <c r="I13" s="133">
        <v>191.0327341887091</v>
      </c>
      <c r="J13" s="133">
        <v>216.88512333030374</v>
      </c>
      <c r="K13" s="133">
        <v>286.10292086108655</v>
      </c>
      <c r="L13" s="133">
        <v>329.10668363627587</v>
      </c>
      <c r="M13" s="133">
        <v>500.40791613866162</v>
      </c>
      <c r="N13" s="133">
        <v>809.7957382454224</v>
      </c>
      <c r="O13" s="133">
        <v>1023.2756243856377</v>
      </c>
      <c r="P13" s="133">
        <v>1656.768733834771</v>
      </c>
      <c r="Q13" s="133">
        <v>3038.4476694094642</v>
      </c>
      <c r="R13" s="133">
        <v>3190.4969825954586</v>
      </c>
      <c r="S13" s="133">
        <v>3562.0760990798249</v>
      </c>
      <c r="T13" s="133">
        <v>3461.5916684516624</v>
      </c>
      <c r="U13" s="133">
        <v>3296.5409457181777</v>
      </c>
      <c r="V13" s="133">
        <v>3222.7704638325408</v>
      </c>
      <c r="W13" s="133">
        <v>2539.7398968051193</v>
      </c>
      <c r="DA13" s="157" t="s">
        <v>310</v>
      </c>
    </row>
    <row r="14" spans="1:105" ht="12" customHeight="1" x14ac:dyDescent="0.25">
      <c r="A14" s="60" t="s">
        <v>76</v>
      </c>
      <c r="B14" s="65">
        <v>1137.8196255453379</v>
      </c>
      <c r="C14" s="65">
        <v>1183.6819706468132</v>
      </c>
      <c r="D14" s="65">
        <v>1273.958595431028</v>
      </c>
      <c r="E14" s="65">
        <v>1245.8181000110881</v>
      </c>
      <c r="F14" s="65">
        <v>1388.306274556395</v>
      </c>
      <c r="G14" s="65">
        <v>1568.5721885450153</v>
      </c>
      <c r="H14" s="65">
        <v>1670.3323721790475</v>
      </c>
      <c r="I14" s="65">
        <v>1737.3994901959268</v>
      </c>
      <c r="J14" s="65">
        <v>1799.1041024853062</v>
      </c>
      <c r="K14" s="65">
        <v>1875.906571875383</v>
      </c>
      <c r="L14" s="65">
        <v>1960.4791866527473</v>
      </c>
      <c r="M14" s="65">
        <v>1976.1742482320872</v>
      </c>
      <c r="N14" s="65">
        <v>2011.6814470079782</v>
      </c>
      <c r="O14" s="65">
        <v>1964.1252115980342</v>
      </c>
      <c r="P14" s="65">
        <v>1774.6462683933196</v>
      </c>
      <c r="Q14" s="65">
        <v>1546.2046632928023</v>
      </c>
      <c r="R14" s="65">
        <v>1602.9928406585914</v>
      </c>
      <c r="S14" s="65">
        <v>1581.5241536467652</v>
      </c>
      <c r="T14" s="65">
        <v>1755.7681261530754</v>
      </c>
      <c r="U14" s="65">
        <v>1529.4384505629093</v>
      </c>
      <c r="V14" s="65">
        <v>1050.851249615587</v>
      </c>
      <c r="W14" s="65">
        <v>1409.8304440733659</v>
      </c>
      <c r="DA14" s="109" t="s">
        <v>311</v>
      </c>
    </row>
    <row r="15" spans="1:105" ht="12" customHeight="1" x14ac:dyDescent="0.25">
      <c r="A15" s="134" t="s">
        <v>80</v>
      </c>
      <c r="B15" s="135">
        <v>46.371643900456036</v>
      </c>
      <c r="C15" s="135">
        <v>47.904981455940408</v>
      </c>
      <c r="D15" s="135">
        <v>45.095672329955171</v>
      </c>
      <c r="E15" s="135">
        <v>56.22338551520086</v>
      </c>
      <c r="F15" s="135">
        <v>56.868179529026833</v>
      </c>
      <c r="G15" s="135">
        <v>68.911416754345836</v>
      </c>
      <c r="H15" s="135">
        <v>71.013559601895366</v>
      </c>
      <c r="I15" s="135">
        <v>64.410208264821478</v>
      </c>
      <c r="J15" s="135">
        <v>81.725161321782792</v>
      </c>
      <c r="K15" s="135">
        <v>79.314334338860832</v>
      </c>
      <c r="L15" s="135">
        <v>79.769557078130873</v>
      </c>
      <c r="M15" s="135">
        <v>65.150547440483052</v>
      </c>
      <c r="N15" s="135">
        <v>65.074583676921193</v>
      </c>
      <c r="O15" s="135">
        <v>64.992833503292758</v>
      </c>
      <c r="P15" s="135">
        <v>49.994912528081628</v>
      </c>
      <c r="Q15" s="135">
        <v>54.608417698690772</v>
      </c>
      <c r="R15" s="135">
        <v>54.877687888164793</v>
      </c>
      <c r="S15" s="135">
        <v>55.663238718087833</v>
      </c>
      <c r="T15" s="135">
        <v>65.31662234711861</v>
      </c>
      <c r="U15" s="135">
        <v>64.366338513971499</v>
      </c>
      <c r="V15" s="135">
        <v>62.827669877766645</v>
      </c>
      <c r="W15" s="135">
        <v>59.267514255627425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276.46085423494219</v>
      </c>
      <c r="C16" s="131">
        <f t="shared" si="4"/>
        <v>326.73878051308441</v>
      </c>
      <c r="D16" s="131">
        <f t="shared" si="4"/>
        <v>313.2605501575074</v>
      </c>
      <c r="E16" s="131">
        <f t="shared" si="4"/>
        <v>766.60509356000159</v>
      </c>
      <c r="F16" s="131">
        <f t="shared" si="4"/>
        <v>372.24870818028535</v>
      </c>
      <c r="G16" s="131">
        <f t="shared" si="4"/>
        <v>393.1612507395576</v>
      </c>
      <c r="H16" s="131">
        <f t="shared" si="4"/>
        <v>511.15248802524712</v>
      </c>
      <c r="I16" s="131">
        <f t="shared" si="4"/>
        <v>521.12957471920583</v>
      </c>
      <c r="J16" s="131">
        <f t="shared" si="4"/>
        <v>648.31034349796982</v>
      </c>
      <c r="K16" s="131">
        <f t="shared" si="4"/>
        <v>711.22396581759358</v>
      </c>
      <c r="L16" s="131">
        <f t="shared" si="4"/>
        <v>615.3054079221713</v>
      </c>
      <c r="M16" s="131">
        <f t="shared" si="4"/>
        <v>706.39183707910809</v>
      </c>
      <c r="N16" s="131">
        <f t="shared" si="4"/>
        <v>1159.2911853603646</v>
      </c>
      <c r="O16" s="131">
        <f t="shared" si="4"/>
        <v>706.26441346137915</v>
      </c>
      <c r="P16" s="131">
        <f t="shared" si="4"/>
        <v>628.34774762152767</v>
      </c>
      <c r="Q16" s="131">
        <f t="shared" si="4"/>
        <v>1138.114498774326</v>
      </c>
      <c r="R16" s="131">
        <f t="shared" ref="R16:W16" si="5">SUM(R17:R18)</f>
        <v>736.20712586668401</v>
      </c>
      <c r="S16" s="131">
        <f t="shared" si="5"/>
        <v>1136.3378687970603</v>
      </c>
      <c r="T16" s="131">
        <f t="shared" si="5"/>
        <v>875.09202411419051</v>
      </c>
      <c r="U16" s="131">
        <f t="shared" si="5"/>
        <v>1177.3117822231197</v>
      </c>
      <c r="V16" s="131">
        <f t="shared" si="5"/>
        <v>859.97364652307249</v>
      </c>
      <c r="W16" s="131">
        <f t="shared" si="5"/>
        <v>1081.5249932413658</v>
      </c>
      <c r="DA16" s="156" t="s">
        <v>313</v>
      </c>
    </row>
    <row r="17" spans="1:105" ht="12.95" customHeight="1" x14ac:dyDescent="0.25">
      <c r="A17" s="132" t="s">
        <v>73</v>
      </c>
      <c r="B17" s="133">
        <v>0.5451894397936462</v>
      </c>
      <c r="C17" s="133">
        <v>0.94669264989054369</v>
      </c>
      <c r="D17" s="133">
        <v>0.8870178371123042</v>
      </c>
      <c r="E17" s="133">
        <v>2.7039423117732735</v>
      </c>
      <c r="F17" s="133">
        <v>1.6206444174529901</v>
      </c>
      <c r="G17" s="133">
        <v>1.8277249006014284</v>
      </c>
      <c r="H17" s="133">
        <v>2.684293995554818</v>
      </c>
      <c r="I17" s="133">
        <v>2.9913754118638152</v>
      </c>
      <c r="J17" s="133">
        <v>4.2051726615762561</v>
      </c>
      <c r="K17" s="133">
        <v>5.3666236556460571</v>
      </c>
      <c r="L17" s="133">
        <v>5.1640088792426431</v>
      </c>
      <c r="M17" s="133">
        <v>6.3695629874523929</v>
      </c>
      <c r="N17" s="133">
        <v>11.127705152029018</v>
      </c>
      <c r="O17" s="133">
        <v>7.5654096130852295</v>
      </c>
      <c r="P17" s="133">
        <v>7.3559267385178222</v>
      </c>
      <c r="Q17" s="133">
        <v>14.255293821365298</v>
      </c>
      <c r="R17" s="133">
        <v>10.147569785767086</v>
      </c>
      <c r="S17" s="133">
        <v>16.440971443849723</v>
      </c>
      <c r="T17" s="133">
        <v>13.170628129538549</v>
      </c>
      <c r="U17" s="133">
        <v>18.035984560827504</v>
      </c>
      <c r="V17" s="133">
        <v>13.46679178796826</v>
      </c>
      <c r="W17" s="133">
        <v>16.855502893884903</v>
      </c>
      <c r="DA17" s="157" t="s">
        <v>314</v>
      </c>
    </row>
    <row r="18" spans="1:105" ht="12" customHeight="1" x14ac:dyDescent="0.25">
      <c r="A18" s="132" t="s">
        <v>72</v>
      </c>
      <c r="B18" s="133">
        <v>275.91566479514853</v>
      </c>
      <c r="C18" s="133">
        <v>325.79208786319384</v>
      </c>
      <c r="D18" s="133">
        <v>312.3735323203951</v>
      </c>
      <c r="E18" s="133">
        <v>763.9011512482283</v>
      </c>
      <c r="F18" s="133">
        <v>370.62806376283237</v>
      </c>
      <c r="G18" s="133">
        <v>391.33352583895618</v>
      </c>
      <c r="H18" s="133">
        <v>508.46819402969231</v>
      </c>
      <c r="I18" s="133">
        <v>518.13819930734201</v>
      </c>
      <c r="J18" s="133">
        <v>644.10517083639354</v>
      </c>
      <c r="K18" s="133">
        <v>705.85734216194749</v>
      </c>
      <c r="L18" s="133">
        <v>610.1413990429287</v>
      </c>
      <c r="M18" s="133">
        <v>700.02227409165573</v>
      </c>
      <c r="N18" s="133">
        <v>1148.1634802083356</v>
      </c>
      <c r="O18" s="133">
        <v>698.69900384829396</v>
      </c>
      <c r="P18" s="133">
        <v>620.99182088300984</v>
      </c>
      <c r="Q18" s="133">
        <v>1123.8592049529607</v>
      </c>
      <c r="R18" s="133">
        <v>726.05955608091688</v>
      </c>
      <c r="S18" s="133">
        <v>1119.8968973532105</v>
      </c>
      <c r="T18" s="133">
        <v>861.92139598465201</v>
      </c>
      <c r="U18" s="133">
        <v>1159.2757976622922</v>
      </c>
      <c r="V18" s="133">
        <v>846.50685473510418</v>
      </c>
      <c r="W18" s="133">
        <v>1064.6694903474809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880.98963665132067</v>
      </c>
      <c r="C19" s="131">
        <f t="shared" si="6"/>
        <v>913.67031332317026</v>
      </c>
      <c r="D19" s="131">
        <f t="shared" si="6"/>
        <v>941.47636930050248</v>
      </c>
      <c r="E19" s="131">
        <f t="shared" si="6"/>
        <v>941.77721013356188</v>
      </c>
      <c r="F19" s="131">
        <f t="shared" si="6"/>
        <v>968.69549022551564</v>
      </c>
      <c r="G19" s="131">
        <f t="shared" si="6"/>
        <v>961.91605762260861</v>
      </c>
      <c r="H19" s="131">
        <f t="shared" si="6"/>
        <v>985.50108892196386</v>
      </c>
      <c r="I19" s="131">
        <f t="shared" si="6"/>
        <v>1024.9094866201806</v>
      </c>
      <c r="J19" s="131">
        <f t="shared" si="6"/>
        <v>1028.2368901952107</v>
      </c>
      <c r="K19" s="131">
        <f t="shared" si="6"/>
        <v>1025.3731977860209</v>
      </c>
      <c r="L19" s="131">
        <f t="shared" si="6"/>
        <v>1037.8830434610363</v>
      </c>
      <c r="M19" s="131">
        <f t="shared" si="6"/>
        <v>1062.5876723864969</v>
      </c>
      <c r="N19" s="131">
        <f t="shared" si="6"/>
        <v>1055.5539163089677</v>
      </c>
      <c r="O19" s="131">
        <f t="shared" si="6"/>
        <v>1091.7761325715635</v>
      </c>
      <c r="P19" s="131">
        <f t="shared" si="6"/>
        <v>1117.1437252169935</v>
      </c>
      <c r="Q19" s="131">
        <f t="shared" si="6"/>
        <v>1124.1240790814754</v>
      </c>
      <c r="R19" s="131">
        <f t="shared" ref="R19:W19" si="7">SUM(R20:R27)</f>
        <v>1149.9660413206514</v>
      </c>
      <c r="S19" s="131">
        <f t="shared" si="7"/>
        <v>1139.2624067715094</v>
      </c>
      <c r="T19" s="131">
        <f t="shared" si="7"/>
        <v>1137.1194981102242</v>
      </c>
      <c r="U19" s="131">
        <f t="shared" si="7"/>
        <v>1088.401848482669</v>
      </c>
      <c r="V19" s="131">
        <f t="shared" si="7"/>
        <v>999.94583746461649</v>
      </c>
      <c r="W19" s="131">
        <f t="shared" si="7"/>
        <v>1080.9982115665255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49.216839435408524</v>
      </c>
      <c r="C21" s="133">
        <v>48.661612788685098</v>
      </c>
      <c r="D21" s="133">
        <v>45.525677115057107</v>
      </c>
      <c r="E21" s="133">
        <v>42.159296307027667</v>
      </c>
      <c r="F21" s="133">
        <v>41.406335636247732</v>
      </c>
      <c r="G21" s="133">
        <v>40.989460726973668</v>
      </c>
      <c r="H21" s="133">
        <v>40.191637469835825</v>
      </c>
      <c r="I21" s="133">
        <v>36.136593603512544</v>
      </c>
      <c r="J21" s="133">
        <v>35.06730178707231</v>
      </c>
      <c r="K21" s="133">
        <v>31.388989489993676</v>
      </c>
      <c r="L21" s="133">
        <v>29.407005677990412</v>
      </c>
      <c r="M21" s="133">
        <v>28.044438023395831</v>
      </c>
      <c r="N21" s="133">
        <v>22.937819049052415</v>
      </c>
      <c r="O21" s="133">
        <v>21.595493707538012</v>
      </c>
      <c r="P21" s="133">
        <v>17.341467581695895</v>
      </c>
      <c r="Q21" s="133">
        <v>15.757858072420778</v>
      </c>
      <c r="R21" s="133">
        <v>18.082294200303863</v>
      </c>
      <c r="S21" s="133">
        <v>18.863045421522003</v>
      </c>
      <c r="T21" s="133">
        <v>18.071232818150911</v>
      </c>
      <c r="U21" s="133">
        <v>18.783931217571951</v>
      </c>
      <c r="V21" s="133">
        <v>16.635929628326192</v>
      </c>
      <c r="W21" s="133">
        <v>18.039591617187089</v>
      </c>
      <c r="DA21" s="157" t="s">
        <v>318</v>
      </c>
    </row>
    <row r="22" spans="1:105" ht="12" customHeight="1" x14ac:dyDescent="0.25">
      <c r="A22" s="132" t="s">
        <v>168</v>
      </c>
      <c r="B22" s="133">
        <v>54.653321271859099</v>
      </c>
      <c r="C22" s="133">
        <v>50.792412883126794</v>
      </c>
      <c r="D22" s="133">
        <v>44.032547027791857</v>
      </c>
      <c r="E22" s="133">
        <v>40.803038950325167</v>
      </c>
      <c r="F22" s="133">
        <v>36.337160620061667</v>
      </c>
      <c r="G22" s="133">
        <v>33.997677209888046</v>
      </c>
      <c r="H22" s="133">
        <v>33.476448345269056</v>
      </c>
      <c r="I22" s="133">
        <v>31.599314911704049</v>
      </c>
      <c r="J22" s="133">
        <v>30.323946928866338</v>
      </c>
      <c r="K22" s="133">
        <v>25.610456270360313</v>
      </c>
      <c r="L22" s="133">
        <v>22.690457174103155</v>
      </c>
      <c r="M22" s="133">
        <v>22.123881843708666</v>
      </c>
      <c r="N22" s="133">
        <v>21.509034053880537</v>
      </c>
      <c r="O22" s="133">
        <v>21.85552879465072</v>
      </c>
      <c r="P22" s="133">
        <v>20.752504334810503</v>
      </c>
      <c r="Q22" s="133">
        <v>19.605481294850435</v>
      </c>
      <c r="R22" s="133">
        <v>18.402095955208861</v>
      </c>
      <c r="S22" s="133">
        <v>18.346782344223801</v>
      </c>
      <c r="T22" s="133">
        <v>17.818881229447729</v>
      </c>
      <c r="U22" s="133">
        <v>15.471208740934596</v>
      </c>
      <c r="V22" s="133">
        <v>12.203150262613924</v>
      </c>
      <c r="W22" s="133">
        <v>13.359143745332467</v>
      </c>
      <c r="DA22" s="157" t="s">
        <v>319</v>
      </c>
    </row>
    <row r="23" spans="1:105" ht="12" customHeight="1" x14ac:dyDescent="0.25">
      <c r="A23" s="132" t="s">
        <v>153</v>
      </c>
      <c r="B23" s="133">
        <v>351.78458631640945</v>
      </c>
      <c r="C23" s="133">
        <v>359.74471685144852</v>
      </c>
      <c r="D23" s="133">
        <v>367.13271095641659</v>
      </c>
      <c r="E23" s="133">
        <v>370.60244586589664</v>
      </c>
      <c r="F23" s="133">
        <v>373.75053238119432</v>
      </c>
      <c r="G23" s="133">
        <v>384.34807085898302</v>
      </c>
      <c r="H23" s="133">
        <v>388.73807763835214</v>
      </c>
      <c r="I23" s="133">
        <v>393.68518793567472</v>
      </c>
      <c r="J23" s="133">
        <v>401.99364418691175</v>
      </c>
      <c r="K23" s="133">
        <v>408.06299517153326</v>
      </c>
      <c r="L23" s="133">
        <v>409.58122671003815</v>
      </c>
      <c r="M23" s="133">
        <v>420.92593365526528</v>
      </c>
      <c r="N23" s="133">
        <v>431.93737912870063</v>
      </c>
      <c r="O23" s="133">
        <v>441.5950430569535</v>
      </c>
      <c r="P23" s="133">
        <v>448.37940366974368</v>
      </c>
      <c r="Q23" s="133">
        <v>457.77467310710767</v>
      </c>
      <c r="R23" s="133">
        <v>469.83882893996241</v>
      </c>
      <c r="S23" s="133">
        <v>500.22482296884306</v>
      </c>
      <c r="T23" s="133">
        <v>537.97308690425655</v>
      </c>
      <c r="U23" s="133">
        <v>469.58515260653394</v>
      </c>
      <c r="V23" s="133">
        <v>445.84690778924119</v>
      </c>
      <c r="W23" s="133">
        <v>506.60838752967624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8.7858883984991802</v>
      </c>
      <c r="G25" s="133">
        <v>9.0627161083493313</v>
      </c>
      <c r="H25" s="133">
        <v>9.0515330044215823</v>
      </c>
      <c r="I25" s="133">
        <v>9.1370937699482724</v>
      </c>
      <c r="J25" s="133">
        <v>9.4142033007213524</v>
      </c>
      <c r="K25" s="133">
        <v>11.487656597962063</v>
      </c>
      <c r="L25" s="133">
        <v>12.443307823089786</v>
      </c>
      <c r="M25" s="133">
        <v>14.672874752785415</v>
      </c>
      <c r="N25" s="133">
        <v>17.984052523271608</v>
      </c>
      <c r="O25" s="133">
        <v>24.246738959012287</v>
      </c>
      <c r="P25" s="133">
        <v>28.14448374038005</v>
      </c>
      <c r="Q25" s="133">
        <v>29.007039273062297</v>
      </c>
      <c r="R25" s="133">
        <v>32.442813930505238</v>
      </c>
      <c r="S25" s="133">
        <v>33.471639526558995</v>
      </c>
      <c r="T25" s="133">
        <v>34.822131938127278</v>
      </c>
      <c r="U25" s="133">
        <v>32.875009256699812</v>
      </c>
      <c r="V25" s="133">
        <v>28.926092585407961</v>
      </c>
      <c r="W25" s="133">
        <v>31.696581503693601</v>
      </c>
      <c r="DA25" s="157" t="s">
        <v>322</v>
      </c>
    </row>
    <row r="26" spans="1:105" ht="12" customHeight="1" x14ac:dyDescent="0.25">
      <c r="A26" s="132" t="s">
        <v>24</v>
      </c>
      <c r="B26" s="65">
        <v>423.04194035851214</v>
      </c>
      <c r="C26" s="65">
        <v>451.91593881366737</v>
      </c>
      <c r="D26" s="65">
        <v>481.84760101121117</v>
      </c>
      <c r="E26" s="65">
        <v>484.82085549354554</v>
      </c>
      <c r="F26" s="65">
        <v>504.52236596681291</v>
      </c>
      <c r="G26" s="65">
        <v>487.76198482503543</v>
      </c>
      <c r="H26" s="65">
        <v>506.71080432994944</v>
      </c>
      <c r="I26" s="65">
        <v>543.36436604680443</v>
      </c>
      <c r="J26" s="65">
        <v>537.34587653678091</v>
      </c>
      <c r="K26" s="65">
        <v>530.93350438342873</v>
      </c>
      <c r="L26" s="65">
        <v>536.93869009989044</v>
      </c>
      <c r="M26" s="65">
        <v>548.75614170377503</v>
      </c>
      <c r="N26" s="65">
        <v>530.11177084898952</v>
      </c>
      <c r="O26" s="65">
        <v>548.85383536209338</v>
      </c>
      <c r="P26" s="65">
        <v>566.62732762725091</v>
      </c>
      <c r="Q26" s="65">
        <v>563.97868339594311</v>
      </c>
      <c r="R26" s="65">
        <v>571.16939780455925</v>
      </c>
      <c r="S26" s="65">
        <v>526.60177429196074</v>
      </c>
      <c r="T26" s="65">
        <v>484.74990038791145</v>
      </c>
      <c r="U26" s="65">
        <v>506.09720874175423</v>
      </c>
      <c r="V26" s="65">
        <v>453.07245023428084</v>
      </c>
      <c r="W26" s="65">
        <v>466.86209100554595</v>
      </c>
      <c r="DA26" s="109" t="s">
        <v>323</v>
      </c>
    </row>
    <row r="27" spans="1:105" ht="12" customHeight="1" x14ac:dyDescent="0.25">
      <c r="A27" s="145" t="s">
        <v>26</v>
      </c>
      <c r="B27" s="146">
        <v>2.2929492691315554</v>
      </c>
      <c r="C27" s="146">
        <v>2.5556319862424757</v>
      </c>
      <c r="D27" s="146">
        <v>2.9378331900257955</v>
      </c>
      <c r="E27" s="146">
        <v>3.3915735167669818</v>
      </c>
      <c r="F27" s="146">
        <v>3.8932072226999117</v>
      </c>
      <c r="G27" s="146">
        <v>5.7561478933791932</v>
      </c>
      <c r="H27" s="146">
        <v>7.3325881341358574</v>
      </c>
      <c r="I27" s="146">
        <v>10.986930352536543</v>
      </c>
      <c r="J27" s="146">
        <v>14.09191745485812</v>
      </c>
      <c r="K27" s="146">
        <v>17.889595872742913</v>
      </c>
      <c r="L27" s="146">
        <v>26.822355975924339</v>
      </c>
      <c r="M27" s="146">
        <v>28.064402407566639</v>
      </c>
      <c r="N27" s="146">
        <v>31.073860705073091</v>
      </c>
      <c r="O27" s="146">
        <v>33.629492691315576</v>
      </c>
      <c r="P27" s="146">
        <v>35.898538263112627</v>
      </c>
      <c r="Q27" s="146">
        <v>38.000343938091113</v>
      </c>
      <c r="R27" s="146">
        <v>40.030610490111776</v>
      </c>
      <c r="S27" s="146">
        <v>41.754342218400673</v>
      </c>
      <c r="T27" s="146">
        <v>43.684264832330179</v>
      </c>
      <c r="U27" s="146">
        <v>45.589337919174504</v>
      </c>
      <c r="V27" s="146">
        <v>43.261306964746353</v>
      </c>
      <c r="W27" s="146">
        <v>44.432416165090316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954.35404905441249</v>
      </c>
      <c r="C29" s="131">
        <f t="shared" si="8"/>
        <v>965.14718773909385</v>
      </c>
      <c r="D29" s="131">
        <f t="shared" si="8"/>
        <v>989.73440353149113</v>
      </c>
      <c r="E29" s="131">
        <f t="shared" si="8"/>
        <v>1001.0076686500654</v>
      </c>
      <c r="F29" s="131">
        <f t="shared" si="8"/>
        <v>1038.5094032730228</v>
      </c>
      <c r="G29" s="131">
        <f t="shared" si="8"/>
        <v>1085.4814876437483</v>
      </c>
      <c r="H29" s="131">
        <f t="shared" si="8"/>
        <v>1101.5829383134808</v>
      </c>
      <c r="I29" s="131">
        <f t="shared" si="8"/>
        <v>1132.6148345242495</v>
      </c>
      <c r="J29" s="131">
        <f t="shared" si="8"/>
        <v>1162.9544401604269</v>
      </c>
      <c r="K29" s="131">
        <f t="shared" si="8"/>
        <v>1182.7434847140569</v>
      </c>
      <c r="L29" s="131">
        <f t="shared" si="8"/>
        <v>1193.6117501275426</v>
      </c>
      <c r="M29" s="131">
        <f t="shared" si="8"/>
        <v>1205.2233412296382</v>
      </c>
      <c r="N29" s="131">
        <f t="shared" si="8"/>
        <v>1215.0327716209545</v>
      </c>
      <c r="O29" s="131">
        <f t="shared" si="8"/>
        <v>1225.9761550375501</v>
      </c>
      <c r="P29" s="131">
        <f t="shared" si="8"/>
        <v>1247.6149457989827</v>
      </c>
      <c r="Q29" s="131">
        <f t="shared" si="8"/>
        <v>1260.7534478067523</v>
      </c>
      <c r="R29" s="131">
        <f t="shared" ref="R29:W29" si="9">SUM(R30:R33)</f>
        <v>1268.3825699060108</v>
      </c>
      <c r="S29" s="131">
        <f t="shared" si="9"/>
        <v>1271.3283939674204</v>
      </c>
      <c r="T29" s="131">
        <f t="shared" si="9"/>
        <v>1276.6075935195504</v>
      </c>
      <c r="U29" s="131">
        <f t="shared" si="9"/>
        <v>1261.6331829292374</v>
      </c>
      <c r="V29" s="131">
        <f t="shared" si="9"/>
        <v>1134.3835444467111</v>
      </c>
      <c r="W29" s="131">
        <f t="shared" si="9"/>
        <v>1245.0868564953337</v>
      </c>
      <c r="DA29" s="156" t="s">
        <v>325</v>
      </c>
    </row>
    <row r="30" spans="1:105" ht="12" customHeight="1" x14ac:dyDescent="0.25">
      <c r="A30" s="132" t="s">
        <v>52</v>
      </c>
      <c r="B30" s="133">
        <v>171.56830182752563</v>
      </c>
      <c r="C30" s="133">
        <v>161.30640888058423</v>
      </c>
      <c r="D30" s="133">
        <v>163.54373958755608</v>
      </c>
      <c r="E30" s="133">
        <v>160.88126766445984</v>
      </c>
      <c r="F30" s="133">
        <v>153.29994118130696</v>
      </c>
      <c r="G30" s="133">
        <v>143.15559564634697</v>
      </c>
      <c r="H30" s="133">
        <v>125.22554063306066</v>
      </c>
      <c r="I30" s="133">
        <v>132.12235584212496</v>
      </c>
      <c r="J30" s="133">
        <v>95.36013166163103</v>
      </c>
      <c r="K30" s="133">
        <v>122.42717287525311</v>
      </c>
      <c r="L30" s="133">
        <v>123.71621522556654</v>
      </c>
      <c r="M30" s="133">
        <v>127.4227398976043</v>
      </c>
      <c r="N30" s="133">
        <v>111.46294439551892</v>
      </c>
      <c r="O30" s="133">
        <v>120.62125446023101</v>
      </c>
      <c r="P30" s="133">
        <v>139.9970949870789</v>
      </c>
      <c r="Q30" s="133">
        <v>139.49757908473384</v>
      </c>
      <c r="R30" s="133">
        <v>141.46695869801044</v>
      </c>
      <c r="S30" s="133">
        <v>144.53668054886404</v>
      </c>
      <c r="T30" s="133">
        <v>144.23442745911512</v>
      </c>
      <c r="U30" s="133">
        <v>140.07338953348679</v>
      </c>
      <c r="V30" s="133">
        <v>147.00175609708197</v>
      </c>
      <c r="W30" s="133">
        <v>148.46051375703053</v>
      </c>
      <c r="DA30" s="157" t="s">
        <v>326</v>
      </c>
    </row>
    <row r="31" spans="1:105" ht="12" customHeight="1" x14ac:dyDescent="0.25">
      <c r="A31" s="132" t="s">
        <v>153</v>
      </c>
      <c r="B31" s="133">
        <v>668.24731981029606</v>
      </c>
      <c r="C31" s="133">
        <v>656.19720647202973</v>
      </c>
      <c r="D31" s="133">
        <v>601.51097268419903</v>
      </c>
      <c r="E31" s="133">
        <v>487.15927054174733</v>
      </c>
      <c r="F31" s="133">
        <v>451.22100833638149</v>
      </c>
      <c r="G31" s="133">
        <v>501.11830613742046</v>
      </c>
      <c r="H31" s="133">
        <v>471.57010559330377</v>
      </c>
      <c r="I31" s="133">
        <v>540.76320718378213</v>
      </c>
      <c r="J31" s="133">
        <v>540.0535321989147</v>
      </c>
      <c r="K31" s="133">
        <v>579.16652587454371</v>
      </c>
      <c r="L31" s="133">
        <v>591.99036851778067</v>
      </c>
      <c r="M31" s="133">
        <v>611.45387851373573</v>
      </c>
      <c r="N31" s="133">
        <v>636.89674204433413</v>
      </c>
      <c r="O31" s="133">
        <v>656.37705881708041</v>
      </c>
      <c r="P31" s="133">
        <v>726.48291541659933</v>
      </c>
      <c r="Q31" s="133">
        <v>737.12977723355914</v>
      </c>
      <c r="R31" s="133">
        <v>757.34206886163372</v>
      </c>
      <c r="S31" s="133">
        <v>750.08491912694001</v>
      </c>
      <c r="T31" s="133">
        <v>692.09757053858891</v>
      </c>
      <c r="U31" s="133">
        <v>754.57289945250238</v>
      </c>
      <c r="V31" s="133">
        <v>675.21336979402236</v>
      </c>
      <c r="W31" s="133">
        <v>694.69720262995293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114.53842741659084</v>
      </c>
      <c r="C33" s="68">
        <v>147.64357238647997</v>
      </c>
      <c r="D33" s="68">
        <v>224.67969125973602</v>
      </c>
      <c r="E33" s="68">
        <v>352.9671304438582</v>
      </c>
      <c r="F33" s="68">
        <v>433.98845375533432</v>
      </c>
      <c r="G33" s="68">
        <v>441.20758585998095</v>
      </c>
      <c r="H33" s="68">
        <v>504.78729208711633</v>
      </c>
      <c r="I33" s="68">
        <v>459.72927149834237</v>
      </c>
      <c r="J33" s="68">
        <v>527.54077629988114</v>
      </c>
      <c r="K33" s="68">
        <v>481.1497859642601</v>
      </c>
      <c r="L33" s="68">
        <v>477.9051663841953</v>
      </c>
      <c r="M33" s="68">
        <v>466.3467228182983</v>
      </c>
      <c r="N33" s="68">
        <v>466.67308518110133</v>
      </c>
      <c r="O33" s="68">
        <v>448.97784176023862</v>
      </c>
      <c r="P33" s="68">
        <v>381.13493539530441</v>
      </c>
      <c r="Q33" s="68">
        <v>384.12609148845928</v>
      </c>
      <c r="R33" s="68">
        <v>369.57354234636659</v>
      </c>
      <c r="S33" s="68">
        <v>376.70679429161629</v>
      </c>
      <c r="T33" s="68">
        <v>440.2755955218463</v>
      </c>
      <c r="U33" s="68">
        <v>366.98689394324816</v>
      </c>
      <c r="V33" s="68">
        <v>312.16841855560676</v>
      </c>
      <c r="W33" s="68">
        <v>401.92914010835017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0.60516141562678283</v>
      </c>
      <c r="C3" s="127">
        <f>IF(SER_hh_tes!C3=0,"",SER_hh_tes!C3/SER_hh_fec!C3)</f>
        <v>0.61526517030495309</v>
      </c>
      <c r="D3" s="127">
        <f>IF(SER_hh_tes!D3=0,"",SER_hh_tes!D3/SER_hh_fec!D3)</f>
        <v>0.62645197050247736</v>
      </c>
      <c r="E3" s="127">
        <f>IF(SER_hh_tes!E3=0,"",SER_hh_tes!E3/SER_hh_fec!E3)</f>
        <v>0.65486621164464609</v>
      </c>
      <c r="F3" s="127">
        <f>IF(SER_hh_tes!F3=0,"",SER_hh_tes!F3/SER_hh_fec!F3)</f>
        <v>0.64103903914247351</v>
      </c>
      <c r="G3" s="127">
        <f>IF(SER_hh_tes!G3=0,"",SER_hh_tes!G3/SER_hh_fec!G3)</f>
        <v>0.64467570540197772</v>
      </c>
      <c r="H3" s="127">
        <f>IF(SER_hh_tes!H3=0,"",SER_hh_tes!H3/SER_hh_fec!H3)</f>
        <v>0.66249102049532305</v>
      </c>
      <c r="I3" s="127">
        <f>IF(SER_hh_tes!I3=0,"",SER_hh_tes!I3/SER_hh_fec!I3)</f>
        <v>0.67725864151385817</v>
      </c>
      <c r="J3" s="127">
        <f>IF(SER_hh_tes!J3=0,"",SER_hh_tes!J3/SER_hh_fec!J3)</f>
        <v>0.68383420461977218</v>
      </c>
      <c r="K3" s="127">
        <f>IF(SER_hh_tes!K3=0,"",SER_hh_tes!K3/SER_hh_fec!K3)</f>
        <v>0.70138489276185445</v>
      </c>
      <c r="L3" s="127">
        <f>IF(SER_hh_tes!L3=0,"",SER_hh_tes!L3/SER_hh_fec!L3)</f>
        <v>0.70730142954436737</v>
      </c>
      <c r="M3" s="127">
        <f>IF(SER_hh_tes!M3=0,"",SER_hh_tes!M3/SER_hh_fec!M3)</f>
        <v>0.74258597561173312</v>
      </c>
      <c r="N3" s="127">
        <f>IF(SER_hh_tes!N3=0,"",SER_hh_tes!N3/SER_hh_fec!N3)</f>
        <v>0.79780397598911323</v>
      </c>
      <c r="O3" s="127">
        <f>IF(SER_hh_tes!O3=0,"",SER_hh_tes!O3/SER_hh_fec!O3)</f>
        <v>0.7965194923667227</v>
      </c>
      <c r="P3" s="127">
        <f>IF(SER_hh_tes!P3=0,"",SER_hh_tes!P3/SER_hh_fec!P3)</f>
        <v>0.8524801430809098</v>
      </c>
      <c r="Q3" s="127">
        <f>IF(SER_hh_tes!Q3=0,"",SER_hh_tes!Q3/SER_hh_fec!Q3)</f>
        <v>0.96597683885021812</v>
      </c>
      <c r="R3" s="127">
        <f>IF(SER_hh_tes!R3=0,"",SER_hh_tes!R3/SER_hh_fec!R3)</f>
        <v>0.95414715458439714</v>
      </c>
      <c r="S3" s="127">
        <f>IF(SER_hh_tes!S3=0,"",SER_hh_tes!S3/SER_hh_fec!S3)</f>
        <v>1.0116048789494945</v>
      </c>
      <c r="T3" s="127">
        <f>IF(SER_hh_tes!T3=0,"",SER_hh_tes!T3/SER_hh_fec!T3)</f>
        <v>0.98427343802780709</v>
      </c>
      <c r="U3" s="127">
        <f>IF(SER_hh_tes!U3=0,"",SER_hh_tes!U3/SER_hh_fec!U3)</f>
        <v>1.0158994774406864</v>
      </c>
      <c r="V3" s="127">
        <f>IF(SER_hh_tes!V3=0,"",SER_hh_tes!V3/SER_hh_fec!V3)</f>
        <v>1.0321636459986021</v>
      </c>
      <c r="W3" s="127">
        <f>IF(SER_hh_tes!W3=0,"",SER_hh_tes!W3/SER_hh_fec!W3)</f>
        <v>1.0125923320485271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0.5700295004677014</v>
      </c>
      <c r="C4" s="136">
        <f>IF(SER_hh_tes!C4=0,"",SER_hh_tes!C4/SER_hh_fec!C4)</f>
        <v>0.57793115769740688</v>
      </c>
      <c r="D4" s="136">
        <f>IF(SER_hh_tes!D4=0,"",SER_hh_tes!D4/SER_hh_fec!D4)</f>
        <v>0.59030668339159309</v>
      </c>
      <c r="E4" s="136">
        <f>IF(SER_hh_tes!E4=0,"",SER_hh_tes!E4/SER_hh_fec!E4)</f>
        <v>0.58844678519000804</v>
      </c>
      <c r="F4" s="136">
        <f>IF(SER_hh_tes!F4=0,"",SER_hh_tes!F4/SER_hh_fec!F4)</f>
        <v>0.60193956712036989</v>
      </c>
      <c r="G4" s="136">
        <f>IF(SER_hh_tes!G4=0,"",SER_hh_tes!G4/SER_hh_fec!G4)</f>
        <v>0.6101381317562673</v>
      </c>
      <c r="H4" s="136">
        <f>IF(SER_hh_tes!H4=0,"",SER_hh_tes!H4/SER_hh_fec!H4)</f>
        <v>0.62313803219512953</v>
      </c>
      <c r="I4" s="136">
        <f>IF(SER_hh_tes!I4=0,"",SER_hh_tes!I4/SER_hh_fec!I4)</f>
        <v>0.63947405156455195</v>
      </c>
      <c r="J4" s="136">
        <f>IF(SER_hh_tes!J4=0,"",SER_hh_tes!J4/SER_hh_fec!J4)</f>
        <v>0.64239033582279581</v>
      </c>
      <c r="K4" s="136">
        <f>IF(SER_hh_tes!K4=0,"",SER_hh_tes!K4/SER_hh_fec!K4)</f>
        <v>0.66039998656807208</v>
      </c>
      <c r="L4" s="136">
        <f>IF(SER_hh_tes!L4=0,"",SER_hh_tes!L4/SER_hh_fec!L4)</f>
        <v>0.67350969200928679</v>
      </c>
      <c r="M4" s="136">
        <f>IF(SER_hh_tes!M4=0,"",SER_hh_tes!M4/SER_hh_fec!M4)</f>
        <v>0.7087525835214612</v>
      </c>
      <c r="N4" s="136">
        <f>IF(SER_hh_tes!N4=0,"",SER_hh_tes!N4/SER_hh_fec!N4)</f>
        <v>0.74733263360743085</v>
      </c>
      <c r="O4" s="136">
        <f>IF(SER_hh_tes!O4=0,"",SER_hh_tes!O4/SER_hh_fec!O4)</f>
        <v>0.77941914806061807</v>
      </c>
      <c r="P4" s="136">
        <f>IF(SER_hh_tes!P4=0,"",SER_hh_tes!P4/SER_hh_fec!P4)</f>
        <v>0.86739540101432089</v>
      </c>
      <c r="Q4" s="136">
        <f>IF(SER_hh_tes!Q4=0,"",SER_hh_tes!Q4/SER_hh_fec!Q4)</f>
        <v>0.9852095424636037</v>
      </c>
      <c r="R4" s="136">
        <f>IF(SER_hh_tes!R4=0,"",SER_hh_tes!R4/SER_hh_fec!R4)</f>
        <v>0.99954529453599195</v>
      </c>
      <c r="S4" s="136">
        <f>IF(SER_hh_tes!S4=0,"",SER_hh_tes!S4/SER_hh_fec!S4)</f>
        <v>1.0441249775113968</v>
      </c>
      <c r="T4" s="136">
        <f>IF(SER_hh_tes!T4=0,"",SER_hh_tes!T4/SER_hh_fec!T4)</f>
        <v>1.0158844222186674</v>
      </c>
      <c r="U4" s="136">
        <f>IF(SER_hh_tes!U4=0,"",SER_hh_tes!U4/SER_hh_fec!U4)</f>
        <v>1.0342248587008938</v>
      </c>
      <c r="V4" s="136">
        <f>IF(SER_hh_tes!V4=0,"",SER_hh_tes!V4/SER_hh_fec!V4)</f>
        <v>1.0725898358188768</v>
      </c>
      <c r="W4" s="136">
        <f>IF(SER_hh_tes!W4=0,"",SER_hh_tes!W4/SER_hh_fec!W4)</f>
        <v>1.0278849380143029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>
        <f>IF(SER_hh_tes!B6=0,"",SER_hh_tes!B6/SER_hh_fec!B6)</f>
        <v>0.48331468081775819</v>
      </c>
      <c r="C6" s="137">
        <f>IF(SER_hh_tes!C6=0,"",SER_hh_tes!C6/SER_hh_fec!C6)</f>
        <v>0.48642937936283825</v>
      </c>
      <c r="D6" s="137">
        <f>IF(SER_hh_tes!D6=0,"",SER_hh_tes!D6/SER_hh_fec!D6)</f>
        <v>0.49048403007854185</v>
      </c>
      <c r="E6" s="137">
        <f>IF(SER_hh_tes!E6=0,"",SER_hh_tes!E6/SER_hh_fec!E6)</f>
        <v>0.49520594440611881</v>
      </c>
      <c r="F6" s="137">
        <f>IF(SER_hh_tes!F6=0,"",SER_hh_tes!F6/SER_hh_fec!F6)</f>
        <v>0.49862876532783829</v>
      </c>
      <c r="G6" s="137">
        <f>IF(SER_hh_tes!G6=0,"",SER_hh_tes!G6/SER_hh_fec!G6)</f>
        <v>0.50181407553063828</v>
      </c>
      <c r="H6" s="137">
        <f>IF(SER_hh_tes!H6=0,"",SER_hh_tes!H6/SER_hh_fec!H6)</f>
        <v>0.50549670819370085</v>
      </c>
      <c r="I6" s="137">
        <f>IF(SER_hh_tes!I6=0,"",SER_hh_tes!I6/SER_hh_fec!I6)</f>
        <v>0.51165795139020376</v>
      </c>
      <c r="J6" s="137">
        <f>IF(SER_hh_tes!J6=0,"",SER_hh_tes!J6/SER_hh_fec!J6)</f>
        <v>0.52042062255016941</v>
      </c>
      <c r="K6" s="137">
        <f>IF(SER_hh_tes!K6=0,"",SER_hh_tes!K6/SER_hh_fec!K6)</f>
        <v>0.53150913394853294</v>
      </c>
      <c r="L6" s="137">
        <f>IF(SER_hh_tes!L6=0,"",SER_hh_tes!L6/SER_hh_fec!L6)</f>
        <v>0.54325741158150997</v>
      </c>
      <c r="M6" s="137">
        <f>IF(SER_hh_tes!M6=0,"",SER_hh_tes!M6/SER_hh_fec!M6)</f>
        <v>0.55592190536961761</v>
      </c>
      <c r="N6" s="137">
        <f>IF(SER_hh_tes!N6=0,"",SER_hh_tes!N6/SER_hh_fec!N6)</f>
        <v>0.57040089214818201</v>
      </c>
      <c r="O6" s="137">
        <f>IF(SER_hh_tes!O6=0,"",SER_hh_tes!O6/SER_hh_fec!O6)</f>
        <v>0.58751627395902362</v>
      </c>
      <c r="P6" s="137">
        <f>IF(SER_hh_tes!P6=0,"",SER_hh_tes!P6/SER_hh_fec!P6)</f>
        <v>0.5888359010079679</v>
      </c>
      <c r="Q6" s="137">
        <f>IF(SER_hh_tes!Q6=0,"",SER_hh_tes!Q6/SER_hh_fec!Q6)</f>
        <v>0.58984284032002021</v>
      </c>
      <c r="R6" s="137">
        <f>IF(SER_hh_tes!R6=0,"",SER_hh_tes!R6/SER_hh_fec!R6)</f>
        <v>0.5914418338529549</v>
      </c>
      <c r="S6" s="137">
        <f>IF(SER_hh_tes!S6=0,"",SER_hh_tes!S6/SER_hh_fec!S6)</f>
        <v>0.60152751434845697</v>
      </c>
      <c r="T6" s="137">
        <f>IF(SER_hh_tes!T6=0,"",SER_hh_tes!T6/SER_hh_fec!T6)</f>
        <v>0.61528313786987243</v>
      </c>
      <c r="U6" s="137">
        <f>IF(SER_hh_tes!U6=0,"",SER_hh_tes!U6/SER_hh_fec!U6)</f>
        <v>0.63138789303705767</v>
      </c>
      <c r="V6" s="137">
        <f>IF(SER_hh_tes!V6=0,"",SER_hh_tes!V6/SER_hh_fec!V6)</f>
        <v>0.64919154941327062</v>
      </c>
      <c r="W6" s="137">
        <f>IF(SER_hh_tes!W6=0,"",SER_hh_tes!W6/SER_hh_fec!W6)</f>
        <v>0.66660594411232443</v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0.4679784372639289</v>
      </c>
      <c r="C7" s="137">
        <f>IF(SER_hh_tes!C7=0,"",SER_hh_tes!C7/SER_hh_fec!C7)</f>
        <v>0.47375471318147561</v>
      </c>
      <c r="D7" s="137">
        <f>IF(SER_hh_tes!D7=0,"",SER_hh_tes!D7/SER_hh_fec!D7)</f>
        <v>0.48099337223900579</v>
      </c>
      <c r="E7" s="137">
        <f>IF(SER_hh_tes!E7=0,"",SER_hh_tes!E7/SER_hh_fec!E7)</f>
        <v>0.49028507817352507</v>
      </c>
      <c r="F7" s="137">
        <f>IF(SER_hh_tes!F7=0,"",SER_hh_tes!F7/SER_hh_fec!F7)</f>
        <v>0.49713660995848835</v>
      </c>
      <c r="G7" s="137">
        <f>IF(SER_hh_tes!G7=0,"",SER_hh_tes!G7/SER_hh_fec!G7)</f>
        <v>0.50240644944813073</v>
      </c>
      <c r="H7" s="137">
        <f>IF(SER_hh_tes!H7=0,"",SER_hh_tes!H7/SER_hh_fec!H7)</f>
        <v>0.50715947160739117</v>
      </c>
      <c r="I7" s="137">
        <f>IF(SER_hh_tes!I7=0,"",SER_hh_tes!I7/SER_hh_fec!I7)</f>
        <v>0.51030993033272998</v>
      </c>
      <c r="J7" s="137">
        <f>IF(SER_hh_tes!J7=0,"",SER_hh_tes!J7/SER_hh_fec!J7)</f>
        <v>0.51357842746155846</v>
      </c>
      <c r="K7" s="137">
        <f>IF(SER_hh_tes!K7=0,"",SER_hh_tes!K7/SER_hh_fec!K7)</f>
        <v>0.51727359656163385</v>
      </c>
      <c r="L7" s="137">
        <f>IF(SER_hh_tes!L7=0,"",SER_hh_tes!L7/SER_hh_fec!L7)</f>
        <v>0.52007446307124905</v>
      </c>
      <c r="M7" s="137">
        <f>IF(SER_hh_tes!M7=0,"",SER_hh_tes!M7/SER_hh_fec!M7)</f>
        <v>0.52575519816225347</v>
      </c>
      <c r="N7" s="137">
        <f>IF(SER_hh_tes!N7=0,"",SER_hh_tes!N7/SER_hh_fec!N7)</f>
        <v>0.53859799702217359</v>
      </c>
      <c r="O7" s="137">
        <f>IF(SER_hh_tes!O7=0,"",SER_hh_tes!O7/SER_hh_fec!O7)</f>
        <v>0.55149589673069976</v>
      </c>
      <c r="P7" s="137">
        <f>IF(SER_hh_tes!P7=0,"",SER_hh_tes!P7/SER_hh_fec!P7)</f>
        <v>0.55450901258980978</v>
      </c>
      <c r="Q7" s="137">
        <f>IF(SER_hh_tes!Q7=0,"",SER_hh_tes!Q7/SER_hh_fec!Q7)</f>
        <v>0.55946377314811269</v>
      </c>
      <c r="R7" s="137">
        <f>IF(SER_hh_tes!R7=0,"",SER_hh_tes!R7/SER_hh_fec!R7)</f>
        <v>0.56973712595697723</v>
      </c>
      <c r="S7" s="137">
        <f>IF(SER_hh_tes!S7=0,"",SER_hh_tes!S7/SER_hh_fec!S7)</f>
        <v>0.57961531209175943</v>
      </c>
      <c r="T7" s="137">
        <f>IF(SER_hh_tes!T7=0,"",SER_hh_tes!T7/SER_hh_fec!T7)</f>
        <v>0.60201686657846221</v>
      </c>
      <c r="U7" s="137">
        <f>IF(SER_hh_tes!U7=0,"",SER_hh_tes!U7/SER_hh_fec!U7)</f>
        <v>0.63045327400343187</v>
      </c>
      <c r="V7" s="137">
        <f>IF(SER_hh_tes!V7=0,"",SER_hh_tes!V7/SER_hh_fec!V7)</f>
        <v>0.65614817900773748</v>
      </c>
      <c r="W7" s="137">
        <f>IF(SER_hh_tes!W7=0,"",SER_hh_tes!W7/SER_hh_fec!W7)</f>
        <v>0.67343960625718957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1.0266951795810642</v>
      </c>
      <c r="C8" s="137">
        <f>IF(SER_hh_tes!C8=0,"",SER_hh_tes!C8/SER_hh_fec!C8)</f>
        <v>1.1474543164745572</v>
      </c>
      <c r="D8" s="137">
        <f>IF(SER_hh_tes!D8=0,"",SER_hh_tes!D8/SER_hh_fec!D8)</f>
        <v>1.2876392006765973</v>
      </c>
      <c r="E8" s="137">
        <f>IF(SER_hh_tes!E8=0,"",SER_hh_tes!E8/SER_hh_fec!E8)</f>
        <v>1.4006345300644418</v>
      </c>
      <c r="F8" s="137">
        <f>IF(SER_hh_tes!F8=0,"",SER_hh_tes!F8/SER_hh_fec!F8)</f>
        <v>1.4948266419754037</v>
      </c>
      <c r="G8" s="137">
        <f>IF(SER_hh_tes!G8=0,"",SER_hh_tes!G8/SER_hh_fec!G8)</f>
        <v>1.5842911418237873</v>
      </c>
      <c r="H8" s="137">
        <f>IF(SER_hh_tes!H8=0,"",SER_hh_tes!H8/SER_hh_fec!H8)</f>
        <v>1.6851115673446662</v>
      </c>
      <c r="I8" s="137">
        <f>IF(SER_hh_tes!I8=0,"",SER_hh_tes!I8/SER_hh_fec!I8)</f>
        <v>1.800420074406778</v>
      </c>
      <c r="J8" s="137">
        <f>IF(SER_hh_tes!J8=0,"",SER_hh_tes!J8/SER_hh_fec!J8)</f>
        <v>1.9078445346174333</v>
      </c>
      <c r="K8" s="137">
        <f>IF(SER_hh_tes!K8=0,"",SER_hh_tes!K8/SER_hh_fec!K8)</f>
        <v>2.0572221151801924</v>
      </c>
      <c r="L8" s="137">
        <f>IF(SER_hh_tes!L8=0,"",SER_hh_tes!L8/SER_hh_fec!L8)</f>
        <v>2.2347718129856338</v>
      </c>
      <c r="M8" s="137">
        <f>IF(SER_hh_tes!M8=0,"",SER_hh_tes!M8/SER_hh_fec!M8)</f>
        <v>2.4498623009269656</v>
      </c>
      <c r="N8" s="137">
        <f>IF(SER_hh_tes!N8=0,"",SER_hh_tes!N8/SER_hh_fec!N8)</f>
        <v>2.6728026018281534</v>
      </c>
      <c r="O8" s="137">
        <f>IF(SER_hh_tes!O8=0,"",SER_hh_tes!O8/SER_hh_fec!O8)</f>
        <v>2.8831064019499997</v>
      </c>
      <c r="P8" s="137">
        <f>IF(SER_hh_tes!P8=0,"",SER_hh_tes!P8/SER_hh_fec!P8)</f>
        <v>3.0394217145505991</v>
      </c>
      <c r="Q8" s="137">
        <f>IF(SER_hh_tes!Q8=0,"",SER_hh_tes!Q8/SER_hh_fec!Q8)</f>
        <v>3.150481554252031</v>
      </c>
      <c r="R8" s="137">
        <f>IF(SER_hh_tes!R8=0,"",SER_hh_tes!R8/SER_hh_fec!R8)</f>
        <v>3.2184669368277588</v>
      </c>
      <c r="S8" s="137">
        <f>IF(SER_hh_tes!S8=0,"",SER_hh_tes!S8/SER_hh_fec!S8)</f>
        <v>3.2788232507561221</v>
      </c>
      <c r="T8" s="137">
        <f>IF(SER_hh_tes!T8=0,"",SER_hh_tes!T8/SER_hh_fec!T8)</f>
        <v>3.3494175544833586</v>
      </c>
      <c r="U8" s="137">
        <f>IF(SER_hh_tes!U8=0,"",SER_hh_tes!U8/SER_hh_fec!U8)</f>
        <v>3.4444553019873383</v>
      </c>
      <c r="V8" s="137">
        <f>IF(SER_hh_tes!V8=0,"",SER_hh_tes!V8/SER_hh_fec!V8)</f>
        <v>3.5415759110922176</v>
      </c>
      <c r="W8" s="137">
        <f>IF(SER_hh_tes!W8=0,"",SER_hh_tes!W8/SER_hh_fec!W8)</f>
        <v>3.6190500178052587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0.51440767590457703</v>
      </c>
      <c r="C9" s="137">
        <f>IF(SER_hh_tes!C9=0,"",SER_hh_tes!C9/SER_hh_fec!C9)</f>
        <v>0.52287975964886502</v>
      </c>
      <c r="D9" s="137">
        <f>IF(SER_hh_tes!D9=0,"",SER_hh_tes!D9/SER_hh_fec!D9)</f>
        <v>0.53167978650152325</v>
      </c>
      <c r="E9" s="137">
        <f>IF(SER_hh_tes!E9=0,"",SER_hh_tes!E9/SER_hh_fec!E9)</f>
        <v>0.54163212751100887</v>
      </c>
      <c r="F9" s="137">
        <f>IF(SER_hh_tes!F9=0,"",SER_hh_tes!F9/SER_hh_fec!F9)</f>
        <v>0.54962365783309719</v>
      </c>
      <c r="G9" s="137">
        <f>IF(SER_hh_tes!G9=0,"",SER_hh_tes!G9/SER_hh_fec!G9)</f>
        <v>0.55879907765340298</v>
      </c>
      <c r="H9" s="137">
        <f>IF(SER_hh_tes!H9=0,"",SER_hh_tes!H9/SER_hh_fec!H9)</f>
        <v>0.56982826944182552</v>
      </c>
      <c r="I9" s="137">
        <f>IF(SER_hh_tes!I9=0,"",SER_hh_tes!I9/SER_hh_fec!I9)</f>
        <v>0.58151139075503255</v>
      </c>
      <c r="J9" s="137">
        <f>IF(SER_hh_tes!J9=0,"",SER_hh_tes!J9/SER_hh_fec!J9)</f>
        <v>0.59349801207253916</v>
      </c>
      <c r="K9" s="137">
        <f>IF(SER_hh_tes!K9=0,"",SER_hh_tes!K9/SER_hh_fec!K9)</f>
        <v>0.60472362100470067</v>
      </c>
      <c r="L9" s="137">
        <f>IF(SER_hh_tes!L9=0,"",SER_hh_tes!L9/SER_hh_fec!L9)</f>
        <v>0.61655401365210882</v>
      </c>
      <c r="M9" s="137">
        <f>IF(SER_hh_tes!M9=0,"",SER_hh_tes!M9/SER_hh_fec!M9)</f>
        <v>0.62828161514348124</v>
      </c>
      <c r="N9" s="137">
        <f>IF(SER_hh_tes!N9=0,"",SER_hh_tes!N9/SER_hh_fec!N9)</f>
        <v>0.64226287323751841</v>
      </c>
      <c r="O9" s="137">
        <f>IF(SER_hh_tes!O9=0,"",SER_hh_tes!O9/SER_hh_fec!O9)</f>
        <v>0.65489981612985637</v>
      </c>
      <c r="P9" s="137">
        <f>IF(SER_hh_tes!P9=0,"",SER_hh_tes!P9/SER_hh_fec!P9)</f>
        <v>0.65637631728678014</v>
      </c>
      <c r="Q9" s="137">
        <f>IF(SER_hh_tes!Q9=0,"",SER_hh_tes!Q9/SER_hh_fec!Q9)</f>
        <v>0.65810631720719226</v>
      </c>
      <c r="R9" s="137">
        <f>IF(SER_hh_tes!R9=0,"",SER_hh_tes!R9/SER_hh_fec!R9)</f>
        <v>0.66160824169551513</v>
      </c>
      <c r="S9" s="137">
        <f>IF(SER_hh_tes!S9=0,"",SER_hh_tes!S9/SER_hh_fec!S9)</f>
        <v>0.67988544377714044</v>
      </c>
      <c r="T9" s="137">
        <f>IF(SER_hh_tes!T9=0,"",SER_hh_tes!T9/SER_hh_fec!T9)</f>
        <v>0.69809098561628657</v>
      </c>
      <c r="U9" s="137">
        <f>IF(SER_hh_tes!U9=0,"",SER_hh_tes!U9/SER_hh_fec!U9)</f>
        <v>0.71513157516107884</v>
      </c>
      <c r="V9" s="137">
        <f>IF(SER_hh_tes!V9=0,"",SER_hh_tes!V9/SER_hh_fec!V9)</f>
        <v>0.7307236886545122</v>
      </c>
      <c r="W9" s="137">
        <f>IF(SER_hh_tes!W9=0,"",SER_hh_tes!W9/SER_hh_fec!W9)</f>
        <v>0.74541137784417077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0.62059106878046366</v>
      </c>
      <c r="C10" s="137">
        <f>IF(SER_hh_tes!C10=0,"",SER_hh_tes!C10/SER_hh_fec!C10)</f>
        <v>0.6229174519458901</v>
      </c>
      <c r="D10" s="137">
        <f>IF(SER_hh_tes!D10=0,"",SER_hh_tes!D10/SER_hh_fec!D10)</f>
        <v>0.62364361356431397</v>
      </c>
      <c r="E10" s="137">
        <f>IF(SER_hh_tes!E10=0,"",SER_hh_tes!E10/SER_hh_fec!E10)</f>
        <v>0.6241540126328472</v>
      </c>
      <c r="F10" s="137">
        <f>IF(SER_hh_tes!F10=0,"",SER_hh_tes!F10/SER_hh_fec!F10)</f>
        <v>0.62585898011476881</v>
      </c>
      <c r="G10" s="137">
        <f>IF(SER_hh_tes!G10=0,"",SER_hh_tes!G10/SER_hh_fec!G10)</f>
        <v>0.62795936397919538</v>
      </c>
      <c r="H10" s="137">
        <f>IF(SER_hh_tes!H10=0,"",SER_hh_tes!H10/SER_hh_fec!H10)</f>
        <v>0.63195407724562591</v>
      </c>
      <c r="I10" s="137">
        <f>IF(SER_hh_tes!I10=0,"",SER_hh_tes!I10/SER_hh_fec!I10)</f>
        <v>0.63532873394511802</v>
      </c>
      <c r="J10" s="137">
        <f>IF(SER_hh_tes!J10=0,"",SER_hh_tes!J10/SER_hh_fec!J10)</f>
        <v>0.64089122620368466</v>
      </c>
      <c r="K10" s="137">
        <f>IF(SER_hh_tes!K10=0,"",SER_hh_tes!K10/SER_hh_fec!K10)</f>
        <v>0.64751589223928163</v>
      </c>
      <c r="L10" s="137">
        <f>IF(SER_hh_tes!L10=0,"",SER_hh_tes!L10/SER_hh_fec!L10)</f>
        <v>0.65223898462174723</v>
      </c>
      <c r="M10" s="137">
        <f>IF(SER_hh_tes!M10=0,"",SER_hh_tes!M10/SER_hh_fec!M10)</f>
        <v>0.65531042184620247</v>
      </c>
      <c r="N10" s="137">
        <f>IF(SER_hh_tes!N10=0,"",SER_hh_tes!N10/SER_hh_fec!N10)</f>
        <v>0.65765665269518303</v>
      </c>
      <c r="O10" s="137">
        <f>IF(SER_hh_tes!O10=0,"",SER_hh_tes!O10/SER_hh_fec!O10)</f>
        <v>0.65903999938546654</v>
      </c>
      <c r="P10" s="137">
        <f>IF(SER_hh_tes!P10=0,"",SER_hh_tes!P10/SER_hh_fec!P10)</f>
        <v>0.65924781889102657</v>
      </c>
      <c r="Q10" s="137">
        <f>IF(SER_hh_tes!Q10=0,"",SER_hh_tes!Q10/SER_hh_fec!Q10)</f>
        <v>0.65930151020541161</v>
      </c>
      <c r="R10" s="137">
        <f>IF(SER_hh_tes!R10=0,"",SER_hh_tes!R10/SER_hh_fec!R10)</f>
        <v>0.65939635926159867</v>
      </c>
      <c r="S10" s="137">
        <f>IF(SER_hh_tes!S10=0,"",SER_hh_tes!S10/SER_hh_fec!S10)</f>
        <v>0.65944341109968163</v>
      </c>
      <c r="T10" s="137">
        <f>IF(SER_hh_tes!T10=0,"",SER_hh_tes!T10/SER_hh_fec!T10)</f>
        <v>0.65954950335212681</v>
      </c>
      <c r="U10" s="137">
        <f>IF(SER_hh_tes!U10=0,"",SER_hh_tes!U10/SER_hh_fec!U10)</f>
        <v>0.65979901812825426</v>
      </c>
      <c r="V10" s="137">
        <f>IF(SER_hh_tes!V10=0,"",SER_hh_tes!V10/SER_hh_fec!V10)</f>
        <v>0.66012342482418551</v>
      </c>
      <c r="W10" s="137">
        <f>IF(SER_hh_tes!W10=0,"",SER_hh_tes!W10/SER_hh_fec!W10)</f>
        <v>0.66043947993532837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0.76982421465422568</v>
      </c>
      <c r="C11" s="137">
        <f>IF(SER_hh_tes!C11=0,"",SER_hh_tes!C11/SER_hh_fec!C11)</f>
        <v>0.7734236095675342</v>
      </c>
      <c r="D11" s="137">
        <f>IF(SER_hh_tes!D11=0,"",SER_hh_tes!D11/SER_hh_fec!D11)</f>
        <v>0.77541527661910969</v>
      </c>
      <c r="E11" s="137">
        <f>IF(SER_hh_tes!E11=0,"",SER_hh_tes!E11/SER_hh_fec!E11)</f>
        <v>0.77595287139347635</v>
      </c>
      <c r="F11" s="137">
        <f>IF(SER_hh_tes!F11=0,"",SER_hh_tes!F11/SER_hh_fec!F11)</f>
        <v>0.77653183538747628</v>
      </c>
      <c r="G11" s="137">
        <f>IF(SER_hh_tes!G11=0,"",SER_hh_tes!G11/SER_hh_fec!G11)</f>
        <v>0.77721256532550287</v>
      </c>
      <c r="H11" s="137">
        <f>IF(SER_hh_tes!H11=0,"",SER_hh_tes!H11/SER_hh_fec!H11)</f>
        <v>0.77981300585741953</v>
      </c>
      <c r="I11" s="137">
        <f>IF(SER_hh_tes!I11=0,"",SER_hh_tes!I11/SER_hh_fec!I11)</f>
        <v>0.78423773218114978</v>
      </c>
      <c r="J11" s="137">
        <f>IF(SER_hh_tes!J11=0,"",SER_hh_tes!J11/SER_hh_fec!J11)</f>
        <v>0.78706115781326691</v>
      </c>
      <c r="K11" s="137">
        <f>IF(SER_hh_tes!K11=0,"",SER_hh_tes!K11/SER_hh_fec!K11)</f>
        <v>0.79051728887674144</v>
      </c>
      <c r="L11" s="137">
        <f>IF(SER_hh_tes!L11=0,"",SER_hh_tes!L11/SER_hh_fec!L11)</f>
        <v>0.79394881034780029</v>
      </c>
      <c r="M11" s="137">
        <f>IF(SER_hh_tes!M11=0,"",SER_hh_tes!M11/SER_hh_fec!M11)</f>
        <v>0.8005124208455302</v>
      </c>
      <c r="N11" s="137">
        <f>IF(SER_hh_tes!N11=0,"",SER_hh_tes!N11/SER_hh_fec!N11)</f>
        <v>0.81129661901166783</v>
      </c>
      <c r="O11" s="137">
        <f>IF(SER_hh_tes!O11=0,"",SER_hh_tes!O11/SER_hh_fec!O11)</f>
        <v>0.82149991491076446</v>
      </c>
      <c r="P11" s="137">
        <f>IF(SER_hh_tes!P11=0,"",SER_hh_tes!P11/SER_hh_fec!P11)</f>
        <v>0.82165735496390913</v>
      </c>
      <c r="Q11" s="137">
        <f>IF(SER_hh_tes!Q11=0,"",SER_hh_tes!Q11/SER_hh_fec!Q11)</f>
        <v>0.82181810448111658</v>
      </c>
      <c r="R11" s="137">
        <f>IF(SER_hh_tes!R11=0,"",SER_hh_tes!R11/SER_hh_fec!R11)</f>
        <v>0.82209021244832092</v>
      </c>
      <c r="S11" s="137">
        <f>IF(SER_hh_tes!S11=0,"",SER_hh_tes!S11/SER_hh_fec!S11)</f>
        <v>0.82255340967332502</v>
      </c>
      <c r="T11" s="137">
        <f>IF(SER_hh_tes!T11=0,"",SER_hh_tes!T11/SER_hh_fec!T11)</f>
        <v>0.82280871466430028</v>
      </c>
      <c r="U11" s="137">
        <f>IF(SER_hh_tes!U11=0,"",SER_hh_tes!U11/SER_hh_fec!U11)</f>
        <v>0.82305479344364441</v>
      </c>
      <c r="V11" s="137">
        <f>IF(SER_hh_tes!V11=0,"",SER_hh_tes!V11/SER_hh_fec!V11)</f>
        <v>0.82337715692836266</v>
      </c>
      <c r="W11" s="137">
        <f>IF(SER_hh_tes!W11=0,"",SER_hh_tes!W11/SER_hh_fec!W11)</f>
        <v>0.82377485925195848</v>
      </c>
      <c r="DA11" s="164" t="s">
        <v>337</v>
      </c>
    </row>
    <row r="12" spans="1:105" ht="12" customHeight="1" x14ac:dyDescent="0.25">
      <c r="A12" s="132" t="s">
        <v>169</v>
      </c>
      <c r="B12" s="137" t="str">
        <f>IF(SER_hh_tes!B12=0,"",SER_hh_tes!B12/SER_hh_fec!B12)</f>
        <v/>
      </c>
      <c r="C12" s="137" t="str">
        <f>IF(SER_hh_tes!C12=0,"",SER_hh_tes!C12/SER_hh_fec!C12)</f>
        <v/>
      </c>
      <c r="D12" s="137" t="str">
        <f>IF(SER_hh_tes!D12=0,"",SER_hh_tes!D12/SER_hh_fec!D12)</f>
        <v/>
      </c>
      <c r="E12" s="137" t="str">
        <f>IF(SER_hh_tes!E12=0,"",SER_hh_tes!E12/SER_hh_fec!E12)</f>
        <v/>
      </c>
      <c r="F12" s="137">
        <f>IF(SER_hh_tes!F12=0,"",SER_hh_tes!F12/SER_hh_fec!F12)</f>
        <v>0.81031803696000726</v>
      </c>
      <c r="G12" s="137">
        <f>IF(SER_hh_tes!G12=0,"",SER_hh_tes!G12/SER_hh_fec!G12)</f>
        <v>0.81094072984355658</v>
      </c>
      <c r="H12" s="137">
        <f>IF(SER_hh_tes!H12=0,"",SER_hh_tes!H12/SER_hh_fec!H12)</f>
        <v>0.81179353374166385</v>
      </c>
      <c r="I12" s="137">
        <f>IF(SER_hh_tes!I12=0,"",SER_hh_tes!I12/SER_hh_fec!I12)</f>
        <v>0.8120546784333611</v>
      </c>
      <c r="J12" s="137">
        <f>IF(SER_hh_tes!J12=0,"",SER_hh_tes!J12/SER_hh_fec!J12)</f>
        <v>0.81206220329164192</v>
      </c>
      <c r="K12" s="137">
        <f>IF(SER_hh_tes!K12=0,"",SER_hh_tes!K12/SER_hh_fec!K12)</f>
        <v>0.81207278530077087</v>
      </c>
      <c r="L12" s="137">
        <f>IF(SER_hh_tes!L12=0,"",SER_hh_tes!L12/SER_hh_fec!L12)</f>
        <v>0.81302062529379171</v>
      </c>
      <c r="M12" s="137">
        <f>IF(SER_hh_tes!M12=0,"",SER_hh_tes!M12/SER_hh_fec!M12)</f>
        <v>0.81771039447500715</v>
      </c>
      <c r="N12" s="137">
        <f>IF(SER_hh_tes!N12=0,"",SER_hh_tes!N12/SER_hh_fec!N12)</f>
        <v>0.82067632428342141</v>
      </c>
      <c r="O12" s="137">
        <f>IF(SER_hh_tes!O12=0,"",SER_hh_tes!O12/SER_hh_fec!O12)</f>
        <v>0.82542051912391934</v>
      </c>
      <c r="P12" s="137">
        <f>IF(SER_hh_tes!P12=0,"",SER_hh_tes!P12/SER_hh_fec!P12)</f>
        <v>0.82860059527523444</v>
      </c>
      <c r="Q12" s="137">
        <f>IF(SER_hh_tes!Q12=0,"",SER_hh_tes!Q12/SER_hh_fec!Q12)</f>
        <v>0.83226530650162356</v>
      </c>
      <c r="R12" s="137">
        <f>IF(SER_hh_tes!R12=0,"",SER_hh_tes!R12/SER_hh_fec!R12)</f>
        <v>0.83635793522760737</v>
      </c>
      <c r="S12" s="137">
        <f>IF(SER_hh_tes!S12=0,"",SER_hh_tes!S12/SER_hh_fec!S12)</f>
        <v>0.84177933459266829</v>
      </c>
      <c r="T12" s="137">
        <f>IF(SER_hh_tes!T12=0,"",SER_hh_tes!T12/SER_hh_fec!T12)</f>
        <v>0.8473111930229108</v>
      </c>
      <c r="U12" s="137">
        <f>IF(SER_hh_tes!U12=0,"",SER_hh_tes!U12/SER_hh_fec!U12)</f>
        <v>0.85334660444615884</v>
      </c>
      <c r="V12" s="137">
        <f>IF(SER_hh_tes!V12=0,"",SER_hh_tes!V12/SER_hh_fec!V12)</f>
        <v>0.86022740344710946</v>
      </c>
      <c r="W12" s="137">
        <f>IF(SER_hh_tes!W12=0,"",SER_hh_tes!W12/SER_hh_fec!W12)</f>
        <v>0.86377692389757421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1.3907843001989533</v>
      </c>
      <c r="C13" s="137">
        <f>IF(SER_hh_tes!C13=0,"",SER_hh_tes!C13/SER_hh_fec!C13)</f>
        <v>1.4657257618189783</v>
      </c>
      <c r="D13" s="137">
        <f>IF(SER_hh_tes!D13=0,"",SER_hh_tes!D13/SER_hh_fec!D13)</f>
        <v>1.5580371806238691</v>
      </c>
      <c r="E13" s="137">
        <f>IF(SER_hh_tes!E13=0,"",SER_hh_tes!E13/SER_hh_fec!E13)</f>
        <v>1.6363435427939754</v>
      </c>
      <c r="F13" s="137">
        <f>IF(SER_hh_tes!F13=0,"",SER_hh_tes!F13/SER_hh_fec!F13)</f>
        <v>1.7363111822721879</v>
      </c>
      <c r="G13" s="137">
        <f>IF(SER_hh_tes!G13=0,"",SER_hh_tes!G13/SER_hh_fec!G13)</f>
        <v>1.8269575261400135</v>
      </c>
      <c r="H13" s="137">
        <f>IF(SER_hh_tes!H13=0,"",SER_hh_tes!H13/SER_hh_fec!H13)</f>
        <v>1.8988154090530216</v>
      </c>
      <c r="I13" s="137">
        <f>IF(SER_hh_tes!I13=0,"",SER_hh_tes!I13/SER_hh_fec!I13)</f>
        <v>1.9616213940286689</v>
      </c>
      <c r="J13" s="137">
        <f>IF(SER_hh_tes!J13=0,"",SER_hh_tes!J13/SER_hh_fec!J13)</f>
        <v>2.0119852465037913</v>
      </c>
      <c r="K13" s="137">
        <f>IF(SER_hh_tes!K13=0,"",SER_hh_tes!K13/SER_hh_fec!K13)</f>
        <v>2.1129241962638274</v>
      </c>
      <c r="L13" s="137">
        <f>IF(SER_hh_tes!L13=0,"",SER_hh_tes!L13/SER_hh_fec!L13)</f>
        <v>2.2505301372435698</v>
      </c>
      <c r="M13" s="137">
        <f>IF(SER_hh_tes!M13=0,"",SER_hh_tes!M13/SER_hh_fec!M13)</f>
        <v>2.4264448314648419</v>
      </c>
      <c r="N13" s="137">
        <f>IF(SER_hh_tes!N13=0,"",SER_hh_tes!N13/SER_hh_fec!N13)</f>
        <v>2.6155247747463219</v>
      </c>
      <c r="O13" s="137">
        <f>IF(SER_hh_tes!O13=0,"",SER_hh_tes!O13/SER_hh_fec!O13)</f>
        <v>2.804403998078226</v>
      </c>
      <c r="P13" s="137">
        <f>IF(SER_hh_tes!P13=0,"",SER_hh_tes!P13/SER_hh_fec!P13)</f>
        <v>2.9836183056924854</v>
      </c>
      <c r="Q13" s="137">
        <f>IF(SER_hh_tes!Q13=0,"",SER_hh_tes!Q13/SER_hh_fec!Q13)</f>
        <v>3.1280609273541189</v>
      </c>
      <c r="R13" s="137">
        <f>IF(SER_hh_tes!R13=0,"",SER_hh_tes!R13/SER_hh_fec!R13)</f>
        <v>3.1997099566083347</v>
      </c>
      <c r="S13" s="137">
        <f>IF(SER_hh_tes!S13=0,"",SER_hh_tes!S13/SER_hh_fec!S13)</f>
        <v>3.2371256887439159</v>
      </c>
      <c r="T13" s="137">
        <f>IF(SER_hh_tes!T13=0,"",SER_hh_tes!T13/SER_hh_fec!T13)</f>
        <v>3.2684118805332232</v>
      </c>
      <c r="U13" s="137">
        <f>IF(SER_hh_tes!U13=0,"",SER_hh_tes!U13/SER_hh_fec!U13)</f>
        <v>3.3033878699122012</v>
      </c>
      <c r="V13" s="137">
        <f>IF(SER_hh_tes!V13=0,"",SER_hh_tes!V13/SER_hh_fec!V13)</f>
        <v>3.3446923127345545</v>
      </c>
      <c r="W13" s="137">
        <f>IF(SER_hh_tes!W13=0,"",SER_hh_tes!W13/SER_hh_fec!W13)</f>
        <v>3.3862372717270453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0.71073699266531465</v>
      </c>
      <c r="C14" s="138">
        <f>IF(SER_hh_tes!C14=0,"",SER_hh_tes!C14/SER_hh_fec!C14)</f>
        <v>0.71346649348412117</v>
      </c>
      <c r="D14" s="138">
        <f>IF(SER_hh_tes!D14=0,"",SER_hh_tes!D14/SER_hh_fec!D14)</f>
        <v>0.71640987974140113</v>
      </c>
      <c r="E14" s="138">
        <f>IF(SER_hh_tes!E14=0,"",SER_hh_tes!E14/SER_hh_fec!E14)</f>
        <v>0.71822338811882747</v>
      </c>
      <c r="F14" s="138">
        <f>IF(SER_hh_tes!F14=0,"",SER_hh_tes!F14/SER_hh_fec!F14)</f>
        <v>0.72139016532664957</v>
      </c>
      <c r="G14" s="138">
        <f>IF(SER_hh_tes!G14=0,"",SER_hh_tes!G14/SER_hh_fec!G14)</f>
        <v>0.72482857021745162</v>
      </c>
      <c r="H14" s="138">
        <f>IF(SER_hh_tes!H14=0,"",SER_hh_tes!H14/SER_hh_fec!H14)</f>
        <v>0.72942575044391955</v>
      </c>
      <c r="I14" s="138">
        <f>IF(SER_hh_tes!I14=0,"",SER_hh_tes!I14/SER_hh_fec!I14)</f>
        <v>0.73409949161449428</v>
      </c>
      <c r="J14" s="138">
        <f>IF(SER_hh_tes!J14=0,"",SER_hh_tes!J14/SER_hh_fec!J14)</f>
        <v>0.73870196647648256</v>
      </c>
      <c r="K14" s="138">
        <f>IF(SER_hh_tes!K14=0,"",SER_hh_tes!K14/SER_hh_fec!K14)</f>
        <v>0.74454135479415562</v>
      </c>
      <c r="L14" s="138">
        <f>IF(SER_hh_tes!L14=0,"",SER_hh_tes!L14/SER_hh_fec!L14)</f>
        <v>0.75104695661367527</v>
      </c>
      <c r="M14" s="138">
        <f>IF(SER_hh_tes!M14=0,"",SER_hh_tes!M14/SER_hh_fec!M14)</f>
        <v>0.75846825826912634</v>
      </c>
      <c r="N14" s="138">
        <f>IF(SER_hh_tes!N14=0,"",SER_hh_tes!N14/SER_hh_fec!N14)</f>
        <v>0.7656215330433962</v>
      </c>
      <c r="O14" s="138">
        <f>IF(SER_hh_tes!O14=0,"",SER_hh_tes!O14/SER_hh_fec!O14)</f>
        <v>0.77137673576467158</v>
      </c>
      <c r="P14" s="138">
        <f>IF(SER_hh_tes!P14=0,"",SER_hh_tes!P14/SER_hh_fec!P14)</f>
        <v>0.77198450067463698</v>
      </c>
      <c r="Q14" s="138">
        <f>IF(SER_hh_tes!Q14=0,"",SER_hh_tes!Q14/SER_hh_fec!Q14)</f>
        <v>0.77256499444879334</v>
      </c>
      <c r="R14" s="138">
        <f>IF(SER_hh_tes!R14=0,"",SER_hh_tes!R14/SER_hh_fec!R14)</f>
        <v>0.77315217611863496</v>
      </c>
      <c r="S14" s="138">
        <f>IF(SER_hh_tes!S14=0,"",SER_hh_tes!S14/SER_hh_fec!S14)</f>
        <v>0.77438812047004046</v>
      </c>
      <c r="T14" s="138">
        <f>IF(SER_hh_tes!T14=0,"",SER_hh_tes!T14/SER_hh_fec!T14)</f>
        <v>0.77815094253777406</v>
      </c>
      <c r="U14" s="138">
        <f>IF(SER_hh_tes!U14=0,"",SER_hh_tes!U14/SER_hh_fec!U14)</f>
        <v>0.78198030592496548</v>
      </c>
      <c r="V14" s="138">
        <f>IF(SER_hh_tes!V14=0,"",SER_hh_tes!V14/SER_hh_fec!V14)</f>
        <v>0.78504824569137222</v>
      </c>
      <c r="W14" s="138">
        <f>IF(SER_hh_tes!W14=0,"",SER_hh_tes!W14/SER_hh_fec!W14)</f>
        <v>0.79195002304236817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1.8548058304456427</v>
      </c>
      <c r="C16" s="136">
        <f>IF(SER_hh_tes!C16=0,"",SER_hh_tes!C16/SER_hh_fec!C16)</f>
        <v>1.9318152810830946</v>
      </c>
      <c r="D16" s="136">
        <f>IF(SER_hh_tes!D16=0,"",SER_hh_tes!D16/SER_hh_fec!D16)</f>
        <v>2.0189372987298086</v>
      </c>
      <c r="E16" s="136">
        <f>IF(SER_hh_tes!E16=0,"",SER_hh_tes!E16/SER_hh_fec!E16)</f>
        <v>2.0981921233391572</v>
      </c>
      <c r="F16" s="136">
        <f>IF(SER_hh_tes!F16=0,"",SER_hh_tes!F16/SER_hh_fec!F16)</f>
        <v>2.1923464574114933</v>
      </c>
      <c r="G16" s="136">
        <f>IF(SER_hh_tes!G16=0,"",SER_hh_tes!G16/SER_hh_fec!G16)</f>
        <v>2.2864885581467642</v>
      </c>
      <c r="H16" s="136">
        <f>IF(SER_hh_tes!H16=0,"",SER_hh_tes!H16/SER_hh_fec!H16)</f>
        <v>2.4039089653337751</v>
      </c>
      <c r="I16" s="136">
        <f>IF(SER_hh_tes!I16=0,"",SER_hh_tes!I16/SER_hh_fec!I16)</f>
        <v>2.5289505760933499</v>
      </c>
      <c r="J16" s="136">
        <f>IF(SER_hh_tes!J16=0,"",SER_hh_tes!J16/SER_hh_fec!J16)</f>
        <v>2.6527758142420002</v>
      </c>
      <c r="K16" s="136">
        <f>IF(SER_hh_tes!K16=0,"",SER_hh_tes!K16/SER_hh_fec!K16)</f>
        <v>2.6952620384207742</v>
      </c>
      <c r="L16" s="136">
        <f>IF(SER_hh_tes!L16=0,"",SER_hh_tes!L16/SER_hh_fec!L16)</f>
        <v>2.752921685062713</v>
      </c>
      <c r="M16" s="136">
        <f>IF(SER_hh_tes!M16=0,"",SER_hh_tes!M16/SER_hh_fec!M16)</f>
        <v>2.8334721442650959</v>
      </c>
      <c r="N16" s="136">
        <f>IF(SER_hh_tes!N16=0,"",SER_hh_tes!N16/SER_hh_fec!N16)</f>
        <v>2.9124787164461443</v>
      </c>
      <c r="O16" s="136">
        <f>IF(SER_hh_tes!O16=0,"",SER_hh_tes!O16/SER_hh_fec!O16)</f>
        <v>2.990240060496177</v>
      </c>
      <c r="P16" s="136">
        <f>IF(SER_hh_tes!P16=0,"",SER_hh_tes!P16/SER_hh_fec!P16)</f>
        <v>3.0820504496787682</v>
      </c>
      <c r="Q16" s="136">
        <f>IF(SER_hh_tes!Q16=0,"",SER_hh_tes!Q16/SER_hh_fec!Q16)</f>
        <v>3.1790681396206808</v>
      </c>
      <c r="R16" s="136">
        <f>IF(SER_hh_tes!R16=0,"",SER_hh_tes!R16/SER_hh_fec!R16)</f>
        <v>3.2761909880454758</v>
      </c>
      <c r="S16" s="136">
        <f>IF(SER_hh_tes!S16=0,"",SER_hh_tes!S16/SER_hh_fec!S16)</f>
        <v>3.3874081519148906</v>
      </c>
      <c r="T16" s="136">
        <f>IF(SER_hh_tes!T16=0,"",SER_hh_tes!T16/SER_hh_fec!T16)</f>
        <v>3.4896529289989249</v>
      </c>
      <c r="U16" s="136">
        <f>IF(SER_hh_tes!U16=0,"",SER_hh_tes!U16/SER_hh_fec!U16)</f>
        <v>3.5830726967985167</v>
      </c>
      <c r="V16" s="136">
        <f>IF(SER_hh_tes!V16=0,"",SER_hh_tes!V16/SER_hh_fec!V16)</f>
        <v>3.6668968507614657</v>
      </c>
      <c r="W16" s="136">
        <f>IF(SER_hh_tes!W16=0,"",SER_hh_tes!W16/SER_hh_fec!W16)</f>
        <v>3.7665826581174855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1.2662849544372137</v>
      </c>
      <c r="C17" s="137">
        <f>IF(SER_hh_tes!C17=0,"",SER_hh_tes!C17/SER_hh_fec!C17)</f>
        <v>1.2775337748535824</v>
      </c>
      <c r="D17" s="137">
        <f>IF(SER_hh_tes!D17=0,"",SER_hh_tes!D17/SER_hh_fec!D17)</f>
        <v>1.2807004602871093</v>
      </c>
      <c r="E17" s="137">
        <f>IF(SER_hh_tes!E17=0,"",SER_hh_tes!E17/SER_hh_fec!E17)</f>
        <v>1.2864909159342599</v>
      </c>
      <c r="F17" s="137">
        <f>IF(SER_hh_tes!F17=0,"",SER_hh_tes!F17/SER_hh_fec!F17)</f>
        <v>1.2912721572950967</v>
      </c>
      <c r="G17" s="137">
        <f>IF(SER_hh_tes!G17=0,"",SER_hh_tes!G17/SER_hh_fec!G17)</f>
        <v>1.2938272215521058</v>
      </c>
      <c r="H17" s="137">
        <f>IF(SER_hh_tes!H17=0,"",SER_hh_tes!H17/SER_hh_fec!H17)</f>
        <v>1.2968633268494412</v>
      </c>
      <c r="I17" s="137">
        <f>IF(SER_hh_tes!I17=0,"",SER_hh_tes!I17/SER_hh_fec!I17)</f>
        <v>1.2992553840109966</v>
      </c>
      <c r="J17" s="137">
        <f>IF(SER_hh_tes!J17=0,"",SER_hh_tes!J17/SER_hh_fec!J17)</f>
        <v>1.3013318277177477</v>
      </c>
      <c r="K17" s="137">
        <f>IF(SER_hh_tes!K17=0,"",SER_hh_tes!K17/SER_hh_fec!K17)</f>
        <v>1.3027249650848884</v>
      </c>
      <c r="L17" s="137">
        <f>IF(SER_hh_tes!L17=0,"",SER_hh_tes!L17/SER_hh_fec!L17)</f>
        <v>1.304162531676784</v>
      </c>
      <c r="M17" s="137">
        <f>IF(SER_hh_tes!M17=0,"",SER_hh_tes!M17/SER_hh_fec!M17)</f>
        <v>1.3063752642033477</v>
      </c>
      <c r="N17" s="137">
        <f>IF(SER_hh_tes!N17=0,"",SER_hh_tes!N17/SER_hh_fec!N17)</f>
        <v>1.3099067338002441</v>
      </c>
      <c r="O17" s="137">
        <f>IF(SER_hh_tes!O17=0,"",SER_hh_tes!O17/SER_hh_fec!O17)</f>
        <v>1.318056671502323</v>
      </c>
      <c r="P17" s="137">
        <f>IF(SER_hh_tes!P17=0,"",SER_hh_tes!P17/SER_hh_fec!P17)</f>
        <v>1.3297872397108776</v>
      </c>
      <c r="Q17" s="137">
        <f>IF(SER_hh_tes!Q17=0,"",SER_hh_tes!Q17/SER_hh_fec!Q17)</f>
        <v>1.343503532542309</v>
      </c>
      <c r="R17" s="137">
        <f>IF(SER_hh_tes!R17=0,"",SER_hh_tes!R17/SER_hh_fec!R17)</f>
        <v>1.3617468847657785</v>
      </c>
      <c r="S17" s="137">
        <f>IF(SER_hh_tes!S17=0,"",SER_hh_tes!S17/SER_hh_fec!S17)</f>
        <v>1.3814364055302226</v>
      </c>
      <c r="T17" s="137">
        <f>IF(SER_hh_tes!T17=0,"",SER_hh_tes!T17/SER_hh_fec!T17)</f>
        <v>1.4034905081621347</v>
      </c>
      <c r="U17" s="137">
        <f>IF(SER_hh_tes!U17=0,"",SER_hh_tes!U17/SER_hh_fec!U17)</f>
        <v>1.4285711811676474</v>
      </c>
      <c r="V17" s="137">
        <f>IF(SER_hh_tes!V17=0,"",SER_hh_tes!V17/SER_hh_fec!V17)</f>
        <v>1.4552304909362046</v>
      </c>
      <c r="W17" s="137">
        <f>IF(SER_hh_tes!W17=0,"",SER_hh_tes!W17/SER_hh_fec!W17)</f>
        <v>1.4829359592637137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1.8565107306667061</v>
      </c>
      <c r="C18" s="137">
        <f>IF(SER_hh_tes!C18=0,"",SER_hh_tes!C18/SER_hh_fec!C18)</f>
        <v>1.9346944896194445</v>
      </c>
      <c r="D18" s="137">
        <f>IF(SER_hh_tes!D18=0,"",SER_hh_tes!D18/SER_hh_fec!D18)</f>
        <v>2.0222473944781787</v>
      </c>
      <c r="E18" s="137">
        <f>IF(SER_hh_tes!E18=0,"",SER_hh_tes!E18/SER_hh_fec!E18)</f>
        <v>2.1028885330575409</v>
      </c>
      <c r="F18" s="137">
        <f>IF(SER_hh_tes!F18=0,"",SER_hh_tes!F18/SER_hh_fec!F18)</f>
        <v>2.1990565521396617</v>
      </c>
      <c r="G18" s="137">
        <f>IF(SER_hh_tes!G18=0,"",SER_hh_tes!G18/SER_hh_fec!G18)</f>
        <v>2.2947112998755097</v>
      </c>
      <c r="H18" s="137">
        <f>IF(SER_hh_tes!H18=0,"",SER_hh_tes!H18/SER_hh_fec!H18)</f>
        <v>2.4147911773876438</v>
      </c>
      <c r="I18" s="137">
        <f>IF(SER_hh_tes!I18=0,"",SER_hh_tes!I18/SER_hh_fec!I18)</f>
        <v>2.5428452445393206</v>
      </c>
      <c r="J18" s="137">
        <f>IF(SER_hh_tes!J18=0,"",SER_hh_tes!J18/SER_hh_fec!J18)</f>
        <v>2.6708847191586713</v>
      </c>
      <c r="K18" s="137">
        <f>IF(SER_hh_tes!K18=0,"",SER_hh_tes!K18/SER_hh_fec!K18)</f>
        <v>2.7173463174566264</v>
      </c>
      <c r="L18" s="137">
        <f>IF(SER_hh_tes!L18=0,"",SER_hh_tes!L18/SER_hh_fec!L18)</f>
        <v>2.7790503594977745</v>
      </c>
      <c r="M18" s="137">
        <f>IF(SER_hh_tes!M18=0,"",SER_hh_tes!M18/SER_hh_fec!M18)</f>
        <v>2.8639342174463236</v>
      </c>
      <c r="N18" s="137">
        <f>IF(SER_hh_tes!N18=0,"",SER_hh_tes!N18/SER_hh_fec!N18)</f>
        <v>2.947426695314233</v>
      </c>
      <c r="O18" s="137">
        <f>IF(SER_hh_tes!O18=0,"",SER_hh_tes!O18/SER_hh_fec!O18)</f>
        <v>3.0318891452660548</v>
      </c>
      <c r="P18" s="137">
        <f>IF(SER_hh_tes!P18=0,"",SER_hh_tes!P18/SER_hh_fec!P18)</f>
        <v>3.1309202657271058</v>
      </c>
      <c r="Q18" s="137">
        <f>IF(SER_hh_tes!Q18=0,"",SER_hh_tes!Q18/SER_hh_fec!Q18)</f>
        <v>3.235132543272484</v>
      </c>
      <c r="R18" s="137">
        <f>IF(SER_hh_tes!R18=0,"",SER_hh_tes!R18/SER_hh_fec!R18)</f>
        <v>3.3418544277554854</v>
      </c>
      <c r="S18" s="137">
        <f>IF(SER_hh_tes!S18=0,"",SER_hh_tes!S18/SER_hh_fec!S18)</f>
        <v>3.4611933433199318</v>
      </c>
      <c r="T18" s="137">
        <f>IF(SER_hh_tes!T18=0,"",SER_hh_tes!T18/SER_hh_fec!T18)</f>
        <v>3.5707560648890269</v>
      </c>
      <c r="U18" s="137">
        <f>IF(SER_hh_tes!U18=0,"",SER_hh_tes!U18/SER_hh_fec!U18)</f>
        <v>3.6691651868617257</v>
      </c>
      <c r="V18" s="137">
        <f>IF(SER_hh_tes!V18=0,"",SER_hh_tes!V18/SER_hh_fec!V18)</f>
        <v>3.7577520131275581</v>
      </c>
      <c r="W18" s="137">
        <f>IF(SER_hh_tes!W18=0,"",SER_hh_tes!W18/SER_hh_fec!W18)</f>
        <v>3.860706625689927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0.59234114952525119</v>
      </c>
      <c r="C19" s="136">
        <f>IF(SER_hh_tes!C19=0,"",SER_hh_tes!C19/SER_hh_fec!C19)</f>
        <v>0.59738935930463177</v>
      </c>
      <c r="D19" s="136">
        <f>IF(SER_hh_tes!D19=0,"",SER_hh_tes!D19/SER_hh_fec!D19)</f>
        <v>0.60320909277791057</v>
      </c>
      <c r="E19" s="136">
        <f>IF(SER_hh_tes!E19=0,"",SER_hh_tes!E19/SER_hh_fec!E19)</f>
        <v>0.60746791757503493</v>
      </c>
      <c r="F19" s="136">
        <f>IF(SER_hh_tes!F19=0,"",SER_hh_tes!F19/SER_hh_fec!F19)</f>
        <v>0.61420355982791741</v>
      </c>
      <c r="G19" s="136">
        <f>IF(SER_hh_tes!G19=0,"",SER_hh_tes!G19/SER_hh_fec!G19)</f>
        <v>0.61760057222176545</v>
      </c>
      <c r="H19" s="136">
        <f>IF(SER_hh_tes!H19=0,"",SER_hh_tes!H19/SER_hh_fec!H19)</f>
        <v>0.6236621982552798</v>
      </c>
      <c r="I19" s="136">
        <f>IF(SER_hh_tes!I19=0,"",SER_hh_tes!I19/SER_hh_fec!I19)</f>
        <v>0.63150484147400243</v>
      </c>
      <c r="J19" s="136">
        <f>IF(SER_hh_tes!J19=0,"",SER_hh_tes!J19/SER_hh_fec!J19)</f>
        <v>0.63698340790210251</v>
      </c>
      <c r="K19" s="136">
        <f>IF(SER_hh_tes!K19=0,"",SER_hh_tes!K19/SER_hh_fec!K19)</f>
        <v>0.64404689641983415</v>
      </c>
      <c r="L19" s="136">
        <f>IF(SER_hh_tes!L19=0,"",SER_hh_tes!L19/SER_hh_fec!L19)</f>
        <v>0.65316845054905581</v>
      </c>
      <c r="M19" s="136">
        <f>IF(SER_hh_tes!M19=0,"",SER_hh_tes!M19/SER_hh_fec!M19)</f>
        <v>0.66145864433914037</v>
      </c>
      <c r="N19" s="136">
        <f>IF(SER_hh_tes!N19=0,"",SER_hh_tes!N19/SER_hh_fec!N19)</f>
        <v>0.67134302490396691</v>
      </c>
      <c r="O19" s="136">
        <f>IF(SER_hh_tes!O19=0,"",SER_hh_tes!O19/SER_hh_fec!O19)</f>
        <v>0.68258244937426416</v>
      </c>
      <c r="P19" s="136">
        <f>IF(SER_hh_tes!P19=0,"",SER_hh_tes!P19/SER_hh_fec!P19)</f>
        <v>0.68864800815653027</v>
      </c>
      <c r="Q19" s="136">
        <f>IF(SER_hh_tes!Q19=0,"",SER_hh_tes!Q19/SER_hh_fec!Q19)</f>
        <v>0.69545790138740149</v>
      </c>
      <c r="R19" s="136">
        <f>IF(SER_hh_tes!R19=0,"",SER_hh_tes!R19/SER_hh_fec!R19)</f>
        <v>0.70438805795771664</v>
      </c>
      <c r="S19" s="136">
        <f>IF(SER_hh_tes!S19=0,"",SER_hh_tes!S19/SER_hh_fec!S19)</f>
        <v>0.71478671831299934</v>
      </c>
      <c r="T19" s="136">
        <f>IF(SER_hh_tes!T19=0,"",SER_hh_tes!T19/SER_hh_fec!T19)</f>
        <v>0.72596687030689544</v>
      </c>
      <c r="U19" s="136">
        <f>IF(SER_hh_tes!U19=0,"",SER_hh_tes!U19/SER_hh_fec!U19)</f>
        <v>0.74140836867370619</v>
      </c>
      <c r="V19" s="136">
        <f>IF(SER_hh_tes!V19=0,"",SER_hh_tes!V19/SER_hh_fec!V19)</f>
        <v>0.75465505958809587</v>
      </c>
      <c r="W19" s="136">
        <f>IF(SER_hh_tes!W19=0,"",SER_hh_tes!W19/SER_hh_fec!W19)</f>
        <v>0.76711899212261803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0.55814242756942878</v>
      </c>
      <c r="C21" s="137">
        <f>IF(SER_hh_tes!C21=0,"",SER_hh_tes!C21/SER_hh_fec!C21)</f>
        <v>0.55904407415447832</v>
      </c>
      <c r="D21" s="137">
        <f>IF(SER_hh_tes!D21=0,"",SER_hh_tes!D21/SER_hh_fec!D21)</f>
        <v>0.5595367514875117</v>
      </c>
      <c r="E21" s="137">
        <f>IF(SER_hh_tes!E21=0,"",SER_hh_tes!E21/SER_hh_fec!E21)</f>
        <v>0.56042533515872806</v>
      </c>
      <c r="F21" s="137">
        <f>IF(SER_hh_tes!F21=0,"",SER_hh_tes!F21/SER_hh_fec!F21)</f>
        <v>0.56187638578457788</v>
      </c>
      <c r="G21" s="137">
        <f>IF(SER_hh_tes!G21=0,"",SER_hh_tes!G21/SER_hh_fec!G21)</f>
        <v>0.56383918652626019</v>
      </c>
      <c r="H21" s="137">
        <f>IF(SER_hh_tes!H21=0,"",SER_hh_tes!H21/SER_hh_fec!H21)</f>
        <v>0.56595079334836906</v>
      </c>
      <c r="I21" s="137">
        <f>IF(SER_hh_tes!I21=0,"",SER_hh_tes!I21/SER_hh_fec!I21)</f>
        <v>0.567765181319421</v>
      </c>
      <c r="J21" s="137">
        <f>IF(SER_hh_tes!J21=0,"",SER_hh_tes!J21/SER_hh_fec!J21)</f>
        <v>0.57026873646759169</v>
      </c>
      <c r="K21" s="137">
        <f>IF(SER_hh_tes!K21=0,"",SER_hh_tes!K21/SER_hh_fec!K21)</f>
        <v>0.57317303404976916</v>
      </c>
      <c r="L21" s="137">
        <f>IF(SER_hh_tes!L21=0,"",SER_hh_tes!L21/SER_hh_fec!L21)</f>
        <v>0.5771623007534693</v>
      </c>
      <c r="M21" s="137">
        <f>IF(SER_hh_tes!M21=0,"",SER_hh_tes!M21/SER_hh_fec!M21)</f>
        <v>0.58276014644133944</v>
      </c>
      <c r="N21" s="137">
        <f>IF(SER_hh_tes!N21=0,"",SER_hh_tes!N21/SER_hh_fec!N21)</f>
        <v>0.59015325322449064</v>
      </c>
      <c r="O21" s="137">
        <f>IF(SER_hh_tes!O21=0,"",SER_hh_tes!O21/SER_hh_fec!O21)</f>
        <v>0.59944435980846156</v>
      </c>
      <c r="P21" s="137">
        <f>IF(SER_hh_tes!P21=0,"",SER_hh_tes!P21/SER_hh_fec!P21)</f>
        <v>0.60026176162317468</v>
      </c>
      <c r="Q21" s="137">
        <f>IF(SER_hh_tes!Q21=0,"",SER_hh_tes!Q21/SER_hh_fec!Q21)</f>
        <v>0.60073988535811274</v>
      </c>
      <c r="R21" s="137">
        <f>IF(SER_hh_tes!R21=0,"",SER_hh_tes!R21/SER_hh_fec!R21)</f>
        <v>0.60913672038401256</v>
      </c>
      <c r="S21" s="137">
        <f>IF(SER_hh_tes!S21=0,"",SER_hh_tes!S21/SER_hh_fec!S21)</f>
        <v>0.62914787237641534</v>
      </c>
      <c r="T21" s="137">
        <f>IF(SER_hh_tes!T21=0,"",SER_hh_tes!T21/SER_hh_fec!T21)</f>
        <v>0.64807355962481217</v>
      </c>
      <c r="U21" s="137">
        <f>IF(SER_hh_tes!U21=0,"",SER_hh_tes!U21/SER_hh_fec!U21)</f>
        <v>0.67030393429326085</v>
      </c>
      <c r="V21" s="137">
        <f>IF(SER_hh_tes!V21=0,"",SER_hh_tes!V21/SER_hh_fec!V21)</f>
        <v>0.69329945769314627</v>
      </c>
      <c r="W21" s="137">
        <f>IF(SER_hh_tes!W21=0,"",SER_hh_tes!W21/SER_hh_fec!W21)</f>
        <v>0.71505322318847808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0.52598717584410681</v>
      </c>
      <c r="C22" s="137">
        <f>IF(SER_hh_tes!C22=0,"",SER_hh_tes!C22/SER_hh_fec!C22)</f>
        <v>0.52610335102277639</v>
      </c>
      <c r="D22" s="137">
        <f>IF(SER_hh_tes!D22=0,"",SER_hh_tes!D22/SER_hh_fec!D22)</f>
        <v>0.52611400380225093</v>
      </c>
      <c r="E22" s="137">
        <f>IF(SER_hh_tes!E22=0,"",SER_hh_tes!E22/SER_hh_fec!E22)</f>
        <v>0.52612332846008725</v>
      </c>
      <c r="F22" s="137">
        <f>IF(SER_hh_tes!F22=0,"",SER_hh_tes!F22/SER_hh_fec!F22)</f>
        <v>0.52613425420487148</v>
      </c>
      <c r="G22" s="137">
        <f>IF(SER_hh_tes!G22=0,"",SER_hh_tes!G22/SER_hh_fec!G22)</f>
        <v>0.5269140511469208</v>
      </c>
      <c r="H22" s="137">
        <f>IF(SER_hh_tes!H22=0,"",SER_hh_tes!H22/SER_hh_fec!H22)</f>
        <v>0.52920510241924401</v>
      </c>
      <c r="I22" s="137">
        <f>IF(SER_hh_tes!I22=0,"",SER_hh_tes!I22/SER_hh_fec!I22)</f>
        <v>0.53181082661680312</v>
      </c>
      <c r="J22" s="137">
        <f>IF(SER_hh_tes!J22=0,"",SER_hh_tes!J22/SER_hh_fec!J22)</f>
        <v>0.53487764230948587</v>
      </c>
      <c r="K22" s="137">
        <f>IF(SER_hh_tes!K22=0,"",SER_hh_tes!K22/SER_hh_fec!K22)</f>
        <v>0.53803222716806998</v>
      </c>
      <c r="L22" s="137">
        <f>IF(SER_hh_tes!L22=0,"",SER_hh_tes!L22/SER_hh_fec!L22)</f>
        <v>0.54305921443176131</v>
      </c>
      <c r="M22" s="137">
        <f>IF(SER_hh_tes!M22=0,"",SER_hh_tes!M22/SER_hh_fec!M22)</f>
        <v>0.55203303249328584</v>
      </c>
      <c r="N22" s="137">
        <f>IF(SER_hh_tes!N22=0,"",SER_hh_tes!N22/SER_hh_fec!N22)</f>
        <v>0.56674470959337786</v>
      </c>
      <c r="O22" s="137">
        <f>IF(SER_hh_tes!O22=0,"",SER_hh_tes!O22/SER_hh_fec!O22)</f>
        <v>0.5841590524302549</v>
      </c>
      <c r="P22" s="137">
        <f>IF(SER_hh_tes!P22=0,"",SER_hh_tes!P22/SER_hh_fec!P22)</f>
        <v>0.58461143777418134</v>
      </c>
      <c r="Q22" s="137">
        <f>IF(SER_hh_tes!Q22=0,"",SER_hh_tes!Q22/SER_hh_fec!Q22)</f>
        <v>0.58491440329447431</v>
      </c>
      <c r="R22" s="137">
        <f>IF(SER_hh_tes!R22=0,"",SER_hh_tes!R22/SER_hh_fec!R22)</f>
        <v>0.58528099221282048</v>
      </c>
      <c r="S22" s="137">
        <f>IF(SER_hh_tes!S22=0,"",SER_hh_tes!S22/SER_hh_fec!S22)</f>
        <v>0.58594400151522219</v>
      </c>
      <c r="T22" s="137">
        <f>IF(SER_hh_tes!T22=0,"",SER_hh_tes!T22/SER_hh_fec!T22)</f>
        <v>0.58708424002713122</v>
      </c>
      <c r="U22" s="137">
        <f>IF(SER_hh_tes!U22=0,"",SER_hh_tes!U22/SER_hh_fec!U22)</f>
        <v>0.58874887368070683</v>
      </c>
      <c r="V22" s="137">
        <f>IF(SER_hh_tes!V22=0,"",SER_hh_tes!V22/SER_hh_fec!V22)</f>
        <v>0.59113832094779573</v>
      </c>
      <c r="W22" s="137">
        <f>IF(SER_hh_tes!W22=0,"",SER_hh_tes!W22/SER_hh_fec!W22)</f>
        <v>0.6079909469703354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0.53736116289962932</v>
      </c>
      <c r="C23" s="137">
        <f>IF(SER_hh_tes!C23=0,"",SER_hh_tes!C23/SER_hh_fec!C23)</f>
        <v>0.54151052201594829</v>
      </c>
      <c r="D23" s="137">
        <f>IF(SER_hh_tes!D23=0,"",SER_hh_tes!D23/SER_hh_fec!D23)</f>
        <v>0.54634031081297119</v>
      </c>
      <c r="E23" s="137">
        <f>IF(SER_hh_tes!E23=0,"",SER_hh_tes!E23/SER_hh_fec!E23)</f>
        <v>0.55172596121193274</v>
      </c>
      <c r="F23" s="137">
        <f>IF(SER_hh_tes!F23=0,"",SER_hh_tes!F23/SER_hh_fec!F23)</f>
        <v>0.55740586340303466</v>
      </c>
      <c r="G23" s="137">
        <f>IF(SER_hh_tes!G23=0,"",SER_hh_tes!G23/SER_hh_fec!G23)</f>
        <v>0.56390628002943699</v>
      </c>
      <c r="H23" s="137">
        <f>IF(SER_hh_tes!H23=0,"",SER_hh_tes!H23/SER_hh_fec!H23)</f>
        <v>0.57059015521622858</v>
      </c>
      <c r="I23" s="137">
        <f>IF(SER_hh_tes!I23=0,"",SER_hh_tes!I23/SER_hh_fec!I23)</f>
        <v>0.57769653532702558</v>
      </c>
      <c r="J23" s="137">
        <f>IF(SER_hh_tes!J23=0,"",SER_hh_tes!J23/SER_hh_fec!J23)</f>
        <v>0.58558753745007264</v>
      </c>
      <c r="K23" s="137">
        <f>IF(SER_hh_tes!K23=0,"",SER_hh_tes!K23/SER_hh_fec!K23)</f>
        <v>0.59416948207628661</v>
      </c>
      <c r="L23" s="137">
        <f>IF(SER_hh_tes!L23=0,"",SER_hh_tes!L23/SER_hh_fec!L23)</f>
        <v>0.60348901436877278</v>
      </c>
      <c r="M23" s="137">
        <f>IF(SER_hh_tes!M23=0,"",SER_hh_tes!M23/SER_hh_fec!M23)</f>
        <v>0.61440155430215027</v>
      </c>
      <c r="N23" s="137">
        <f>IF(SER_hh_tes!N23=0,"",SER_hh_tes!N23/SER_hh_fec!N23)</f>
        <v>0.62747055576649324</v>
      </c>
      <c r="O23" s="137">
        <f>IF(SER_hh_tes!O23=0,"",SER_hh_tes!O23/SER_hh_fec!O23)</f>
        <v>0.64053088056613694</v>
      </c>
      <c r="P23" s="137">
        <f>IF(SER_hh_tes!P23=0,"",SER_hh_tes!P23/SER_hh_fec!P23)</f>
        <v>0.6456652690867527</v>
      </c>
      <c r="Q23" s="137">
        <f>IF(SER_hh_tes!Q23=0,"",SER_hh_tes!Q23/SER_hh_fec!Q23)</f>
        <v>0.65384680650736471</v>
      </c>
      <c r="R23" s="137">
        <f>IF(SER_hh_tes!R23=0,"",SER_hh_tes!R23/SER_hh_fec!R23)</f>
        <v>0.66581050310977696</v>
      </c>
      <c r="S23" s="137">
        <f>IF(SER_hh_tes!S23=0,"",SER_hh_tes!S23/SER_hh_fec!S23)</f>
        <v>0.68131717767023048</v>
      </c>
      <c r="T23" s="137">
        <f>IF(SER_hh_tes!T23=0,"",SER_hh_tes!T23/SER_hh_fec!T23)</f>
        <v>0.69502092398260373</v>
      </c>
      <c r="U23" s="137">
        <f>IF(SER_hh_tes!U23=0,"",SER_hh_tes!U23/SER_hh_fec!U23)</f>
        <v>0.70906547362580774</v>
      </c>
      <c r="V23" s="137">
        <f>IF(SER_hh_tes!V23=0,"",SER_hh_tes!V23/SER_hh_fec!V23)</f>
        <v>0.7224846134927444</v>
      </c>
      <c r="W23" s="137">
        <f>IF(SER_hh_tes!W23=0,"",SER_hh_tes!W23/SER_hh_fec!W23)</f>
        <v>0.73547348325123818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 t="str">
        <f>IF(SER_hh_tes!B25=0,"",SER_hh_tes!B25/SER_hh_fec!B25)</f>
        <v/>
      </c>
      <c r="C25" s="137" t="str">
        <f>IF(SER_hh_tes!C25=0,"",SER_hh_tes!C25/SER_hh_fec!C25)</f>
        <v/>
      </c>
      <c r="D25" s="137" t="str">
        <f>IF(SER_hh_tes!D25=0,"",SER_hh_tes!D25/SER_hh_fec!D25)</f>
        <v/>
      </c>
      <c r="E25" s="137" t="str">
        <f>IF(SER_hh_tes!E25=0,"",SER_hh_tes!E25/SER_hh_fec!E25)</f>
        <v/>
      </c>
      <c r="F25" s="137">
        <f>IF(SER_hh_tes!F25=0,"",SER_hh_tes!F25/SER_hh_fec!F25)</f>
        <v>0.81814641152667855</v>
      </c>
      <c r="G25" s="137">
        <f>IF(SER_hh_tes!G25=0,"",SER_hh_tes!G25/SER_hh_fec!G25)</f>
        <v>0.81874861400729804</v>
      </c>
      <c r="H25" s="137">
        <f>IF(SER_hh_tes!H25=0,"",SER_hh_tes!H25/SER_hh_fec!H25)</f>
        <v>0.81923622290586318</v>
      </c>
      <c r="I25" s="137">
        <f>IF(SER_hh_tes!I25=0,"",SER_hh_tes!I25/SER_hh_fec!I25)</f>
        <v>0.81944732431145118</v>
      </c>
      <c r="J25" s="137">
        <f>IF(SER_hh_tes!J25=0,"",SER_hh_tes!J25/SER_hh_fec!J25)</f>
        <v>0.82007880815094436</v>
      </c>
      <c r="K25" s="137">
        <f>IF(SER_hh_tes!K25=0,"",SER_hh_tes!K25/SER_hh_fec!K25)</f>
        <v>0.82151343143744293</v>
      </c>
      <c r="L25" s="137">
        <f>IF(SER_hh_tes!L25=0,"",SER_hh_tes!L25/SER_hh_fec!L25)</f>
        <v>0.82330377459713444</v>
      </c>
      <c r="M25" s="137">
        <f>IF(SER_hh_tes!M25=0,"",SER_hh_tes!M25/SER_hh_fec!M25)</f>
        <v>0.8261859172841971</v>
      </c>
      <c r="N25" s="137">
        <f>IF(SER_hh_tes!N25=0,"",SER_hh_tes!N25/SER_hh_fec!N25)</f>
        <v>0.83005699992571313</v>
      </c>
      <c r="O25" s="137">
        <f>IF(SER_hh_tes!O25=0,"",SER_hh_tes!O25/SER_hh_fec!O25)</f>
        <v>0.83464682228065379</v>
      </c>
      <c r="P25" s="137">
        <f>IF(SER_hh_tes!P25=0,"",SER_hh_tes!P25/SER_hh_fec!P25)</f>
        <v>0.83899340763832853</v>
      </c>
      <c r="Q25" s="137">
        <f>IF(SER_hh_tes!Q25=0,"",SER_hh_tes!Q25/SER_hh_fec!Q25)</f>
        <v>0.84288114951665261</v>
      </c>
      <c r="R25" s="137">
        <f>IF(SER_hh_tes!R25=0,"",SER_hh_tes!R25/SER_hh_fec!R25)</f>
        <v>0.84698860072873949</v>
      </c>
      <c r="S25" s="137">
        <f>IF(SER_hh_tes!S25=0,"",SER_hh_tes!S25/SER_hh_fec!S25)</f>
        <v>0.85109528918427957</v>
      </c>
      <c r="T25" s="137">
        <f>IF(SER_hh_tes!T25=0,"",SER_hh_tes!T25/SER_hh_fec!T25)</f>
        <v>0.85544452853970265</v>
      </c>
      <c r="U25" s="137">
        <f>IF(SER_hh_tes!U25=0,"",SER_hh_tes!U25/SER_hh_fec!U25)</f>
        <v>0.85979540247721087</v>
      </c>
      <c r="V25" s="137">
        <f>IF(SER_hh_tes!V25=0,"",SER_hh_tes!V25/SER_hh_fec!V25)</f>
        <v>0.86488283563091894</v>
      </c>
      <c r="W25" s="137">
        <f>IF(SER_hh_tes!W25=0,"",SER_hh_tes!W25/SER_hh_fec!W25)</f>
        <v>0.86831905084973915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0.6627944501710169</v>
      </c>
      <c r="C26" s="138">
        <f>IF(SER_hh_tes!C26=0,"",SER_hh_tes!C26/SER_hh_fec!C26)</f>
        <v>0.66560176915403468</v>
      </c>
      <c r="D26" s="138">
        <f>IF(SER_hh_tes!D26=0,"",SER_hh_tes!D26/SER_hh_fec!D26)</f>
        <v>0.66849079504826714</v>
      </c>
      <c r="E26" s="138">
        <f>IF(SER_hh_tes!E26=0,"",SER_hh_tes!E26/SER_hh_fec!E26)</f>
        <v>0.6710837048697248</v>
      </c>
      <c r="F26" s="138">
        <f>IF(SER_hh_tes!F26=0,"",SER_hh_tes!F26/SER_hh_fec!F26)</f>
        <v>0.67336990862812895</v>
      </c>
      <c r="G26" s="138">
        <f>IF(SER_hh_tes!G26=0,"",SER_hh_tes!G26/SER_hh_fec!G26)</f>
        <v>0.67568366358142473</v>
      </c>
      <c r="H26" s="138">
        <f>IF(SER_hh_tes!H26=0,"",SER_hh_tes!H26/SER_hh_fec!H26)</f>
        <v>0.67902091771225737</v>
      </c>
      <c r="I26" s="138">
        <f>IF(SER_hh_tes!I26=0,"",SER_hh_tes!I26/SER_hh_fec!I26)</f>
        <v>0.6823724383611447</v>
      </c>
      <c r="J26" s="138">
        <f>IF(SER_hh_tes!J26=0,"",SER_hh_tes!J26/SER_hh_fec!J26)</f>
        <v>0.68539701982031731</v>
      </c>
      <c r="K26" s="138">
        <f>IF(SER_hh_tes!K26=0,"",SER_hh_tes!K26/SER_hh_fec!K26)</f>
        <v>0.68857363503784164</v>
      </c>
      <c r="L26" s="138">
        <f>IF(SER_hh_tes!L26=0,"",SER_hh_tes!L26/SER_hh_fec!L26)</f>
        <v>0.69225349831287519</v>
      </c>
      <c r="M26" s="138">
        <f>IF(SER_hh_tes!M26=0,"",SER_hh_tes!M26/SER_hh_fec!M26)</f>
        <v>0.69700384763032808</v>
      </c>
      <c r="N26" s="138">
        <f>IF(SER_hh_tes!N26=0,"",SER_hh_tes!N26/SER_hh_fec!N26)</f>
        <v>0.70272692870218523</v>
      </c>
      <c r="O26" s="138">
        <f>IF(SER_hh_tes!O26=0,"",SER_hh_tes!O26/SER_hh_fec!O26)</f>
        <v>0.70916929919302862</v>
      </c>
      <c r="P26" s="138">
        <f>IF(SER_hh_tes!P26=0,"",SER_hh_tes!P26/SER_hh_fec!P26)</f>
        <v>0.71368135280166112</v>
      </c>
      <c r="Q26" s="138">
        <f>IF(SER_hh_tes!Q26=0,"",SER_hh_tes!Q26/SER_hh_fec!Q26)</f>
        <v>0.71927735345004717</v>
      </c>
      <c r="R26" s="138">
        <f>IF(SER_hh_tes!R26=0,"",SER_hh_tes!R26/SER_hh_fec!R26)</f>
        <v>0.72534128490700089</v>
      </c>
      <c r="S26" s="138">
        <f>IF(SER_hh_tes!S26=0,"",SER_hh_tes!S26/SER_hh_fec!S26)</f>
        <v>0.7341736572280021</v>
      </c>
      <c r="T26" s="138">
        <f>IF(SER_hh_tes!T26=0,"",SER_hh_tes!T26/SER_hh_fec!T26)</f>
        <v>0.7461291522304061</v>
      </c>
      <c r="U26" s="138">
        <f>IF(SER_hh_tes!U26=0,"",SER_hh_tes!U26/SER_hh_fec!U26)</f>
        <v>0.75804607188599649</v>
      </c>
      <c r="V26" s="138">
        <f>IF(SER_hh_tes!V26=0,"",SER_hh_tes!V26/SER_hh_fec!V26)</f>
        <v>0.77238421220555198</v>
      </c>
      <c r="W26" s="138">
        <f>IF(SER_hh_tes!W26=0,"",SER_hh_tes!W26/SER_hh_fec!W26)</f>
        <v>0.78833851746342842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0.641444187299265</v>
      </c>
      <c r="C29" s="136">
        <f>IF(SER_hh_tes!C29=0,"",SER_hh_tes!C29/SER_hh_fec!C29)</f>
        <v>0.64775492295807013</v>
      </c>
      <c r="D29" s="136">
        <f>IF(SER_hh_tes!D29=0,"",SER_hh_tes!D29/SER_hh_fec!D29)</f>
        <v>0.66100111039449461</v>
      </c>
      <c r="E29" s="136">
        <f>IF(SER_hh_tes!E29=0,"",SER_hh_tes!E29/SER_hh_fec!E29)</f>
        <v>0.68438240480018164</v>
      </c>
      <c r="F29" s="136">
        <f>IF(SER_hh_tes!F29=0,"",SER_hh_tes!F29/SER_hh_fec!F29)</f>
        <v>0.69776713490684161</v>
      </c>
      <c r="G29" s="136">
        <f>IF(SER_hh_tes!G29=0,"",SER_hh_tes!G29/SER_hh_fec!G29)</f>
        <v>0.69658777510218139</v>
      </c>
      <c r="H29" s="136">
        <f>IF(SER_hh_tes!H29=0,"",SER_hh_tes!H29/SER_hh_fec!H29)</f>
        <v>0.70807175928354504</v>
      </c>
      <c r="I29" s="136">
        <f>IF(SER_hh_tes!I29=0,"",SER_hh_tes!I29/SER_hh_fec!I29)</f>
        <v>0.69880093022195944</v>
      </c>
      <c r="J29" s="136">
        <f>IF(SER_hh_tes!J29=0,"",SER_hh_tes!J29/SER_hh_fec!J29)</f>
        <v>0.70969127876268778</v>
      </c>
      <c r="K29" s="136">
        <f>IF(SER_hh_tes!K29=0,"",SER_hh_tes!K29/SER_hh_fec!K29)</f>
        <v>0.70131845002374182</v>
      </c>
      <c r="L29" s="136">
        <f>IF(SER_hh_tes!L29=0,"",SER_hh_tes!L29/SER_hh_fec!L29)</f>
        <v>0.70086241329648324</v>
      </c>
      <c r="M29" s="136">
        <f>IF(SER_hh_tes!M29=0,"",SER_hh_tes!M29/SER_hh_fec!M29)</f>
        <v>0.69850388450376322</v>
      </c>
      <c r="N29" s="136">
        <f>IF(SER_hh_tes!N29=0,"",SER_hh_tes!N29/SER_hh_fec!N29)</f>
        <v>0.69853158448290498</v>
      </c>
      <c r="O29" s="136">
        <f>IF(SER_hh_tes!O29=0,"",SER_hh_tes!O29/SER_hh_fec!O29)</f>
        <v>0.695635181440175</v>
      </c>
      <c r="P29" s="136">
        <f>IF(SER_hh_tes!P29=0,"",SER_hh_tes!P29/SER_hh_fec!P29)</f>
        <v>0.68453102912399411</v>
      </c>
      <c r="Q29" s="136">
        <f>IF(SER_hh_tes!Q29=0,"",SER_hh_tes!Q29/SER_hh_fec!Q29)</f>
        <v>0.68512852695539639</v>
      </c>
      <c r="R29" s="136">
        <f>IF(SER_hh_tes!R29=0,"",SER_hh_tes!R29/SER_hh_fec!R29)</f>
        <v>0.68341653154955617</v>
      </c>
      <c r="S29" s="136">
        <f>IF(SER_hh_tes!S29=0,"",SER_hh_tes!S29/SER_hh_fec!S29)</f>
        <v>0.68536618950877948</v>
      </c>
      <c r="T29" s="136">
        <f>IF(SER_hh_tes!T29=0,"",SER_hh_tes!T29/SER_hh_fec!T29)</f>
        <v>0.69632762341491039</v>
      </c>
      <c r="U29" s="136">
        <f>IF(SER_hh_tes!U29=0,"",SER_hh_tes!U29/SER_hh_fec!U29)</f>
        <v>0.68660037347652869</v>
      </c>
      <c r="V29" s="136">
        <f>IF(SER_hh_tes!V29=0,"",SER_hh_tes!V29/SER_hh_fec!V29)</f>
        <v>0.68442285116149892</v>
      </c>
      <c r="W29" s="136">
        <f>IF(SER_hh_tes!W29=0,"",SER_hh_tes!W29/SER_hh_fec!W29)</f>
        <v>0.69607232748508874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0.61517793885404737</v>
      </c>
      <c r="C30" s="137">
        <f>IF(SER_hh_tes!C30=0,"",SER_hh_tes!C30/SER_hh_fec!C30)</f>
        <v>0.61570847290545994</v>
      </c>
      <c r="D30" s="137">
        <f>IF(SER_hh_tes!D30=0,"",SER_hh_tes!D30/SER_hh_fec!D30)</f>
        <v>0.61630017091523981</v>
      </c>
      <c r="E30" s="137">
        <f>IF(SER_hh_tes!E30=0,"",SER_hh_tes!E30/SER_hh_fec!E30)</f>
        <v>0.61684402813481032</v>
      </c>
      <c r="F30" s="137">
        <f>IF(SER_hh_tes!F30=0,"",SER_hh_tes!F30/SER_hh_fec!F30)</f>
        <v>0.61731555343296129</v>
      </c>
      <c r="G30" s="137">
        <f>IF(SER_hh_tes!G30=0,"",SER_hh_tes!G30/SER_hh_fec!G30)</f>
        <v>0.61781843142451531</v>
      </c>
      <c r="H30" s="137">
        <f>IF(SER_hh_tes!H30=0,"",SER_hh_tes!H30/SER_hh_fec!H30)</f>
        <v>0.61837038924842169</v>
      </c>
      <c r="I30" s="137">
        <f>IF(SER_hh_tes!I30=0,"",SER_hh_tes!I30/SER_hh_fec!I30)</f>
        <v>0.61923710671730803</v>
      </c>
      <c r="J30" s="137">
        <f>IF(SER_hh_tes!J30=0,"",SER_hh_tes!J30/SER_hh_fec!J30)</f>
        <v>0.62030352747134587</v>
      </c>
      <c r="K30" s="137">
        <f>IF(SER_hh_tes!K30=0,"",SER_hh_tes!K30/SER_hh_fec!K30)</f>
        <v>0.62154741500860644</v>
      </c>
      <c r="L30" s="137">
        <f>IF(SER_hh_tes!L30=0,"",SER_hh_tes!L30/SER_hh_fec!L30)</f>
        <v>0.62237553564860137</v>
      </c>
      <c r="M30" s="137">
        <f>IF(SER_hh_tes!M30=0,"",SER_hh_tes!M30/SER_hh_fec!M30)</f>
        <v>0.62245690139888332</v>
      </c>
      <c r="N30" s="137">
        <f>IF(SER_hh_tes!N30=0,"",SER_hh_tes!N30/SER_hh_fec!N30)</f>
        <v>0.62254829896454511</v>
      </c>
      <c r="O30" s="137">
        <f>IF(SER_hh_tes!O30=0,"",SER_hh_tes!O30/SER_hh_fec!O30)</f>
        <v>0.6226694936321473</v>
      </c>
      <c r="P30" s="137">
        <f>IF(SER_hh_tes!P30=0,"",SER_hh_tes!P30/SER_hh_fec!P30)</f>
        <v>0.62277281261722761</v>
      </c>
      <c r="Q30" s="137">
        <f>IF(SER_hh_tes!Q30=0,"",SER_hh_tes!Q30/SER_hh_fec!Q30)</f>
        <v>0.62283868588993363</v>
      </c>
      <c r="R30" s="137">
        <f>IF(SER_hh_tes!R30=0,"",SER_hh_tes!R30/SER_hh_fec!R30)</f>
        <v>0.62292800592312636</v>
      </c>
      <c r="S30" s="137">
        <f>IF(SER_hh_tes!S30=0,"",SER_hh_tes!S30/SER_hh_fec!S30)</f>
        <v>0.6230750740330161</v>
      </c>
      <c r="T30" s="137">
        <f>IF(SER_hh_tes!T30=0,"",SER_hh_tes!T30/SER_hh_fec!T30)</f>
        <v>0.62333634181161313</v>
      </c>
      <c r="U30" s="137">
        <f>IF(SER_hh_tes!U30=0,"",SER_hh_tes!U30/SER_hh_fec!U30)</f>
        <v>0.62373595379222402</v>
      </c>
      <c r="V30" s="137">
        <f>IF(SER_hh_tes!V30=0,"",SER_hh_tes!V30/SER_hh_fec!V30)</f>
        <v>0.62428774955332811</v>
      </c>
      <c r="W30" s="137">
        <f>IF(SER_hh_tes!W30=0,"",SER_hh_tes!W30/SER_hh_fec!W30)</f>
        <v>0.62482355988454696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0.62475735098629503</v>
      </c>
      <c r="C31" s="137">
        <f>IF(SER_hh_tes!C31=0,"",SER_hh_tes!C31/SER_hh_fec!C31)</f>
        <v>0.62523028863411756</v>
      </c>
      <c r="D31" s="137">
        <f>IF(SER_hh_tes!D31=0,"",SER_hh_tes!D31/SER_hh_fec!D31)</f>
        <v>0.62533844217963219</v>
      </c>
      <c r="E31" s="137">
        <f>IF(SER_hh_tes!E31=0,"",SER_hh_tes!E31/SER_hh_fec!E31)</f>
        <v>0.62546396863081388</v>
      </c>
      <c r="F31" s="137">
        <f>IF(SER_hh_tes!F31=0,"",SER_hh_tes!F31/SER_hh_fec!F31)</f>
        <v>0.62585977952018601</v>
      </c>
      <c r="G31" s="137">
        <f>IF(SER_hh_tes!G31=0,"",SER_hh_tes!G31/SER_hh_fec!G31)</f>
        <v>0.62675955333125755</v>
      </c>
      <c r="H31" s="137">
        <f>IF(SER_hh_tes!H31=0,"",SER_hh_tes!H31/SER_hh_fec!H31)</f>
        <v>0.62795920957650597</v>
      </c>
      <c r="I31" s="137">
        <f>IF(SER_hh_tes!I31=0,"",SER_hh_tes!I31/SER_hh_fec!I31)</f>
        <v>0.62925290905474129</v>
      </c>
      <c r="J31" s="137">
        <f>IF(SER_hh_tes!J31=0,"",SER_hh_tes!J31/SER_hh_fec!J31)</f>
        <v>0.63037557849052095</v>
      </c>
      <c r="K31" s="137">
        <f>IF(SER_hh_tes!K31=0,"",SER_hh_tes!K31/SER_hh_fec!K31)</f>
        <v>0.63150328011780499</v>
      </c>
      <c r="L31" s="137">
        <f>IF(SER_hh_tes!L31=0,"",SER_hh_tes!L31/SER_hh_fec!L31)</f>
        <v>0.63218972366476234</v>
      </c>
      <c r="M31" s="137">
        <f>IF(SER_hh_tes!M31=0,"",SER_hh_tes!M31/SER_hh_fec!M31)</f>
        <v>0.63224410509884743</v>
      </c>
      <c r="N31" s="137">
        <f>IF(SER_hh_tes!N31=0,"",SER_hh_tes!N31/SER_hh_fec!N31)</f>
        <v>0.63230587579754283</v>
      </c>
      <c r="O31" s="137">
        <f>IF(SER_hh_tes!O31=0,"",SER_hh_tes!O31/SER_hh_fec!O31)</f>
        <v>0.63237380665208953</v>
      </c>
      <c r="P31" s="137">
        <f>IF(SER_hh_tes!P31=0,"",SER_hh_tes!P31/SER_hh_fec!P31)</f>
        <v>0.63243050627438535</v>
      </c>
      <c r="Q31" s="137">
        <f>IF(SER_hh_tes!Q31=0,"",SER_hh_tes!Q31/SER_hh_fec!Q31)</f>
        <v>0.6324810577289528</v>
      </c>
      <c r="R31" s="137">
        <f>IF(SER_hh_tes!R31=0,"",SER_hh_tes!R31/SER_hh_fec!R31)</f>
        <v>0.63258344042183678</v>
      </c>
      <c r="S31" s="137">
        <f>IF(SER_hh_tes!S31=0,"",SER_hh_tes!S31/SER_hh_fec!S31)</f>
        <v>0.63278232768814113</v>
      </c>
      <c r="T31" s="137">
        <f>IF(SER_hh_tes!T31=0,"",SER_hh_tes!T31/SER_hh_fec!T31)</f>
        <v>0.63309855850196139</v>
      </c>
      <c r="U31" s="137">
        <f>IF(SER_hh_tes!U31=0,"",SER_hh_tes!U31/SER_hh_fec!U31)</f>
        <v>0.63350770763319986</v>
      </c>
      <c r="V31" s="137">
        <f>IF(SER_hh_tes!V31=0,"",SER_hh_tes!V31/SER_hh_fec!V31)</f>
        <v>0.6339778259996236</v>
      </c>
      <c r="W31" s="137">
        <f>IF(SER_hh_tes!W31=0,"",SER_hh_tes!W31/SER_hh_fec!W31)</f>
        <v>0.63445802856241085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0.82213814792656281</v>
      </c>
      <c r="C33" s="150">
        <f>IF(SER_hh_tes!C33=0,"",SER_hh_tes!C33/SER_hh_fec!C33)</f>
        <v>0.82725380376239599</v>
      </c>
      <c r="D33" s="150">
        <f>IF(SER_hh_tes!D33=0,"",SER_hh_tes!D33/SER_hh_fec!D33)</f>
        <v>0.83194385911155189</v>
      </c>
      <c r="E33" s="150">
        <f>IF(SER_hh_tes!E33=0,"",SER_hh_tes!E33/SER_hh_fec!E33)</f>
        <v>0.83452916496247376</v>
      </c>
      <c r="F33" s="150">
        <f>IF(SER_hh_tes!F33=0,"",SER_hh_tes!F33/SER_hh_fec!F33)</f>
        <v>0.83614110245631379</v>
      </c>
      <c r="G33" s="150">
        <f>IF(SER_hh_tes!G33=0,"",SER_hh_tes!G33/SER_hh_fec!G33)</f>
        <v>0.83715193354508755</v>
      </c>
      <c r="H33" s="150">
        <f>IF(SER_hh_tes!H33=0,"",SER_hh_tes!H33/SER_hh_fec!H33)</f>
        <v>0.83812047913480703</v>
      </c>
      <c r="I33" s="150">
        <f>IF(SER_hh_tes!I33=0,"",SER_hh_tes!I33/SER_hh_fec!I33)</f>
        <v>0.83882858702594265</v>
      </c>
      <c r="J33" s="150">
        <f>IF(SER_hh_tes!J33=0,"",SER_hh_tes!J33/SER_hh_fec!J33)</f>
        <v>0.83972817021547008</v>
      </c>
      <c r="K33" s="150">
        <f>IF(SER_hh_tes!K33=0,"",SER_hh_tes!K33/SER_hh_fec!K33)</f>
        <v>0.84063895656316623</v>
      </c>
      <c r="L33" s="150">
        <f>IF(SER_hh_tes!L33=0,"",SER_hh_tes!L33/SER_hh_fec!L33)</f>
        <v>0.84157750979670132</v>
      </c>
      <c r="M33" s="150">
        <f>IF(SER_hh_tes!M33=0,"",SER_hh_tes!M33/SER_hh_fec!M33)</f>
        <v>0.8423751499936718</v>
      </c>
      <c r="N33" s="150">
        <f>IF(SER_hh_tes!N33=0,"",SER_hh_tes!N33/SER_hh_fec!N33)</f>
        <v>0.84373118013843873</v>
      </c>
      <c r="O33" s="150">
        <f>IF(SER_hh_tes!O33=0,"",SER_hh_tes!O33/SER_hh_fec!O33)</f>
        <v>0.84599460266017501</v>
      </c>
      <c r="P33" s="150">
        <f>IF(SER_hh_tes!P33=0,"",SER_hh_tes!P33/SER_hh_fec!P33)</f>
        <v>0.84871815260284089</v>
      </c>
      <c r="Q33" s="150">
        <f>IF(SER_hh_tes!Q33=0,"",SER_hh_tes!Q33/SER_hh_fec!Q33)</f>
        <v>0.85220721713446668</v>
      </c>
      <c r="R33" s="150">
        <f>IF(SER_hh_tes!R33=0,"",SER_hh_tes!R33/SER_hh_fec!R33)</f>
        <v>0.85624192224496953</v>
      </c>
      <c r="S33" s="150">
        <f>IF(SER_hh_tes!S33=0,"",SER_hh_tes!S33/SER_hh_fec!S33)</f>
        <v>0.86082138420504672</v>
      </c>
      <c r="T33" s="150">
        <f>IF(SER_hh_tes!T33=0,"",SER_hh_tes!T33/SER_hh_fec!T33)</f>
        <v>0.86538714721222809</v>
      </c>
      <c r="U33" s="150">
        <f>IF(SER_hh_tes!U33=0,"",SER_hh_tes!U33/SER_hh_fec!U33)</f>
        <v>0.86998206136711898</v>
      </c>
      <c r="V33" s="150">
        <f>IF(SER_hh_tes!V33=0,"",SER_hh_tes!V33/SER_hh_fec!V33)</f>
        <v>0.87462437272533478</v>
      </c>
      <c r="W33" s="150">
        <f>IF(SER_hh_tes!W33=0,"",SER_hh_tes!W33/SER_hh_fec!W33)</f>
        <v>0.88107143616019568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16263.801720000003</v>
      </c>
      <c r="C3" s="126">
        <f t="shared" si="0"/>
        <v>16476.04594656</v>
      </c>
      <c r="D3" s="126">
        <f t="shared" si="0"/>
        <v>15712.413492600002</v>
      </c>
      <c r="E3" s="126">
        <f t="shared" si="0"/>
        <v>17939.038277519998</v>
      </c>
      <c r="F3" s="126">
        <f t="shared" si="0"/>
        <v>17913.98025828</v>
      </c>
      <c r="G3" s="126">
        <f t="shared" si="0"/>
        <v>20905.90756236</v>
      </c>
      <c r="H3" s="126">
        <f t="shared" si="0"/>
        <v>21142.080441720012</v>
      </c>
      <c r="I3" s="126">
        <f t="shared" si="0"/>
        <v>19765.301832000005</v>
      </c>
      <c r="J3" s="126">
        <f t="shared" si="0"/>
        <v>23549.796985320008</v>
      </c>
      <c r="K3" s="126">
        <f t="shared" si="0"/>
        <v>22879.722359520016</v>
      </c>
      <c r="L3" s="126">
        <f t="shared" si="0"/>
        <v>22925.816019720009</v>
      </c>
      <c r="M3" s="126">
        <f t="shared" si="0"/>
        <v>19476.447390719986</v>
      </c>
      <c r="N3" s="126">
        <f t="shared" si="0"/>
        <v>19220.049671759996</v>
      </c>
      <c r="O3" s="126">
        <f t="shared" si="0"/>
        <v>19037.720671920011</v>
      </c>
      <c r="P3" s="126">
        <f t="shared" si="0"/>
        <v>16040.953305720011</v>
      </c>
      <c r="Q3" s="126">
        <f t="shared" si="0"/>
        <v>17204.547701519994</v>
      </c>
      <c r="R3" s="126">
        <f t="shared" ref="R3:W3" si="1">SUM(R4,R16,R19,R29)</f>
        <v>17336.958008400001</v>
      </c>
      <c r="S3" s="126">
        <f t="shared" si="1"/>
        <v>17226.193755959997</v>
      </c>
      <c r="T3" s="126">
        <f t="shared" si="1"/>
        <v>18792.698389199988</v>
      </c>
      <c r="U3" s="126">
        <f t="shared" si="1"/>
        <v>18228.661858080006</v>
      </c>
      <c r="V3" s="126">
        <f t="shared" si="1"/>
        <v>17198.160999840016</v>
      </c>
      <c r="W3" s="126">
        <f t="shared" si="1"/>
        <v>16566.168783599998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10924.22277036452</v>
      </c>
      <c r="C4" s="131">
        <f t="shared" si="2"/>
        <v>11229.331429653465</v>
      </c>
      <c r="D4" s="131">
        <f t="shared" si="2"/>
        <v>10699.045103764804</v>
      </c>
      <c r="E4" s="131">
        <f t="shared" si="2"/>
        <v>13400.365630063219</v>
      </c>
      <c r="F4" s="131">
        <f t="shared" si="2"/>
        <v>13579.417972423877</v>
      </c>
      <c r="G4" s="131">
        <f t="shared" si="2"/>
        <v>16421.11691726165</v>
      </c>
      <c r="H4" s="131">
        <f t="shared" si="2"/>
        <v>16855.688059962384</v>
      </c>
      <c r="I4" s="131">
        <f t="shared" si="2"/>
        <v>15225.803564135858</v>
      </c>
      <c r="J4" s="131">
        <f t="shared" si="2"/>
        <v>19173.952628755094</v>
      </c>
      <c r="K4" s="131">
        <f t="shared" si="2"/>
        <v>18291.450925277597</v>
      </c>
      <c r="L4" s="131">
        <f t="shared" si="2"/>
        <v>18335.466122675345</v>
      </c>
      <c r="M4" s="131">
        <f t="shared" si="2"/>
        <v>14795.240466340572</v>
      </c>
      <c r="N4" s="131">
        <f t="shared" si="2"/>
        <v>14539.168102441994</v>
      </c>
      <c r="O4" s="131">
        <f t="shared" si="2"/>
        <v>14259.363259599044</v>
      </c>
      <c r="P4" s="131">
        <f t="shared" si="2"/>
        <v>10937.754594762333</v>
      </c>
      <c r="Q4" s="131">
        <f t="shared" si="2"/>
        <v>12050.895077683534</v>
      </c>
      <c r="R4" s="131">
        <f t="shared" ref="R4:W4" si="3">SUM(R5:R15)</f>
        <v>12092.143210964137</v>
      </c>
      <c r="S4" s="131">
        <f t="shared" si="3"/>
        <v>11917.308243421803</v>
      </c>
      <c r="T4" s="131">
        <f t="shared" si="3"/>
        <v>13621.048723821266</v>
      </c>
      <c r="U4" s="131">
        <f t="shared" si="3"/>
        <v>13110.319638358587</v>
      </c>
      <c r="V4" s="131">
        <f t="shared" si="3"/>
        <v>12488.301394250277</v>
      </c>
      <c r="W4" s="131">
        <f t="shared" si="3"/>
        <v>11601.397798377944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806.6347454993554</v>
      </c>
      <c r="C6" s="133">
        <v>796.2486175003736</v>
      </c>
      <c r="D6" s="133">
        <v>744.27946667256992</v>
      </c>
      <c r="E6" s="133">
        <v>888.61469275386173</v>
      </c>
      <c r="F6" s="133">
        <v>870.4902570117514</v>
      </c>
      <c r="G6" s="133">
        <v>951.86514056590931</v>
      </c>
      <c r="H6" s="133">
        <v>899.9355073300411</v>
      </c>
      <c r="I6" s="133">
        <v>806.55282407125947</v>
      </c>
      <c r="J6" s="133">
        <v>914.63451519809746</v>
      </c>
      <c r="K6" s="133">
        <v>899.44967798443395</v>
      </c>
      <c r="L6" s="133">
        <v>893.13217101668727</v>
      </c>
      <c r="M6" s="133">
        <v>742.7119995113934</v>
      </c>
      <c r="N6" s="133">
        <v>599.8613209014668</v>
      </c>
      <c r="O6" s="133">
        <v>583.11684074091227</v>
      </c>
      <c r="P6" s="133">
        <v>467.61291269133102</v>
      </c>
      <c r="Q6" s="133">
        <v>424.57267749803884</v>
      </c>
      <c r="R6" s="133">
        <v>462.32873962983786</v>
      </c>
      <c r="S6" s="133">
        <v>478.58181447671603</v>
      </c>
      <c r="T6" s="133">
        <v>453.32261442565664</v>
      </c>
      <c r="U6" s="133">
        <v>473.24846468045695</v>
      </c>
      <c r="V6" s="133">
        <v>462.71041221106935</v>
      </c>
      <c r="W6" s="133">
        <v>580.56923486199287</v>
      </c>
      <c r="DA6" s="157" t="s">
        <v>358</v>
      </c>
    </row>
    <row r="7" spans="1:105" ht="12" customHeight="1" x14ac:dyDescent="0.25">
      <c r="A7" s="132" t="s">
        <v>168</v>
      </c>
      <c r="B7" s="133">
        <v>1081.6322870520335</v>
      </c>
      <c r="C7" s="133">
        <v>695.19998523617414</v>
      </c>
      <c r="D7" s="133">
        <v>952.16710332771459</v>
      </c>
      <c r="E7" s="133">
        <v>1290.6152797581756</v>
      </c>
      <c r="F7" s="133">
        <v>1404.2175486402798</v>
      </c>
      <c r="G7" s="133">
        <v>1489.6013273731251</v>
      </c>
      <c r="H7" s="133">
        <v>1561.0766766890115</v>
      </c>
      <c r="I7" s="133">
        <v>1435.2084518465958</v>
      </c>
      <c r="J7" s="133">
        <v>1636.9910420855829</v>
      </c>
      <c r="K7" s="133">
        <v>945.19563349294287</v>
      </c>
      <c r="L7" s="133">
        <v>1012.4978600063381</v>
      </c>
      <c r="M7" s="133">
        <v>903.8312200833019</v>
      </c>
      <c r="N7" s="133">
        <v>837.59026861108441</v>
      </c>
      <c r="O7" s="133">
        <v>683.27434173458539</v>
      </c>
      <c r="P7" s="133">
        <v>673.33226151847009</v>
      </c>
      <c r="Q7" s="133">
        <v>751.18777771111274</v>
      </c>
      <c r="R7" s="133">
        <v>734.39679759144951</v>
      </c>
      <c r="S7" s="133">
        <v>480.82174976110724</v>
      </c>
      <c r="T7" s="133">
        <v>532.43435597198879</v>
      </c>
      <c r="U7" s="133">
        <v>363.15486839817675</v>
      </c>
      <c r="V7" s="133">
        <v>272.51836290391498</v>
      </c>
      <c r="W7" s="133">
        <v>466.66902229374421</v>
      </c>
      <c r="DA7" s="157" t="s">
        <v>359</v>
      </c>
    </row>
    <row r="8" spans="1:105" ht="12" customHeight="1" x14ac:dyDescent="0.25">
      <c r="A8" s="132" t="s">
        <v>73</v>
      </c>
      <c r="B8" s="133">
        <v>5.461438656617946</v>
      </c>
      <c r="C8" s="133">
        <v>7.2246426915765127</v>
      </c>
      <c r="D8" s="133">
        <v>8.2695875850095923</v>
      </c>
      <c r="E8" s="133">
        <v>10.879848513361569</v>
      </c>
      <c r="F8" s="133">
        <v>12.235036717439149</v>
      </c>
      <c r="G8" s="133">
        <v>14.006483235190545</v>
      </c>
      <c r="H8" s="133">
        <v>15.750191264840851</v>
      </c>
      <c r="I8" s="133">
        <v>17.488048111068061</v>
      </c>
      <c r="J8" s="133">
        <v>19.428694210550749</v>
      </c>
      <c r="K8" s="133">
        <v>21.484464184309108</v>
      </c>
      <c r="L8" s="133">
        <v>23.875363117680934</v>
      </c>
      <c r="M8" s="133">
        <v>28.484250438568644</v>
      </c>
      <c r="N8" s="133">
        <v>35.530938321486687</v>
      </c>
      <c r="O8" s="133">
        <v>47.521146828181301</v>
      </c>
      <c r="P8" s="133">
        <v>63.53764474855052</v>
      </c>
      <c r="Q8" s="133">
        <v>86.102979750436702</v>
      </c>
      <c r="R8" s="133">
        <v>86.758648529034645</v>
      </c>
      <c r="S8" s="133">
        <v>89.336414089522989</v>
      </c>
      <c r="T8" s="133">
        <v>93.68338009972102</v>
      </c>
      <c r="U8" s="133">
        <v>99.380773296454308</v>
      </c>
      <c r="V8" s="133">
        <v>111.3272569604692</v>
      </c>
      <c r="W8" s="133">
        <v>126.34393688620476</v>
      </c>
      <c r="DA8" s="157" t="s">
        <v>360</v>
      </c>
    </row>
    <row r="9" spans="1:105" ht="12" customHeight="1" x14ac:dyDescent="0.25">
      <c r="A9" s="132" t="s">
        <v>78</v>
      </c>
      <c r="B9" s="133">
        <v>9030.4942991565131</v>
      </c>
      <c r="C9" s="133">
        <v>9730.6581842253399</v>
      </c>
      <c r="D9" s="133">
        <v>8994.3289461795102</v>
      </c>
      <c r="E9" s="133">
        <v>11210.255809037821</v>
      </c>
      <c r="F9" s="133">
        <v>11292.475130054407</v>
      </c>
      <c r="G9" s="133">
        <v>13965.643966087426</v>
      </c>
      <c r="H9" s="133">
        <v>14378.925684678488</v>
      </c>
      <c r="I9" s="133">
        <v>12966.554240106934</v>
      </c>
      <c r="J9" s="133">
        <v>16602.898377260863</v>
      </c>
      <c r="K9" s="133">
        <v>16425.321149615913</v>
      </c>
      <c r="L9" s="133">
        <v>16405.960728534639</v>
      </c>
      <c r="M9" s="133">
        <v>13120.212996307308</v>
      </c>
      <c r="N9" s="133">
        <v>13066.185574607956</v>
      </c>
      <c r="O9" s="133">
        <v>12945.450930295365</v>
      </c>
      <c r="P9" s="133">
        <v>9733.2717758039817</v>
      </c>
      <c r="Q9" s="133">
        <v>10789.031642723945</v>
      </c>
      <c r="R9" s="133">
        <v>10808.659025213816</v>
      </c>
      <c r="S9" s="133">
        <v>10868.568265094456</v>
      </c>
      <c r="T9" s="133">
        <v>12541.608373323899</v>
      </c>
      <c r="U9" s="133">
        <v>12174.5355319835</v>
      </c>
      <c r="V9" s="133">
        <v>11641.745362174823</v>
      </c>
      <c r="W9" s="133">
        <v>10427.815604336001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1.0112558920605279</v>
      </c>
      <c r="C16" s="131">
        <f t="shared" si="4"/>
        <v>1.7405307139656438</v>
      </c>
      <c r="D16" s="131">
        <f t="shared" si="4"/>
        <v>1.626783895158094</v>
      </c>
      <c r="E16" s="131">
        <f t="shared" si="4"/>
        <v>4.936689068481213</v>
      </c>
      <c r="F16" s="131">
        <f t="shared" si="4"/>
        <v>2.9479154792096187</v>
      </c>
      <c r="G16" s="131">
        <f t="shared" si="4"/>
        <v>3.3180247492499242</v>
      </c>
      <c r="H16" s="131">
        <f t="shared" si="4"/>
        <v>4.8616192993499157</v>
      </c>
      <c r="I16" s="131">
        <f t="shared" si="4"/>
        <v>5.4078105803517067</v>
      </c>
      <c r="J16" s="131">
        <f t="shared" si="4"/>
        <v>7.5899839458585525</v>
      </c>
      <c r="K16" s="131">
        <f t="shared" si="4"/>
        <v>9.6759470139708839</v>
      </c>
      <c r="L16" s="131">
        <f t="shared" si="4"/>
        <v>9.299083148881687</v>
      </c>
      <c r="M16" s="131">
        <f t="shared" si="4"/>
        <v>11.447431911462346</v>
      </c>
      <c r="N16" s="131">
        <f t="shared" si="4"/>
        <v>19.885734025803842</v>
      </c>
      <c r="O16" s="131">
        <f t="shared" si="4"/>
        <v>13.435817859284921</v>
      </c>
      <c r="P16" s="131">
        <f t="shared" si="4"/>
        <v>12.9394197513168</v>
      </c>
      <c r="Q16" s="131">
        <f t="shared" si="4"/>
        <v>24.82735666313415</v>
      </c>
      <c r="R16" s="131">
        <f t="shared" ref="R16:W16" si="5">SUM(R17:R18)</f>
        <v>17.438434574103347</v>
      </c>
      <c r="S16" s="131">
        <f t="shared" si="5"/>
        <v>27.857834341108514</v>
      </c>
      <c r="T16" s="131">
        <f t="shared" si="5"/>
        <v>21.971840670661145</v>
      </c>
      <c r="U16" s="131">
        <f t="shared" si="5"/>
        <v>29.570641909861244</v>
      </c>
      <c r="V16" s="131">
        <f t="shared" si="5"/>
        <v>21.671073884659339</v>
      </c>
      <c r="W16" s="131">
        <f t="shared" si="5"/>
        <v>26.614388488445353</v>
      </c>
      <c r="DA16" s="156" t="s">
        <v>234</v>
      </c>
    </row>
    <row r="17" spans="1:105" ht="12.95" customHeight="1" x14ac:dyDescent="0.25">
      <c r="A17" s="132" t="s">
        <v>73</v>
      </c>
      <c r="B17" s="133">
        <v>1.0112558920605279</v>
      </c>
      <c r="C17" s="133">
        <v>1.7405307139656438</v>
      </c>
      <c r="D17" s="133">
        <v>1.626783895158094</v>
      </c>
      <c r="E17" s="133">
        <v>4.936689068481213</v>
      </c>
      <c r="F17" s="133">
        <v>2.9479154792096187</v>
      </c>
      <c r="G17" s="133">
        <v>3.3180247492499242</v>
      </c>
      <c r="H17" s="133">
        <v>4.8616192993499157</v>
      </c>
      <c r="I17" s="133">
        <v>5.4078105803517067</v>
      </c>
      <c r="J17" s="133">
        <v>7.5899839458585525</v>
      </c>
      <c r="K17" s="133">
        <v>9.6759470139708839</v>
      </c>
      <c r="L17" s="133">
        <v>9.299083148881687</v>
      </c>
      <c r="M17" s="133">
        <v>11.447431911462346</v>
      </c>
      <c r="N17" s="133">
        <v>19.885734025803842</v>
      </c>
      <c r="O17" s="133">
        <v>13.435817859284921</v>
      </c>
      <c r="P17" s="133">
        <v>12.9394197513168</v>
      </c>
      <c r="Q17" s="133">
        <v>24.82735666313415</v>
      </c>
      <c r="R17" s="133">
        <v>17.438434574103347</v>
      </c>
      <c r="S17" s="133">
        <v>27.857834341108514</v>
      </c>
      <c r="T17" s="133">
        <v>21.971840670661145</v>
      </c>
      <c r="U17" s="133">
        <v>29.570641909861244</v>
      </c>
      <c r="V17" s="133">
        <v>21.671073884659339</v>
      </c>
      <c r="W17" s="133">
        <v>26.614388488445353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2089.4739519497375</v>
      </c>
      <c r="C19" s="131">
        <f t="shared" si="6"/>
        <v>2087.7155264104367</v>
      </c>
      <c r="D19" s="131">
        <f t="shared" si="6"/>
        <v>2051.386872763188</v>
      </c>
      <c r="E19" s="131">
        <f t="shared" si="6"/>
        <v>2015.2789248920417</v>
      </c>
      <c r="F19" s="131">
        <f t="shared" si="6"/>
        <v>1982.1587809657071</v>
      </c>
      <c r="G19" s="131">
        <f t="shared" si="6"/>
        <v>1991.3693995899009</v>
      </c>
      <c r="H19" s="131">
        <f t="shared" si="6"/>
        <v>1982.6853409381577</v>
      </c>
      <c r="I19" s="131">
        <f t="shared" si="6"/>
        <v>1951.9209277080556</v>
      </c>
      <c r="J19" s="131">
        <f t="shared" si="6"/>
        <v>1949.8632178322027</v>
      </c>
      <c r="K19" s="131">
        <f t="shared" si="6"/>
        <v>1904.0870270019718</v>
      </c>
      <c r="L19" s="131">
        <f t="shared" si="6"/>
        <v>1856.762060306738</v>
      </c>
      <c r="M19" s="131">
        <f t="shared" si="6"/>
        <v>1858.3194927106326</v>
      </c>
      <c r="N19" s="131">
        <f t="shared" si="6"/>
        <v>1830.1262265466098</v>
      </c>
      <c r="O19" s="131">
        <f t="shared" si="6"/>
        <v>1823.4893914602048</v>
      </c>
      <c r="P19" s="131">
        <f t="shared" si="6"/>
        <v>1809.3483922810788</v>
      </c>
      <c r="Q19" s="131">
        <f t="shared" si="6"/>
        <v>1810.096038603853</v>
      </c>
      <c r="R19" s="131">
        <f t="shared" ref="R19:W19" si="7">SUM(R20:R27)</f>
        <v>1825.7431251055987</v>
      </c>
      <c r="S19" s="131">
        <f t="shared" si="7"/>
        <v>1893.543194363871</v>
      </c>
      <c r="T19" s="131">
        <f t="shared" si="7"/>
        <v>1978.8119647574501</v>
      </c>
      <c r="U19" s="131">
        <f t="shared" si="7"/>
        <v>1705.6887336934208</v>
      </c>
      <c r="V19" s="131">
        <f t="shared" si="7"/>
        <v>1571.9974176398221</v>
      </c>
      <c r="W19" s="131">
        <f t="shared" si="7"/>
        <v>1746.6042440542751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232.95941062735318</v>
      </c>
      <c r="C21" s="133">
        <v>229.95985442072666</v>
      </c>
      <c r="D21" s="133">
        <v>214.95095130168946</v>
      </c>
      <c r="E21" s="133">
        <v>198.7408614040236</v>
      </c>
      <c r="F21" s="133">
        <v>194.68728677688594</v>
      </c>
      <c r="G21" s="133">
        <v>192.05628482385566</v>
      </c>
      <c r="H21" s="133">
        <v>187.61545117295339</v>
      </c>
      <c r="I21" s="133">
        <v>168.14735139398553</v>
      </c>
      <c r="J21" s="133">
        <v>162.45547879744075</v>
      </c>
      <c r="K21" s="133">
        <v>144.67822079696913</v>
      </c>
      <c r="L21" s="133">
        <v>134.60600166486202</v>
      </c>
      <c r="M21" s="133">
        <v>127.13597930272508</v>
      </c>
      <c r="N21" s="133">
        <v>102.68308109846843</v>
      </c>
      <c r="O21" s="133">
        <v>95.175646086249301</v>
      </c>
      <c r="P21" s="133">
        <v>76.323230567516205</v>
      </c>
      <c r="Q21" s="133">
        <v>69.298253914431115</v>
      </c>
      <c r="R21" s="133">
        <v>78.424241136991782</v>
      </c>
      <c r="S21" s="133">
        <v>79.208292813517559</v>
      </c>
      <c r="T21" s="133">
        <v>73.667350863555825</v>
      </c>
      <c r="U21" s="133">
        <v>74.033161457173776</v>
      </c>
      <c r="V21" s="133">
        <v>63.392486793754344</v>
      </c>
      <c r="W21" s="133">
        <v>66.649962257158165</v>
      </c>
      <c r="DA21" s="157" t="s">
        <v>371</v>
      </c>
    </row>
    <row r="22" spans="1:105" ht="12" customHeight="1" x14ac:dyDescent="0.25">
      <c r="A22" s="132" t="s">
        <v>168</v>
      </c>
      <c r="B22" s="133">
        <v>318.87121294796674</v>
      </c>
      <c r="C22" s="133">
        <v>297.3676722838257</v>
      </c>
      <c r="D22" s="133">
        <v>258.08011403228573</v>
      </c>
      <c r="E22" s="133">
        <v>238.81803776182431</v>
      </c>
      <c r="F22" s="133">
        <v>212.5628601197208</v>
      </c>
      <c r="G22" s="133">
        <v>198.41810402687548</v>
      </c>
      <c r="H22" s="133">
        <v>194.85655455098899</v>
      </c>
      <c r="I22" s="133">
        <v>183.13091063340397</v>
      </c>
      <c r="J22" s="133">
        <v>175.00904419441724</v>
      </c>
      <c r="K22" s="133">
        <v>146.30636650705739</v>
      </c>
      <c r="L22" s="133">
        <v>128.27634495366206</v>
      </c>
      <c r="M22" s="133">
        <v>122.68835063669817</v>
      </c>
      <c r="N22" s="133">
        <v>116.04140314891592</v>
      </c>
      <c r="O22" s="133">
        <v>114.51318494541486</v>
      </c>
      <c r="P22" s="133">
        <v>108.60714896152992</v>
      </c>
      <c r="Q22" s="133">
        <v>102.59040856888711</v>
      </c>
      <c r="R22" s="133">
        <v>95.965185088549575</v>
      </c>
      <c r="S22" s="133">
        <v>95.767087478892719</v>
      </c>
      <c r="T22" s="133">
        <v>92.836213148010984</v>
      </c>
      <c r="U22" s="133">
        <v>80.516276881823046</v>
      </c>
      <c r="V22" s="133">
        <v>63.480545456085359</v>
      </c>
      <c r="W22" s="133">
        <v>67.072522426256043</v>
      </c>
      <c r="DA22" s="157" t="s">
        <v>372</v>
      </c>
    </row>
    <row r="23" spans="1:105" ht="12" customHeight="1" x14ac:dyDescent="0.25">
      <c r="A23" s="132" t="s">
        <v>153</v>
      </c>
      <c r="B23" s="133">
        <v>1537.6433283744177</v>
      </c>
      <c r="C23" s="133">
        <v>1560.3879997058841</v>
      </c>
      <c r="D23" s="133">
        <v>1578.355807429213</v>
      </c>
      <c r="E23" s="133">
        <v>1577.7200257261939</v>
      </c>
      <c r="F23" s="133">
        <v>1574.9086340691003</v>
      </c>
      <c r="G23" s="133">
        <v>1600.8950107391697</v>
      </c>
      <c r="H23" s="133">
        <v>1600.2133352142152</v>
      </c>
      <c r="I23" s="133">
        <v>1600.6426656806661</v>
      </c>
      <c r="J23" s="133">
        <v>1612.3986948403449</v>
      </c>
      <c r="K23" s="133">
        <v>1613.1024396979453</v>
      </c>
      <c r="L23" s="133">
        <v>1593.879713688214</v>
      </c>
      <c r="M23" s="133">
        <v>1608.4951627712094</v>
      </c>
      <c r="N23" s="133">
        <v>1611.4017422992254</v>
      </c>
      <c r="O23" s="133">
        <v>1613.8005604285406</v>
      </c>
      <c r="P23" s="133">
        <v>1624.4180127520326</v>
      </c>
      <c r="Q23" s="133">
        <v>1638.2073761205347</v>
      </c>
      <c r="R23" s="133">
        <v>1651.3536988800574</v>
      </c>
      <c r="S23" s="133">
        <v>1718.5678140714606</v>
      </c>
      <c r="T23" s="133">
        <v>1812.3084007458833</v>
      </c>
      <c r="U23" s="133">
        <v>1551.1392953544239</v>
      </c>
      <c r="V23" s="133">
        <v>1445.1243853899823</v>
      </c>
      <c r="W23" s="133">
        <v>1612.8817593708609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3249.0937417936839</v>
      </c>
      <c r="C29" s="131">
        <f t="shared" si="8"/>
        <v>3157.2584597821333</v>
      </c>
      <c r="D29" s="131">
        <f t="shared" si="8"/>
        <v>2960.3547321768506</v>
      </c>
      <c r="E29" s="131">
        <f t="shared" si="8"/>
        <v>2518.4570334962555</v>
      </c>
      <c r="F29" s="131">
        <f t="shared" si="8"/>
        <v>2349.4555894112068</v>
      </c>
      <c r="G29" s="131">
        <f t="shared" si="8"/>
        <v>2490.1032207592011</v>
      </c>
      <c r="H29" s="131">
        <f t="shared" si="8"/>
        <v>2298.84542152012</v>
      </c>
      <c r="I29" s="131">
        <f t="shared" si="8"/>
        <v>2582.1695295757386</v>
      </c>
      <c r="J29" s="131">
        <f t="shared" si="8"/>
        <v>2418.3911547868529</v>
      </c>
      <c r="K29" s="131">
        <f t="shared" si="8"/>
        <v>2674.5084602264751</v>
      </c>
      <c r="L29" s="131">
        <f t="shared" si="8"/>
        <v>2724.2887535890432</v>
      </c>
      <c r="M29" s="131">
        <f t="shared" si="8"/>
        <v>2811.43999975732</v>
      </c>
      <c r="N29" s="131">
        <f t="shared" si="8"/>
        <v>2830.8696087455892</v>
      </c>
      <c r="O29" s="131">
        <f t="shared" si="8"/>
        <v>2941.4322030014755</v>
      </c>
      <c r="P29" s="131">
        <f t="shared" si="8"/>
        <v>3280.9108989252823</v>
      </c>
      <c r="Q29" s="131">
        <f t="shared" si="8"/>
        <v>3318.7292285694721</v>
      </c>
      <c r="R29" s="131">
        <f t="shared" ref="R29:W29" si="9">SUM(R30:R33)</f>
        <v>3401.6332377561603</v>
      </c>
      <c r="S29" s="131">
        <f t="shared" si="9"/>
        <v>3387.484483833216</v>
      </c>
      <c r="T29" s="131">
        <f t="shared" si="9"/>
        <v>3170.8658599506107</v>
      </c>
      <c r="U29" s="131">
        <f t="shared" si="9"/>
        <v>3383.0828441181375</v>
      </c>
      <c r="V29" s="131">
        <f t="shared" si="9"/>
        <v>3116.1911140652574</v>
      </c>
      <c r="W29" s="131">
        <f t="shared" si="9"/>
        <v>3191.5523526793327</v>
      </c>
      <c r="DA29" s="156" t="s">
        <v>236</v>
      </c>
    </row>
    <row r="30" spans="1:105" ht="12" customHeight="1" x14ac:dyDescent="0.25">
      <c r="A30" s="132" t="s">
        <v>52</v>
      </c>
      <c r="B30" s="133">
        <v>736.79704387329161</v>
      </c>
      <c r="C30" s="133">
        <v>692.13062711890007</v>
      </c>
      <c r="D30" s="133">
        <v>701.05680726574099</v>
      </c>
      <c r="E30" s="133">
        <v>689.03564584211495</v>
      </c>
      <c r="F30" s="133">
        <v>656.0642057313629</v>
      </c>
      <c r="G30" s="133">
        <v>612.15167557023483</v>
      </c>
      <c r="H30" s="133">
        <v>535.00249197700555</v>
      </c>
      <c r="I30" s="133">
        <v>563.67777405475567</v>
      </c>
      <c r="J30" s="133">
        <v>406.13850504446162</v>
      </c>
      <c r="K30" s="133">
        <v>520.37345073859683</v>
      </c>
      <c r="L30" s="133">
        <v>525.15280207845069</v>
      </c>
      <c r="M30" s="133">
        <v>540.81562118588113</v>
      </c>
      <c r="N30" s="133">
        <v>473.00859800006549</v>
      </c>
      <c r="O30" s="133">
        <v>511.77353841283798</v>
      </c>
      <c r="P30" s="133">
        <v>593.88308198115294</v>
      </c>
      <c r="Q30" s="133">
        <v>591.70149382752936</v>
      </c>
      <c r="R30" s="133">
        <v>599.96889495316998</v>
      </c>
      <c r="S30" s="133">
        <v>612.84306142976641</v>
      </c>
      <c r="T30" s="133">
        <v>611.30516015078797</v>
      </c>
      <c r="U30" s="133">
        <v>593.28918818236934</v>
      </c>
      <c r="V30" s="133">
        <v>622.08436295517652</v>
      </c>
      <c r="W30" s="133">
        <v>627.71880164084939</v>
      </c>
      <c r="DA30" s="157" t="s">
        <v>378</v>
      </c>
    </row>
    <row r="31" spans="1:105" ht="12" customHeight="1" x14ac:dyDescent="0.25">
      <c r="A31" s="132" t="s">
        <v>153</v>
      </c>
      <c r="B31" s="133">
        <v>2512.2966979203925</v>
      </c>
      <c r="C31" s="133">
        <v>2465.1278326632332</v>
      </c>
      <c r="D31" s="133">
        <v>2259.2979249111095</v>
      </c>
      <c r="E31" s="133">
        <v>1829.4213876541407</v>
      </c>
      <c r="F31" s="133">
        <v>1693.3913836798438</v>
      </c>
      <c r="G31" s="133">
        <v>1877.9515451889663</v>
      </c>
      <c r="H31" s="133">
        <v>1763.8429295431147</v>
      </c>
      <c r="I31" s="133">
        <v>2018.4917555209829</v>
      </c>
      <c r="J31" s="133">
        <v>2012.2526497423914</v>
      </c>
      <c r="K31" s="133">
        <v>2154.1350094878781</v>
      </c>
      <c r="L31" s="133">
        <v>2199.1359515105923</v>
      </c>
      <c r="M31" s="133">
        <v>2270.6243785714391</v>
      </c>
      <c r="N31" s="133">
        <v>2357.8610107455238</v>
      </c>
      <c r="O31" s="133">
        <v>2429.6586645886373</v>
      </c>
      <c r="P31" s="133">
        <v>2687.0278169441294</v>
      </c>
      <c r="Q31" s="133">
        <v>2727.0277347419428</v>
      </c>
      <c r="R31" s="133">
        <v>2801.6643428029902</v>
      </c>
      <c r="S31" s="133">
        <v>2774.6414224034497</v>
      </c>
      <c r="T31" s="133">
        <v>2559.5606997998225</v>
      </c>
      <c r="U31" s="133">
        <v>2789.7936559357681</v>
      </c>
      <c r="V31" s="133">
        <v>2494.1067511100809</v>
      </c>
      <c r="W31" s="133">
        <v>2563.8335510384832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195407.78998532458</v>
      </c>
      <c r="C3" s="126">
        <f>IF(SER_hh_fec!C3=0,0,11630*1000*SER_hh_fec!C3/SER_hh_num!C3)</f>
        <v>198291.63921752039</v>
      </c>
      <c r="D3" s="126">
        <f>IF(SER_hh_fec!D3=0,0,11630*1000*SER_hh_fec!D3/SER_hh_num!D3)</f>
        <v>193000.40927128337</v>
      </c>
      <c r="E3" s="126">
        <f>IF(SER_hh_fec!E3=0,0,11630*1000*SER_hh_fec!E3/SER_hh_num!E3)</f>
        <v>215591.9543329108</v>
      </c>
      <c r="F3" s="126">
        <f>IF(SER_hh_fec!F3=0,0,11630*1000*SER_hh_fec!F3/SER_hh_num!F3)</f>
        <v>217766.61700290756</v>
      </c>
      <c r="G3" s="126">
        <f>IF(SER_hh_fec!G3=0,0,11630*1000*SER_hh_fec!G3/SER_hh_num!G3)</f>
        <v>246813.47657407459</v>
      </c>
      <c r="H3" s="126">
        <f>IF(SER_hh_fec!H3=0,0,11630*1000*SER_hh_fec!H3/SER_hh_num!H3)</f>
        <v>249524.87143647214</v>
      </c>
      <c r="I3" s="126">
        <f>IF(SER_hh_fec!I3=0,0,11630*1000*SER_hh_fec!I3/SER_hh_num!I3)</f>
        <v>235901.25130907202</v>
      </c>
      <c r="J3" s="126">
        <f>IF(SER_hh_fec!J3=0,0,11630*1000*SER_hh_fec!J3/SER_hh_num!J3)</f>
        <v>268399.47009381454</v>
      </c>
      <c r="K3" s="126">
        <f>IF(SER_hh_fec!K3=0,0,11630*1000*SER_hh_fec!K3/SER_hh_num!K3)</f>
        <v>265537.73246387084</v>
      </c>
      <c r="L3" s="126">
        <f>IF(SER_hh_fec!L3=0,0,11630*1000*SER_hh_fec!L3/SER_hh_num!L3)</f>
        <v>264593.46356180951</v>
      </c>
      <c r="M3" s="126">
        <f>IF(SER_hh_fec!M3=0,0,11630*1000*SER_hh_fec!M3/SER_hh_num!M3)</f>
        <v>238648.26199495577</v>
      </c>
      <c r="N3" s="126">
        <f>IF(SER_hh_fec!N3=0,0,11630*1000*SER_hh_fec!N3/SER_hh_num!N3)</f>
        <v>240340.84590228411</v>
      </c>
      <c r="O3" s="126">
        <f>IF(SER_hh_fec!O3=0,0,11630*1000*SER_hh_fec!O3/SER_hh_num!O3)</f>
        <v>237732.1327656112</v>
      </c>
      <c r="P3" s="126">
        <f>IF(SER_hh_fec!P3=0,0,11630*1000*SER_hh_fec!P3/SER_hh_num!P3)</f>
        <v>210551.79798819317</v>
      </c>
      <c r="Q3" s="126">
        <f>IF(SER_hh_fec!Q3=0,0,11630*1000*SER_hh_fec!Q3/SER_hh_num!Q3)</f>
        <v>222818.04432252969</v>
      </c>
      <c r="R3" s="126">
        <f>IF(SER_hh_fec!R3=0,0,11630*1000*SER_hh_fec!R3/SER_hh_num!R3)</f>
        <v>223552.23386399163</v>
      </c>
      <c r="S3" s="126">
        <f>IF(SER_hh_fec!S3=0,0,11630*1000*SER_hh_fec!S3/SER_hh_num!S3)</f>
        <v>225514.91921870317</v>
      </c>
      <c r="T3" s="126">
        <f>IF(SER_hh_fec!T3=0,0,11630*1000*SER_hh_fec!T3/SER_hh_num!T3)</f>
        <v>240001.90775975795</v>
      </c>
      <c r="U3" s="126">
        <f>IF(SER_hh_fec!U3=0,0,11630*1000*SER_hh_fec!U3/SER_hh_num!U3)</f>
        <v>227454.73186828138</v>
      </c>
      <c r="V3" s="126">
        <f>IF(SER_hh_fec!V3=0,0,11630*1000*SER_hh_fec!V3/SER_hh_num!V3)</f>
        <v>203158.92091111199</v>
      </c>
      <c r="W3" s="126">
        <f>IF(SER_hh_fec!W3=0,0,11630*1000*SER_hh_fec!W3/SER_hh_num!W3)</f>
        <v>205255.67513745179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130598.42783046828</v>
      </c>
      <c r="C4" s="131">
        <f>IF(SER_hh_fec!C4=0,0,11630*1000*SER_hh_fec!C4/SER_hh_num!C4)</f>
        <v>133225.86846075824</v>
      </c>
      <c r="D4" s="131">
        <f>IF(SER_hh_fec!D4=0,0,11630*1000*SER_hh_fec!D4/SER_hh_num!D4)</f>
        <v>128523.52473903718</v>
      </c>
      <c r="E4" s="131">
        <f>IF(SER_hh_fec!E4=0,0,11630*1000*SER_hh_fec!E4/SER_hh_num!E4)</f>
        <v>148534.78131293805</v>
      </c>
      <c r="F4" s="131">
        <f>IF(SER_hh_fec!F4=0,0,11630*1000*SER_hh_fec!F4/SER_hh_num!F4)</f>
        <v>154001.56344813804</v>
      </c>
      <c r="G4" s="131">
        <f>IF(SER_hh_fec!G4=0,0,11630*1000*SER_hh_fec!G4/SER_hh_num!G4)</f>
        <v>182324.68013533551</v>
      </c>
      <c r="H4" s="131">
        <f>IF(SER_hh_fec!H4=0,0,11630*1000*SER_hh_fec!H4/SER_hh_num!H4)</f>
        <v>185255.14507539425</v>
      </c>
      <c r="I4" s="131">
        <f>IF(SER_hh_fec!I4=0,0,11630*1000*SER_hh_fec!I4/SER_hh_num!I4)</f>
        <v>170833.21152301881</v>
      </c>
      <c r="J4" s="131">
        <f>IF(SER_hh_fec!J4=0,0,11630*1000*SER_hh_fec!J4/SER_hh_num!J4)</f>
        <v>202783.10008376162</v>
      </c>
      <c r="K4" s="131">
        <f>IF(SER_hh_fec!K4=0,0,11630*1000*SER_hh_fec!K4/SER_hh_num!K4)</f>
        <v>199060.31695454393</v>
      </c>
      <c r="L4" s="131">
        <f>IF(SER_hh_fec!L4=0,0,11630*1000*SER_hh_fec!L4/SER_hh_num!L4)</f>
        <v>198975.59603309454</v>
      </c>
      <c r="M4" s="131">
        <f>IF(SER_hh_fec!M4=0,0,11630*1000*SER_hh_fec!M4/SER_hh_num!M4)</f>
        <v>172334.72250158491</v>
      </c>
      <c r="N4" s="131">
        <f>IF(SER_hh_fec!N4=0,0,11630*1000*SER_hh_fec!N4/SER_hh_num!N4)</f>
        <v>171894.51738686854</v>
      </c>
      <c r="O4" s="131">
        <f>IF(SER_hh_fec!O4=0,0,11630*1000*SER_hh_fec!O4/SER_hh_num!O4)</f>
        <v>171131.71551735763</v>
      </c>
      <c r="P4" s="131">
        <f>IF(SER_hh_fec!P4=0,0,11630*1000*SER_hh_fec!P4/SER_hh_num!P4)</f>
        <v>143834.17093296253</v>
      </c>
      <c r="Q4" s="131">
        <f>IF(SER_hh_fec!Q4=0,0,11630*1000*SER_hh_fec!Q4/SER_hh_num!Q4)</f>
        <v>153298.94773986095</v>
      </c>
      <c r="R4" s="131">
        <f>IF(SER_hh_fec!R4=0,0,11630*1000*SER_hh_fec!R4/SER_hh_num!R4)</f>
        <v>155893.62528840982</v>
      </c>
      <c r="S4" s="131">
        <f>IF(SER_hh_fec!S4=0,0,11630*1000*SER_hh_fec!S4/SER_hh_num!S4)</f>
        <v>156874.38671186427</v>
      </c>
      <c r="T4" s="131">
        <f>IF(SER_hh_fec!T4=0,0,11630*1000*SER_hh_fec!T4/SER_hh_num!T4)</f>
        <v>174003.26182114583</v>
      </c>
      <c r="U4" s="131">
        <f>IF(SER_hh_fec!U4=0,0,11630*1000*SER_hh_fec!U4/SER_hh_num!U4)</f>
        <v>161918.09523083264</v>
      </c>
      <c r="V4" s="131">
        <f>IF(SER_hh_fec!V4=0,0,11630*1000*SER_hh_fec!V4/SER_hh_num!V4)</f>
        <v>145244.78549514385</v>
      </c>
      <c r="W4" s="131">
        <f>IF(SER_hh_fec!W4=0,0,11630*1000*SER_hh_fec!W4/SER_hh_num!W4)</f>
        <v>142604.8504425688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153015.38190580395</v>
      </c>
      <c r="C6" s="133">
        <f>IF(SER_hh_fec!C6=0,0,11630*1000*SER_hh_fec!C6/SER_hh_num!C6)</f>
        <v>155268.60221721188</v>
      </c>
      <c r="D6" s="133">
        <f>IF(SER_hh_fec!D6=0,0,11630*1000*SER_hh_fec!D6/SER_hh_num!D6)</f>
        <v>148030.04188722093</v>
      </c>
      <c r="E6" s="133">
        <f>IF(SER_hh_fec!E6=0,0,11630*1000*SER_hh_fec!E6/SER_hh_num!E6)</f>
        <v>179852.414646088</v>
      </c>
      <c r="F6" s="133">
        <f>IF(SER_hh_fec!F6=0,0,11630*1000*SER_hh_fec!F6/SER_hh_num!F6)</f>
        <v>185057.0940582203</v>
      </c>
      <c r="G6" s="133">
        <f>IF(SER_hh_fec!G6=0,0,11630*1000*SER_hh_fec!G6/SER_hh_num!G6)</f>
        <v>216009.0355906997</v>
      </c>
      <c r="H6" s="133">
        <f>IF(SER_hh_fec!H6=0,0,11630*1000*SER_hh_fec!H6/SER_hh_num!H6)</f>
        <v>219471.62421969863</v>
      </c>
      <c r="I6" s="133">
        <f>IF(SER_hh_fec!I6=0,0,11630*1000*SER_hh_fec!I6/SER_hh_num!I6)</f>
        <v>207114.45391772251</v>
      </c>
      <c r="J6" s="133">
        <f>IF(SER_hh_fec!J6=0,0,11630*1000*SER_hh_fec!J6/SER_hh_num!J6)</f>
        <v>242746.48332961611</v>
      </c>
      <c r="K6" s="133">
        <f>IF(SER_hh_fec!K6=0,0,11630*1000*SER_hh_fec!K6/SER_hh_num!K6)</f>
        <v>243777.40008346419</v>
      </c>
      <c r="L6" s="133">
        <f>IF(SER_hh_fec!L6=0,0,11630*1000*SER_hh_fec!L6/SER_hh_num!L6)</f>
        <v>252046.65603315664</v>
      </c>
      <c r="M6" s="133">
        <f>IF(SER_hh_fec!M6=0,0,11630*1000*SER_hh_fec!M6/SER_hh_num!M6)</f>
        <v>226185.33900439439</v>
      </c>
      <c r="N6" s="133">
        <f>IF(SER_hh_fec!N6=0,0,11630*1000*SER_hh_fec!N6/SER_hh_num!N6)</f>
        <v>207994.39136529408</v>
      </c>
      <c r="O6" s="133">
        <f>IF(SER_hh_fec!O6=0,0,11630*1000*SER_hh_fec!O6/SER_hh_num!O6)</f>
        <v>229142.2939835276</v>
      </c>
      <c r="P6" s="133">
        <f>IF(SER_hh_fec!P6=0,0,11630*1000*SER_hh_fec!P6/SER_hh_num!P6)</f>
        <v>212225.29282838109</v>
      </c>
      <c r="Q6" s="133">
        <f>IF(SER_hh_fec!Q6=0,0,11630*1000*SER_hh_fec!Q6/SER_hh_num!Q6)</f>
        <v>221495.06992244528</v>
      </c>
      <c r="R6" s="133">
        <f>IF(SER_hh_fec!R6=0,0,11630*1000*SER_hh_fec!R6/SER_hh_num!R6)</f>
        <v>258285.8343503045</v>
      </c>
      <c r="S6" s="133">
        <f>IF(SER_hh_fec!S6=0,0,11630*1000*SER_hh_fec!S6/SER_hh_num!S6)</f>
        <v>274925.07001845143</v>
      </c>
      <c r="T6" s="133">
        <f>IF(SER_hh_fec!T6=0,0,11630*1000*SER_hh_fec!T6/SER_hh_num!T6)</f>
        <v>260696.37093633969</v>
      </c>
      <c r="U6" s="133">
        <f>IF(SER_hh_fec!U6=0,0,11630*1000*SER_hh_fec!U6/SER_hh_num!U6)</f>
        <v>265149.32629643491</v>
      </c>
      <c r="V6" s="133">
        <f>IF(SER_hh_fec!V6=0,0,11630*1000*SER_hh_fec!V6/SER_hh_num!V6)</f>
        <v>243197.22911848227</v>
      </c>
      <c r="W6" s="133">
        <f>IF(SER_hh_fec!W6=0,0,11630*1000*SER_hh_fec!W6/SER_hh_num!W6)</f>
        <v>286768.67634561367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186773.73515513213</v>
      </c>
      <c r="C7" s="133">
        <f>IF(SER_hh_fec!C7=0,0,11630*1000*SER_hh_fec!C7/SER_hh_num!C7)</f>
        <v>116713.1006544445</v>
      </c>
      <c r="D7" s="133">
        <f>IF(SER_hh_fec!D7=0,0,11630*1000*SER_hh_fec!D7/SER_hh_num!D7)</f>
        <v>152221.77012732602</v>
      </c>
      <c r="E7" s="133">
        <f>IF(SER_hh_fec!E7=0,0,11630*1000*SER_hh_fec!E7/SER_hh_num!E7)</f>
        <v>189286.44761689458</v>
      </c>
      <c r="F7" s="133">
        <f>IF(SER_hh_fec!F7=0,0,11630*1000*SER_hh_fec!F7/SER_hh_num!F7)</f>
        <v>198244.99151180641</v>
      </c>
      <c r="G7" s="133">
        <f>IF(SER_hh_fec!G7=0,0,11630*1000*SER_hh_fec!G7/SER_hh_num!G7)</f>
        <v>210564.69584733859</v>
      </c>
      <c r="H7" s="133">
        <f>IF(SER_hh_fec!H7=0,0,11630*1000*SER_hh_fec!H7/SER_hh_num!H7)</f>
        <v>224849.46434444367</v>
      </c>
      <c r="I7" s="133">
        <f>IF(SER_hh_fec!I7=0,0,11630*1000*SER_hh_fec!I7/SER_hh_num!I7)</f>
        <v>220950.05121621009</v>
      </c>
      <c r="J7" s="133">
        <f>IF(SER_hh_fec!J7=0,0,11630*1000*SER_hh_fec!J7/SER_hh_num!J7)</f>
        <v>279888.73191175371</v>
      </c>
      <c r="K7" s="133">
        <f>IF(SER_hh_fec!K7=0,0,11630*1000*SER_hh_fec!K7/SER_hh_num!K7)</f>
        <v>201310.20113946008</v>
      </c>
      <c r="L7" s="133">
        <f>IF(SER_hh_fec!L7=0,0,11630*1000*SER_hh_fec!L7/SER_hh_num!L7)</f>
        <v>243522.45569820254</v>
      </c>
      <c r="M7" s="133">
        <f>IF(SER_hh_fec!M7=0,0,11630*1000*SER_hh_fec!M7/SER_hh_num!M7)</f>
        <v>240460.97853073507</v>
      </c>
      <c r="N7" s="133">
        <f>IF(SER_hh_fec!N7=0,0,11630*1000*SER_hh_fec!N7/SER_hh_num!N7)</f>
        <v>239624.06711038831</v>
      </c>
      <c r="O7" s="133">
        <f>IF(SER_hh_fec!O7=0,0,11630*1000*SER_hh_fec!O7/SER_hh_num!O7)</f>
        <v>216856.49329708083</v>
      </c>
      <c r="P7" s="133">
        <f>IF(SER_hh_fec!P7=0,0,11630*1000*SER_hh_fec!P7/SER_hh_num!P7)</f>
        <v>225665.37029127523</v>
      </c>
      <c r="Q7" s="133">
        <f>IF(SER_hh_fec!Q7=0,0,11630*1000*SER_hh_fec!Q7/SER_hh_num!Q7)</f>
        <v>274295.23417748732</v>
      </c>
      <c r="R7" s="133">
        <f>IF(SER_hh_fec!R7=0,0,11630*1000*SER_hh_fec!R7/SER_hh_num!R7)</f>
        <v>296765.06160838954</v>
      </c>
      <c r="S7" s="133">
        <f>IF(SER_hh_fec!S7=0,0,11630*1000*SER_hh_fec!S7/SER_hh_num!S7)</f>
        <v>238718.05199175896</v>
      </c>
      <c r="T7" s="133">
        <f>IF(SER_hh_fec!T7=0,0,11630*1000*SER_hh_fec!T7/SER_hh_num!T7)</f>
        <v>305749.7484342939</v>
      </c>
      <c r="U7" s="133">
        <f>IF(SER_hh_fec!U7=0,0,11630*1000*SER_hh_fec!U7/SER_hh_num!U7)</f>
        <v>234545.72683777101</v>
      </c>
      <c r="V7" s="133">
        <f>IF(SER_hh_fec!V7=0,0,11630*1000*SER_hh_fec!V7/SER_hh_num!V7)</f>
        <v>183209.58210930429</v>
      </c>
      <c r="W7" s="133">
        <f>IF(SER_hh_fec!W7=0,0,11630*1000*SER_hh_fec!W7/SER_hh_num!W7)</f>
        <v>319515.52575228846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63098.781169547176</v>
      </c>
      <c r="C8" s="133">
        <f>IF(SER_hh_fec!C8=0,0,11630*1000*SER_hh_fec!C8/SER_hh_num!C8)</f>
        <v>66668.688656908416</v>
      </c>
      <c r="D8" s="133">
        <f>IF(SER_hh_fec!D8=0,0,11630*1000*SER_hh_fec!D8/SER_hh_num!D8)</f>
        <v>58782.747479481943</v>
      </c>
      <c r="E8" s="133">
        <f>IF(SER_hh_fec!E8=0,0,11630*1000*SER_hh_fec!E8/SER_hh_num!E8)</f>
        <v>64346.327555706819</v>
      </c>
      <c r="F8" s="133">
        <f>IF(SER_hh_fec!F8=0,0,11630*1000*SER_hh_fec!F8/SER_hh_num!F8)</f>
        <v>63731.369006876121</v>
      </c>
      <c r="G8" s="133">
        <f>IF(SER_hh_fec!G8=0,0,11630*1000*SER_hh_fec!G8/SER_hh_num!G8)</f>
        <v>65793.826774134825</v>
      </c>
      <c r="H8" s="133">
        <f>IF(SER_hh_fec!H8=0,0,11630*1000*SER_hh_fec!H8/SER_hh_num!H8)</f>
        <v>65842.338177001919</v>
      </c>
      <c r="I8" s="133">
        <f>IF(SER_hh_fec!I8=0,0,11630*1000*SER_hh_fec!I8/SER_hh_num!I8)</f>
        <v>63962.499039832364</v>
      </c>
      <c r="J8" s="133">
        <f>IF(SER_hh_fec!J8=0,0,11630*1000*SER_hh_fec!J8/SER_hh_num!J8)</f>
        <v>64072.155627733038</v>
      </c>
      <c r="K8" s="133">
        <f>IF(SER_hh_fec!K8=0,0,11630*1000*SER_hh_fec!K8/SER_hh_num!K8)</f>
        <v>59870.707029812897</v>
      </c>
      <c r="L8" s="133">
        <f>IF(SER_hh_fec!L8=0,0,11630*1000*SER_hh_fec!L8/SER_hh_num!L8)</f>
        <v>53600.002511151943</v>
      </c>
      <c r="M8" s="133">
        <f>IF(SER_hh_fec!M8=0,0,11630*1000*SER_hh_fec!M8/SER_hh_num!M8)</f>
        <v>47830.357803729145</v>
      </c>
      <c r="N8" s="133">
        <f>IF(SER_hh_fec!N8=0,0,11630*1000*SER_hh_fec!N8/SER_hh_num!N8)</f>
        <v>43712.917656936304</v>
      </c>
      <c r="O8" s="133">
        <f>IF(SER_hh_fec!O8=0,0,11630*1000*SER_hh_fec!O8/SER_hh_num!O8)</f>
        <v>42835.217349680621</v>
      </c>
      <c r="P8" s="133">
        <f>IF(SER_hh_fec!P8=0,0,11630*1000*SER_hh_fec!P8/SER_hh_num!P8)</f>
        <v>44061.792205068545</v>
      </c>
      <c r="Q8" s="133">
        <f>IF(SER_hh_fec!Q8=0,0,11630*1000*SER_hh_fec!Q8/SER_hh_num!Q8)</f>
        <v>51434.315328441968</v>
      </c>
      <c r="R8" s="133">
        <f>IF(SER_hh_fec!R8=0,0,11630*1000*SER_hh_fec!R8/SER_hh_num!R8)</f>
        <v>48964.292856787906</v>
      </c>
      <c r="S8" s="133">
        <f>IF(SER_hh_fec!S8=0,0,11630*1000*SER_hh_fec!S8/SER_hh_num!S8)</f>
        <v>49140.308418040273</v>
      </c>
      <c r="T8" s="133">
        <f>IF(SER_hh_fec!T8=0,0,11630*1000*SER_hh_fec!T8/SER_hh_num!T8)</f>
        <v>48953.344035101778</v>
      </c>
      <c r="U8" s="133">
        <f>IF(SER_hh_fec!U8=0,0,11630*1000*SER_hh_fec!U8/SER_hh_num!U8)</f>
        <v>45694.579466500916</v>
      </c>
      <c r="V8" s="133">
        <f>IF(SER_hh_fec!V8=0,0,11630*1000*SER_hh_fec!V8/SER_hh_num!V8)</f>
        <v>43459.024535102239</v>
      </c>
      <c r="W8" s="133">
        <f>IF(SER_hh_fec!W8=0,0,11630*1000*SER_hh_fec!W8/SER_hh_num!W8)</f>
        <v>43149.261460543406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142327.3172673354</v>
      </c>
      <c r="C9" s="133">
        <f>IF(SER_hh_fec!C9=0,0,11630*1000*SER_hh_fec!C9/SER_hh_num!C9)</f>
        <v>149210.33758304192</v>
      </c>
      <c r="D9" s="133">
        <f>IF(SER_hh_fec!D9=0,0,11630*1000*SER_hh_fec!D9/SER_hh_num!D9)</f>
        <v>134435.70696247375</v>
      </c>
      <c r="E9" s="133">
        <f>IF(SER_hh_fec!E9=0,0,11630*1000*SER_hh_fec!E9/SER_hh_num!E9)</f>
        <v>161861.34352918743</v>
      </c>
      <c r="F9" s="133">
        <f>IF(SER_hh_fec!F9=0,0,11630*1000*SER_hh_fec!F9/SER_hh_num!F9)</f>
        <v>162737.96556944912</v>
      </c>
      <c r="G9" s="133">
        <f>IF(SER_hh_fec!G9=0,0,11630*1000*SER_hh_fec!G9/SER_hh_num!G9)</f>
        <v>199508.63798244006</v>
      </c>
      <c r="H9" s="133">
        <f>IF(SER_hh_fec!H9=0,0,11630*1000*SER_hh_fec!H9/SER_hh_num!H9)</f>
        <v>200049.85645017351</v>
      </c>
      <c r="I9" s="133">
        <f>IF(SER_hh_fec!I9=0,0,11630*1000*SER_hh_fec!I9/SER_hh_num!I9)</f>
        <v>175511.76070674681</v>
      </c>
      <c r="J9" s="133">
        <f>IF(SER_hh_fec!J9=0,0,11630*1000*SER_hh_fec!J9/SER_hh_num!J9)</f>
        <v>220016.0762949053</v>
      </c>
      <c r="K9" s="133">
        <f>IF(SER_hh_fec!K9=0,0,11630*1000*SER_hh_fec!K9/SER_hh_num!K9)</f>
        <v>218599.01512901112</v>
      </c>
      <c r="L9" s="133">
        <f>IF(SER_hh_fec!L9=0,0,11630*1000*SER_hh_fec!L9/SER_hh_num!L9)</f>
        <v>221633.33002118973</v>
      </c>
      <c r="M9" s="133">
        <f>IF(SER_hh_fec!M9=0,0,11630*1000*SER_hh_fec!M9/SER_hh_num!M9)</f>
        <v>185944.24874804163</v>
      </c>
      <c r="N9" s="133">
        <f>IF(SER_hh_fec!N9=0,0,11630*1000*SER_hh_fec!N9/SER_hh_num!N9)</f>
        <v>197263.73478915798</v>
      </c>
      <c r="O9" s="133">
        <f>IF(SER_hh_fec!O9=0,0,11630*1000*SER_hh_fec!O9/SER_hh_num!O9)</f>
        <v>213717.43238343459</v>
      </c>
      <c r="P9" s="133">
        <f>IF(SER_hh_fec!P9=0,0,11630*1000*SER_hh_fec!P9/SER_hh_num!P9)</f>
        <v>176761.73459381695</v>
      </c>
      <c r="Q9" s="133">
        <f>IF(SER_hh_fec!Q9=0,0,11630*1000*SER_hh_fec!Q9/SER_hh_num!Q9)</f>
        <v>215485.07726404257</v>
      </c>
      <c r="R9" s="133">
        <f>IF(SER_hh_fec!R9=0,0,11630*1000*SER_hh_fec!R9/SER_hh_num!R9)</f>
        <v>228149.26862246977</v>
      </c>
      <c r="S9" s="133">
        <f>IF(SER_hh_fec!S9=0,0,11630*1000*SER_hh_fec!S9/SER_hh_num!S9)</f>
        <v>223260.64410075016</v>
      </c>
      <c r="T9" s="133">
        <f>IF(SER_hh_fec!T9=0,0,11630*1000*SER_hh_fec!T9/SER_hh_num!T9)</f>
        <v>250039.34020180674</v>
      </c>
      <c r="U9" s="133">
        <f>IF(SER_hh_fec!U9=0,0,11630*1000*SER_hh_fec!U9/SER_hh_num!U9)</f>
        <v>236937.93142823101</v>
      </c>
      <c r="V9" s="133">
        <f>IF(SER_hh_fec!V9=0,0,11630*1000*SER_hh_fec!V9/SER_hh_num!V9)</f>
        <v>221216.88398553777</v>
      </c>
      <c r="W9" s="133">
        <f>IF(SER_hh_fec!W9=0,0,11630*1000*SER_hh_fec!W9/SER_hh_num!W9)</f>
        <v>194777.17232365155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118072.70726644783</v>
      </c>
      <c r="C10" s="133">
        <f>IF(SER_hh_fec!C10=0,0,11630*1000*SER_hh_fec!C10/SER_hh_num!C10)</f>
        <v>124932.20133595204</v>
      </c>
      <c r="D10" s="133">
        <f>IF(SER_hh_fec!D10=0,0,11630*1000*SER_hh_fec!D10/SER_hh_num!D10)</f>
        <v>122677.9121345173</v>
      </c>
      <c r="E10" s="133">
        <f>IF(SER_hh_fec!E10=0,0,11630*1000*SER_hh_fec!E10/SER_hh_num!E10)</f>
        <v>135180.66398006334</v>
      </c>
      <c r="F10" s="133">
        <f>IF(SER_hh_fec!F10=0,0,11630*1000*SER_hh_fec!F10/SER_hh_num!F10)</f>
        <v>146428.53189569298</v>
      </c>
      <c r="G10" s="133">
        <f>IF(SER_hh_fec!G10=0,0,11630*1000*SER_hh_fec!G10/SER_hh_num!G10)</f>
        <v>157387.99931874877</v>
      </c>
      <c r="H10" s="133">
        <f>IF(SER_hh_fec!H10=0,0,11630*1000*SER_hh_fec!H10/SER_hh_num!H10)</f>
        <v>201807.31835047988</v>
      </c>
      <c r="I10" s="133">
        <f>IF(SER_hh_fec!I10=0,0,11630*1000*SER_hh_fec!I10/SER_hh_num!I10)</f>
        <v>164933.7891959672</v>
      </c>
      <c r="J10" s="133">
        <f>IF(SER_hh_fec!J10=0,0,11630*1000*SER_hh_fec!J10/SER_hh_num!J10)</f>
        <v>153053.09407132119</v>
      </c>
      <c r="K10" s="133">
        <f>IF(SER_hh_fec!K10=0,0,11630*1000*SER_hh_fec!K10/SER_hh_num!K10)</f>
        <v>182775.92797647673</v>
      </c>
      <c r="L10" s="133">
        <f>IF(SER_hh_fec!L10=0,0,11630*1000*SER_hh_fec!L10/SER_hh_num!L10)</f>
        <v>225659.02377394208</v>
      </c>
      <c r="M10" s="133">
        <f>IF(SER_hh_fec!M10=0,0,11630*1000*SER_hh_fec!M10/SER_hh_num!M10)</f>
        <v>189611.09455424963</v>
      </c>
      <c r="N10" s="133">
        <f>IF(SER_hh_fec!N10=0,0,11630*1000*SER_hh_fec!N10/SER_hh_num!N10)</f>
        <v>147355.06461995858</v>
      </c>
      <c r="O10" s="133">
        <f>IF(SER_hh_fec!O10=0,0,11630*1000*SER_hh_fec!O10/SER_hh_num!O10)</f>
        <v>186993.84747654427</v>
      </c>
      <c r="P10" s="133">
        <f>IF(SER_hh_fec!P10=0,0,11630*1000*SER_hh_fec!P10/SER_hh_num!P10)</f>
        <v>242671.33205558002</v>
      </c>
      <c r="Q10" s="133">
        <f>IF(SER_hh_fec!Q10=0,0,11630*1000*SER_hh_fec!Q10/SER_hh_num!Q10)</f>
        <v>201225.5267051011</v>
      </c>
      <c r="R10" s="133">
        <f>IF(SER_hh_fec!R10=0,0,11630*1000*SER_hh_fec!R10/SER_hh_num!R10)</f>
        <v>244121.70839856833</v>
      </c>
      <c r="S10" s="133">
        <f>IF(SER_hh_fec!S10=0,0,11630*1000*SER_hh_fec!S10/SER_hh_num!S10)</f>
        <v>252192.93330999633</v>
      </c>
      <c r="T10" s="133">
        <f>IF(SER_hh_fec!T10=0,0,11630*1000*SER_hh_fec!T10/SER_hh_num!T10)</f>
        <v>242933.49727346195</v>
      </c>
      <c r="U10" s="133">
        <f>IF(SER_hh_fec!U10=0,0,11630*1000*SER_hh_fec!U10/SER_hh_num!U10)</f>
        <v>247259.71021903551</v>
      </c>
      <c r="V10" s="133">
        <f>IF(SER_hh_fec!V10=0,0,11630*1000*SER_hh_fec!V10/SER_hh_num!V10)</f>
        <v>229309.49780367789</v>
      </c>
      <c r="W10" s="133">
        <f>IF(SER_hh_fec!W10=0,0,11630*1000*SER_hh_fec!W10/SER_hh_num!W10)</f>
        <v>232763.90499417437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96515.172533741526</v>
      </c>
      <c r="C11" s="133">
        <f>IF(SER_hh_fec!C11=0,0,11630*1000*SER_hh_fec!C11/SER_hh_num!C11)</f>
        <v>98363.473160751979</v>
      </c>
      <c r="D11" s="133">
        <f>IF(SER_hh_fec!D11=0,0,11630*1000*SER_hh_fec!D11/SER_hh_num!D11)</f>
        <v>102461.45858763199</v>
      </c>
      <c r="E11" s="133">
        <f>IF(SER_hh_fec!E11=0,0,11630*1000*SER_hh_fec!E11/SER_hh_num!E11)</f>
        <v>111428.03246780425</v>
      </c>
      <c r="F11" s="133">
        <f>IF(SER_hh_fec!F11=0,0,11630*1000*SER_hh_fec!F11/SER_hh_num!F11)</f>
        <v>120219.09557870848</v>
      </c>
      <c r="G11" s="133">
        <f>IF(SER_hh_fec!G11=0,0,11630*1000*SER_hh_fec!G11/SER_hh_num!G11)</f>
        <v>133677.33693708511</v>
      </c>
      <c r="H11" s="133">
        <f>IF(SER_hh_fec!H11=0,0,11630*1000*SER_hh_fec!H11/SER_hh_num!H11)</f>
        <v>142638.99023130295</v>
      </c>
      <c r="I11" s="133">
        <f>IF(SER_hh_fec!I11=0,0,11630*1000*SER_hh_fec!I11/SER_hh_num!I11)</f>
        <v>147861.67215634757</v>
      </c>
      <c r="J11" s="133">
        <f>IF(SER_hh_fec!J11=0,0,11630*1000*SER_hh_fec!J11/SER_hh_num!J11)</f>
        <v>163927.34440357613</v>
      </c>
      <c r="K11" s="133">
        <f>IF(SER_hh_fec!K11=0,0,11630*1000*SER_hh_fec!K11/SER_hh_num!K11)</f>
        <v>184627.82505206077</v>
      </c>
      <c r="L11" s="133">
        <f>IF(SER_hh_fec!L11=0,0,11630*1000*SER_hh_fec!L11/SER_hh_num!L11)</f>
        <v>133514.01406468498</v>
      </c>
      <c r="M11" s="133">
        <f>IF(SER_hh_fec!M11=0,0,11630*1000*SER_hh_fec!M11/SER_hh_num!M11)</f>
        <v>147416.71895941839</v>
      </c>
      <c r="N11" s="133">
        <f>IF(SER_hh_fec!N11=0,0,11630*1000*SER_hh_fec!N11/SER_hh_num!N11)</f>
        <v>158714.00834413612</v>
      </c>
      <c r="O11" s="133">
        <f>IF(SER_hh_fec!O11=0,0,11630*1000*SER_hh_fec!O11/SER_hh_num!O11)</f>
        <v>161408.79331457682</v>
      </c>
      <c r="P11" s="133">
        <f>IF(SER_hh_fec!P11=0,0,11630*1000*SER_hh_fec!P11/SER_hh_num!P11)</f>
        <v>159519.79209935036</v>
      </c>
      <c r="Q11" s="133">
        <f>IF(SER_hh_fec!Q11=0,0,11630*1000*SER_hh_fec!Q11/SER_hh_num!Q11)</f>
        <v>176225.94561934425</v>
      </c>
      <c r="R11" s="133">
        <f>IF(SER_hh_fec!R11=0,0,11630*1000*SER_hh_fec!R11/SER_hh_num!R11)</f>
        <v>185169.5510480846</v>
      </c>
      <c r="S11" s="133">
        <f>IF(SER_hh_fec!S11=0,0,11630*1000*SER_hh_fec!S11/SER_hh_num!S11)</f>
        <v>201792.56564243391</v>
      </c>
      <c r="T11" s="133">
        <f>IF(SER_hh_fec!T11=0,0,11630*1000*SER_hh_fec!T11/SER_hh_num!T11)</f>
        <v>205169.18412704091</v>
      </c>
      <c r="U11" s="133">
        <f>IF(SER_hh_fec!U11=0,0,11630*1000*SER_hh_fec!U11/SER_hh_num!U11)</f>
        <v>203635.50644946392</v>
      </c>
      <c r="V11" s="133">
        <f>IF(SER_hh_fec!V11=0,0,11630*1000*SER_hh_fec!V11/SER_hh_num!V11)</f>
        <v>187583.46968997022</v>
      </c>
      <c r="W11" s="133">
        <f>IF(SER_hh_fec!W11=0,0,11630*1000*SER_hh_fec!W11/SER_hh_num!W11)</f>
        <v>178858.46115121376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0</v>
      </c>
      <c r="C12" s="133">
        <f>IF(SER_hh_fec!C12=0,0,11630*1000*SER_hh_fec!C12/SER_hh_num!C12)</f>
        <v>0</v>
      </c>
      <c r="D12" s="133">
        <f>IF(SER_hh_fec!D12=0,0,11630*1000*SER_hh_fec!D12/SER_hh_num!D12)</f>
        <v>0</v>
      </c>
      <c r="E12" s="133">
        <f>IF(SER_hh_fec!E12=0,0,11630*1000*SER_hh_fec!E12/SER_hh_num!E12)</f>
        <v>0</v>
      </c>
      <c r="F12" s="133">
        <f>IF(SER_hh_fec!F12=0,0,11630*1000*SER_hh_fec!F12/SER_hh_num!F12)</f>
        <v>165266.18462536417</v>
      </c>
      <c r="G12" s="133">
        <f>IF(SER_hh_fec!G12=0,0,11630*1000*SER_hh_fec!G12/SER_hh_num!G12)</f>
        <v>127205.12560912644</v>
      </c>
      <c r="H12" s="133">
        <f>IF(SER_hh_fec!H12=0,0,11630*1000*SER_hh_fec!H12/SER_hh_num!H12)</f>
        <v>151075.87358959508</v>
      </c>
      <c r="I12" s="133">
        <f>IF(SER_hh_fec!I12=0,0,11630*1000*SER_hh_fec!I12/SER_hh_num!I12)</f>
        <v>151342.39906283913</v>
      </c>
      <c r="J12" s="133">
        <f>IF(SER_hh_fec!J12=0,0,11630*1000*SER_hh_fec!J12/SER_hh_num!J12)</f>
        <v>161166.02711426394</v>
      </c>
      <c r="K12" s="133">
        <f>IF(SER_hh_fec!K12=0,0,11630*1000*SER_hh_fec!K12/SER_hh_num!K12)</f>
        <v>140741.38190223608</v>
      </c>
      <c r="L12" s="133">
        <f>IF(SER_hh_fec!L12=0,0,11630*1000*SER_hh_fec!L12/SER_hh_num!L12)</f>
        <v>107195.73095390966</v>
      </c>
      <c r="M12" s="133">
        <f>IF(SER_hh_fec!M12=0,0,11630*1000*SER_hh_fec!M12/SER_hh_num!M12)</f>
        <v>195437.45245735178</v>
      </c>
      <c r="N12" s="133">
        <f>IF(SER_hh_fec!N12=0,0,11630*1000*SER_hh_fec!N12/SER_hh_num!N12)</f>
        <v>129173.62269429749</v>
      </c>
      <c r="O12" s="133">
        <f>IF(SER_hh_fec!O12=0,0,11630*1000*SER_hh_fec!O12/SER_hh_num!O12)</f>
        <v>147667.75783688447</v>
      </c>
      <c r="P12" s="133">
        <f>IF(SER_hh_fec!P12=0,0,11630*1000*SER_hh_fec!P12/SER_hh_num!P12)</f>
        <v>205512.59839179309</v>
      </c>
      <c r="Q12" s="133">
        <f>IF(SER_hh_fec!Q12=0,0,11630*1000*SER_hh_fec!Q12/SER_hh_num!Q12)</f>
        <v>161696.89007102043</v>
      </c>
      <c r="R12" s="133">
        <f>IF(SER_hh_fec!R12=0,0,11630*1000*SER_hh_fec!R12/SER_hh_num!R12)</f>
        <v>165012.17348843973</v>
      </c>
      <c r="S12" s="133">
        <f>IF(SER_hh_fec!S12=0,0,11630*1000*SER_hh_fec!S12/SER_hh_num!S12)</f>
        <v>200874.47667301435</v>
      </c>
      <c r="T12" s="133">
        <f>IF(SER_hh_fec!T12=0,0,11630*1000*SER_hh_fec!T12/SER_hh_num!T12)</f>
        <v>240609.01719003278</v>
      </c>
      <c r="U12" s="133">
        <f>IF(SER_hh_fec!U12=0,0,11630*1000*SER_hh_fec!U12/SER_hh_num!U12)</f>
        <v>177528.58847866731</v>
      </c>
      <c r="V12" s="133">
        <f>IF(SER_hh_fec!V12=0,0,11630*1000*SER_hh_fec!V12/SER_hh_num!V12)</f>
        <v>174885.56338757902</v>
      </c>
      <c r="W12" s="133">
        <f>IF(SER_hh_fec!W12=0,0,11630*1000*SER_hh_fec!W12/SER_hh_num!W12)</f>
        <v>199159.74795646494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44293.506813781962</v>
      </c>
      <c r="C13" s="133">
        <f>IF(SER_hh_fec!C13=0,0,11630*1000*SER_hh_fec!C13/SER_hh_num!C13)</f>
        <v>38724.345167359825</v>
      </c>
      <c r="D13" s="133">
        <f>IF(SER_hh_fec!D13=0,0,11630*1000*SER_hh_fec!D13/SER_hh_num!D13)</f>
        <v>54995.135448800087</v>
      </c>
      <c r="E13" s="133">
        <f>IF(SER_hh_fec!E13=0,0,11630*1000*SER_hh_fec!E13/SER_hh_num!E13)</f>
        <v>38448.160216607481</v>
      </c>
      <c r="F13" s="133">
        <f>IF(SER_hh_fec!F13=0,0,11630*1000*SER_hh_fec!F13/SER_hh_num!F13)</f>
        <v>49150.437348956024</v>
      </c>
      <c r="G13" s="133">
        <f>IF(SER_hh_fec!G13=0,0,11630*1000*SER_hh_fec!G13/SER_hh_num!G13)</f>
        <v>62675.549361455291</v>
      </c>
      <c r="H13" s="133">
        <f>IF(SER_hh_fec!H13=0,0,11630*1000*SER_hh_fec!H13/SER_hh_num!H13)</f>
        <v>63158.742885582593</v>
      </c>
      <c r="I13" s="133">
        <f>IF(SER_hh_fec!I13=0,0,11630*1000*SER_hh_fec!I13/SER_hh_num!I13)</f>
        <v>59143.394383592713</v>
      </c>
      <c r="J13" s="133">
        <f>IF(SER_hh_fec!J13=0,0,11630*1000*SER_hh_fec!J13/SER_hh_num!J13)</f>
        <v>58588.916704354284</v>
      </c>
      <c r="K13" s="133">
        <f>IF(SER_hh_fec!K13=0,0,11630*1000*SER_hh_fec!K13/SER_hh_num!K13)</f>
        <v>59404.886719996459</v>
      </c>
      <c r="L13" s="133">
        <f>IF(SER_hh_fec!L13=0,0,11630*1000*SER_hh_fec!L13/SER_hh_num!L13)</f>
        <v>48205.934163667662</v>
      </c>
      <c r="M13" s="133">
        <f>IF(SER_hh_fec!M13=0,0,11630*1000*SER_hh_fec!M13/SER_hh_num!M13)</f>
        <v>47141.540933297387</v>
      </c>
      <c r="N13" s="133">
        <f>IF(SER_hh_fec!N13=0,0,11630*1000*SER_hh_fec!N13/SER_hh_num!N13)</f>
        <v>48019.794720294711</v>
      </c>
      <c r="O13" s="133">
        <f>IF(SER_hh_fec!O13=0,0,11630*1000*SER_hh_fec!O13/SER_hh_num!O13)</f>
        <v>38790.617560874467</v>
      </c>
      <c r="P13" s="133">
        <f>IF(SER_hh_fec!P13=0,0,11630*1000*SER_hh_fec!P13/SER_hh_num!P13)</f>
        <v>40980.523244744669</v>
      </c>
      <c r="Q13" s="133">
        <f>IF(SER_hh_fec!Q13=0,0,11630*1000*SER_hh_fec!Q13/SER_hh_num!Q13)</f>
        <v>54708.32164242502</v>
      </c>
      <c r="R13" s="133">
        <f>IF(SER_hh_fec!R13=0,0,11630*1000*SER_hh_fec!R13/SER_hh_num!R13)</f>
        <v>50157.228823912759</v>
      </c>
      <c r="S13" s="133">
        <f>IF(SER_hh_fec!S13=0,0,11630*1000*SER_hh_fec!S13/SER_hh_num!S13)</f>
        <v>54160.06277832904</v>
      </c>
      <c r="T13" s="133">
        <f>IF(SER_hh_fec!T13=0,0,11630*1000*SER_hh_fec!T13/SER_hh_num!T13)</f>
        <v>52258.852638961442</v>
      </c>
      <c r="U13" s="133">
        <f>IF(SER_hh_fec!U13=0,0,11630*1000*SER_hh_fec!U13/SER_hh_num!U13)</f>
        <v>49268.94379744809</v>
      </c>
      <c r="V13" s="133">
        <f>IF(SER_hh_fec!V13=0,0,11630*1000*SER_hh_fec!V13/SER_hh_num!V13)</f>
        <v>47256.407453711428</v>
      </c>
      <c r="W13" s="133">
        <f>IF(SER_hh_fec!W13=0,0,11630*1000*SER_hh_fec!W13/SER_hh_num!W13)</f>
        <v>36633.08947920255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101633.0659435283</v>
      </c>
      <c r="C14" s="65">
        <f>IF(SER_hh_fec!C14=0,0,11630*1000*SER_hh_fec!C14/SER_hh_num!C14)</f>
        <v>105514.76856730985</v>
      </c>
      <c r="D14" s="65">
        <f>IF(SER_hh_fec!D14=0,0,11630*1000*SER_hh_fec!D14/SER_hh_num!D14)</f>
        <v>113365.59154379673</v>
      </c>
      <c r="E14" s="65">
        <f>IF(SER_hh_fec!E14=0,0,11630*1000*SER_hh_fec!E14/SER_hh_num!E14)</f>
        <v>115504.57677227668</v>
      </c>
      <c r="F14" s="65">
        <f>IF(SER_hh_fec!F14=0,0,11630*1000*SER_hh_fec!F14/SER_hh_num!F14)</f>
        <v>130059.49640766547</v>
      </c>
      <c r="G14" s="65">
        <f>IF(SER_hh_fec!G14=0,0,11630*1000*SER_hh_fec!G14/SER_hh_num!G14)</f>
        <v>148727.56438656399</v>
      </c>
      <c r="H14" s="65">
        <f>IF(SER_hh_fec!H14=0,0,11630*1000*SER_hh_fec!H14/SER_hh_num!H14)</f>
        <v>156095.83553749972</v>
      </c>
      <c r="I14" s="65">
        <f>IF(SER_hh_fec!I14=0,0,11630*1000*SER_hh_fec!I14/SER_hh_num!I14)</f>
        <v>161166.41221940445</v>
      </c>
      <c r="J14" s="65">
        <f>IF(SER_hh_fec!J14=0,0,11630*1000*SER_hh_fec!J14/SER_hh_num!J14)</f>
        <v>168346.59641504224</v>
      </c>
      <c r="K14" s="65">
        <f>IF(SER_hh_fec!K14=0,0,11630*1000*SER_hh_fec!K14/SER_hh_num!K14)</f>
        <v>172564.46993766955</v>
      </c>
      <c r="L14" s="65">
        <f>IF(SER_hh_fec!L14=0,0,11630*1000*SER_hh_fec!L14/SER_hh_num!L14)</f>
        <v>175377.00589507923</v>
      </c>
      <c r="M14" s="65">
        <f>IF(SER_hh_fec!M14=0,0,11630*1000*SER_hh_fec!M14/SER_hh_num!M14)</f>
        <v>168901.21599976439</v>
      </c>
      <c r="N14" s="65">
        <f>IF(SER_hh_fec!N14=0,0,11630*1000*SER_hh_fec!N14/SER_hh_num!N14)</f>
        <v>171403.18479138488</v>
      </c>
      <c r="O14" s="65">
        <f>IF(SER_hh_fec!O14=0,0,11630*1000*SER_hh_fec!O14/SER_hh_num!O14)</f>
        <v>175480.70277223919</v>
      </c>
      <c r="P14" s="65">
        <f>IF(SER_hh_fec!P14=0,0,11630*1000*SER_hh_fec!P14/SER_hh_num!P14)</f>
        <v>173105.09522530501</v>
      </c>
      <c r="Q14" s="65">
        <f>IF(SER_hh_fec!Q14=0,0,11630*1000*SER_hh_fec!Q14/SER_hh_num!Q14)</f>
        <v>174962.00614180748</v>
      </c>
      <c r="R14" s="65">
        <f>IF(SER_hh_fec!R14=0,0,11630*1000*SER_hh_fec!R14/SER_hh_num!R14)</f>
        <v>197212.73424574826</v>
      </c>
      <c r="S14" s="65">
        <f>IF(SER_hh_fec!S14=0,0,11630*1000*SER_hh_fec!S14/SER_hh_num!S14)</f>
        <v>207395.34278226551</v>
      </c>
      <c r="T14" s="65">
        <f>IF(SER_hh_fec!T14=0,0,11630*1000*SER_hh_fec!T14/SER_hh_num!T14)</f>
        <v>239038.84936889165</v>
      </c>
      <c r="U14" s="65">
        <f>IF(SER_hh_fec!U14=0,0,11630*1000*SER_hh_fec!U14/SER_hh_num!U14)</f>
        <v>218790.56910554474</v>
      </c>
      <c r="V14" s="65">
        <f>IF(SER_hh_fec!V14=0,0,11630*1000*SER_hh_fec!V14/SER_hh_num!V14)</f>
        <v>165032.60372015103</v>
      </c>
      <c r="W14" s="65">
        <f>IF(SER_hh_fec!W14=0,0,11630*1000*SER_hh_fec!W14/SER_hh_num!W14)</f>
        <v>237775.00218419643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1432.8318543507423</v>
      </c>
      <c r="C15" s="135">
        <f>IF(SER_hh_fec!C15=0,0,11630*1000*SER_hh_fec!C15/SER_hh_num!C15)</f>
        <v>1446.5241773699645</v>
      </c>
      <c r="D15" s="135">
        <f>IF(SER_hh_fec!D15=0,0,11630*1000*SER_hh_fec!D15/SER_hh_num!D15)</f>
        <v>1332.2773493252942</v>
      </c>
      <c r="E15" s="135">
        <f>IF(SER_hh_fec!E15=0,0,11630*1000*SER_hh_fec!E15/SER_hh_num!E15)</f>
        <v>1610.7377916671826</v>
      </c>
      <c r="F15" s="135">
        <f>IF(SER_hh_fec!F15=0,0,11630*1000*SER_hh_fec!F15/SER_hh_num!F15)</f>
        <v>1615.2420744613194</v>
      </c>
      <c r="G15" s="135">
        <f>IF(SER_hh_fec!G15=0,0,11630*1000*SER_hh_fec!G15/SER_hh_num!G15)</f>
        <v>1948.76459152344</v>
      </c>
      <c r="H15" s="135">
        <f>IF(SER_hh_fec!H15=0,0,11630*1000*SER_hh_fec!H15/SER_hh_num!H15)</f>
        <v>1969.5585587581745</v>
      </c>
      <c r="I15" s="135">
        <f>IF(SER_hh_fec!I15=0,0,11630*1000*SER_hh_fec!I15/SER_hh_num!I15)</f>
        <v>1755.6543808390466</v>
      </c>
      <c r="J15" s="135">
        <f>IF(SER_hh_fec!J15=0,0,11630*1000*SER_hh_fec!J15/SER_hh_num!J15)</f>
        <v>2209.2600116757244</v>
      </c>
      <c r="K15" s="135">
        <f>IF(SER_hh_fec!K15=0,0,11630*1000*SER_hh_fec!K15/SER_hh_num!K15)</f>
        <v>2178.515914143572</v>
      </c>
      <c r="L15" s="135">
        <f>IF(SER_hh_fec!L15=0,0,11630*1000*SER_hh_fec!L15/SER_hh_num!L15)</f>
        <v>2237.0262816215527</v>
      </c>
      <c r="M15" s="135">
        <f>IF(SER_hh_fec!M15=0,0,11630*1000*SER_hh_fec!M15/SER_hh_num!M15)</f>
        <v>1904.8303548435072</v>
      </c>
      <c r="N15" s="135">
        <f>IF(SER_hh_fec!N15=0,0,11630*1000*SER_hh_fec!N15/SER_hh_num!N15)</f>
        <v>2007.0835929519055</v>
      </c>
      <c r="O15" s="135">
        <f>IF(SER_hh_fec!O15=0,0,11630*1000*SER_hh_fec!O15/SER_hh_num!O15)</f>
        <v>2158.668426393418</v>
      </c>
      <c r="P15" s="135">
        <f>IF(SER_hh_fec!P15=0,0,11630*1000*SER_hh_fec!P15/SER_hh_num!P15)</f>
        <v>1794.598755334609</v>
      </c>
      <c r="Q15" s="135">
        <f>IF(SER_hh_fec!Q15=0,0,11630*1000*SER_hh_fec!Q15/SER_hh_num!Q15)</f>
        <v>2126.7881475714016</v>
      </c>
      <c r="R15" s="135">
        <f>IF(SER_hh_fec!R15=0,0,11630*1000*SER_hh_fec!R15/SER_hh_num!R15)</f>
        <v>2240.9233233477084</v>
      </c>
      <c r="S15" s="135">
        <f>IF(SER_hh_fec!S15=0,0,11630*1000*SER_hh_fec!S15/SER_hh_num!S15)</f>
        <v>2229.456799521246</v>
      </c>
      <c r="T15" s="135">
        <f>IF(SER_hh_fec!T15=0,0,11630*1000*SER_hh_fec!T15/SER_hh_num!T15)</f>
        <v>2550.8861173518876</v>
      </c>
      <c r="U15" s="135">
        <f>IF(SER_hh_fec!U15=0,0,11630*1000*SER_hh_fec!U15/SER_hh_num!U15)</f>
        <v>2451.3607713013316</v>
      </c>
      <c r="V15" s="135">
        <f>IF(SER_hh_fec!V15=0,0,11630*1000*SER_hh_fec!V15/SER_hh_num!V15)</f>
        <v>2322.9234885353776</v>
      </c>
      <c r="W15" s="135">
        <f>IF(SER_hh_fec!W15=0,0,11630*1000*SER_hh_fec!W15/SER_hh_num!W15)</f>
        <v>2142.2805019850407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12374.330105079531</v>
      </c>
      <c r="C16" s="131">
        <f>IF(SER_hh_fec!C16=0,0,11630*1000*SER_hh_fec!C16/SER_hh_num!C16)</f>
        <v>13016.379477750665</v>
      </c>
      <c r="D16" s="131">
        <f>IF(SER_hh_fec!D16=0,0,11630*1000*SER_hh_fec!D16/SER_hh_num!D16)</f>
        <v>10970.910905538711</v>
      </c>
      <c r="E16" s="131">
        <f>IF(SER_hh_fec!E16=0,0,11630*1000*SER_hh_fec!E16/SER_hh_num!E16)</f>
        <v>24580.23167446677</v>
      </c>
      <c r="F16" s="131">
        <f>IF(SER_hh_fec!F16=0,0,11630*1000*SER_hh_fec!F16/SER_hh_num!F16)</f>
        <v>10624.052103606433</v>
      </c>
      <c r="G16" s="131">
        <f>IF(SER_hh_fec!G16=0,0,11630*1000*SER_hh_fec!G16/SER_hh_num!G16)</f>
        <v>10249.042663485545</v>
      </c>
      <c r="H16" s="131">
        <f>IF(SER_hh_fec!H16=0,0,11630*1000*SER_hh_fec!H16/SER_hh_num!H16)</f>
        <v>11488.774956815807</v>
      </c>
      <c r="I16" s="131">
        <f>IF(SER_hh_fec!I16=0,0,11630*1000*SER_hh_fec!I16/SER_hh_num!I16)</f>
        <v>10083.673897737986</v>
      </c>
      <c r="J16" s="131">
        <f>IF(SER_hh_fec!J16=0,0,11630*1000*SER_hh_fec!J16/SER_hh_num!J16)</f>
        <v>11346.340938949368</v>
      </c>
      <c r="K16" s="131">
        <f>IF(SER_hh_fec!K16=0,0,11630*1000*SER_hh_fec!K16/SER_hh_num!K16)</f>
        <v>11487.692114386533</v>
      </c>
      <c r="L16" s="131">
        <f>IF(SER_hh_fec!L16=0,0,11630*1000*SER_hh_fec!L16/SER_hh_num!L16)</f>
        <v>9178.1164063294527</v>
      </c>
      <c r="M16" s="131">
        <f>IF(SER_hh_fec!M16=0,0,11630*1000*SER_hh_fec!M16/SER_hh_num!M16)</f>
        <v>9705.485052756083</v>
      </c>
      <c r="N16" s="131">
        <f>IF(SER_hh_fec!N16=0,0,11630*1000*SER_hh_fec!N16/SER_hh_num!N16)</f>
        <v>14989.374904796885</v>
      </c>
      <c r="O16" s="131">
        <f>IF(SER_hh_fec!O16=0,0,11630*1000*SER_hh_fec!O16/SER_hh_num!O16)</f>
        <v>8733.1119212258909</v>
      </c>
      <c r="P16" s="131">
        <f>IF(SER_hh_fec!P16=0,0,11630*1000*SER_hh_fec!P16/SER_hh_num!P16)</f>
        <v>7364.3963636751114</v>
      </c>
      <c r="Q16" s="131">
        <f>IF(SER_hh_fec!Q16=0,0,11630*1000*SER_hh_fec!Q16/SER_hh_num!Q16)</f>
        <v>12834.060107261472</v>
      </c>
      <c r="R16" s="131">
        <f>IF(SER_hh_fec!R16=0,0,11630*1000*SER_hh_fec!R16/SER_hh_num!R16)</f>
        <v>8186.9230620251074</v>
      </c>
      <c r="S16" s="131">
        <f>IF(SER_hh_fec!S16=0,0,11630*1000*SER_hh_fec!S16/SER_hh_num!S16)</f>
        <v>12078.465783782533</v>
      </c>
      <c r="T16" s="131">
        <f>IF(SER_hh_fec!T16=0,0,11630*1000*SER_hh_fec!T16/SER_hh_num!T16)</f>
        <v>8914.8756977833855</v>
      </c>
      <c r="U16" s="131">
        <f>IF(SER_hh_fec!U16=0,0,11630*1000*SER_hh_fec!U16/SER_hh_num!U16)</f>
        <v>11638.583199836823</v>
      </c>
      <c r="V16" s="131">
        <f>IF(SER_hh_fec!V16=0,0,11630*1000*SER_hh_fec!V16/SER_hh_num!V16)</f>
        <v>8600.8180988131535</v>
      </c>
      <c r="W16" s="131">
        <f>IF(SER_hh_fec!W16=0,0,11630*1000*SER_hh_fec!W16/SER_hh_num!W16)</f>
        <v>10323.291188526397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18125.446050933548</v>
      </c>
      <c r="C17" s="133">
        <f>IF(SER_hh_fec!C17=0,0,11630*1000*SER_hh_fec!C17/SER_hh_num!C17)</f>
        <v>19682.67265647764</v>
      </c>
      <c r="D17" s="133">
        <f>IF(SER_hh_fec!D17=0,0,11630*1000*SER_hh_fec!D17/SER_hh_num!D17)</f>
        <v>17294.902376265822</v>
      </c>
      <c r="E17" s="133">
        <f>IF(SER_hh_fec!E17=0,0,11630*1000*SER_hh_fec!E17/SER_hh_num!E17)</f>
        <v>40088.919103445565</v>
      </c>
      <c r="F17" s="133">
        <f>IF(SER_hh_fec!F17=0,0,11630*1000*SER_hh_fec!F17/SER_hh_num!F17)</f>
        <v>18037.704751908241</v>
      </c>
      <c r="G17" s="133">
        <f>IF(SER_hh_fec!G17=0,0,11630*1000*SER_hh_fec!G17/SER_hh_num!G17)</f>
        <v>18112.388251355012</v>
      </c>
      <c r="H17" s="133">
        <f>IF(SER_hh_fec!H17=0,0,11630*1000*SER_hh_fec!H17/SER_hh_num!H17)</f>
        <v>21295.965566766397</v>
      </c>
      <c r="I17" s="133">
        <f>IF(SER_hh_fec!I17=0,0,11630*1000*SER_hh_fec!I17/SER_hh_num!I17)</f>
        <v>19627.481824294649</v>
      </c>
      <c r="J17" s="133">
        <f>IF(SER_hh_fec!J17=0,0,11630*1000*SER_hh_fec!J17/SER_hh_num!J17)</f>
        <v>23129.616476487026</v>
      </c>
      <c r="K17" s="133">
        <f>IF(SER_hh_fec!K17=0,0,11630*1000*SER_hh_fec!K17/SER_hh_num!K17)</f>
        <v>23767.376240262613</v>
      </c>
      <c r="L17" s="133">
        <f>IF(SER_hh_fec!L17=0,0,11630*1000*SER_hh_fec!L17/SER_hh_num!L17)</f>
        <v>19373.852251181062</v>
      </c>
      <c r="M17" s="133">
        <f>IF(SER_hh_fec!M17=0,0,11630*1000*SER_hh_fec!M17/SER_hh_num!M17)</f>
        <v>21050.799380589262</v>
      </c>
      <c r="N17" s="133">
        <f>IF(SER_hh_fec!N17=0,0,11630*1000*SER_hh_fec!N17/SER_hh_num!N17)</f>
        <v>33327.737681763036</v>
      </c>
      <c r="O17" s="133">
        <f>IF(SER_hh_fec!O17=0,0,11630*1000*SER_hh_fec!O17/SER_hh_num!O17)</f>
        <v>19812.559869018292</v>
      </c>
      <c r="P17" s="133">
        <f>IF(SER_hh_fec!P17=0,0,11630*1000*SER_hh_fec!P17/SER_hh_num!P17)</f>
        <v>17068.452460710287</v>
      </c>
      <c r="Q17" s="133">
        <f>IF(SER_hh_fec!Q17=0,0,11630*1000*SER_hh_fec!Q17/SER_hh_num!Q17)</f>
        <v>30368.583146295903</v>
      </c>
      <c r="R17" s="133">
        <f>IF(SER_hh_fec!R17=0,0,11630*1000*SER_hh_fec!R17/SER_hh_num!R17)</f>
        <v>19696.688414897006</v>
      </c>
      <c r="S17" s="133">
        <f>IF(SER_hh_fec!S17=0,0,11630*1000*SER_hh_fec!S17/SER_hh_num!S17)</f>
        <v>29617.505560405476</v>
      </c>
      <c r="T17" s="133">
        <f>IF(SER_hh_fec!T17=0,0,11630*1000*SER_hh_fec!T17/SER_hh_num!T17)</f>
        <v>22390.006529067028</v>
      </c>
      <c r="U17" s="133">
        <f>IF(SER_hh_fec!U17=0,0,11630*1000*SER_hh_fec!U17/SER_hh_num!U17)</f>
        <v>29191.366513298424</v>
      </c>
      <c r="V17" s="133">
        <f>IF(SER_hh_fec!V17=0,0,11630*1000*SER_hh_fec!V17/SER_hh_num!V17)</f>
        <v>20833.368655178143</v>
      </c>
      <c r="W17" s="133">
        <f>IF(SER_hh_fec!W17=0,0,11630*1000*SER_hh_fec!W17/SER_hh_num!W17)</f>
        <v>25220.149963581898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12362.966315049573</v>
      </c>
      <c r="C18" s="133">
        <f>IF(SER_hh_fec!C18=0,0,11630*1000*SER_hh_fec!C18/SER_hh_num!C18)</f>
        <v>12997.008469846138</v>
      </c>
      <c r="D18" s="133">
        <f>IF(SER_hh_fec!D18=0,0,11630*1000*SER_hh_fec!D18/SER_hh_num!D18)</f>
        <v>10952.953266456472</v>
      </c>
      <c r="E18" s="133">
        <f>IF(SER_hh_fec!E18=0,0,11630*1000*SER_hh_fec!E18/SER_hh_num!E18)</f>
        <v>24525.336337618002</v>
      </c>
      <c r="F18" s="133">
        <f>IF(SER_hh_fec!F18=0,0,11630*1000*SER_hh_fec!F18/SER_hh_num!F18)</f>
        <v>10591.63441915785</v>
      </c>
      <c r="G18" s="133">
        <f>IF(SER_hh_fec!G18=0,0,11630*1000*SER_hh_fec!G18/SER_hh_num!G18)</f>
        <v>10212.316846347778</v>
      </c>
      <c r="H18" s="133">
        <f>IF(SER_hh_fec!H18=0,0,11630*1000*SER_hh_fec!H18/SER_hh_num!H18)</f>
        <v>11437.001030686039</v>
      </c>
      <c r="I18" s="133">
        <f>IF(SER_hh_fec!I18=0,0,11630*1000*SER_hh_fec!I18/SER_hh_num!I18)</f>
        <v>10028.574478182625</v>
      </c>
      <c r="J18" s="133">
        <f>IF(SER_hh_fec!J18=0,0,11630*1000*SER_hh_fec!J18/SER_hh_num!J18)</f>
        <v>11269.411427486328</v>
      </c>
      <c r="K18" s="133">
        <f>IF(SER_hh_fec!K18=0,0,11630*1000*SER_hh_fec!K18/SER_hh_num!K18)</f>
        <v>11394.329887305299</v>
      </c>
      <c r="L18" s="133">
        <f>IF(SER_hh_fec!L18=0,0,11630*1000*SER_hh_fec!L18/SER_hh_num!L18)</f>
        <v>9091.8235637100461</v>
      </c>
      <c r="M18" s="133">
        <f>IF(SER_hh_fec!M18=0,0,11630*1000*SER_hh_fec!M18/SER_hh_num!M18)</f>
        <v>9602.2531437089365</v>
      </c>
      <c r="N18" s="133">
        <f>IF(SER_hh_fec!N18=0,0,11630*1000*SER_hh_fec!N18/SER_hh_num!N18)</f>
        <v>14811.644178936956</v>
      </c>
      <c r="O18" s="133">
        <f>IF(SER_hh_fec!O18=0,0,11630*1000*SER_hh_fec!O18/SER_hh_num!O18)</f>
        <v>8613.1451819971044</v>
      </c>
      <c r="P18" s="133">
        <f>IF(SER_hh_fec!P18=0,0,11630*1000*SER_hh_fec!P18/SER_hh_num!P18)</f>
        <v>7249.4473072521623</v>
      </c>
      <c r="Q18" s="133">
        <f>IF(SER_hh_fec!Q18=0,0,11630*1000*SER_hh_fec!Q18/SER_hh_num!Q18)</f>
        <v>12611.647811532594</v>
      </c>
      <c r="R18" s="133">
        <f>IF(SER_hh_fec!R18=0,0,11630*1000*SER_hh_fec!R18/SER_hh_num!R18)</f>
        <v>8026.0599040247344</v>
      </c>
      <c r="S18" s="133">
        <f>IF(SER_hh_fec!S18=0,0,11630*1000*SER_hh_fec!S18/SER_hh_num!S18)</f>
        <v>11820.978864224644</v>
      </c>
      <c r="T18" s="133">
        <f>IF(SER_hh_fec!T18=0,0,11630*1000*SER_hh_fec!T18/SER_hh_num!T18)</f>
        <v>8711.0592323396904</v>
      </c>
      <c r="U18" s="133">
        <f>IF(SER_hh_fec!U18=0,0,11630*1000*SER_hh_fec!U18/SER_hh_num!U18)</f>
        <v>11365.497792943532</v>
      </c>
      <c r="V18" s="133">
        <f>IF(SER_hh_fec!V18=0,0,11630*1000*SER_hh_fec!V18/SER_hh_num!V18)</f>
        <v>8398.2476027279772</v>
      </c>
      <c r="W18" s="133">
        <f>IF(SER_hh_fec!W18=0,0,11630*1000*SER_hh_fec!W18/SER_hh_num!W18)</f>
        <v>10077.938925443734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30853.295573103325</v>
      </c>
      <c r="C19" s="131">
        <f>IF(SER_hh_fec!C19=0,0,11630*1000*SER_hh_fec!C19/SER_hh_num!C19)</f>
        <v>31209.707234002952</v>
      </c>
      <c r="D19" s="131">
        <f>IF(SER_hh_fec!D19=0,0,11630*1000*SER_hh_fec!D19/SER_hh_num!D19)</f>
        <v>31318.343244205724</v>
      </c>
      <c r="E19" s="131">
        <f>IF(SER_hh_fec!E19=0,0,11630*1000*SER_hh_fec!E19/SER_hh_num!E19)</f>
        <v>30772.7716377939</v>
      </c>
      <c r="F19" s="131">
        <f>IF(SER_hh_fec!F19=0,0,11630*1000*SER_hh_fec!F19/SER_hh_num!F19)</f>
        <v>31084.598061048167</v>
      </c>
      <c r="G19" s="131">
        <f>IF(SER_hh_fec!G19=0,0,11630*1000*SER_hh_fec!G19/SER_hh_num!G19)</f>
        <v>30550.368371106528</v>
      </c>
      <c r="H19" s="131">
        <f>IF(SER_hh_fec!H19=0,0,11630*1000*SER_hh_fec!H19/SER_hh_num!H19)</f>
        <v>30328.78159162695</v>
      </c>
      <c r="I19" s="131">
        <f>IF(SER_hh_fec!I19=0,0,11630*1000*SER_hh_fec!I19/SER_hh_num!I19)</f>
        <v>30611.122193147672</v>
      </c>
      <c r="J19" s="131">
        <f>IF(SER_hh_fec!J19=0,0,11630*1000*SER_hh_fec!J19/SER_hh_num!J19)</f>
        <v>30286.217740506916</v>
      </c>
      <c r="K19" s="131">
        <f>IF(SER_hh_fec!K19=0,0,11630*1000*SER_hh_fec!K19/SER_hh_num!K19)</f>
        <v>29877.150045129507</v>
      </c>
      <c r="L19" s="131">
        <f>IF(SER_hh_fec!L19=0,0,11630*1000*SER_hh_fec!L19/SER_hh_num!L19)</f>
        <v>29658.536357477329</v>
      </c>
      <c r="M19" s="131">
        <f>IF(SER_hh_fec!M19=0,0,11630*1000*SER_hh_fec!M19/SER_hh_num!M19)</f>
        <v>29746.746531354383</v>
      </c>
      <c r="N19" s="131">
        <f>IF(SER_hh_fec!N19=0,0,11630*1000*SER_hh_fec!N19/SER_hh_num!N19)</f>
        <v>29009.544663208981</v>
      </c>
      <c r="O19" s="131">
        <f>IF(SER_hh_fec!O19=0,0,11630*1000*SER_hh_fec!O19/SER_hh_num!O19)</f>
        <v>29606.559611691006</v>
      </c>
      <c r="P19" s="131">
        <f>IF(SER_hh_fec!P19=0,0,11630*1000*SER_hh_fec!P19/SER_hh_num!P19)</f>
        <v>29663.067797363983</v>
      </c>
      <c r="Q19" s="131">
        <f>IF(SER_hh_fec!Q19=0,0,11630*1000*SER_hh_fec!Q19/SER_hh_num!Q19)</f>
        <v>29458.041420280726</v>
      </c>
      <c r="R19" s="131">
        <f>IF(SER_hh_fec!R19=0,0,11630*1000*SER_hh_fec!R19/SER_hh_num!R19)</f>
        <v>29747.052574666133</v>
      </c>
      <c r="S19" s="131">
        <f>IF(SER_hh_fec!S19=0,0,11630*1000*SER_hh_fec!S19/SER_hh_num!S19)</f>
        <v>28909.840872587574</v>
      </c>
      <c r="T19" s="131">
        <f>IF(SER_hh_fec!T19=0,0,11630*1000*SER_hh_fec!T19/SER_hh_num!T19)</f>
        <v>28318.90201717028</v>
      </c>
      <c r="U19" s="131">
        <f>IF(SER_hh_fec!U19=0,0,11630*1000*SER_hh_fec!U19/SER_hh_num!U19)</f>
        <v>26473.949921001804</v>
      </c>
      <c r="V19" s="131">
        <f>IF(SER_hh_fec!V19=0,0,11630*1000*SER_hh_fec!V19/SER_hh_num!V19)</f>
        <v>23854.080168341421</v>
      </c>
      <c r="W19" s="131">
        <f>IF(SER_hh_fec!W19=0,0,11630*1000*SER_hh_fec!W19/SER_hh_num!W19)</f>
        <v>25332.722216751899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33066.831583791609</v>
      </c>
      <c r="C21" s="133">
        <f>IF(SER_hh_fec!C21=0,0,11630*1000*SER_hh_fec!C21/SER_hh_num!C21)</f>
        <v>33709.780881533698</v>
      </c>
      <c r="D21" s="133">
        <f>IF(SER_hh_fec!D21=0,0,11630*1000*SER_hh_fec!D21/SER_hh_num!D21)</f>
        <v>33555.062838809346</v>
      </c>
      <c r="E21" s="133">
        <f>IF(SER_hh_fec!E21=0,0,11630*1000*SER_hh_fec!E21/SER_hh_num!E21)</f>
        <v>32737.687791375924</v>
      </c>
      <c r="F21" s="133">
        <f>IF(SER_hh_fec!F21=0,0,11630*1000*SER_hh_fec!F21/SER_hh_num!F21)</f>
        <v>33365.966920814288</v>
      </c>
      <c r="G21" s="133">
        <f>IF(SER_hh_fec!G21=0,0,11630*1000*SER_hh_fec!G21/SER_hh_num!G21)</f>
        <v>33926.291179357293</v>
      </c>
      <c r="H21" s="133">
        <f>IF(SER_hh_fec!H21=0,0,11630*1000*SER_hh_fec!H21/SER_hh_num!H21)</f>
        <v>34471.067639229135</v>
      </c>
      <c r="I21" s="133">
        <f>IF(SER_hh_fec!I21=0,0,11630*1000*SER_hh_fec!I21/SER_hh_num!I21)</f>
        <v>33140.960392339279</v>
      </c>
      <c r="J21" s="133">
        <f>IF(SER_hh_fec!J21=0,0,11630*1000*SER_hh_fec!J21/SER_hh_num!J21)</f>
        <v>34235.425532515292</v>
      </c>
      <c r="K21" s="133">
        <f>IF(SER_hh_fec!K21=0,0,11630*1000*SER_hh_fec!K21/SER_hh_num!K21)</f>
        <v>33098.651261060499</v>
      </c>
      <c r="L21" s="133">
        <f>IF(SER_hh_fec!L21=0,0,11630*1000*SER_hh_fec!L21/SER_hh_num!L21)</f>
        <v>33426.122289427658</v>
      </c>
      <c r="M21" s="133">
        <f>IF(SER_hh_fec!M21=0,0,11630*1000*SER_hh_fec!M21/SER_hh_num!M21)</f>
        <v>34732.424475118612</v>
      </c>
      <c r="N21" s="133">
        <f>IF(SER_hh_fec!N21=0,0,11630*1000*SER_hh_fec!N21/SER_hh_num!N21)</f>
        <v>32055.508859022742</v>
      </c>
      <c r="O21" s="133">
        <f>IF(SER_hh_fec!O21=0,0,11630*1000*SER_hh_fec!O21/SER_hh_num!O21)</f>
        <v>34066.234755801503</v>
      </c>
      <c r="P21" s="133">
        <f>IF(SER_hh_fec!P21=0,0,11630*1000*SER_hh_fec!P21/SER_hh_num!P21)</f>
        <v>31539.578644183675</v>
      </c>
      <c r="Q21" s="133">
        <f>IF(SER_hh_fec!Q21=0,0,11630*1000*SER_hh_fec!Q21/SER_hh_num!Q21)</f>
        <v>30750.805939997434</v>
      </c>
      <c r="R21" s="133">
        <f>IF(SER_hh_fec!R21=0,0,11630*1000*SER_hh_fec!R21/SER_hh_num!R21)</f>
        <v>34522.531204413783</v>
      </c>
      <c r="S21" s="133">
        <f>IF(SER_hh_fec!S21=0,0,11630*1000*SER_hh_fec!S21/SER_hh_num!S21)</f>
        <v>33578.771161708326</v>
      </c>
      <c r="T21" s="133">
        <f>IF(SER_hh_fec!T21=0,0,11630*1000*SER_hh_fec!T21/SER_hh_num!T21)</f>
        <v>30569.232727780192</v>
      </c>
      <c r="U21" s="133">
        <f>IF(SER_hh_fec!U21=0,0,11630*1000*SER_hh_fec!U21/SER_hh_num!U21)</f>
        <v>29926.721557850564</v>
      </c>
      <c r="V21" s="133">
        <f>IF(SER_hh_fec!V21=0,0,11630*1000*SER_hh_fec!V21/SER_hh_num!V21)</f>
        <v>25452.660976560848</v>
      </c>
      <c r="W21" s="133">
        <f>IF(SER_hh_fec!W21=0,0,11630*1000*SER_hh_fec!W21/SER_hh_num!W21)</f>
        <v>26946.083622876853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35789.739371884163</v>
      </c>
      <c r="C22" s="133">
        <f>IF(SER_hh_fec!C22=0,0,11630*1000*SER_hh_fec!C22/SER_hh_num!C22)</f>
        <v>35837.554373333121</v>
      </c>
      <c r="D22" s="133">
        <f>IF(SER_hh_fec!D22=0,0,11630*1000*SER_hh_fec!D22/SER_hh_num!D22)</f>
        <v>34806.500634244352</v>
      </c>
      <c r="E22" s="133">
        <f>IF(SER_hh_fec!E22=0,0,11630*1000*SER_hh_fec!E22/SER_hh_num!E22)</f>
        <v>35672.615081926473</v>
      </c>
      <c r="F22" s="133">
        <f>IF(SER_hh_fec!F22=0,0,11630*1000*SER_hh_fec!F22/SER_hh_num!F22)</f>
        <v>35057.805966829699</v>
      </c>
      <c r="G22" s="133">
        <f>IF(SER_hh_fec!G22=0,0,11630*1000*SER_hh_fec!G22/SER_hh_num!G22)</f>
        <v>35077.872662546375</v>
      </c>
      <c r="H22" s="133">
        <f>IF(SER_hh_fec!H22=0,0,11630*1000*SER_hh_fec!H22/SER_hh_num!H22)</f>
        <v>36238.044998807149</v>
      </c>
      <c r="I22" s="133">
        <f>IF(SER_hh_fec!I22=0,0,11630*1000*SER_hh_fec!I22/SER_hh_num!I22)</f>
        <v>36253.672144735079</v>
      </c>
      <c r="J22" s="133">
        <f>IF(SER_hh_fec!J22=0,0,11630*1000*SER_hh_fec!J22/SER_hh_num!J22)</f>
        <v>37297.042211919936</v>
      </c>
      <c r="K22" s="133">
        <f>IF(SER_hh_fec!K22=0,0,11630*1000*SER_hh_fec!K22/SER_hh_num!K22)</f>
        <v>34962.739848715064</v>
      </c>
      <c r="L22" s="133">
        <f>IF(SER_hh_fec!L22=0,0,11630*1000*SER_hh_fec!L22/SER_hh_num!L22)</f>
        <v>33906.466000528737</v>
      </c>
      <c r="M22" s="133">
        <f>IF(SER_hh_fec!M22=0,0,11630*1000*SER_hh_fec!M22/SER_hh_num!M22)</f>
        <v>34807.624180528015</v>
      </c>
      <c r="N22" s="133">
        <f>IF(SER_hh_fec!N22=0,0,11630*1000*SER_hh_fec!N22/SER_hh_num!N22)</f>
        <v>34282.487791085514</v>
      </c>
      <c r="O22" s="133">
        <f>IF(SER_hh_fec!O22=0,0,11630*1000*SER_hh_fec!O22/SER_hh_num!O22)</f>
        <v>34963.310538325175</v>
      </c>
      <c r="P22" s="133">
        <f>IF(SER_hh_fec!P22=0,0,11630*1000*SER_hh_fec!P22/SER_hh_num!P22)</f>
        <v>34885.981312145501</v>
      </c>
      <c r="Q22" s="133">
        <f>IF(SER_hh_fec!Q22=0,0,11630*1000*SER_hh_fec!Q22/SER_hh_num!Q22)</f>
        <v>34779.220533595566</v>
      </c>
      <c r="R22" s="133">
        <f>IF(SER_hh_fec!R22=0,0,11630*1000*SER_hh_fec!R22/SER_hh_num!R22)</f>
        <v>34407.94155499334</v>
      </c>
      <c r="S22" s="133">
        <f>IF(SER_hh_fec!S22=0,0,11630*1000*SER_hh_fec!S22/SER_hh_num!S22)</f>
        <v>35411.644509824808</v>
      </c>
      <c r="T22" s="133">
        <f>IF(SER_hh_fec!T22=0,0,11630*1000*SER_hh_fec!T22/SER_hh_num!T22)</f>
        <v>35989.943890872448</v>
      </c>
      <c r="U22" s="133">
        <f>IF(SER_hh_fec!U22=0,0,11630*1000*SER_hh_fec!U22/SER_hh_num!U22)</f>
        <v>33357.845386622095</v>
      </c>
      <c r="V22" s="133">
        <f>IF(SER_hh_fec!V22=0,0,11630*1000*SER_hh_fec!V22/SER_hh_num!V22)</f>
        <v>28913.085094945283</v>
      </c>
      <c r="W22" s="133">
        <f>IF(SER_hh_fec!W22=0,0,11630*1000*SER_hh_fec!W22/SER_hh_num!W22)</f>
        <v>31797.366440634723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33964.969119179346</v>
      </c>
      <c r="C23" s="133">
        <f>IF(SER_hh_fec!C23=0,0,11630*1000*SER_hh_fec!C23/SER_hh_num!C23)</f>
        <v>34368.123249760887</v>
      </c>
      <c r="D23" s="133">
        <f>IF(SER_hh_fec!D23=0,0,11630*1000*SER_hh_fec!D23/SER_hh_num!D23)</f>
        <v>34469.244108494298</v>
      </c>
      <c r="E23" s="133">
        <f>IF(SER_hh_fec!E23=0,0,11630*1000*SER_hh_fec!E23/SER_hh_num!E23)</f>
        <v>34066.336211678747</v>
      </c>
      <c r="F23" s="133">
        <f>IF(SER_hh_fec!F23=0,0,11630*1000*SER_hh_fec!F23/SER_hh_num!F23)</f>
        <v>33707.493460101236</v>
      </c>
      <c r="G23" s="133">
        <f>IF(SER_hh_fec!G23=0,0,11630*1000*SER_hh_fec!G23/SER_hh_num!G23)</f>
        <v>33701.928981043406</v>
      </c>
      <c r="H23" s="133">
        <f>IF(SER_hh_fec!H23=0,0,11630*1000*SER_hh_fec!H23/SER_hh_num!H23)</f>
        <v>33318.707239915107</v>
      </c>
      <c r="I23" s="133">
        <f>IF(SER_hh_fec!I23=0,0,11630*1000*SER_hh_fec!I23/SER_hh_num!I23)</f>
        <v>33033.861046496277</v>
      </c>
      <c r="J23" s="133">
        <f>IF(SER_hh_fec!J23=0,0,11630*1000*SER_hh_fec!J23/SER_hh_num!J23)</f>
        <v>32878.611019460302</v>
      </c>
      <c r="K23" s="133">
        <f>IF(SER_hh_fec!K23=0,0,11630*1000*SER_hh_fec!K23/SER_hh_num!K23)</f>
        <v>32503.44100047099</v>
      </c>
      <c r="L23" s="133">
        <f>IF(SER_hh_fec!L23=0,0,11630*1000*SER_hh_fec!L23/SER_hh_num!L23)</f>
        <v>31757.742309234352</v>
      </c>
      <c r="M23" s="133">
        <f>IF(SER_hh_fec!M23=0,0,11630*1000*SER_hh_fec!M23/SER_hh_num!M23)</f>
        <v>31674.130296776704</v>
      </c>
      <c r="N23" s="133">
        <f>IF(SER_hh_fec!N23=0,0,11630*1000*SER_hh_fec!N23/SER_hh_num!N23)</f>
        <v>31374.953395264991</v>
      </c>
      <c r="O23" s="133">
        <f>IF(SER_hh_fec!O23=0,0,11630*1000*SER_hh_fec!O23/SER_hh_num!O23)</f>
        <v>31261.376257405671</v>
      </c>
      <c r="P23" s="133">
        <f>IF(SER_hh_fec!P23=0,0,11630*1000*SER_hh_fec!P23/SER_hh_num!P23)</f>
        <v>31287.201585809358</v>
      </c>
      <c r="Q23" s="133">
        <f>IF(SER_hh_fec!Q23=0,0,11630*1000*SER_hh_fec!Q23/SER_hh_num!Q23)</f>
        <v>31057.041935080699</v>
      </c>
      <c r="R23" s="133">
        <f>IF(SER_hh_fec!R23=0,0,11630*1000*SER_hh_fec!R23/SER_hh_num!R23)</f>
        <v>30364.078425053987</v>
      </c>
      <c r="S23" s="133">
        <f>IF(SER_hh_fec!S23=0,0,11630*1000*SER_hh_fec!S23/SER_hh_num!S23)</f>
        <v>30327.587652734499</v>
      </c>
      <c r="T23" s="133">
        <f>IF(SER_hh_fec!T23=0,0,11630*1000*SER_hh_fec!T23/SER_hh_num!T23)</f>
        <v>31463.630107085017</v>
      </c>
      <c r="U23" s="133">
        <f>IF(SER_hh_fec!U23=0,0,11630*1000*SER_hh_fec!U23/SER_hh_num!U23)</f>
        <v>26477.698125819257</v>
      </c>
      <c r="V23" s="133">
        <f>IF(SER_hh_fec!V23=0,0,11630*1000*SER_hh_fec!V23/SER_hh_num!V23)</f>
        <v>24566.324899293726</v>
      </c>
      <c r="W23" s="133">
        <f>IF(SER_hh_fec!W23=0,0,11630*1000*SER_hh_fec!W23/SER_hh_num!W23)</f>
        <v>27488.488964598149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0</v>
      </c>
      <c r="C25" s="133">
        <f>IF(SER_hh_fec!C25=0,0,11630*1000*SER_hh_fec!C25/SER_hh_num!C25)</f>
        <v>0</v>
      </c>
      <c r="D25" s="133">
        <f>IF(SER_hh_fec!D25=0,0,11630*1000*SER_hh_fec!D25/SER_hh_num!D25)</f>
        <v>0</v>
      </c>
      <c r="E25" s="133">
        <f>IF(SER_hh_fec!E25=0,0,11630*1000*SER_hh_fec!E25/SER_hh_num!E25)</f>
        <v>0</v>
      </c>
      <c r="F25" s="133">
        <f>IF(SER_hh_fec!F25=0,0,11630*1000*SER_hh_fec!F25/SER_hh_num!F25)</f>
        <v>32713.659961087917</v>
      </c>
      <c r="G25" s="133">
        <f>IF(SER_hh_fec!G25=0,0,11630*1000*SER_hh_fec!G25/SER_hh_num!G25)</f>
        <v>25886.91692040837</v>
      </c>
      <c r="H25" s="133">
        <f>IF(SER_hh_fec!H25=0,0,11630*1000*SER_hh_fec!H25/SER_hh_num!H25)</f>
        <v>23140.052646408611</v>
      </c>
      <c r="I25" s="133">
        <f>IF(SER_hh_fec!I25=0,0,11630*1000*SER_hh_fec!I25/SER_hh_num!I25)</f>
        <v>22708.618805484006</v>
      </c>
      <c r="J25" s="133">
        <f>IF(SER_hh_fec!J25=0,0,11630*1000*SER_hh_fec!J25/SER_hh_num!J25)</f>
        <v>21968.251657028344</v>
      </c>
      <c r="K25" s="133">
        <f>IF(SER_hh_fec!K25=0,0,11630*1000*SER_hh_fec!K25/SER_hh_num!K25)</f>
        <v>23754.370631197969</v>
      </c>
      <c r="L25" s="133">
        <f>IF(SER_hh_fec!L25=0,0,11630*1000*SER_hh_fec!L25/SER_hh_num!L25)</f>
        <v>22576.554762219643</v>
      </c>
      <c r="M25" s="133">
        <f>IF(SER_hh_fec!M25=0,0,11630*1000*SER_hh_fec!M25/SER_hh_num!M25)</f>
        <v>22341.345536198736</v>
      </c>
      <c r="N25" s="133">
        <f>IF(SER_hh_fec!N25=0,0,11630*1000*SER_hh_fec!N25/SER_hh_num!N25)</f>
        <v>22438.564783274836</v>
      </c>
      <c r="O25" s="133">
        <f>IF(SER_hh_fec!O25=0,0,11630*1000*SER_hh_fec!O25/SER_hh_num!O25)</f>
        <v>24983.723562151677</v>
      </c>
      <c r="P25" s="133">
        <f>IF(SER_hh_fec!P25=0,0,11630*1000*SER_hh_fec!P25/SER_hh_num!P25)</f>
        <v>25239.266953114511</v>
      </c>
      <c r="Q25" s="133">
        <f>IF(SER_hh_fec!Q25=0,0,11630*1000*SER_hh_fec!Q25/SER_hh_num!Q25)</f>
        <v>23860.833035016523</v>
      </c>
      <c r="R25" s="133">
        <f>IF(SER_hh_fec!R25=0,0,11630*1000*SER_hh_fec!R25/SER_hh_num!R25)</f>
        <v>24814.741655625337</v>
      </c>
      <c r="S25" s="133">
        <f>IF(SER_hh_fec!S25=0,0,11630*1000*SER_hh_fec!S25/SER_hh_num!S25)</f>
        <v>24325.38316354794</v>
      </c>
      <c r="T25" s="133">
        <f>IF(SER_hh_fec!T25=0,0,11630*1000*SER_hh_fec!T25/SER_hh_num!T25)</f>
        <v>24455.211213230719</v>
      </c>
      <c r="U25" s="133">
        <f>IF(SER_hh_fec!U25=0,0,11630*1000*SER_hh_fec!U25/SER_hh_num!U25)</f>
        <v>22917.517133504636</v>
      </c>
      <c r="V25" s="133">
        <f>IF(SER_hh_fec!V25=0,0,11630*1000*SER_hh_fec!V25/SER_hh_num!V25)</f>
        <v>20350.306965065163</v>
      </c>
      <c r="W25" s="133">
        <f>IF(SER_hh_fec!W25=0,0,11630*1000*SER_hh_fec!W25/SER_hh_num!W25)</f>
        <v>22304.164004296737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27321.689263460699</v>
      </c>
      <c r="C26" s="65">
        <f>IF(SER_hh_fec!C26=0,0,11630*1000*SER_hh_fec!C26/SER_hh_num!C26)</f>
        <v>27827.182442480782</v>
      </c>
      <c r="D26" s="65">
        <f>IF(SER_hh_fec!D26=0,0,11630*1000*SER_hh_fec!D26/SER_hh_num!D26)</f>
        <v>28253.978721860036</v>
      </c>
      <c r="E26" s="65">
        <f>IF(SER_hh_fec!E26=0,0,11630*1000*SER_hh_fec!E26/SER_hh_num!E26)</f>
        <v>27584.512769735931</v>
      </c>
      <c r="F26" s="65">
        <f>IF(SER_hh_fec!F26=0,0,11630*1000*SER_hh_fec!F26/SER_hh_num!F26)</f>
        <v>28447.035522838432</v>
      </c>
      <c r="G26" s="65">
        <f>IF(SER_hh_fec!G26=0,0,11630*1000*SER_hh_fec!G26/SER_hh_num!G26)</f>
        <v>27397.92337477472</v>
      </c>
      <c r="H26" s="65">
        <f>IF(SER_hh_fec!H26=0,0,11630*1000*SER_hh_fec!H26/SER_hh_num!H26)</f>
        <v>27263.96943901831</v>
      </c>
      <c r="I26" s="65">
        <f>IF(SER_hh_fec!I26=0,0,11630*1000*SER_hh_fec!I26/SER_hh_num!I26)</f>
        <v>28098.900509427334</v>
      </c>
      <c r="J26" s="65">
        <f>IF(SER_hh_fec!J26=0,0,11630*1000*SER_hh_fec!J26/SER_hh_num!J26)</f>
        <v>27430.396432791746</v>
      </c>
      <c r="K26" s="65">
        <f>IF(SER_hh_fec!K26=0,0,11630*1000*SER_hh_fec!K26/SER_hh_num!K26)</f>
        <v>27004.24303664748</v>
      </c>
      <c r="L26" s="65">
        <f>IF(SER_hh_fec!L26=0,0,11630*1000*SER_hh_fec!L26/SER_hh_num!L26)</f>
        <v>26951.036646038923</v>
      </c>
      <c r="M26" s="65">
        <f>IF(SER_hh_fec!M26=0,0,11630*1000*SER_hh_fec!M26/SER_hh_num!M26)</f>
        <v>27109.158268756488</v>
      </c>
      <c r="N26" s="65">
        <f>IF(SER_hh_fec!N26=0,0,11630*1000*SER_hh_fec!N26/SER_hh_num!N26)</f>
        <v>26035.920349667278</v>
      </c>
      <c r="O26" s="65">
        <f>IF(SER_hh_fec!O26=0,0,11630*1000*SER_hh_fec!O26/SER_hh_num!O26)</f>
        <v>26984.690880536746</v>
      </c>
      <c r="P26" s="65">
        <f>IF(SER_hh_fec!P26=0,0,11630*1000*SER_hh_fec!P26/SER_hh_num!P26)</f>
        <v>27162.168880297395</v>
      </c>
      <c r="Q26" s="65">
        <f>IF(SER_hh_fec!Q26=0,0,11630*1000*SER_hh_fec!Q26/SER_hh_num!Q26)</f>
        <v>26974.059122578579</v>
      </c>
      <c r="R26" s="65">
        <f>IF(SER_hh_fec!R26=0,0,11630*1000*SER_hh_fec!R26/SER_hh_num!R26)</f>
        <v>27800.956070171611</v>
      </c>
      <c r="S26" s="65">
        <f>IF(SER_hh_fec!S26=0,0,11630*1000*SER_hh_fec!S26/SER_hh_num!S26)</f>
        <v>26055.283910287511</v>
      </c>
      <c r="T26" s="65">
        <f>IF(SER_hh_fec!T26=0,0,11630*1000*SER_hh_fec!T26/SER_hh_num!T26)</f>
        <v>23806.689435059652</v>
      </c>
      <c r="U26" s="65">
        <f>IF(SER_hh_fec!U26=0,0,11630*1000*SER_hh_fec!U26/SER_hh_num!U26)</f>
        <v>24684.264633347469</v>
      </c>
      <c r="V26" s="65">
        <f>IF(SER_hh_fec!V26=0,0,11630*1000*SER_hh_fec!V26/SER_hh_num!V26)</f>
        <v>21623.376877892122</v>
      </c>
      <c r="W26" s="65">
        <f>IF(SER_hh_fec!W26=0,0,11630*1000*SER_hh_fec!W26/SER_hh_num!W26)</f>
        <v>21689.525343308516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47.566052405710437</v>
      </c>
      <c r="C27" s="146">
        <f>IF(SER_hh_fec!C27=0,0,11630*1000*SER_hh_fec!C27/SER_hh_num!C19)</f>
        <v>52.150200004303649</v>
      </c>
      <c r="D27" s="146">
        <f>IF(SER_hh_fec!D27=0,0,11630*1000*SER_hh_fec!D27/SER_hh_num!D19)</f>
        <v>58.95007583907897</v>
      </c>
      <c r="E27" s="146">
        <f>IF(SER_hh_fec!E27=0,0,11630*1000*SER_hh_fec!E27/SER_hh_num!E19)</f>
        <v>67.319831282818697</v>
      </c>
      <c r="F27" s="146">
        <f>IF(SER_hh_fec!F27=0,0,11630*1000*SER_hh_fec!F27/SER_hh_num!F19)</f>
        <v>76.732231405632177</v>
      </c>
      <c r="G27" s="146">
        <f>IF(SER_hh_fec!G27=0,0,11630*1000*SER_hh_fec!G27/SER_hh_num!G19)</f>
        <v>112.90649096567179</v>
      </c>
      <c r="H27" s="146">
        <f>IF(SER_hh_fec!H27=0,0,11630*1000*SER_hh_fec!H27/SER_hh_num!H19)</f>
        <v>140.73579410249127</v>
      </c>
      <c r="I27" s="146">
        <f>IF(SER_hh_fec!I27=0,0,11630*1000*SER_hh_fec!I27/SER_hh_num!I19)</f>
        <v>207.22721667174869</v>
      </c>
      <c r="J27" s="146">
        <f>IF(SER_hh_fec!J27=0,0,11630*1000*SER_hh_fec!J27/SER_hh_num!J19)</f>
        <v>264.39307134688966</v>
      </c>
      <c r="K27" s="146">
        <f>IF(SER_hh_fec!K27=0,0,11630*1000*SER_hh_fec!K27/SER_hh_num!K19)</f>
        <v>335.71846491140781</v>
      </c>
      <c r="L27" s="146">
        <f>IF(SER_hh_fec!L27=0,0,11630*1000*SER_hh_fec!L27/SER_hh_num!L19)</f>
        <v>500.63754878216582</v>
      </c>
      <c r="M27" s="146">
        <f>IF(SER_hh_fec!M27=0,0,11630*1000*SER_hh_fec!M27/SER_hh_num!M19)</f>
        <v>519.67663987003357</v>
      </c>
      <c r="N27" s="146">
        <f>IF(SER_hh_fec!N27=0,0,11630*1000*SER_hh_fec!N27/SER_hh_num!N19)</f>
        <v>573.32408469121276</v>
      </c>
      <c r="O27" s="146">
        <f>IF(SER_hh_fec!O27=0,0,11630*1000*SER_hh_fec!O27/SER_hh_num!O19)</f>
        <v>622.48627639076062</v>
      </c>
      <c r="P27" s="146">
        <f>IF(SER_hh_fec!P27=0,0,11630*1000*SER_hh_fec!P27/SER_hh_num!P19)</f>
        <v>656.41889637832935</v>
      </c>
      <c r="Q27" s="146">
        <f>IF(SER_hh_fec!Q27=0,0,11630*1000*SER_hh_fec!Q27/SER_hh_num!Q19)</f>
        <v>692.54498854923531</v>
      </c>
      <c r="R27" s="146">
        <f>IF(SER_hh_fec!R27=0,0,11630*1000*SER_hh_fec!R27/SER_hh_num!R19)</f>
        <v>729.39557302170761</v>
      </c>
      <c r="S27" s="146">
        <f>IF(SER_hh_fec!S27=0,0,11630*1000*SER_hh_fec!S27/SER_hh_num!S19)</f>
        <v>757.35597299500785</v>
      </c>
      <c r="T27" s="146">
        <f>IF(SER_hh_fec!T27=0,0,11630*1000*SER_hh_fec!T27/SER_hh_num!T19)</f>
        <v>789.79092232996118</v>
      </c>
      <c r="U27" s="146">
        <f>IF(SER_hh_fec!U27=0,0,11630*1000*SER_hh_fec!U27/SER_hh_num!U19)</f>
        <v>822.1484479294312</v>
      </c>
      <c r="V27" s="146">
        <f>IF(SER_hh_fec!V27=0,0,11630*1000*SER_hh_fec!V27/SER_hh_num!V19)</f>
        <v>778.8150251584857</v>
      </c>
      <c r="W27" s="146">
        <f>IF(SER_hh_fec!W27=0,0,11630*1000*SER_hh_fec!W27/SER_hh_num!W19)</f>
        <v>798.76596338292643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14982.690787664873</v>
      </c>
      <c r="C28" s="147">
        <f>IF(SER_hh_fec!C27=0,0,11630*1000*SER_hh_fec!C27/SER_hh_num!C27)</f>
        <v>15729.503245138165</v>
      </c>
      <c r="D28" s="147">
        <f>IF(SER_hh_fec!D27=0,0,11630*1000*SER_hh_fec!D27/SER_hh_num!D27)</f>
        <v>15415.270482704002</v>
      </c>
      <c r="E28" s="147">
        <f>IF(SER_hh_fec!E27=0,0,11630*1000*SER_hh_fec!E27/SER_hh_num!E27)</f>
        <v>15815.280488578308</v>
      </c>
      <c r="F28" s="147">
        <f>IF(SER_hh_fec!F27=0,0,11630*1000*SER_hh_fec!F27/SER_hh_num!F27)</f>
        <v>15411.460904963829</v>
      </c>
      <c r="G28" s="147">
        <f>IF(SER_hh_fec!G27=0,0,11630*1000*SER_hh_fec!G27/SER_hh_num!G27)</f>
        <v>15768.135826428103</v>
      </c>
      <c r="H28" s="147">
        <f>IF(SER_hh_fec!H27=0,0,11630*1000*SER_hh_fec!H27/SER_hh_num!H27)</f>
        <v>15757.767741183197</v>
      </c>
      <c r="I28" s="147">
        <f>IF(SER_hh_fec!I27=0,0,11630*1000*SER_hh_fec!I27/SER_hh_num!I27)</f>
        <v>16082.44639367795</v>
      </c>
      <c r="J28" s="147">
        <f>IF(SER_hh_fec!J27=0,0,11630*1000*SER_hh_fec!J27/SER_hh_num!J27)</f>
        <v>15190.417008953051</v>
      </c>
      <c r="K28" s="147">
        <f>IF(SER_hh_fec!K27=0,0,11630*1000*SER_hh_fec!K27/SER_hh_num!K27)</f>
        <v>15810.690891470529</v>
      </c>
      <c r="L28" s="147">
        <f>IF(SER_hh_fec!L27=0,0,11630*1000*SER_hh_fec!L27/SER_hh_num!L27)</f>
        <v>16180.817385418324</v>
      </c>
      <c r="M28" s="147">
        <f>IF(SER_hh_fec!M27=0,0,11630*1000*SER_hh_fec!M27/SER_hh_num!M27)</f>
        <v>15842.580747667032</v>
      </c>
      <c r="N28" s="147">
        <f>IF(SER_hh_fec!N27=0,0,11630*1000*SER_hh_fec!N27/SER_hh_num!N27)</f>
        <v>16550.930066354329</v>
      </c>
      <c r="O28" s="147">
        <f>IF(SER_hh_fec!O27=0,0,11630*1000*SER_hh_fec!O27/SER_hh_num!O27)</f>
        <v>17221.65043414008</v>
      </c>
      <c r="P28" s="147">
        <f>IF(SER_hh_fec!P27=0,0,11630*1000*SER_hh_fec!P27/SER_hh_num!P27)</f>
        <v>15838.417485088152</v>
      </c>
      <c r="Q28" s="147">
        <f>IF(SER_hh_fec!Q27=0,0,11630*1000*SER_hh_fec!Q27/SER_hh_num!Q27)</f>
        <v>17187.563686733876</v>
      </c>
      <c r="R28" s="147">
        <f>IF(SER_hh_fec!R27=0,0,11630*1000*SER_hh_fec!R27/SER_hh_num!R27)</f>
        <v>17706.577992467559</v>
      </c>
      <c r="S28" s="147">
        <f>IF(SER_hh_fec!S27=0,0,11630*1000*SER_hh_fec!S27/SER_hh_num!S27)</f>
        <v>17233.803995797804</v>
      </c>
      <c r="T28" s="147">
        <f>IF(SER_hh_fec!T27=0,0,11630*1000*SER_hh_fec!T27/SER_hh_num!T27)</f>
        <v>17481.264071956088</v>
      </c>
      <c r="U28" s="147">
        <f>IF(SER_hh_fec!U27=0,0,11630*1000*SER_hh_fec!U27/SER_hh_num!U27)</f>
        <v>16268.52852921148</v>
      </c>
      <c r="V28" s="147">
        <f>IF(SER_hh_fec!V27=0,0,11630*1000*SER_hh_fec!V27/SER_hh_num!V27)</f>
        <v>15153.798854345992</v>
      </c>
      <c r="W28" s="147">
        <f>IF(SER_hh_fec!W27=0,0,11630*1000*SER_hh_fec!W27/SER_hh_num!W27)</f>
        <v>15600.199266100852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30864.078173914448</v>
      </c>
      <c r="C29" s="131">
        <f>IF(SER_hh_fec!C29=0,0,11630*1000*SER_hh_fec!C29/SER_hh_num!C29)</f>
        <v>30404.683746917388</v>
      </c>
      <c r="D29" s="131">
        <f>IF(SER_hh_fec!D29=0,0,11630*1000*SER_hh_fec!D29/SER_hh_num!D29)</f>
        <v>30045.10408863597</v>
      </c>
      <c r="E29" s="131">
        <f>IF(SER_hh_fec!E29=0,0,11630*1000*SER_hh_fec!E29/SER_hh_num!E29)</f>
        <v>29032.227112460452</v>
      </c>
      <c r="F29" s="131">
        <f>IF(SER_hh_fec!F29=0,0,11630*1000*SER_hh_fec!F29/SER_hh_num!F29)</f>
        <v>29333.928597834423</v>
      </c>
      <c r="G29" s="131">
        <f>IF(SER_hh_fec!G29=0,0,11630*1000*SER_hh_fec!G29/SER_hh_num!G29)</f>
        <v>30565.643190876977</v>
      </c>
      <c r="H29" s="131">
        <f>IF(SER_hh_fec!H29=0,0,11630*1000*SER_hh_fec!H29/SER_hh_num!H29)</f>
        <v>29859.821260998939</v>
      </c>
      <c r="I29" s="131">
        <f>IF(SER_hh_fec!I29=0,0,11630*1000*SER_hh_fec!I29/SER_hh_num!I29)</f>
        <v>30570.264301897354</v>
      </c>
      <c r="J29" s="131">
        <f>IF(SER_hh_fec!J29=0,0,11630*1000*SER_hh_fec!J29/SER_hh_num!J29)</f>
        <v>30744.909015622859</v>
      </c>
      <c r="K29" s="131">
        <f>IF(SER_hh_fec!K29=0,0,11630*1000*SER_hh_fec!K29/SER_hh_num!K29)</f>
        <v>31648.271728469361</v>
      </c>
      <c r="L29" s="131">
        <f>IF(SER_hh_fec!L29=0,0,11630*1000*SER_hh_fec!L29/SER_hh_num!L29)</f>
        <v>31787.532199264562</v>
      </c>
      <c r="M29" s="131">
        <f>IF(SER_hh_fec!M29=0,0,11630*1000*SER_hh_fec!M29/SER_hh_num!M29)</f>
        <v>31950.385644900125</v>
      </c>
      <c r="N29" s="131">
        <f>IF(SER_hh_fec!N29=0,0,11630*1000*SER_hh_fec!N29/SER_hh_num!N29)</f>
        <v>32092.748730136191</v>
      </c>
      <c r="O29" s="131">
        <f>IF(SER_hh_fec!O29=0,0,11630*1000*SER_hh_fec!O29/SER_hh_num!O29)</f>
        <v>32621.952460154254</v>
      </c>
      <c r="P29" s="131">
        <f>IF(SER_hh_fec!P29=0,0,11630*1000*SER_hh_fec!P29/SER_hh_num!P29)</f>
        <v>33326.656040340298</v>
      </c>
      <c r="Q29" s="131">
        <f>IF(SER_hh_fec!Q29=0,0,11630*1000*SER_hh_fec!Q29/SER_hh_num!Q29)</f>
        <v>33536.564965803962</v>
      </c>
      <c r="R29" s="131">
        <f>IF(SER_hh_fec!R29=0,0,11630*1000*SER_hh_fec!R29/SER_hh_num!R29)</f>
        <v>33817.048085003138</v>
      </c>
      <c r="S29" s="131">
        <f>IF(SER_hh_fec!S29=0,0,11630*1000*SER_hh_fec!S29/SER_hh_num!S29)</f>
        <v>33646.002990453126</v>
      </c>
      <c r="T29" s="131">
        <f>IF(SER_hh_fec!T29=0,0,11630*1000*SER_hh_fec!T29/SER_hh_num!T29)</f>
        <v>33145.983189871469</v>
      </c>
      <c r="U29" s="131">
        <f>IF(SER_hh_fec!U29=0,0,11630*1000*SER_hh_fec!U29/SER_hh_num!U29)</f>
        <v>33137.216400300546</v>
      </c>
      <c r="V29" s="131">
        <f>IF(SER_hh_fec!V29=0,0,11630*1000*SER_hh_fec!V29/SER_hh_num!V29)</f>
        <v>29838.026997086461</v>
      </c>
      <c r="W29" s="131">
        <f>IF(SER_hh_fec!W29=0,0,11630*1000*SER_hh_fec!W29/SER_hh_num!W29)</f>
        <v>32156.213278837185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32781.805268401986</v>
      </c>
      <c r="C30" s="133">
        <f>IF(SER_hh_fec!C30=0,0,11630*1000*SER_hh_fec!C30/SER_hh_num!C30)</f>
        <v>31487.432305243696</v>
      </c>
      <c r="D30" s="133">
        <f>IF(SER_hh_fec!D30=0,0,11630*1000*SER_hh_fec!D30/SER_hh_num!D30)</f>
        <v>32493.727969616204</v>
      </c>
      <c r="E30" s="133">
        <f>IF(SER_hh_fec!E30=0,0,11630*1000*SER_hh_fec!E30/SER_hh_num!E30)</f>
        <v>33121.076847065509</v>
      </c>
      <c r="F30" s="133">
        <f>IF(SER_hh_fec!F30=0,0,11630*1000*SER_hh_fec!F30/SER_hh_num!F30)</f>
        <v>33671.793929379601</v>
      </c>
      <c r="G30" s="133">
        <f>IF(SER_hh_fec!G30=0,0,11630*1000*SER_hh_fec!G30/SER_hh_num!G30)</f>
        <v>34077.730073945306</v>
      </c>
      <c r="H30" s="133">
        <f>IF(SER_hh_fec!H30=0,0,11630*1000*SER_hh_fec!H30/SER_hh_num!H30)</f>
        <v>33002.320652514165</v>
      </c>
      <c r="I30" s="133">
        <f>IF(SER_hh_fec!I30=0,0,11630*1000*SER_hh_fec!I30/SER_hh_num!I30)</f>
        <v>37068.247413477497</v>
      </c>
      <c r="J30" s="133">
        <f>IF(SER_hh_fec!J30=0,0,11630*1000*SER_hh_fec!J30/SER_hh_num!J30)</f>
        <v>27985.255549938905</v>
      </c>
      <c r="K30" s="133">
        <f>IF(SER_hh_fec!K30=0,0,11630*1000*SER_hh_fec!K30/SER_hh_num!K30)</f>
        <v>36609.689050971778</v>
      </c>
      <c r="L30" s="133">
        <f>IF(SER_hh_fec!L30=0,0,11630*1000*SER_hh_fec!L30/SER_hh_num!L30)</f>
        <v>36806.735373919852</v>
      </c>
      <c r="M30" s="133">
        <f>IF(SER_hh_fec!M30=0,0,11630*1000*SER_hh_fec!M30/SER_hh_num!M30)</f>
        <v>37408.158289472107</v>
      </c>
      <c r="N30" s="133">
        <f>IF(SER_hh_fec!N30=0,0,11630*1000*SER_hh_fec!N30/SER_hh_num!N30)</f>
        <v>32856.242323181221</v>
      </c>
      <c r="O30" s="133">
        <f>IF(SER_hh_fec!O30=0,0,11630*1000*SER_hh_fec!O30/SER_hh_num!O30)</f>
        <v>35050.842796749894</v>
      </c>
      <c r="P30" s="133">
        <f>IF(SER_hh_fec!P30=0,0,11630*1000*SER_hh_fec!P30/SER_hh_num!P30)</f>
        <v>38477.86521033381</v>
      </c>
      <c r="Q30" s="133">
        <f>IF(SER_hh_fec!Q30=0,0,11630*1000*SER_hh_fec!Q30/SER_hh_num!Q30)</f>
        <v>37084.346120304916</v>
      </c>
      <c r="R30" s="133">
        <f>IF(SER_hh_fec!R30=0,0,11630*1000*SER_hh_fec!R30/SER_hh_num!R30)</f>
        <v>36890.646081413295</v>
      </c>
      <c r="S30" s="133">
        <f>IF(SER_hh_fec!S30=0,0,11630*1000*SER_hh_fec!S30/SER_hh_num!S30)</f>
        <v>37382.433764930371</v>
      </c>
      <c r="T30" s="133">
        <f>IF(SER_hh_fec!T30=0,0,11630*1000*SER_hh_fec!T30/SER_hh_num!T30)</f>
        <v>36623.725109397092</v>
      </c>
      <c r="U30" s="133">
        <f>IF(SER_hh_fec!U30=0,0,11630*1000*SER_hh_fec!U30/SER_hh_num!U30)</f>
        <v>34844.312543453947</v>
      </c>
      <c r="V30" s="133">
        <f>IF(SER_hh_fec!V30=0,0,11630*1000*SER_hh_fec!V30/SER_hh_num!V30)</f>
        <v>35068.014951344849</v>
      </c>
      <c r="W30" s="133">
        <f>IF(SER_hh_fec!W30=0,0,11630*1000*SER_hh_fec!W30/SER_hh_num!W30)</f>
        <v>34807.677600913223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31670.093083029577</v>
      </c>
      <c r="C31" s="133">
        <f>IF(SER_hh_fec!C31=0,0,11630*1000*SER_hh_fec!C31/SER_hh_num!C31)</f>
        <v>32130.6762934531</v>
      </c>
      <c r="D31" s="133">
        <f>IF(SER_hh_fec!D31=0,0,11630*1000*SER_hh_fec!D31/SER_hh_num!D31)</f>
        <v>32724.061732270253</v>
      </c>
      <c r="E31" s="133">
        <f>IF(SER_hh_fec!E31=0,0,11630*1000*SER_hh_fec!E31/SER_hh_num!E31)</f>
        <v>29870.94152314743</v>
      </c>
      <c r="F31" s="133">
        <f>IF(SER_hh_fec!F31=0,0,11630*1000*SER_hh_fec!F31/SER_hh_num!F31)</f>
        <v>30466.217720371547</v>
      </c>
      <c r="G31" s="133">
        <f>IF(SER_hh_fec!G31=0,0,11630*1000*SER_hh_fec!G31/SER_hh_num!G31)</f>
        <v>34841.379788130944</v>
      </c>
      <c r="H31" s="133">
        <f>IF(SER_hh_fec!H31=0,0,11630*1000*SER_hh_fec!H31/SER_hh_num!H31)</f>
        <v>32054.219472963759</v>
      </c>
      <c r="I31" s="133">
        <f>IF(SER_hh_fec!I31=0,0,11630*1000*SER_hh_fec!I31/SER_hh_num!I31)</f>
        <v>34647.924326711509</v>
      </c>
      <c r="J31" s="133">
        <f>IF(SER_hh_fec!J31=0,0,11630*1000*SER_hh_fec!J31/SER_hh_num!J31)</f>
        <v>33970.464977109681</v>
      </c>
      <c r="K31" s="133">
        <f>IF(SER_hh_fec!K31=0,0,11630*1000*SER_hh_fec!K31/SER_hh_num!K31)</f>
        <v>35453.333600434438</v>
      </c>
      <c r="L31" s="133">
        <f>IF(SER_hh_fec!L31=0,0,11630*1000*SER_hh_fec!L31/SER_hh_num!L31)</f>
        <v>35227.866810476015</v>
      </c>
      <c r="M31" s="133">
        <f>IF(SER_hh_fec!M31=0,0,11630*1000*SER_hh_fec!M31/SER_hh_num!M31)</f>
        <v>35072.651916906805</v>
      </c>
      <c r="N31" s="133">
        <f>IF(SER_hh_fec!N31=0,0,11630*1000*SER_hh_fec!N31/SER_hh_num!N31)</f>
        <v>35267.725788586926</v>
      </c>
      <c r="O31" s="133">
        <f>IF(SER_hh_fec!O31=0,0,11630*1000*SER_hh_fec!O31/SER_hh_num!O31)</f>
        <v>35398.227710290252</v>
      </c>
      <c r="P31" s="133">
        <f>IF(SER_hh_fec!P31=0,0,11630*1000*SER_hh_fec!P31/SER_hh_num!P31)</f>
        <v>36832.182032071905</v>
      </c>
      <c r="Q31" s="133">
        <f>IF(SER_hh_fec!Q31=0,0,11630*1000*SER_hh_fec!Q31/SER_hh_num!Q31)</f>
        <v>36421.501676113985</v>
      </c>
      <c r="R31" s="133">
        <f>IF(SER_hh_fec!R31=0,0,11630*1000*SER_hh_fec!R31/SER_hh_num!R31)</f>
        <v>37241.54378988449</v>
      </c>
      <c r="S31" s="133">
        <f>IF(SER_hh_fec!S31=0,0,11630*1000*SER_hh_fec!S31/SER_hh_num!S31)</f>
        <v>36924.958502541922</v>
      </c>
      <c r="T31" s="133">
        <f>IF(SER_hh_fec!T31=0,0,11630*1000*SER_hh_fec!T31/SER_hh_num!T31)</f>
        <v>33970.148195801703</v>
      </c>
      <c r="U31" s="133">
        <f>IF(SER_hh_fec!U31=0,0,11630*1000*SER_hh_fec!U31/SER_hh_num!U31)</f>
        <v>36911.192963736728</v>
      </c>
      <c r="V31" s="133">
        <f>IF(SER_hh_fec!V31=0,0,11630*1000*SER_hh_fec!V31/SER_hh_num!V31)</f>
        <v>32664.377538301349</v>
      </c>
      <c r="W31" s="133">
        <f>IF(SER_hh_fec!W31=0,0,11630*1000*SER_hh_fec!W31/SER_hh_num!W31)</f>
        <v>33567.991673522039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23515.449853027872</v>
      </c>
      <c r="C33" s="68">
        <f>IF(SER_hh_fec!C33=0,0,11630*1000*SER_hh_fec!C33/SER_hh_num!C33)</f>
        <v>22252.192469195095</v>
      </c>
      <c r="D33" s="68">
        <f>IF(SER_hh_fec!D33=0,0,11630*1000*SER_hh_fec!D33/SER_hh_num!D33)</f>
        <v>22001.000251237296</v>
      </c>
      <c r="E33" s="68">
        <f>IF(SER_hh_fec!E33=0,0,11630*1000*SER_hh_fec!E33/SER_hh_num!E33)</f>
        <v>25741.619112511715</v>
      </c>
      <c r="F33" s="68">
        <f>IF(SER_hh_fec!F33=0,0,11630*1000*SER_hh_fec!F33/SER_hh_num!F33)</f>
        <v>26349.534652865292</v>
      </c>
      <c r="G33" s="68">
        <f>IF(SER_hh_fec!G33=0,0,11630*1000*SER_hh_fec!G33/SER_hh_num!G33)</f>
        <v>24820.175500251516</v>
      </c>
      <c r="H33" s="68">
        <f>IF(SER_hh_fec!H33=0,0,11630*1000*SER_hh_fec!H33/SER_hh_num!H33)</f>
        <v>26723.205931550947</v>
      </c>
      <c r="I33" s="68">
        <f>IF(SER_hh_fec!I33=0,0,11630*1000*SER_hh_fec!I33/SER_hh_num!I33)</f>
        <v>24401.887187412831</v>
      </c>
      <c r="J33" s="68">
        <f>IF(SER_hh_fec!J33=0,0,11630*1000*SER_hh_fec!J33/SER_hh_num!J33)</f>
        <v>27814.501566802348</v>
      </c>
      <c r="K33" s="68">
        <f>IF(SER_hh_fec!K33=0,0,11630*1000*SER_hh_fec!K33/SER_hh_num!K33)</f>
        <v>25970.756698547055</v>
      </c>
      <c r="L33" s="68">
        <f>IF(SER_hh_fec!L33=0,0,11630*1000*SER_hh_fec!L33/SER_hh_num!L33)</f>
        <v>26297.316649523516</v>
      </c>
      <c r="M33" s="68">
        <f>IF(SER_hh_fec!M33=0,0,11630*1000*SER_hh_fec!M33/SER_hh_num!M33)</f>
        <v>26416.943674012859</v>
      </c>
      <c r="N33" s="68">
        <f>IF(SER_hh_fec!N33=0,0,11630*1000*SER_hh_fec!N33/SER_hh_num!N33)</f>
        <v>27395.36565414707</v>
      </c>
      <c r="O33" s="68">
        <f>IF(SER_hh_fec!O33=0,0,11630*1000*SER_hh_fec!O33/SER_hh_num!O33)</f>
        <v>27676.53658516442</v>
      </c>
      <c r="P33" s="68">
        <f>IF(SER_hh_fec!P33=0,0,11630*1000*SER_hh_fec!P33/SER_hh_num!P33)</f>
        <v>25431.02284796739</v>
      </c>
      <c r="Q33" s="68">
        <f>IF(SER_hh_fec!Q33=0,0,11630*1000*SER_hh_fec!Q33/SER_hh_num!Q33)</f>
        <v>26779.028229117783</v>
      </c>
      <c r="R33" s="68">
        <f>IF(SER_hh_fec!R33=0,0,11630*1000*SER_hh_fec!R33/SER_hh_num!R33)</f>
        <v>26035.239737501724</v>
      </c>
      <c r="S33" s="68">
        <f>IF(SER_hh_fec!S33=0,0,11630*1000*SER_hh_fec!S33/SER_hh_num!S33)</f>
        <v>26011.204038885171</v>
      </c>
      <c r="T33" s="68">
        <f>IF(SER_hh_fec!T33=0,0,11630*1000*SER_hh_fec!T33/SER_hh_num!T33)</f>
        <v>30261.46894077081</v>
      </c>
      <c r="U33" s="68">
        <f>IF(SER_hh_fec!U33=0,0,11630*1000*SER_hh_fec!U33/SER_hh_num!U33)</f>
        <v>25203.539555275609</v>
      </c>
      <c r="V33" s="68">
        <f>IF(SER_hh_fec!V33=0,0,11630*1000*SER_hh_fec!V33/SER_hh_num!V33)</f>
        <v>21994.890504646119</v>
      </c>
      <c r="W33" s="68">
        <f>IF(SER_hh_fec!W33=0,0,11630*1000*SER_hh_fec!W33/SER_hh_num!W33)</f>
        <v>28191.790768110353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118253.2548120201</v>
      </c>
      <c r="C3" s="126">
        <f>IF(SER_hh_tes!C3=0,0,11630*1000*SER_hh_tes!C3/SER_hh_num!C3)</f>
        <v>122001.939173216</v>
      </c>
      <c r="D3" s="126">
        <f>IF(SER_hh_tes!D3=0,0,11630*1000*SER_hh_tes!D3/SER_hh_num!D3)</f>
        <v>120905.48669578007</v>
      </c>
      <c r="E3" s="126">
        <f>IF(SER_hh_tes!E3=0,0,11630*1000*SER_hh_tes!E3/SER_hh_num!E3)</f>
        <v>141183.88639505886</v>
      </c>
      <c r="F3" s="126">
        <f>IF(SER_hh_tes!F3=0,0,11630*1000*SER_hh_tes!F3/SER_hh_num!F3)</f>
        <v>139596.9029208509</v>
      </c>
      <c r="G3" s="126">
        <f>IF(SER_hh_tes!G3=0,0,11630*1000*SER_hh_tes!G3/SER_hh_num!G3)</f>
        <v>159114.65211310604</v>
      </c>
      <c r="H3" s="126">
        <f>IF(SER_hh_tes!H3=0,0,11630*1000*SER_hh_tes!H3/SER_hh_num!H3)</f>
        <v>165307.98671691274</v>
      </c>
      <c r="I3" s="126">
        <f>IF(SER_hh_tes!I3=0,0,11630*1000*SER_hh_tes!I3/SER_hh_num!I3)</f>
        <v>159766.16099300139</v>
      </c>
      <c r="J3" s="126">
        <f>IF(SER_hh_tes!J3=0,0,11630*1000*SER_hh_tes!J3/SER_hh_num!J3)</f>
        <v>183540.73815197198</v>
      </c>
      <c r="K3" s="126">
        <f>IF(SER_hh_tes!K3=0,0,11630*1000*SER_hh_tes!K3/SER_hh_num!K3)</f>
        <v>186244.15400839804</v>
      </c>
      <c r="L3" s="126">
        <f>IF(SER_hh_tes!L3=0,0,11630*1000*SER_hh_tes!L3/SER_hh_num!L3)</f>
        <v>187147.33502536337</v>
      </c>
      <c r="M3" s="126">
        <f>IF(SER_hh_tes!M3=0,0,11630*1000*SER_hh_tes!M3/SER_hh_num!M3)</f>
        <v>177216.85246156872</v>
      </c>
      <c r="N3" s="126">
        <f>IF(SER_hh_tes!N3=0,0,11630*1000*SER_hh_tes!N3/SER_hh_num!N3)</f>
        <v>191744.88245342905</v>
      </c>
      <c r="O3" s="126">
        <f>IF(SER_hh_tes!O3=0,0,11630*1000*SER_hh_tes!O3/SER_hh_num!O3)</f>
        <v>189358.27770972293</v>
      </c>
      <c r="P3" s="126">
        <f>IF(SER_hh_tes!P3=0,0,11630*1000*SER_hh_tes!P3/SER_hh_num!P3)</f>
        <v>179491.22687491772</v>
      </c>
      <c r="Q3" s="126">
        <f>IF(SER_hh_tes!Q3=0,0,11630*1000*SER_hh_tes!Q3/SER_hh_num!Q3)</f>
        <v>215237.07009346501</v>
      </c>
      <c r="R3" s="126">
        <f>IF(SER_hh_tes!R3=0,0,11630*1000*SER_hh_tes!R3/SER_hh_num!R3)</f>
        <v>213301.72784231332</v>
      </c>
      <c r="S3" s="126">
        <f>IF(SER_hh_tes!S3=0,0,11630*1000*SER_hh_tes!S3/SER_hh_num!S3)</f>
        <v>228131.99255754126</v>
      </c>
      <c r="T3" s="126">
        <f>IF(SER_hh_tes!T3=0,0,11630*1000*SER_hh_tes!T3/SER_hh_num!T3)</f>
        <v>236227.50288392958</v>
      </c>
      <c r="U3" s="126">
        <f>IF(SER_hh_tes!U3=0,0,11630*1000*SER_hh_tes!U3/SER_hh_num!U3)</f>
        <v>231071.14324639854</v>
      </c>
      <c r="V3" s="126">
        <f>IF(SER_hh_tes!V3=0,0,11630*1000*SER_hh_tes!V3/SER_hh_num!V3)</f>
        <v>209693.25252475499</v>
      </c>
      <c r="W3" s="126">
        <f>IF(SER_hh_tes!W3=0,0,11630*1000*SER_hh_tes!W3/SER_hh_num!W3)</f>
        <v>207840.32275362717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74444.956578068988</v>
      </c>
      <c r="C4" s="131">
        <f>IF(SER_hh_tes!C4=0,0,11630*1000*SER_hh_tes!C4/SER_hh_num!C4)</f>
        <v>76995.380394768436</v>
      </c>
      <c r="D4" s="131">
        <f>IF(SER_hh_tes!D4=0,0,11630*1000*SER_hh_tes!D4/SER_hh_num!D4)</f>
        <v>75868.295626498395</v>
      </c>
      <c r="E4" s="131">
        <f>IF(SER_hh_tes!E4=0,0,11630*1000*SER_hh_tes!E4/SER_hh_num!E4)</f>
        <v>87404.814552499287</v>
      </c>
      <c r="F4" s="131">
        <f>IF(SER_hh_tes!F4=0,0,11630*1000*SER_hh_tes!F4/SER_hh_num!F4)</f>
        <v>92699.634437832385</v>
      </c>
      <c r="G4" s="131">
        <f>IF(SER_hh_tes!G4=0,0,11630*1000*SER_hh_tes!G4/SER_hh_num!G4)</f>
        <v>111243.23971083263</v>
      </c>
      <c r="H4" s="131">
        <f>IF(SER_hh_tes!H4=0,0,11630*1000*SER_hh_tes!H4/SER_hh_num!H4)</f>
        <v>115439.52655630439</v>
      </c>
      <c r="I4" s="131">
        <f>IF(SER_hh_tes!I4=0,0,11630*1000*SER_hh_tes!I4/SER_hh_num!I4)</f>
        <v>109243.40591440893</v>
      </c>
      <c r="J4" s="131">
        <f>IF(SER_hh_tes!J4=0,0,11630*1000*SER_hh_tes!J4/SER_hh_num!J4)</f>
        <v>130265.90376199523</v>
      </c>
      <c r="K4" s="131">
        <f>IF(SER_hh_tes!K4=0,0,11630*1000*SER_hh_tes!K4/SER_hh_num!K4)</f>
        <v>131459.43064301697</v>
      </c>
      <c r="L4" s="131">
        <f>IF(SER_hh_tes!L4=0,0,11630*1000*SER_hh_tes!L4/SER_hh_num!L4)</f>
        <v>134011.99240161377</v>
      </c>
      <c r="M4" s="131">
        <f>IF(SER_hh_tes!M4=0,0,11630*1000*SER_hh_tes!M4/SER_hh_num!M4)</f>
        <v>122142.67980345238</v>
      </c>
      <c r="N4" s="131">
        <f>IF(SER_hh_tes!N4=0,0,11630*1000*SER_hh_tes!N4/SER_hh_num!N4)</f>
        <v>128462.38238140677</v>
      </c>
      <c r="O4" s="131">
        <f>IF(SER_hh_tes!O4=0,0,11630*1000*SER_hh_tes!O4/SER_hh_num!O4)</f>
        <v>133383.33591469095</v>
      </c>
      <c r="P4" s="131">
        <f>IF(SER_hh_tes!P4=0,0,11630*1000*SER_hh_tes!P4/SER_hh_num!P4)</f>
        <v>124761.09837595941</v>
      </c>
      <c r="Q4" s="131">
        <f>IF(SER_hh_tes!Q4=0,0,11630*1000*SER_hh_tes!Q4/SER_hh_num!Q4)</f>
        <v>151031.58616294031</v>
      </c>
      <c r="R4" s="131">
        <f>IF(SER_hh_tes!R4=0,0,11630*1000*SER_hh_tes!R4/SER_hh_num!R4)</f>
        <v>155822.73960518715</v>
      </c>
      <c r="S4" s="131">
        <f>IF(SER_hh_tes!S4=0,0,11630*1000*SER_hh_tes!S4/SER_hh_num!S4)</f>
        <v>163796.46549763944</v>
      </c>
      <c r="T4" s="131">
        <f>IF(SER_hh_tes!T4=0,0,11630*1000*SER_hh_tes!T4/SER_hh_num!T4)</f>
        <v>176767.20309933825</v>
      </c>
      <c r="U4" s="131">
        <f>IF(SER_hh_tes!U4=0,0,11630*1000*SER_hh_tes!U4/SER_hh_num!U4)</f>
        <v>167459.71916122574</v>
      </c>
      <c r="V4" s="131">
        <f>IF(SER_hh_tes!V4=0,0,11630*1000*SER_hh_tes!V4/SER_hh_num!V4)</f>
        <v>155788.08062778431</v>
      </c>
      <c r="W4" s="131">
        <f>IF(SER_hh_tes!W4=0,0,11630*1000*SER_hh_tes!W4/SER_hh_num!W4)</f>
        <v>146581.37785769877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73954.580466011001</v>
      </c>
      <c r="C6" s="133">
        <f>IF(SER_hh_tes!C6=0,0,11630*1000*SER_hh_tes!C6/SER_hh_num!C6)</f>
        <v>75527.209811053792</v>
      </c>
      <c r="D6" s="133">
        <f>IF(SER_hh_tes!D6=0,0,11630*1000*SER_hh_tes!D6/SER_hh_num!D6)</f>
        <v>72606.37151753949</v>
      </c>
      <c r="E6" s="133">
        <f>IF(SER_hh_tes!E6=0,0,11630*1000*SER_hh_tes!E6/SER_hh_num!E6)</f>
        <v>89063.984848536886</v>
      </c>
      <c r="F6" s="133">
        <f>IF(SER_hh_tes!F6=0,0,11630*1000*SER_hh_tes!F6/SER_hh_num!F6)</f>
        <v>92274.790325408016</v>
      </c>
      <c r="G6" s="133">
        <f>IF(SER_hh_tes!G6=0,0,11630*1000*SER_hh_tes!G6/SER_hh_num!G6)</f>
        <v>108396.37450121171</v>
      </c>
      <c r="H6" s="133">
        <f>IF(SER_hh_tes!H6=0,0,11630*1000*SER_hh_tes!H6/SER_hh_num!H6)</f>
        <v>110942.18358498257</v>
      </c>
      <c r="I6" s="133">
        <f>IF(SER_hh_tes!I6=0,0,11630*1000*SER_hh_tes!I6/SER_hh_num!I6)</f>
        <v>105971.75719484266</v>
      </c>
      <c r="J6" s="133">
        <f>IF(SER_hh_tes!J6=0,0,11630*1000*SER_hh_tes!J6/SER_hh_num!J6)</f>
        <v>126330.27597626313</v>
      </c>
      <c r="K6" s="133">
        <f>IF(SER_hh_tes!K6=0,0,11630*1000*SER_hh_tes!K6/SER_hh_num!K6)</f>
        <v>129569.91479458708</v>
      </c>
      <c r="L6" s="133">
        <f>IF(SER_hh_tes!L6=0,0,11630*1000*SER_hh_tes!L6/SER_hh_num!L6)</f>
        <v>136926.21395434786</v>
      </c>
      <c r="M6" s="133">
        <f>IF(SER_hh_tes!M6=0,0,11630*1000*SER_hh_tes!M6/SER_hh_num!M6)</f>
        <v>125741.38462599582</v>
      </c>
      <c r="N6" s="133">
        <f>IF(SER_hh_tes!N6=0,0,11630*1000*SER_hh_tes!N6/SER_hh_num!N6)</f>
        <v>118640.18639658186</v>
      </c>
      <c r="O6" s="133">
        <f>IF(SER_hh_tes!O6=0,0,11630*1000*SER_hh_tes!O6/SER_hh_num!O6)</f>
        <v>134624.82676762535</v>
      </c>
      <c r="P6" s="133">
        <f>IF(SER_hh_tes!P6=0,0,11630*1000*SER_hh_tes!P6/SER_hh_num!P6)</f>
        <v>124965.87151927961</v>
      </c>
      <c r="Q6" s="133">
        <f>IF(SER_hh_tes!Q6=0,0,11630*1000*SER_hh_tes!Q6/SER_hh_num!Q6)</f>
        <v>130647.28115993661</v>
      </c>
      <c r="R6" s="133">
        <f>IF(SER_hh_tes!R6=0,0,11630*1000*SER_hh_tes!R6/SER_hh_num!R6)</f>
        <v>152761.04752638462</v>
      </c>
      <c r="S6" s="133">
        <f>IF(SER_hh_tes!S6=0,0,11630*1000*SER_hh_tes!S6/SER_hh_num!S6)</f>
        <v>165374.9940002746</v>
      </c>
      <c r="T6" s="133">
        <f>IF(SER_hh_tes!T6=0,0,11630*1000*SER_hh_tes!T6/SER_hh_num!T6)</f>
        <v>160402.0811409993</v>
      </c>
      <c r="U6" s="133">
        <f>IF(SER_hh_tes!U6=0,0,11630*1000*SER_hh_tes!U6/SER_hh_num!U6)</f>
        <v>167412.07447050133</v>
      </c>
      <c r="V6" s="133">
        <f>IF(SER_hh_tes!V6=0,0,11630*1000*SER_hh_tes!V6/SER_hh_num!V6)</f>
        <v>157881.58598444168</v>
      </c>
      <c r="W6" s="133">
        <f>IF(SER_hh_tes!W6=0,0,11630*1000*SER_hh_tes!W6/SER_hh_num!W6)</f>
        <v>191161.70423720943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87406.080699845668</v>
      </c>
      <c r="C7" s="133">
        <f>IF(SER_hh_tes!C7=0,0,11630*1000*SER_hh_tes!C7/SER_hh_num!C7)</f>
        <v>55293.381525067052</v>
      </c>
      <c r="D7" s="133">
        <f>IF(SER_hh_tes!D7=0,0,11630*1000*SER_hh_tes!D7/SER_hh_num!D7)</f>
        <v>73217.662541733298</v>
      </c>
      <c r="E7" s="133">
        <f>IF(SER_hh_tes!E7=0,0,11630*1000*SER_hh_tes!E7/SER_hh_num!E7)</f>
        <v>92804.320767038022</v>
      </c>
      <c r="F7" s="133">
        <f>IF(SER_hh_tes!F7=0,0,11630*1000*SER_hh_tes!F7/SER_hh_num!F7)</f>
        <v>98554.843021428736</v>
      </c>
      <c r="G7" s="133">
        <f>IF(SER_hh_tes!G7=0,0,11630*1000*SER_hh_tes!G7/SER_hh_num!G7)</f>
        <v>105789.06121978695</v>
      </c>
      <c r="H7" s="133">
        <f>IF(SER_hh_tes!H7=0,0,11630*1000*SER_hh_tes!H7/SER_hh_num!H7)</f>
        <v>114034.53552813297</v>
      </c>
      <c r="I7" s="133">
        <f>IF(SER_hh_tes!I7=0,0,11630*1000*SER_hh_tes!I7/SER_hh_num!I7)</f>
        <v>112753.0052431573</v>
      </c>
      <c r="J7" s="133">
        <f>IF(SER_hh_tes!J7=0,0,11630*1000*SER_hh_tes!J7/SER_hh_num!J7)</f>
        <v>143744.81479944818</v>
      </c>
      <c r="K7" s="133">
        <f>IF(SER_hh_tes!K7=0,0,11630*1000*SER_hh_tes!K7/SER_hh_num!K7)</f>
        <v>104132.45176795445</v>
      </c>
      <c r="L7" s="133">
        <f>IF(SER_hh_tes!L7=0,0,11630*1000*SER_hh_tes!L7/SER_hh_num!L7)</f>
        <v>126649.81039303473</v>
      </c>
      <c r="M7" s="133">
        <f>IF(SER_hh_tes!M7=0,0,11630*1000*SER_hh_tes!M7/SER_hh_num!M7)</f>
        <v>126423.609417716</v>
      </c>
      <c r="N7" s="133">
        <f>IF(SER_hh_tes!N7=0,0,11630*1000*SER_hh_tes!N7/SER_hh_num!N7)</f>
        <v>129061.04258396204</v>
      </c>
      <c r="O7" s="133">
        <f>IF(SER_hh_tes!O7=0,0,11630*1000*SER_hh_tes!O7/SER_hh_num!O7)</f>
        <v>119595.46623274859</v>
      </c>
      <c r="P7" s="133">
        <f>IF(SER_hh_tes!P7=0,0,11630*1000*SER_hh_tes!P7/SER_hh_num!P7)</f>
        <v>125133.48165592883</v>
      </c>
      <c r="Q7" s="133">
        <f>IF(SER_hh_tes!Q7=0,0,11630*1000*SER_hh_tes!Q7/SER_hh_num!Q7)</f>
        <v>153458.24666948218</v>
      </c>
      <c r="R7" s="133">
        <f>IF(SER_hh_tes!R7=0,0,11630*1000*SER_hh_tes!R7/SER_hh_num!R7)</f>
        <v>169078.07328520916</v>
      </c>
      <c r="S7" s="133">
        <f>IF(SER_hh_tes!S7=0,0,11630*1000*SER_hh_tes!S7/SER_hh_num!S7)</f>
        <v>138364.63820714023</v>
      </c>
      <c r="T7" s="133">
        <f>IF(SER_hh_tes!T7=0,0,11630*1000*SER_hh_tes!T7/SER_hh_num!T7)</f>
        <v>184066.50550956669</v>
      </c>
      <c r="U7" s="133">
        <f>IF(SER_hh_tes!U7=0,0,11630*1000*SER_hh_tes!U7/SER_hh_num!U7)</f>
        <v>147870.12138838734</v>
      </c>
      <c r="V7" s="133">
        <f>IF(SER_hh_tes!V7=0,0,11630*1000*SER_hh_tes!V7/SER_hh_num!V7)</f>
        <v>120212.63367778857</v>
      </c>
      <c r="W7" s="133">
        <f>IF(SER_hh_tes!W7=0,0,11630*1000*SER_hh_tes!W7/SER_hh_num!W7)</f>
        <v>215174.40985568005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64783.214464214499</v>
      </c>
      <c r="C8" s="133">
        <f>IF(SER_hh_tes!C8=0,0,11630*1000*SER_hh_tes!C8/SER_hh_num!C8)</f>
        <v>76499.274573067916</v>
      </c>
      <c r="D8" s="133">
        <f>IF(SER_hh_tes!D8=0,0,11630*1000*SER_hh_tes!D8/SER_hh_num!D8)</f>
        <v>75690.969978054403</v>
      </c>
      <c r="E8" s="133">
        <f>IF(SER_hh_tes!E8=0,0,11630*1000*SER_hh_tes!E8/SER_hh_num!E8)</f>
        <v>90125.688257360074</v>
      </c>
      <c r="F8" s="133">
        <f>IF(SER_hh_tes!F8=0,0,11630*1000*SER_hh_tes!F8/SER_hh_num!F8)</f>
        <v>95267.348321043944</v>
      </c>
      <c r="G8" s="133">
        <f>IF(SER_hh_tes!G8=0,0,11630*1000*SER_hh_tes!G8/SER_hh_num!G8)</f>
        <v>104236.57694495055</v>
      </c>
      <c r="H8" s="133">
        <f>IF(SER_hh_tes!H8=0,0,11630*1000*SER_hh_tes!H8/SER_hh_num!H8)</f>
        <v>110951.68568308528</v>
      </c>
      <c r="I8" s="133">
        <f>IF(SER_hh_tes!I8=0,0,11630*1000*SER_hh_tes!I8/SER_hh_num!I8)</f>
        <v>115159.36728053847</v>
      </c>
      <c r="J8" s="133">
        <f>IF(SER_hh_tes!J8=0,0,11630*1000*SER_hh_tes!J8/SER_hh_num!J8)</f>
        <v>122239.7119355281</v>
      </c>
      <c r="K8" s="133">
        <f>IF(SER_hh_tes!K8=0,0,11630*1000*SER_hh_tes!K8/SER_hh_num!K8)</f>
        <v>123167.34255320529</v>
      </c>
      <c r="L8" s="133">
        <f>IF(SER_hh_tes!L8=0,0,11630*1000*SER_hh_tes!L8/SER_hh_num!L8)</f>
        <v>119783.77478788156</v>
      </c>
      <c r="M8" s="133">
        <f>IF(SER_hh_tes!M8=0,0,11630*1000*SER_hh_tes!M8/SER_hh_num!M8)</f>
        <v>117177.7904232039</v>
      </c>
      <c r="N8" s="133">
        <f>IF(SER_hh_tes!N8=0,0,11630*1000*SER_hh_tes!N8/SER_hh_num!N8)</f>
        <v>116836.00004695918</v>
      </c>
      <c r="O8" s="133">
        <f>IF(SER_hh_tes!O8=0,0,11630*1000*SER_hh_tes!O8/SER_hh_num!O8)</f>
        <v>123498.48936978389</v>
      </c>
      <c r="P8" s="133">
        <f>IF(SER_hh_tes!P8=0,0,11630*1000*SER_hh_tes!P8/SER_hh_num!P8)</f>
        <v>133922.36801010164</v>
      </c>
      <c r="Q8" s="133">
        <f>IF(SER_hh_tes!Q8=0,0,11630*1000*SER_hh_tes!Q8/SER_hh_num!Q8)</f>
        <v>162042.86169783893</v>
      </c>
      <c r="R8" s="133">
        <f>IF(SER_hh_tes!R8=0,0,11630*1000*SER_hh_tes!R8/SER_hh_num!R8)</f>
        <v>157589.95764472347</v>
      </c>
      <c r="S8" s="133">
        <f>IF(SER_hh_tes!S8=0,0,11630*1000*SER_hh_tes!S8/SER_hh_num!S8)</f>
        <v>161122.38579039724</v>
      </c>
      <c r="T8" s="133">
        <f>IF(SER_hh_tes!T8=0,0,11630*1000*SER_hh_tes!T8/SER_hh_num!T8)</f>
        <v>163965.18986183309</v>
      </c>
      <c r="U8" s="133">
        <f>IF(SER_hh_tes!U8=0,0,11630*1000*SER_hh_tes!U8/SER_hh_num!U8)</f>
        <v>157392.93651547085</v>
      </c>
      <c r="V8" s="133">
        <f>IF(SER_hh_tes!V8=0,0,11630*1000*SER_hh_tes!V8/SER_hh_num!V8)</f>
        <v>153913.43441308374</v>
      </c>
      <c r="W8" s="133">
        <f>IF(SER_hh_tes!W8=0,0,11630*1000*SER_hh_tes!W8/SER_hh_num!W8)</f>
        <v>156159.33545706337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73214.264493223367</v>
      </c>
      <c r="C9" s="133">
        <f>IF(SER_hh_tes!C9=0,0,11630*1000*SER_hh_tes!C9/SER_hh_num!C9)</f>
        <v>78019.065452546958</v>
      </c>
      <c r="D9" s="133">
        <f>IF(SER_hh_tes!D9=0,0,11630*1000*SER_hh_tes!D9/SER_hh_num!D9)</f>
        <v>71476.74797598939</v>
      </c>
      <c r="E9" s="133">
        <f>IF(SER_hh_tes!E9=0,0,11630*1000*SER_hh_tes!E9/SER_hh_num!E9)</f>
        <v>87669.303857504041</v>
      </c>
      <c r="F9" s="133">
        <f>IF(SER_hh_tes!F9=0,0,11630*1000*SER_hh_tes!F9/SER_hh_num!F9)</f>
        <v>89444.635904597264</v>
      </c>
      <c r="G9" s="133">
        <f>IF(SER_hh_tes!G9=0,0,11630*1000*SER_hh_tes!G9/SER_hh_num!G9)</f>
        <v>111485.24288847417</v>
      </c>
      <c r="H9" s="133">
        <f>IF(SER_hh_tes!H9=0,0,11630*1000*SER_hh_tes!H9/SER_hh_num!H9)</f>
        <v>113994.06350308798</v>
      </c>
      <c r="I9" s="133">
        <f>IF(SER_hh_tes!I9=0,0,11630*1000*SER_hh_tes!I9/SER_hh_num!I9)</f>
        <v>102062.08806244482</v>
      </c>
      <c r="J9" s="133">
        <f>IF(SER_hh_tes!J9=0,0,11630*1000*SER_hh_tes!J9/SER_hh_num!J9)</f>
        <v>130579.10390502638</v>
      </c>
      <c r="K9" s="133">
        <f>IF(SER_hh_tes!K9=0,0,11630*1000*SER_hh_tes!K9/SER_hh_num!K9)</f>
        <v>132191.98797687696</v>
      </c>
      <c r="L9" s="133">
        <f>IF(SER_hh_tes!L9=0,0,11630*1000*SER_hh_tes!L9/SER_hh_num!L9)</f>
        <v>136648.91918364694</v>
      </c>
      <c r="M9" s="133">
        <f>IF(SER_hh_tes!M9=0,0,11630*1000*SER_hh_tes!M9/SER_hh_num!M9)</f>
        <v>116825.35293006084</v>
      </c>
      <c r="N9" s="133">
        <f>IF(SER_hh_tes!N9=0,0,11630*1000*SER_hh_tes!N9/SER_hh_num!N9)</f>
        <v>126695.17309124843</v>
      </c>
      <c r="O9" s="133">
        <f>IF(SER_hh_tes!O9=0,0,11630*1000*SER_hh_tes!O9/SER_hh_num!O9)</f>
        <v>139963.50717165633</v>
      </c>
      <c r="P9" s="133">
        <f>IF(SER_hh_tes!P9=0,0,11630*1000*SER_hh_tes!P9/SER_hh_num!P9)</f>
        <v>116022.21638991282</v>
      </c>
      <c r="Q9" s="133">
        <f>IF(SER_hh_tes!Q9=0,0,11630*1000*SER_hh_tes!Q9/SER_hh_num!Q9)</f>
        <v>141812.09061134633</v>
      </c>
      <c r="R9" s="133">
        <f>IF(SER_hh_tes!R9=0,0,11630*1000*SER_hh_tes!R9/SER_hh_num!R9)</f>
        <v>150945.43645742998</v>
      </c>
      <c r="S9" s="133">
        <f>IF(SER_hh_tes!S9=0,0,11630*1000*SER_hh_tes!S9/SER_hh_num!S9)</f>
        <v>151791.66209240872</v>
      </c>
      <c r="T9" s="133">
        <f>IF(SER_hh_tes!T9=0,0,11630*1000*SER_hh_tes!T9/SER_hh_num!T9)</f>
        <v>174550.20944432524</v>
      </c>
      <c r="U9" s="133">
        <f>IF(SER_hh_tes!U9=0,0,11630*1000*SER_hh_tes!U9/SER_hh_num!U9)</f>
        <v>169441.79611767852</v>
      </c>
      <c r="V9" s="133">
        <f>IF(SER_hh_tes!V9=0,0,11630*1000*SER_hh_tes!V9/SER_hh_num!V9)</f>
        <v>161648.41745856943</v>
      </c>
      <c r="W9" s="133">
        <f>IF(SER_hh_tes!W9=0,0,11630*1000*SER_hh_tes!W9/SER_hh_num!W9)</f>
        <v>145189.12039436458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73274.867596287688</v>
      </c>
      <c r="C10" s="133">
        <f>IF(SER_hh_tes!C10=0,0,11630*1000*SER_hh_tes!C10/SER_hh_num!C10)</f>
        <v>77822.448522182167</v>
      </c>
      <c r="D10" s="133">
        <f>IF(SER_hh_tes!D10=0,0,11630*1000*SER_hh_tes!D10/SER_hh_num!D10)</f>
        <v>76507.296428095753</v>
      </c>
      <c r="E10" s="133">
        <f>IF(SER_hh_tes!E10=0,0,11630*1000*SER_hh_tes!E10/SER_hh_num!E10)</f>
        <v>84373.553853529127</v>
      </c>
      <c r="F10" s="133">
        <f>IF(SER_hh_tes!F10=0,0,11630*1000*SER_hh_tes!F10/SER_hh_num!F10)</f>
        <v>91643.611631941298</v>
      </c>
      <c r="G10" s="133">
        <f>IF(SER_hh_tes!G10=0,0,11630*1000*SER_hh_tes!G10/SER_hh_num!G10)</f>
        <v>98833.267950159527</v>
      </c>
      <c r="H10" s="133">
        <f>IF(SER_hh_tes!H10=0,0,11630*1000*SER_hh_tes!H10/SER_hh_num!H10)</f>
        <v>127532.95764959179</v>
      </c>
      <c r="I10" s="133">
        <f>IF(SER_hh_tes!I10=0,0,11630*1000*SER_hh_tes!I10/SER_hh_num!I10)</f>
        <v>104787.17547464481</v>
      </c>
      <c r="J10" s="133">
        <f>IF(SER_hh_tes!J10=0,0,11630*1000*SER_hh_tes!J10/SER_hh_num!J10)</f>
        <v>98090.385133636955</v>
      </c>
      <c r="K10" s="133">
        <f>IF(SER_hh_tes!K10=0,0,11630*1000*SER_hh_tes!K10/SER_hh_num!K10)</f>
        <v>118350.318083551</v>
      </c>
      <c r="L10" s="133">
        <f>IF(SER_hh_tes!L10=0,0,11630*1000*SER_hh_tes!L10/SER_hh_num!L10)</f>
        <v>147183.61253705071</v>
      </c>
      <c r="M10" s="133">
        <f>IF(SER_hh_tes!M10=0,0,11630*1000*SER_hh_tes!M10/SER_hh_num!M10)</f>
        <v>124254.12635906551</v>
      </c>
      <c r="N10" s="133">
        <f>IF(SER_hh_tes!N10=0,0,11630*1000*SER_hh_tes!N10/SER_hh_num!N10)</f>
        <v>96909.038555644351</v>
      </c>
      <c r="O10" s="133">
        <f>IF(SER_hh_tes!O10=0,0,11630*1000*SER_hh_tes!O10/SER_hh_num!O10)</f>
        <v>123236.42512602775</v>
      </c>
      <c r="P10" s="133">
        <f>IF(SER_hh_tes!P10=0,0,11630*1000*SER_hh_tes!P10/SER_hh_num!P10)</f>
        <v>159980.54636502118</v>
      </c>
      <c r="Q10" s="133">
        <f>IF(SER_hh_tes!Q10=0,0,11630*1000*SER_hh_tes!Q10/SER_hh_num!Q10)</f>
        <v>132668.29364855256</v>
      </c>
      <c r="R10" s="133">
        <f>IF(SER_hh_tes!R10=0,0,11630*1000*SER_hh_tes!R10/SER_hh_num!R10)</f>
        <v>160972.96573473761</v>
      </c>
      <c r="S10" s="133">
        <f>IF(SER_hh_tes!S10=0,0,11630*1000*SER_hh_tes!S10/SER_hh_num!S10)</f>
        <v>166306.96819717853</v>
      </c>
      <c r="T10" s="133">
        <f>IF(SER_hh_tes!T10=0,0,11630*1000*SER_hh_tes!T10/SER_hh_num!T10)</f>
        <v>160226.66747430709</v>
      </c>
      <c r="U10" s="133">
        <f>IF(SER_hh_tes!U10=0,0,11630*1000*SER_hh_tes!U10/SER_hh_num!U10)</f>
        <v>163141.71402519633</v>
      </c>
      <c r="V10" s="133">
        <f>IF(SER_hh_tes!V10=0,0,11630*1000*SER_hh_tes!V10/SER_hh_num!V10)</f>
        <v>151372.57103487791</v>
      </c>
      <c r="W10" s="133">
        <f>IF(SER_hh_tes!W10=0,0,11630*1000*SER_hh_tes!W10/SER_hh_num!W10)</f>
        <v>153726.47236206871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74299.71689800467</v>
      </c>
      <c r="C11" s="133">
        <f>IF(SER_hh_tes!C11=0,0,11630*1000*SER_hh_tes!C11/SER_hh_num!C11)</f>
        <v>76076.632461588073</v>
      </c>
      <c r="D11" s="133">
        <f>IF(SER_hh_tes!D11=0,0,11630*1000*SER_hh_tes!D11/SER_hh_num!D11)</f>
        <v>79450.180253526123</v>
      </c>
      <c r="E11" s="133">
        <f>IF(SER_hh_tes!E11=0,0,11630*1000*SER_hh_tes!E11/SER_hh_num!E11)</f>
        <v>86462.901747118216</v>
      </c>
      <c r="F11" s="133">
        <f>IF(SER_hh_tes!F11=0,0,11630*1000*SER_hh_tes!F11/SER_hh_num!F11)</f>
        <v>93353.954938356925</v>
      </c>
      <c r="G11" s="133">
        <f>IF(SER_hh_tes!G11=0,0,11630*1000*SER_hh_tes!G11/SER_hh_num!G11)</f>
        <v>103895.70596675352</v>
      </c>
      <c r="H11" s="133">
        <f>IF(SER_hh_tes!H11=0,0,11630*1000*SER_hh_tes!H11/SER_hh_num!H11)</f>
        <v>111231.73972473945</v>
      </c>
      <c r="I11" s="133">
        <f>IF(SER_hh_tes!I11=0,0,11630*1000*SER_hh_tes!I11/SER_hh_num!I11)</f>
        <v>115958.70244840666</v>
      </c>
      <c r="J11" s="133">
        <f>IF(SER_hh_tes!J11=0,0,11630*1000*SER_hh_tes!J11/SER_hh_num!J11)</f>
        <v>129020.8454835328</v>
      </c>
      <c r="K11" s="133">
        <f>IF(SER_hh_tes!K11=0,0,11630*1000*SER_hh_tes!K11/SER_hh_num!K11)</f>
        <v>145951.4877113644</v>
      </c>
      <c r="L11" s="133">
        <f>IF(SER_hh_tes!L11=0,0,11630*1000*SER_hh_tes!L11/SER_hh_num!L11)</f>
        <v>106003.29263141612</v>
      </c>
      <c r="M11" s="133">
        <f>IF(SER_hh_tes!M11=0,0,11630*1000*SER_hh_tes!M11/SER_hh_num!M11)</f>
        <v>118008.91456730918</v>
      </c>
      <c r="N11" s="133">
        <f>IF(SER_hh_tes!N11=0,0,11630*1000*SER_hh_tes!N11/SER_hh_num!N11)</f>
        <v>128764.13835938726</v>
      </c>
      <c r="O11" s="133">
        <f>IF(SER_hh_tes!O11=0,0,11630*1000*SER_hh_tes!O11/SER_hh_num!O11)</f>
        <v>132597.30997377404</v>
      </c>
      <c r="P11" s="133">
        <f>IF(SER_hh_tes!P11=0,0,11630*1000*SER_hh_tes!P11/SER_hh_num!P11)</f>
        <v>131070.61044074493</v>
      </c>
      <c r="Q11" s="133">
        <f>IF(SER_hh_tes!Q11=0,0,11630*1000*SER_hh_tes!Q11/SER_hh_num!Q11)</f>
        <v>144825.67258928184</v>
      </c>
      <c r="R11" s="133">
        <f>IF(SER_hh_tes!R11=0,0,11630*1000*SER_hh_tes!R11/SER_hh_num!R11)</f>
        <v>152226.07556008009</v>
      </c>
      <c r="S11" s="133">
        <f>IF(SER_hh_tes!S11=0,0,11630*1000*SER_hh_tes!S11/SER_hh_num!S11)</f>
        <v>165985.16291591228</v>
      </c>
      <c r="T11" s="133">
        <f>IF(SER_hh_tes!T11=0,0,11630*1000*SER_hh_tes!T11/SER_hh_num!T11)</f>
        <v>168814.99268029368</v>
      </c>
      <c r="U11" s="133">
        <f>IF(SER_hh_tes!U11=0,0,11630*1000*SER_hh_tes!U11/SER_hh_num!U11)</f>
        <v>167603.17969855547</v>
      </c>
      <c r="V11" s="133">
        <f>IF(SER_hh_tes!V11=0,0,11630*1000*SER_hh_tes!V11/SER_hh_num!V11)</f>
        <v>154451.94396008539</v>
      </c>
      <c r="W11" s="133">
        <f>IF(SER_hh_tes!W11=0,0,11630*1000*SER_hh_tes!W11/SER_hh_num!W11)</f>
        <v>147339.10366086301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0</v>
      </c>
      <c r="C12" s="133">
        <f>IF(SER_hh_tes!C12=0,0,11630*1000*SER_hh_tes!C12/SER_hh_num!C12)</f>
        <v>0</v>
      </c>
      <c r="D12" s="133">
        <f>IF(SER_hh_tes!D12=0,0,11630*1000*SER_hh_tes!D12/SER_hh_num!D12)</f>
        <v>0</v>
      </c>
      <c r="E12" s="133">
        <f>IF(SER_hh_tes!E12=0,0,11630*1000*SER_hh_tes!E12/SER_hh_num!E12)</f>
        <v>0</v>
      </c>
      <c r="F12" s="133">
        <f>IF(SER_hh_tes!F12=0,0,11630*1000*SER_hh_tes!F12/SER_hh_num!F12)</f>
        <v>133918.17030149521</v>
      </c>
      <c r="G12" s="133">
        <f>IF(SER_hh_tes!G12=0,0,11630*1000*SER_hh_tes!G12/SER_hh_num!G12)</f>
        <v>103155.81740130627</v>
      </c>
      <c r="H12" s="133">
        <f>IF(SER_hh_tes!H12=0,0,11630*1000*SER_hh_tes!H12/SER_hh_num!H12)</f>
        <v>122642.4172844063</v>
      </c>
      <c r="I12" s="133">
        <f>IF(SER_hh_tes!I12=0,0,11630*1000*SER_hh_tes!I12/SER_hh_num!I12)</f>
        <v>122898.30320430725</v>
      </c>
      <c r="J12" s="133">
        <f>IF(SER_hh_tes!J12=0,0,11630*1000*SER_hh_tes!J12/SER_hh_num!J12)</f>
        <v>130876.83907416969</v>
      </c>
      <c r="K12" s="133">
        <f>IF(SER_hh_tes!K12=0,0,11630*1000*SER_hh_tes!K12/SER_hh_num!K12)</f>
        <v>114292.24600842837</v>
      </c>
      <c r="L12" s="133">
        <f>IF(SER_hh_tes!L12=0,0,11630*1000*SER_hh_tes!L12/SER_hh_num!L12)</f>
        <v>87152.340208972702</v>
      </c>
      <c r="M12" s="133">
        <f>IF(SER_hh_tes!M12=0,0,11630*1000*SER_hh_tes!M12/SER_hh_num!M12)</f>
        <v>159811.23634409159</v>
      </c>
      <c r="N12" s="133">
        <f>IF(SER_hh_tes!N12=0,0,11630*1000*SER_hh_tes!N12/SER_hh_num!N12)</f>
        <v>106009.7338671296</v>
      </c>
      <c r="O12" s="133">
        <f>IF(SER_hh_tes!O12=0,0,11630*1000*SER_hh_tes!O12/SER_hh_num!O12)</f>
        <v>121887.99733158638</v>
      </c>
      <c r="P12" s="133">
        <f>IF(SER_hh_tes!P12=0,0,11630*1000*SER_hh_tes!P12/SER_hh_num!P12)</f>
        <v>170287.86136399992</v>
      </c>
      <c r="Q12" s="133">
        <f>IF(SER_hh_tes!Q12=0,0,11630*1000*SER_hh_tes!Q12/SER_hh_num!Q12)</f>
        <v>134574.71177531712</v>
      </c>
      <c r="R12" s="133">
        <f>IF(SER_hh_tes!R12=0,0,11630*1000*SER_hh_tes!R12/SER_hh_num!R12)</f>
        <v>138009.24070621116</v>
      </c>
      <c r="S12" s="133">
        <f>IF(SER_hh_tes!S12=0,0,11630*1000*SER_hh_tes!S12/SER_hh_num!S12)</f>
        <v>169091.98331046046</v>
      </c>
      <c r="T12" s="133">
        <f>IF(SER_hh_tes!T12=0,0,11630*1000*SER_hh_tes!T12/SER_hh_num!T12)</f>
        <v>203870.71340735676</v>
      </c>
      <c r="U12" s="133">
        <f>IF(SER_hh_tes!U12=0,0,11630*1000*SER_hh_tes!U12/SER_hh_num!U12)</f>
        <v>151493.41817039021</v>
      </c>
      <c r="V12" s="133">
        <f>IF(SER_hh_tes!V12=0,0,11630*1000*SER_hh_tes!V12/SER_hh_num!V12)</f>
        <v>150441.35409328199</v>
      </c>
      <c r="W12" s="133">
        <f>IF(SER_hh_tes!W12=0,0,11630*1000*SER_hh_tes!W12/SER_hh_num!W12)</f>
        <v>172029.59445405146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61602.71387736332</v>
      </c>
      <c r="C13" s="133">
        <f>IF(SER_hh_tes!C13=0,0,11630*1000*SER_hh_tes!C13/SER_hh_num!C13)</f>
        <v>56759.270321369557</v>
      </c>
      <c r="D13" s="133">
        <f>IF(SER_hh_tes!D13=0,0,11630*1000*SER_hh_tes!D13/SER_hh_num!D13)</f>
        <v>85684.465782676285</v>
      </c>
      <c r="E13" s="133">
        <f>IF(SER_hh_tes!E13=0,0,11630*1000*SER_hh_tes!E13/SER_hh_num!E13)</f>
        <v>62914.398702753868</v>
      </c>
      <c r="F13" s="133">
        <f>IF(SER_hh_tes!F13=0,0,11630*1000*SER_hh_tes!F13/SER_hh_num!F13)</f>
        <v>85340.453982560939</v>
      </c>
      <c r="G13" s="133">
        <f>IF(SER_hh_tes!G13=0,0,11630*1000*SER_hh_tes!G13/SER_hh_num!G13)</f>
        <v>114505.56661087068</v>
      </c>
      <c r="H13" s="133">
        <f>IF(SER_hh_tes!H13=0,0,11630*1000*SER_hh_tes!H13/SER_hh_num!H13)</f>
        <v>119926.79420756212</v>
      </c>
      <c r="I13" s="133">
        <f>IF(SER_hh_tes!I13=0,0,11630*1000*SER_hh_tes!I13/SER_hh_num!I13)</f>
        <v>116016.94773833048</v>
      </c>
      <c r="J13" s="133">
        <f>IF(SER_hh_tes!J13=0,0,11630*1000*SER_hh_tes!J13/SER_hh_num!J13)</f>
        <v>117880.03601780032</v>
      </c>
      <c r="K13" s="133">
        <f>IF(SER_hh_tes!K13=0,0,11630*1000*SER_hh_tes!K13/SER_hh_num!K13)</f>
        <v>125518.02252699225</v>
      </c>
      <c r="L13" s="133">
        <f>IF(SER_hh_tes!L13=0,0,11630*1000*SER_hh_tes!L13/SER_hh_num!L13)</f>
        <v>108488.90762931347</v>
      </c>
      <c r="M13" s="133">
        <f>IF(SER_hh_tes!M13=0,0,11630*1000*SER_hh_tes!M13/SER_hh_num!M13)</f>
        <v>114386.34834488774</v>
      </c>
      <c r="N13" s="133">
        <f>IF(SER_hh_tes!N13=0,0,11630*1000*SER_hh_tes!N13/SER_hh_num!N13)</f>
        <v>125596.96276916342</v>
      </c>
      <c r="O13" s="133">
        <f>IF(SER_hh_tes!O13=0,0,11630*1000*SER_hh_tes!O13/SER_hh_num!O13)</f>
        <v>108784.56297563981</v>
      </c>
      <c r="P13" s="133">
        <f>IF(SER_hh_tes!P13=0,0,11630*1000*SER_hh_tes!P13/SER_hh_num!P13)</f>
        <v>122270.23932987661</v>
      </c>
      <c r="Q13" s="133">
        <f>IF(SER_hh_tes!Q13=0,0,11630*1000*SER_hh_tes!Q13/SER_hh_num!Q13)</f>
        <v>171130.96333079142</v>
      </c>
      <c r="R13" s="133">
        <f>IF(SER_hh_tes!R13=0,0,11630*1000*SER_hh_tes!R13/SER_hh_num!R13)</f>
        <v>160488.58446375621</v>
      </c>
      <c r="S13" s="133">
        <f>IF(SER_hh_tes!S13=0,0,11630*1000*SER_hh_tes!S13/SER_hh_num!S13)</f>
        <v>175322.9305237121</v>
      </c>
      <c r="T13" s="133">
        <f>IF(SER_hh_tes!T13=0,0,11630*1000*SER_hh_tes!T13/SER_hh_num!T13)</f>
        <v>170803.45482821655</v>
      </c>
      <c r="U13" s="133">
        <f>IF(SER_hh_tes!U13=0,0,11630*1000*SER_hh_tes!U13/SER_hh_num!U13)</f>
        <v>162754.43130387602</v>
      </c>
      <c r="V13" s="133">
        <f>IF(SER_hh_tes!V13=0,0,11630*1000*SER_hh_tes!V13/SER_hh_num!V13)</f>
        <v>158058.14273788052</v>
      </c>
      <c r="W13" s="133">
        <f>IF(SER_hh_tes!W13=0,0,11630*1000*SER_hh_tes!W13/SER_hh_num!W13)</f>
        <v>124048.33297298758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72234.379644058907</v>
      </c>
      <c r="C14" s="65">
        <f>IF(SER_hh_tes!C14=0,0,11630*1000*SER_hh_tes!C14/SER_hh_num!C14)</f>
        <v>75281.251940507122</v>
      </c>
      <c r="D14" s="65">
        <f>IF(SER_hh_tes!D14=0,0,11630*1000*SER_hh_tes!D14/SER_hh_num!D14)</f>
        <v>81216.229804704213</v>
      </c>
      <c r="E14" s="65">
        <f>IF(SER_hh_tes!E14=0,0,11630*1000*SER_hh_tes!E14/SER_hh_num!E14)</f>
        <v>82958.088472615782</v>
      </c>
      <c r="F14" s="65">
        <f>IF(SER_hh_tes!F14=0,0,11630*1000*SER_hh_tes!F14/SER_hh_num!F14)</f>
        <v>93823.641615826578</v>
      </c>
      <c r="G14" s="65">
        <f>IF(SER_hh_tes!G14=0,0,11630*1000*SER_hh_tes!G14/SER_hh_num!G14)</f>
        <v>107801.98784623716</v>
      </c>
      <c r="H14" s="65">
        <f>IF(SER_hh_tes!H14=0,0,11630*1000*SER_hh_tes!H14/SER_hh_num!H14)</f>
        <v>113860.32197811137</v>
      </c>
      <c r="I14" s="65">
        <f>IF(SER_hh_tes!I14=0,0,11630*1000*SER_hh_tes!I14/SER_hh_num!I14)</f>
        <v>118312.18127559683</v>
      </c>
      <c r="J14" s="65">
        <f>IF(SER_hh_tes!J14=0,0,11630*1000*SER_hh_tes!J14/SER_hh_num!J14)</f>
        <v>124357.96182141447</v>
      </c>
      <c r="K14" s="65">
        <f>IF(SER_hh_tes!K14=0,0,11630*1000*SER_hh_tes!K14/SER_hh_num!K14)</f>
        <v>128481.38423672784</v>
      </c>
      <c r="L14" s="65">
        <f>IF(SER_hh_tes!L14=0,0,11630*1000*SER_hh_tes!L14/SER_hh_num!L14)</f>
        <v>131716.36653751784</v>
      </c>
      <c r="M14" s="65">
        <f>IF(SER_hh_tes!M14=0,0,11630*1000*SER_hh_tes!M14/SER_hh_num!M14)</f>
        <v>128106.2111188788</v>
      </c>
      <c r="N14" s="65">
        <f>IF(SER_hh_tes!N14=0,0,11630*1000*SER_hh_tes!N14/SER_hh_num!N14)</f>
        <v>131229.96910850061</v>
      </c>
      <c r="O14" s="65">
        <f>IF(SER_hh_tes!O14=0,0,11630*1000*SER_hh_tes!O14/SER_hh_num!O14)</f>
        <v>135361.73169414044</v>
      </c>
      <c r="P14" s="65">
        <f>IF(SER_hh_tes!P14=0,0,11630*1000*SER_hh_tes!P14/SER_hh_num!P14)</f>
        <v>133634.45050174257</v>
      </c>
      <c r="Q14" s="65">
        <f>IF(SER_hh_tes!Q14=0,0,11630*1000*SER_hh_tes!Q14/SER_hh_num!Q14)</f>
        <v>135169.52130369528</v>
      </c>
      <c r="R14" s="65">
        <f>IF(SER_hh_tes!R14=0,0,11630*1000*SER_hh_tes!R14/SER_hh_num!R14)</f>
        <v>152475.4546404063</v>
      </c>
      <c r="S14" s="65">
        <f>IF(SER_hh_tes!S14=0,0,11630*1000*SER_hh_tes!S14/SER_hh_num!S14)</f>
        <v>160604.48969139837</v>
      </c>
      <c r="T14" s="65">
        <f>IF(SER_hh_tes!T14=0,0,11630*1000*SER_hh_tes!T14/SER_hh_num!T14)</f>
        <v>186008.30593954804</v>
      </c>
      <c r="U14" s="65">
        <f>IF(SER_hh_tes!U14=0,0,11630*1000*SER_hh_tes!U14/SER_hh_num!U14)</f>
        <v>171089.91616265115</v>
      </c>
      <c r="V14" s="65">
        <f>IF(SER_hh_tes!V14=0,0,11630*1000*SER_hh_tes!V14/SER_hh_num!V14)</f>
        <v>129558.55603238399</v>
      </c>
      <c r="W14" s="65">
        <f>IF(SER_hh_tes!W14=0,0,11630*1000*SER_hh_tes!W14/SER_hh_num!W14)</f>
        <v>188305.91845867349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1432.8318543507423</v>
      </c>
      <c r="C15" s="135">
        <f>IF(SER_hh_tes!C15=0,0,11630*1000*SER_hh_tes!C15/SER_hh_num!C15)</f>
        <v>1446.5241773699645</v>
      </c>
      <c r="D15" s="135">
        <f>IF(SER_hh_tes!D15=0,0,11630*1000*SER_hh_tes!D15/SER_hh_num!D15)</f>
        <v>1332.2773493252942</v>
      </c>
      <c r="E15" s="135">
        <f>IF(SER_hh_tes!E15=0,0,11630*1000*SER_hh_tes!E15/SER_hh_num!E15)</f>
        <v>1610.7377916671826</v>
      </c>
      <c r="F15" s="135">
        <f>IF(SER_hh_tes!F15=0,0,11630*1000*SER_hh_tes!F15/SER_hh_num!F15)</f>
        <v>1615.2420744613194</v>
      </c>
      <c r="G15" s="135">
        <f>IF(SER_hh_tes!G15=0,0,11630*1000*SER_hh_tes!G15/SER_hh_num!G15)</f>
        <v>1948.76459152344</v>
      </c>
      <c r="H15" s="135">
        <f>IF(SER_hh_tes!H15=0,0,11630*1000*SER_hh_tes!H15/SER_hh_num!H15)</f>
        <v>1969.5585587581745</v>
      </c>
      <c r="I15" s="135">
        <f>IF(SER_hh_tes!I15=0,0,11630*1000*SER_hh_tes!I15/SER_hh_num!I15)</f>
        <v>1755.6543808390466</v>
      </c>
      <c r="J15" s="135">
        <f>IF(SER_hh_tes!J15=0,0,11630*1000*SER_hh_tes!J15/SER_hh_num!J15)</f>
        <v>2209.2600116757244</v>
      </c>
      <c r="K15" s="135">
        <f>IF(SER_hh_tes!K15=0,0,11630*1000*SER_hh_tes!K15/SER_hh_num!K15)</f>
        <v>2178.515914143572</v>
      </c>
      <c r="L15" s="135">
        <f>IF(SER_hh_tes!L15=0,0,11630*1000*SER_hh_tes!L15/SER_hh_num!L15)</f>
        <v>2237.0262816215527</v>
      </c>
      <c r="M15" s="135">
        <f>IF(SER_hh_tes!M15=0,0,11630*1000*SER_hh_tes!M15/SER_hh_num!M15)</f>
        <v>1904.8303548435072</v>
      </c>
      <c r="N15" s="135">
        <f>IF(SER_hh_tes!N15=0,0,11630*1000*SER_hh_tes!N15/SER_hh_num!N15)</f>
        <v>2007.0835929519055</v>
      </c>
      <c r="O15" s="135">
        <f>IF(SER_hh_tes!O15=0,0,11630*1000*SER_hh_tes!O15/SER_hh_num!O15)</f>
        <v>2158.668426393418</v>
      </c>
      <c r="P15" s="135">
        <f>IF(SER_hh_tes!P15=0,0,11630*1000*SER_hh_tes!P15/SER_hh_num!P15)</f>
        <v>1794.598755334609</v>
      </c>
      <c r="Q15" s="135">
        <f>IF(SER_hh_tes!Q15=0,0,11630*1000*SER_hh_tes!Q15/SER_hh_num!Q15)</f>
        <v>2126.7881475714016</v>
      </c>
      <c r="R15" s="135">
        <f>IF(SER_hh_tes!R15=0,0,11630*1000*SER_hh_tes!R15/SER_hh_num!R15)</f>
        <v>2240.9233233477084</v>
      </c>
      <c r="S15" s="135">
        <f>IF(SER_hh_tes!S15=0,0,11630*1000*SER_hh_tes!S15/SER_hh_num!S15)</f>
        <v>2229.456799521246</v>
      </c>
      <c r="T15" s="135">
        <f>IF(SER_hh_tes!T15=0,0,11630*1000*SER_hh_tes!T15/SER_hh_num!T15)</f>
        <v>2550.8861173518876</v>
      </c>
      <c r="U15" s="135">
        <f>IF(SER_hh_tes!U15=0,0,11630*1000*SER_hh_tes!U15/SER_hh_num!U15)</f>
        <v>2451.3607713013316</v>
      </c>
      <c r="V15" s="135">
        <f>IF(SER_hh_tes!V15=0,0,11630*1000*SER_hh_tes!V15/SER_hh_num!V15)</f>
        <v>2322.9234885353776</v>
      </c>
      <c r="W15" s="135">
        <f>IF(SER_hh_tes!W15=0,0,11630*1000*SER_hh_tes!W15/SER_hh_num!W15)</f>
        <v>2142.2805019850407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22951.97962676056</v>
      </c>
      <c r="C16" s="131">
        <f>IF(SER_hh_tes!C16=0,0,11630*1000*SER_hh_tes!C16/SER_hh_num!C16)</f>
        <v>25145.240779495125</v>
      </c>
      <c r="D16" s="131">
        <f>IF(SER_hh_tes!D16=0,0,11630*1000*SER_hh_tes!D16/SER_hh_num!D16)</f>
        <v>22149.581228233725</v>
      </c>
      <c r="E16" s="131">
        <f>IF(SER_hh_tes!E16=0,0,11630*1000*SER_hh_tes!E16/SER_hh_num!E16)</f>
        <v>51574.048489217843</v>
      </c>
      <c r="F16" s="131">
        <f>IF(SER_hh_tes!F16=0,0,11630*1000*SER_hh_tes!F16/SER_hh_num!F16)</f>
        <v>23291.602992696684</v>
      </c>
      <c r="G16" s="131">
        <f>IF(SER_hh_tes!G16=0,0,11630*1000*SER_hh_tes!G16/SER_hh_num!G16)</f>
        <v>23434.318782017737</v>
      </c>
      <c r="H16" s="131">
        <f>IF(SER_hh_tes!H16=0,0,11630*1000*SER_hh_tes!H16/SER_hh_num!H16)</f>
        <v>27617.969119391673</v>
      </c>
      <c r="I16" s="131">
        <f>IF(SER_hh_tes!I16=0,0,11630*1000*SER_hh_tes!I16/SER_hh_num!I16)</f>
        <v>25501.112912821955</v>
      </c>
      <c r="J16" s="131">
        <f>IF(SER_hh_tes!J16=0,0,11630*1000*SER_hh_tes!J16/SER_hh_num!J16)</f>
        <v>30099.298822988749</v>
      </c>
      <c r="K16" s="131">
        <f>IF(SER_hh_tes!K16=0,0,11630*1000*SER_hh_tes!K16/SER_hh_num!K16)</f>
        <v>30962.340464971705</v>
      </c>
      <c r="L16" s="131">
        <f>IF(SER_hh_tes!L16=0,0,11630*1000*SER_hh_tes!L16/SER_hh_num!L16)</f>
        <v>25266.63568301421</v>
      </c>
      <c r="M16" s="131">
        <f>IF(SER_hh_tes!M16=0,0,11630*1000*SER_hh_tes!M16/SER_hh_num!M16)</f>
        <v>27500.221543565618</v>
      </c>
      <c r="N16" s="131">
        <f>IF(SER_hh_tes!N16=0,0,11630*1000*SER_hh_tes!N16/SER_hh_num!N16)</f>
        <v>43656.235383052881</v>
      </c>
      <c r="O16" s="131">
        <f>IF(SER_hh_tes!O16=0,0,11630*1000*SER_hh_tes!O16/SER_hh_num!O16)</f>
        <v>26114.101119646391</v>
      </c>
      <c r="P16" s="131">
        <f>IF(SER_hh_tes!P16=0,0,11630*1000*SER_hh_tes!P16/SER_hh_num!P16)</f>
        <v>22697.441124277557</v>
      </c>
      <c r="Q16" s="131">
        <f>IF(SER_hh_tes!Q16=0,0,11630*1000*SER_hh_tes!Q16/SER_hh_num!Q16)</f>
        <v>40800.351588971724</v>
      </c>
      <c r="R16" s="131">
        <f>IF(SER_hh_tes!R16=0,0,11630*1000*SER_hh_tes!R16/SER_hh_num!R16)</f>
        <v>26821.923555628331</v>
      </c>
      <c r="S16" s="131">
        <f>IF(SER_hh_tes!S16=0,0,11630*1000*SER_hh_tes!S16/SER_hh_num!S16)</f>
        <v>40914.693458610025</v>
      </c>
      <c r="T16" s="131">
        <f>IF(SER_hh_tes!T16=0,0,11630*1000*SER_hh_tes!T16/SER_hh_num!T16)</f>
        <v>31109.822090431124</v>
      </c>
      <c r="U16" s="131">
        <f>IF(SER_hh_tes!U16=0,0,11630*1000*SER_hh_tes!U16/SER_hh_num!U16)</f>
        <v>41701.889692753233</v>
      </c>
      <c r="V16" s="131">
        <f>IF(SER_hh_tes!V16=0,0,11630*1000*SER_hh_tes!V16/SER_hh_num!V16)</f>
        <v>31538.312800510172</v>
      </c>
      <c r="W16" s="131">
        <f>IF(SER_hh_tes!W16=0,0,11630*1000*SER_hh_tes!W16/SER_hh_num!W16)</f>
        <v>38883.529565400568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22951.979626760563</v>
      </c>
      <c r="C17" s="133">
        <f>IF(SER_hh_tes!C17=0,0,11630*1000*SER_hh_tes!C17/SER_hh_num!C17)</f>
        <v>25145.279098037267</v>
      </c>
      <c r="D17" s="133">
        <f>IF(SER_hh_tes!D17=0,0,11630*1000*SER_hh_tes!D17/SER_hh_num!D17)</f>
        <v>22149.589433904257</v>
      </c>
      <c r="E17" s="133">
        <f>IF(SER_hh_tes!E17=0,0,11630*1000*SER_hh_tes!E17/SER_hh_num!E17)</f>
        <v>51574.030256206133</v>
      </c>
      <c r="F17" s="133">
        <f>IF(SER_hh_tes!F17=0,0,11630*1000*SER_hh_tes!F17/SER_hh_num!F17)</f>
        <v>23291.585927648575</v>
      </c>
      <c r="G17" s="133">
        <f>IF(SER_hh_tes!G17=0,0,11630*1000*SER_hh_tes!G17/SER_hh_num!G17)</f>
        <v>23434.300966923664</v>
      </c>
      <c r="H17" s="133">
        <f>IF(SER_hh_tes!H17=0,0,11630*1000*SER_hh_tes!H17/SER_hh_num!H17)</f>
        <v>27617.956753387811</v>
      </c>
      <c r="I17" s="133">
        <f>IF(SER_hh_tes!I17=0,0,11630*1000*SER_hh_tes!I17/SER_hh_num!I17)</f>
        <v>25501.111434792798</v>
      </c>
      <c r="J17" s="133">
        <f>IF(SER_hh_tes!J17=0,0,11630*1000*SER_hh_tes!J17/SER_hh_num!J17)</f>
        <v>30099.306083757394</v>
      </c>
      <c r="K17" s="133">
        <f>IF(SER_hh_tes!K17=0,0,11630*1000*SER_hh_tes!K17/SER_hh_num!K17)</f>
        <v>30962.354382755522</v>
      </c>
      <c r="L17" s="133">
        <f>IF(SER_hh_tes!L17=0,0,11630*1000*SER_hh_tes!L17/SER_hh_num!L17)</f>
        <v>25266.652200232256</v>
      </c>
      <c r="M17" s="133">
        <f>IF(SER_hh_tes!M17=0,0,11630*1000*SER_hh_tes!M17/SER_hh_num!M17)</f>
        <v>27500.243602508966</v>
      </c>
      <c r="N17" s="133">
        <f>IF(SER_hh_tes!N17=0,0,11630*1000*SER_hh_tes!N17/SER_hh_num!N17)</f>
        <v>43656.22801166954</v>
      </c>
      <c r="O17" s="133">
        <f>IF(SER_hh_tes!O17=0,0,11630*1000*SER_hh_tes!O17/SER_hh_num!O17)</f>
        <v>26114.076714898751</v>
      </c>
      <c r="P17" s="133">
        <f>IF(SER_hh_tes!P17=0,0,11630*1000*SER_hh_tes!P17/SER_hh_num!P17)</f>
        <v>22697.410283864265</v>
      </c>
      <c r="Q17" s="133">
        <f>IF(SER_hh_tes!Q17=0,0,11630*1000*SER_hh_tes!Q17/SER_hh_num!Q17)</f>
        <v>40800.298735353375</v>
      </c>
      <c r="R17" s="133">
        <f>IF(SER_hh_tes!R17=0,0,11630*1000*SER_hh_tes!R17/SER_hh_num!R17)</f>
        <v>26821.9040891882</v>
      </c>
      <c r="S17" s="133">
        <f>IF(SER_hh_tes!S17=0,0,11630*1000*SER_hh_tes!S17/SER_hh_num!S17)</f>
        <v>40914.700422137925</v>
      </c>
      <c r="T17" s="133">
        <f>IF(SER_hh_tes!T17=0,0,11630*1000*SER_hh_tes!T17/SER_hh_num!T17)</f>
        <v>31424.161641233801</v>
      </c>
      <c r="U17" s="133">
        <f>IF(SER_hh_tes!U17=0,0,11630*1000*SER_hh_tes!U17/SER_hh_num!U17)</f>
        <v>41701.944939800436</v>
      </c>
      <c r="V17" s="133">
        <f>IF(SER_hh_tes!V17=0,0,11630*1000*SER_hh_tes!V17/SER_hh_num!V17)</f>
        <v>30317.353295929825</v>
      </c>
      <c r="W17" s="133">
        <f>IF(SER_hh_tes!W17=0,0,11630*1000*SER_hh_tes!W17/SER_hh_num!W17)</f>
        <v>37399.867279019039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22951.97962676056</v>
      </c>
      <c r="C18" s="133">
        <f>IF(SER_hh_tes!C18=0,0,11630*1000*SER_hh_tes!C18/SER_hh_num!C18)</f>
        <v>25145.240668148566</v>
      </c>
      <c r="D18" s="133">
        <f>IF(SER_hh_tes!D18=0,0,11630*1000*SER_hh_tes!D18/SER_hh_num!D18)</f>
        <v>22149.58120493286</v>
      </c>
      <c r="E18" s="133">
        <f>IF(SER_hh_tes!E18=0,0,11630*1000*SER_hh_tes!E18/SER_hh_num!E18)</f>
        <v>51574.048553756329</v>
      </c>
      <c r="F18" s="133">
        <f>IF(SER_hh_tes!F18=0,0,11630*1000*SER_hh_tes!F18/SER_hh_num!F18)</f>
        <v>23291.603067317035</v>
      </c>
      <c r="G18" s="133">
        <f>IF(SER_hh_tes!G18=0,0,11630*1000*SER_hh_tes!G18/SER_hh_num!G18)</f>
        <v>23434.318865223271</v>
      </c>
      <c r="H18" s="133">
        <f>IF(SER_hh_tes!H18=0,0,11630*1000*SER_hh_tes!H18/SER_hh_num!H18)</f>
        <v>27617.969184674039</v>
      </c>
      <c r="I18" s="133">
        <f>IF(SER_hh_tes!I18=0,0,11630*1000*SER_hh_tes!I18/SER_hh_num!I18)</f>
        <v>25501.112921355085</v>
      </c>
      <c r="J18" s="133">
        <f>IF(SER_hh_tes!J18=0,0,11630*1000*SER_hh_tes!J18/SER_hh_num!J18)</f>
        <v>30099.298775585343</v>
      </c>
      <c r="K18" s="133">
        <f>IF(SER_hh_tes!K18=0,0,11630*1000*SER_hh_tes!K18/SER_hh_num!K18)</f>
        <v>30962.340359155034</v>
      </c>
      <c r="L18" s="133">
        <f>IF(SER_hh_tes!L18=0,0,11630*1000*SER_hh_tes!L18/SER_hh_num!L18)</f>
        <v>25266.635543218741</v>
      </c>
      <c r="M18" s="133">
        <f>IF(SER_hh_tes!M18=0,0,11630*1000*SER_hh_tes!M18/SER_hh_num!M18)</f>
        <v>27500.221342849556</v>
      </c>
      <c r="N18" s="133">
        <f>IF(SER_hh_tes!N18=0,0,11630*1000*SER_hh_tes!N18/SER_hh_num!N18)</f>
        <v>43656.235454494446</v>
      </c>
      <c r="O18" s="133">
        <f>IF(SER_hh_tes!O18=0,0,11630*1000*SER_hh_tes!O18/SER_hh_num!O18)</f>
        <v>26114.101383897643</v>
      </c>
      <c r="P18" s="133">
        <f>IF(SER_hh_tes!P18=0,0,11630*1000*SER_hh_tes!P18/SER_hh_num!P18)</f>
        <v>22697.441489596593</v>
      </c>
      <c r="Q18" s="133">
        <f>IF(SER_hh_tes!Q18=0,0,11630*1000*SER_hh_tes!Q18/SER_hh_num!Q18)</f>
        <v>40800.352259380292</v>
      </c>
      <c r="R18" s="133">
        <f>IF(SER_hh_tes!R18=0,0,11630*1000*SER_hh_tes!R18/SER_hh_num!R18)</f>
        <v>26821.923827695824</v>
      </c>
      <c r="S18" s="133">
        <f>IF(SER_hh_tes!S18=0,0,11630*1000*SER_hh_tes!S18/SER_hh_num!S18)</f>
        <v>40914.693356379947</v>
      </c>
      <c r="T18" s="133">
        <f>IF(SER_hh_tes!T18=0,0,11630*1000*SER_hh_tes!T18/SER_hh_num!T18)</f>
        <v>31105.067585484499</v>
      </c>
      <c r="U18" s="133">
        <f>IF(SER_hh_tes!U18=0,0,11630*1000*SER_hh_tes!U18/SER_hh_num!U18)</f>
        <v>41701.888833222176</v>
      </c>
      <c r="V18" s="133">
        <f>IF(SER_hh_tes!V18=0,0,11630*1000*SER_hh_tes!V18/SER_hh_num!V18)</f>
        <v>31558.531835894744</v>
      </c>
      <c r="W18" s="133">
        <f>IF(SER_hh_tes!W18=0,0,11630*1000*SER_hh_tes!W18/SER_hh_num!W18)</f>
        <v>38907.965582759047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18275.676566414368</v>
      </c>
      <c r="C19" s="131">
        <f>IF(SER_hh_tes!C19=0,0,11630*1000*SER_hh_tes!C19/SER_hh_num!C19)</f>
        <v>18644.347008606157</v>
      </c>
      <c r="D19" s="131">
        <f>IF(SER_hh_tes!D19=0,0,11630*1000*SER_hh_tes!D19/SER_hh_num!D19)</f>
        <v>18891.509415644538</v>
      </c>
      <c r="E19" s="131">
        <f>IF(SER_hh_tes!E19=0,0,11630*1000*SER_hh_tes!E19/SER_hh_num!E19)</f>
        <v>18693.471504822755</v>
      </c>
      <c r="F19" s="131">
        <f>IF(SER_hh_tes!F19=0,0,11630*1000*SER_hh_tes!F19/SER_hh_num!F19)</f>
        <v>19092.270784915767</v>
      </c>
      <c r="G19" s="131">
        <f>IF(SER_hh_tes!G19=0,0,11630*1000*SER_hh_tes!G19/SER_hh_num!G19)</f>
        <v>18867.924987581118</v>
      </c>
      <c r="H19" s="131">
        <f>IF(SER_hh_tes!H19=0,0,11630*1000*SER_hh_tes!H19/SER_hh_num!H19)</f>
        <v>18914.914597838331</v>
      </c>
      <c r="I19" s="131">
        <f>IF(SER_hh_tes!I19=0,0,11630*1000*SER_hh_tes!I19/SER_hh_num!I19)</f>
        <v>19331.071867925035</v>
      </c>
      <c r="J19" s="131">
        <f>IF(SER_hh_tes!J19=0,0,11630*1000*SER_hh_tes!J19/SER_hh_num!J19)</f>
        <v>19291.818188813213</v>
      </c>
      <c r="K19" s="131">
        <f>IF(SER_hh_tes!K19=0,0,11630*1000*SER_hh_tes!K19/SER_hh_num!K19)</f>
        <v>19242.285760435367</v>
      </c>
      <c r="L19" s="131">
        <f>IF(SER_hh_tes!L19=0,0,11630*1000*SER_hh_tes!L19/SER_hh_num!L19)</f>
        <v>19372.020238166308</v>
      </c>
      <c r="M19" s="131">
        <f>IF(SER_hh_tes!M19=0,0,11630*1000*SER_hh_tes!M19/SER_hh_num!M19)</f>
        <v>19676.242634129696</v>
      </c>
      <c r="N19" s="131">
        <f>IF(SER_hh_tes!N19=0,0,11630*1000*SER_hh_tes!N19/SER_hh_num!N19)</f>
        <v>19475.355465285444</v>
      </c>
      <c r="O19" s="131">
        <f>IF(SER_hh_tes!O19=0,0,11630*1000*SER_hh_tes!O19/SER_hh_num!O19)</f>
        <v>20208.917977293208</v>
      </c>
      <c r="P19" s="131">
        <f>IF(SER_hh_tes!P19=0,0,11630*1000*SER_hh_tes!P19/SER_hh_num!P19)</f>
        <v>20427.41255446682</v>
      </c>
      <c r="Q19" s="131">
        <f>IF(SER_hh_tes!Q19=0,0,11630*1000*SER_hh_tes!Q19/SER_hh_num!Q19)</f>
        <v>20486.827665131583</v>
      </c>
      <c r="R19" s="131">
        <f>IF(SER_hh_tes!R19=0,0,11630*1000*SER_hh_tes!R19/SER_hh_num!R19)</f>
        <v>20953.46859303517</v>
      </c>
      <c r="S19" s="131">
        <f>IF(SER_hh_tes!S19=0,0,11630*1000*SER_hh_tes!S19/SER_hh_num!S19)</f>
        <v>20664.37028426789</v>
      </c>
      <c r="T19" s="131">
        <f>IF(SER_hh_tes!T19=0,0,11630*1000*SER_hh_tes!T19/SER_hh_num!T19)</f>
        <v>20558.584667932737</v>
      </c>
      <c r="U19" s="131">
        <f>IF(SER_hh_tes!U19=0,0,11630*1000*SER_hh_tes!U19/SER_hh_num!U19)</f>
        <v>19628.008023279341</v>
      </c>
      <c r="V19" s="131">
        <f>IF(SER_hh_tes!V19=0,0,11630*1000*SER_hh_tes!V19/SER_hh_num!V19)</f>
        <v>18001.602290858908</v>
      </c>
      <c r="W19" s="131">
        <f>IF(SER_hh_tes!W19=0,0,11630*1000*SER_hh_tes!W19/SER_hh_num!W19)</f>
        <v>19433.212334636974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18456.001652206905</v>
      </c>
      <c r="C21" s="133">
        <f>IF(SER_hh_tes!C21=0,0,11630*1000*SER_hh_tes!C21/SER_hh_num!C21)</f>
        <v>18845.25324286734</v>
      </c>
      <c r="D21" s="133">
        <f>IF(SER_hh_tes!D21=0,0,11630*1000*SER_hh_tes!D21/SER_hh_num!D21)</f>
        <v>18775.290856786702</v>
      </c>
      <c r="E21" s="133">
        <f>IF(SER_hh_tes!E21=0,0,11630*1000*SER_hh_tes!E21/SER_hh_num!E21)</f>
        <v>18347.029652803649</v>
      </c>
      <c r="F21" s="133">
        <f>IF(SER_hh_tes!F21=0,0,11630*1000*SER_hh_tes!F21/SER_hh_num!F21)</f>
        <v>18747.548901674916</v>
      </c>
      <c r="G21" s="133">
        <f>IF(SER_hh_tes!G21=0,0,11630*1000*SER_hh_tes!G21/SER_hh_num!G21)</f>
        <v>19128.972420421855</v>
      </c>
      <c r="H21" s="133">
        <f>IF(SER_hh_tes!H21=0,0,11630*1000*SER_hh_tes!H21/SER_hh_num!H21)</f>
        <v>19508.928077987021</v>
      </c>
      <c r="I21" s="133">
        <f>IF(SER_hh_tes!I21=0,0,11630*1000*SER_hh_tes!I21/SER_hh_num!I21)</f>
        <v>18816.283386256258</v>
      </c>
      <c r="J21" s="133">
        <f>IF(SER_hh_tes!J21=0,0,11630*1000*SER_hh_tes!J21/SER_hh_num!J21)</f>
        <v>19523.392860857824</v>
      </c>
      <c r="K21" s="133">
        <f>IF(SER_hh_tes!K21=0,0,11630*1000*SER_hh_tes!K21/SER_hh_num!K21)</f>
        <v>18971.254366257261</v>
      </c>
      <c r="L21" s="133">
        <f>IF(SER_hh_tes!L21=0,0,11630*1000*SER_hh_tes!L21/SER_hh_num!L21)</f>
        <v>19292.297645832892</v>
      </c>
      <c r="M21" s="133">
        <f>IF(SER_hh_tes!M21=0,0,11630*1000*SER_hh_tes!M21/SER_hh_num!M21)</f>
        <v>20240.672773382885</v>
      </c>
      <c r="N21" s="133">
        <f>IF(SER_hh_tes!N21=0,0,11630*1000*SER_hh_tes!N21/SER_hh_num!N21)</f>
        <v>18917.662836918753</v>
      </c>
      <c r="O21" s="133">
        <f>IF(SER_hh_tes!O21=0,0,11630*1000*SER_hh_tes!O21/SER_hh_num!O21)</f>
        <v>20420.812284276191</v>
      </c>
      <c r="P21" s="133">
        <f>IF(SER_hh_tes!P21=0,0,11630*1000*SER_hh_tes!P21/SER_hh_num!P21)</f>
        <v>18932.003037810351</v>
      </c>
      <c r="Q21" s="133">
        <f>IF(SER_hh_tes!Q21=0,0,11630*1000*SER_hh_tes!Q21/SER_hh_num!Q21)</f>
        <v>18473.235635063633</v>
      </c>
      <c r="R21" s="133">
        <f>IF(SER_hh_tes!R21=0,0,11630*1000*SER_hh_tes!R21/SER_hh_num!R21)</f>
        <v>21028.941437211346</v>
      </c>
      <c r="S21" s="133">
        <f>IF(SER_hh_tes!S21=0,0,11630*1000*SER_hh_tes!S21/SER_hh_num!S21)</f>
        <v>21126.012433403324</v>
      </c>
      <c r="T21" s="133">
        <f>IF(SER_hh_tes!T21=0,0,11630*1000*SER_hh_tes!T21/SER_hh_num!T21)</f>
        <v>19811.111468891813</v>
      </c>
      <c r="U21" s="133">
        <f>IF(SER_hh_tes!U21=0,0,11630*1000*SER_hh_tes!U21/SER_hh_num!U21)</f>
        <v>20059.999200726179</v>
      </c>
      <c r="V21" s="133">
        <f>IF(SER_hh_tes!V21=0,0,11630*1000*SER_hh_tes!V21/SER_hh_num!V21)</f>
        <v>17646.316051897142</v>
      </c>
      <c r="W21" s="133">
        <f>IF(SER_hh_tes!W21=0,0,11630*1000*SER_hh_tes!W21/SER_hh_num!W21)</f>
        <v>19267.883946844358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18824.943936413987</v>
      </c>
      <c r="C22" s="133">
        <f>IF(SER_hh_tes!C22=0,0,11630*1000*SER_hh_tes!C22/SER_hh_num!C22)</f>
        <v>18854.257448271506</v>
      </c>
      <c r="D22" s="133">
        <f>IF(SER_hh_tes!D22=0,0,11630*1000*SER_hh_tes!D22/SER_hh_num!D22)</f>
        <v>18312.187407027883</v>
      </c>
      <c r="E22" s="133">
        <f>IF(SER_hh_tes!E22=0,0,11630*1000*SER_hh_tes!E22/SER_hh_num!E22)</f>
        <v>18768.194981778663</v>
      </c>
      <c r="F22" s="133">
        <f>IF(SER_hh_tes!F22=0,0,11630*1000*SER_hh_tes!F22/SER_hh_num!F22)</f>
        <v>18445.112596417039</v>
      </c>
      <c r="G22" s="133">
        <f>IF(SER_hh_tes!G22=0,0,11630*1000*SER_hh_tes!G22/SER_hh_num!G22)</f>
        <v>18483.023990238133</v>
      </c>
      <c r="H22" s="133">
        <f>IF(SER_hh_tes!H22=0,0,11630*1000*SER_hh_tes!H22/SER_hh_num!H22)</f>
        <v>19177.358315066911</v>
      </c>
      <c r="I22" s="133">
        <f>IF(SER_hh_tes!I22=0,0,11630*1000*SER_hh_tes!I22/SER_hh_num!I22)</f>
        <v>19280.095351186133</v>
      </c>
      <c r="J22" s="133">
        <f>IF(SER_hh_tes!J22=0,0,11630*1000*SER_hh_tes!J22/SER_hh_num!J22)</f>
        <v>19949.354003429104</v>
      </c>
      <c r="K22" s="133">
        <f>IF(SER_hh_tes!K22=0,0,11630*1000*SER_hh_tes!K22/SER_hh_num!K22)</f>
        <v>18811.080788701995</v>
      </c>
      <c r="L22" s="133">
        <f>IF(SER_hh_tes!L22=0,0,11630*1000*SER_hh_tes!L22/SER_hh_num!L22)</f>
        <v>18413.218790404357</v>
      </c>
      <c r="M22" s="133">
        <f>IF(SER_hh_tes!M22=0,0,11630*1000*SER_hh_tes!M22/SER_hh_num!M22)</f>
        <v>19214.958330263507</v>
      </c>
      <c r="N22" s="133">
        <f>IF(SER_hh_tes!N22=0,0,11630*1000*SER_hh_tes!N22/SER_hh_num!N22)</f>
        <v>19429.418587297285</v>
      </c>
      <c r="O22" s="133">
        <f>IF(SER_hh_tes!O22=0,0,11630*1000*SER_hh_tes!O22/SER_hh_num!O22)</f>
        <v>20424.134353892776</v>
      </c>
      <c r="P22" s="133">
        <f>IF(SER_hh_tes!P22=0,0,11630*1000*SER_hh_tes!P22/SER_hh_num!P22)</f>
        <v>20394.743693056604</v>
      </c>
      <c r="Q22" s="133">
        <f>IF(SER_hh_tes!Q22=0,0,11630*1000*SER_hh_tes!Q22/SER_hh_num!Q22)</f>
        <v>20342.86702545498</v>
      </c>
      <c r="R22" s="133">
        <f>IF(SER_hh_tes!R22=0,0,11630*1000*SER_hh_tes!R22/SER_hh_num!R22)</f>
        <v>20138.314173307237</v>
      </c>
      <c r="S22" s="133">
        <f>IF(SER_hh_tes!S22=0,0,11630*1000*SER_hh_tes!S22/SER_hh_num!S22)</f>
        <v>20749.240684321296</v>
      </c>
      <c r="T22" s="133">
        <f>IF(SER_hh_tes!T22=0,0,11630*1000*SER_hh_tes!T22/SER_hh_num!T22)</f>
        <v>21129.128857791944</v>
      </c>
      <c r="U22" s="133">
        <f>IF(SER_hh_tes!U22=0,0,11630*1000*SER_hh_tes!U22/SER_hh_num!U22)</f>
        <v>19639.39389978892</v>
      </c>
      <c r="V22" s="133">
        <f>IF(SER_hh_tes!V22=0,0,11630*1000*SER_hh_tes!V22/SER_hh_num!V22)</f>
        <v>17091.632576446693</v>
      </c>
      <c r="W22" s="133">
        <f>IF(SER_hh_tes!W22=0,0,11630*1000*SER_hh_tes!W22/SER_hh_num!W22)</f>
        <v>19332.510933404268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18251.455303732215</v>
      </c>
      <c r="C23" s="133">
        <f>IF(SER_hh_tes!C23=0,0,11630*1000*SER_hh_tes!C23/SER_hh_num!C23)</f>
        <v>18610.700361686464</v>
      </c>
      <c r="D23" s="133">
        <f>IF(SER_hh_tes!D23=0,0,11630*1000*SER_hh_tes!D23/SER_hh_num!D23)</f>
        <v>18831.937539722949</v>
      </c>
      <c r="E23" s="133">
        <f>IF(SER_hh_tes!E23=0,0,11630*1000*SER_hh_tes!E23/SER_hh_num!E23)</f>
        <v>18795.282091357327</v>
      </c>
      <c r="F23" s="133">
        <f>IF(SER_hh_tes!F23=0,0,11630*1000*SER_hh_tes!F23/SER_hh_num!F23)</f>
        <v>18788.754495279874</v>
      </c>
      <c r="G23" s="133">
        <f>IF(SER_hh_tes!G23=0,0,11630*1000*SER_hh_tes!G23/SER_hh_num!G23)</f>
        <v>19004.729401516463</v>
      </c>
      <c r="H23" s="133">
        <f>IF(SER_hh_tes!H23=0,0,11630*1000*SER_hh_tes!H23/SER_hh_num!H23)</f>
        <v>19011.32633562724</v>
      </c>
      <c r="I23" s="133">
        <f>IF(SER_hh_tes!I23=0,0,11630*1000*SER_hh_tes!I23/SER_hh_num!I23)</f>
        <v>19083.547075035291</v>
      </c>
      <c r="J23" s="133">
        <f>IF(SER_hh_tes!J23=0,0,11630*1000*SER_hh_tes!J23/SER_hh_num!J23)</f>
        <v>19253.304861664583</v>
      </c>
      <c r="K23" s="133">
        <f>IF(SER_hh_tes!K23=0,0,11630*1000*SER_hh_tes!K23/SER_hh_num!K23)</f>
        <v>19312.552704946986</v>
      </c>
      <c r="L23" s="133">
        <f>IF(SER_hh_tes!L23=0,0,11630*1000*SER_hh_tes!L23/SER_hh_num!L23)</f>
        <v>19165.448604777313</v>
      </c>
      <c r="M23" s="133">
        <f>IF(SER_hh_tes!M23=0,0,11630*1000*SER_hh_tes!M23/SER_hh_num!M23)</f>
        <v>19460.634885508432</v>
      </c>
      <c r="N23" s="133">
        <f>IF(SER_hh_tes!N23=0,0,11630*1000*SER_hh_tes!N23/SER_hh_num!N23)</f>
        <v>19686.859444074747</v>
      </c>
      <c r="O23" s="133">
        <f>IF(SER_hh_tes!O23=0,0,11630*1000*SER_hh_tes!O23/SER_hh_num!O23)</f>
        <v>20023.876861865381</v>
      </c>
      <c r="P23" s="133">
        <f>IF(SER_hh_tes!P23=0,0,11630*1000*SER_hh_tes!P23/SER_hh_num!P23)</f>
        <v>20201.059430873072</v>
      </c>
      <c r="Q23" s="133">
        <f>IF(SER_hh_tes!Q23=0,0,11630*1000*SER_hh_tes!Q23/SER_hh_num!Q23)</f>
        <v>20306.547688817824</v>
      </c>
      <c r="R23" s="133">
        <f>IF(SER_hh_tes!R23=0,0,11630*1000*SER_hh_tes!R23/SER_hh_num!R23)</f>
        <v>20216.722332649922</v>
      </c>
      <c r="S23" s="133">
        <f>IF(SER_hh_tes!S23=0,0,11630*1000*SER_hh_tes!S23/SER_hh_num!S23)</f>
        <v>20662.706425107597</v>
      </c>
      <c r="T23" s="133">
        <f>IF(SER_hh_tes!T23=0,0,11630*1000*SER_hh_tes!T23/SER_hh_num!T23)</f>
        <v>21867.881268873098</v>
      </c>
      <c r="U23" s="133">
        <f>IF(SER_hh_tes!U23=0,0,11630*1000*SER_hh_tes!U23/SER_hh_num!U23)</f>
        <v>18774.421562105192</v>
      </c>
      <c r="V23" s="133">
        <f>IF(SER_hh_tes!V23=0,0,11630*1000*SER_hh_tes!V23/SER_hh_num!V23)</f>
        <v>17748.791749803411</v>
      </c>
      <c r="W23" s="133">
        <f>IF(SER_hh_tes!W23=0,0,11630*1000*SER_hh_tes!W23/SER_hh_num!W23)</f>
        <v>20217.054728106225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0</v>
      </c>
      <c r="C25" s="133">
        <f>IF(SER_hh_tes!C25=0,0,11630*1000*SER_hh_tes!C25/SER_hh_num!C25)</f>
        <v>0</v>
      </c>
      <c r="D25" s="133">
        <f>IF(SER_hh_tes!D25=0,0,11630*1000*SER_hh_tes!D25/SER_hh_num!D25)</f>
        <v>0</v>
      </c>
      <c r="E25" s="133">
        <f>IF(SER_hh_tes!E25=0,0,11630*1000*SER_hh_tes!E25/SER_hh_num!E25)</f>
        <v>0</v>
      </c>
      <c r="F25" s="133">
        <f>IF(SER_hh_tes!F25=0,0,11630*1000*SER_hh_tes!F25/SER_hh_num!F25)</f>
        <v>26764.563505068061</v>
      </c>
      <c r="G25" s="133">
        <f>IF(SER_hh_tes!G25=0,0,11630*1000*SER_hh_tes!G25/SER_hh_num!G25)</f>
        <v>21194.877349506423</v>
      </c>
      <c r="H25" s="133">
        <f>IF(SER_hh_tes!H25=0,0,11630*1000*SER_hh_tes!H25/SER_hh_num!H25)</f>
        <v>18957.169327886611</v>
      </c>
      <c r="I25" s="133">
        <f>IF(SER_hh_tes!I25=0,0,11630*1000*SER_hh_tes!I25/SER_hh_num!I25)</f>
        <v>18608.516918962574</v>
      </c>
      <c r="J25" s="133">
        <f>IF(SER_hh_tes!J25=0,0,11630*1000*SER_hh_tes!J25/SER_hh_num!J25)</f>
        <v>18015.697636055815</v>
      </c>
      <c r="K25" s="133">
        <f>IF(SER_hh_tes!K25=0,0,11630*1000*SER_hh_tes!K25/SER_hh_num!K25)</f>
        <v>19514.53452887226</v>
      </c>
      <c r="L25" s="133">
        <f>IF(SER_hh_tes!L25=0,0,11630*1000*SER_hh_tes!L25/SER_hh_num!L25)</f>
        <v>18587.362753134341</v>
      </c>
      <c r="M25" s="133">
        <f>IF(SER_hh_tes!M25=0,0,11630*1000*SER_hh_tes!M25/SER_hh_num!M25)</f>
        <v>18458.105055187556</v>
      </c>
      <c r="N25" s="133">
        <f>IF(SER_hh_tes!N25=0,0,11630*1000*SER_hh_tes!N25/SER_hh_num!N25)</f>
        <v>18625.287766643869</v>
      </c>
      <c r="O25" s="133">
        <f>IF(SER_hh_tes!O25=0,0,11630*1000*SER_hh_tes!O25/SER_hh_num!O25)</f>
        <v>20852.585479888196</v>
      </c>
      <c r="P25" s="133">
        <f>IF(SER_hh_tes!P25=0,0,11630*1000*SER_hh_tes!P25/SER_hh_num!P25)</f>
        <v>21175.578587287</v>
      </c>
      <c r="Q25" s="133">
        <f>IF(SER_hh_tes!Q25=0,0,11630*1000*SER_hh_tes!Q25/SER_hh_num!Q25)</f>
        <v>20111.846376979644</v>
      </c>
      <c r="R25" s="133">
        <f>IF(SER_hh_tes!R25=0,0,11630*1000*SER_hh_tes!R25/SER_hh_num!R25)</f>
        <v>21017.803312343269</v>
      </c>
      <c r="S25" s="133">
        <f>IF(SER_hh_tes!S25=0,0,11630*1000*SER_hh_tes!S25/SER_hh_num!S25)</f>
        <v>20703.21901809824</v>
      </c>
      <c r="T25" s="133">
        <f>IF(SER_hh_tes!T25=0,0,11630*1000*SER_hh_tes!T25/SER_hh_num!T25)</f>
        <v>20920.076626641006</v>
      </c>
      <c r="U25" s="133">
        <f>IF(SER_hh_tes!U25=0,0,11630*1000*SER_hh_tes!U25/SER_hh_num!U25)</f>
        <v>19704.375867579995</v>
      </c>
      <c r="V25" s="133">
        <f>IF(SER_hh_tes!V25=0,0,11630*1000*SER_hh_tes!V25/SER_hh_num!V25)</f>
        <v>17600.631193905199</v>
      </c>
      <c r="W25" s="133">
        <f>IF(SER_hh_tes!W25=0,0,11630*1000*SER_hh_tes!W25/SER_hh_num!W25)</f>
        <v>19367.130518207861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18108.664013118811</v>
      </c>
      <c r="C26" s="65">
        <f>IF(SER_hh_tes!C26=0,0,11630*1000*SER_hh_tes!C26/SER_hh_num!C26)</f>
        <v>18521.8218642873</v>
      </c>
      <c r="D26" s="65">
        <f>IF(SER_hh_tes!D26=0,0,11630*1000*SER_hh_tes!D26/SER_hh_num!D26)</f>
        <v>18887.524699053036</v>
      </c>
      <c r="E26" s="65">
        <f>IF(SER_hh_tes!E26=0,0,11630*1000*SER_hh_tes!E26/SER_hh_num!E26)</f>
        <v>18511.517026540623</v>
      </c>
      <c r="F26" s="65">
        <f>IF(SER_hh_tes!F26=0,0,11630*1000*SER_hh_tes!F26/SER_hh_num!F26)</f>
        <v>19155.377710754852</v>
      </c>
      <c r="G26" s="65">
        <f>IF(SER_hh_tes!G26=0,0,11630*1000*SER_hh_tes!G26/SER_hh_num!G26)</f>
        <v>18512.329240390936</v>
      </c>
      <c r="H26" s="65">
        <f>IF(SER_hh_tes!H26=0,0,11630*1000*SER_hh_tes!H26/SER_hh_num!H26)</f>
        <v>18512.805548961151</v>
      </c>
      <c r="I26" s="65">
        <f>IF(SER_hh_tes!I26=0,0,11630*1000*SER_hh_tes!I26/SER_hh_num!I26)</f>
        <v>19173.915255885142</v>
      </c>
      <c r="J26" s="65">
        <f>IF(SER_hh_tes!J26=0,0,11630*1000*SER_hh_tes!J26/SER_hh_num!J26)</f>
        <v>18800.711967525323</v>
      </c>
      <c r="K26" s="65">
        <f>IF(SER_hh_tes!K26=0,0,11630*1000*SER_hh_tes!K26/SER_hh_num!K26)</f>
        <v>18594.409789189674</v>
      </c>
      <c r="L26" s="65">
        <f>IF(SER_hh_tes!L26=0,0,11630*1000*SER_hh_tes!L26/SER_hh_num!L26)</f>
        <v>18656.949401378944</v>
      </c>
      <c r="M26" s="65">
        <f>IF(SER_hh_tes!M26=0,0,11630*1000*SER_hh_tes!M26/SER_hh_num!M26)</f>
        <v>18895.1876193428</v>
      </c>
      <c r="N26" s="65">
        <f>IF(SER_hh_tes!N26=0,0,11630*1000*SER_hh_tes!N26/SER_hh_num!N26)</f>
        <v>18296.142343256412</v>
      </c>
      <c r="O26" s="65">
        <f>IF(SER_hh_tes!O26=0,0,11630*1000*SER_hh_tes!O26/SER_hh_num!O26)</f>
        <v>19136.714320690757</v>
      </c>
      <c r="P26" s="65">
        <f>IF(SER_hh_tes!P26=0,0,11630*1000*SER_hh_tes!P26/SER_hh_num!P26)</f>
        <v>19385.133431517825</v>
      </c>
      <c r="Q26" s="65">
        <f>IF(SER_hh_tes!Q26=0,0,11630*1000*SER_hh_tes!Q26/SER_hh_num!Q26)</f>
        <v>19401.82985749342</v>
      </c>
      <c r="R26" s="65">
        <f>IF(SER_hh_tes!R26=0,0,11630*1000*SER_hh_tes!R26/SER_hh_num!R26)</f>
        <v>20165.181197581358</v>
      </c>
      <c r="S26" s="65">
        <f>IF(SER_hh_tes!S26=0,0,11630*1000*SER_hh_tes!S26/SER_hh_num!S26)</f>
        <v>19129.103078529701</v>
      </c>
      <c r="T26" s="65">
        <f>IF(SER_hh_tes!T26=0,0,11630*1000*SER_hh_tes!T26/SER_hh_num!T26)</f>
        <v>17762.865005593623</v>
      </c>
      <c r="U26" s="65">
        <f>IF(SER_hh_tes!U26=0,0,11630*1000*SER_hh_tes!U26/SER_hh_num!U26)</f>
        <v>18711.809842703478</v>
      </c>
      <c r="V26" s="65">
        <f>IF(SER_hh_tes!V26=0,0,11630*1000*SER_hh_tes!V26/SER_hh_num!V26)</f>
        <v>16701.554915054454</v>
      </c>
      <c r="W26" s="65">
        <f>IF(SER_hh_tes!W26=0,0,11630*1000*SER_hh_tes!W26/SER_hh_num!W26)</f>
        <v>17098.688253629294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47.566052405710437</v>
      </c>
      <c r="C27" s="146">
        <f>IF(SER_hh_tes!C27=0,0,11630*1000*SER_hh_tes!C27/SER_hh_num!C19)</f>
        <v>52.150200004303649</v>
      </c>
      <c r="D27" s="146">
        <f>IF(SER_hh_tes!D27=0,0,11630*1000*SER_hh_tes!D27/SER_hh_num!D19)</f>
        <v>58.95007583907897</v>
      </c>
      <c r="E27" s="146">
        <f>IF(SER_hh_tes!E27=0,0,11630*1000*SER_hh_tes!E27/SER_hh_num!E19)</f>
        <v>67.319831282818697</v>
      </c>
      <c r="F27" s="146">
        <f>IF(SER_hh_tes!F27=0,0,11630*1000*SER_hh_tes!F27/SER_hh_num!F19)</f>
        <v>76.732231405632177</v>
      </c>
      <c r="G27" s="146">
        <f>IF(SER_hh_tes!G27=0,0,11630*1000*SER_hh_tes!G27/SER_hh_num!G19)</f>
        <v>112.90649096567179</v>
      </c>
      <c r="H27" s="146">
        <f>IF(SER_hh_tes!H27=0,0,11630*1000*SER_hh_tes!H27/SER_hh_num!H19)</f>
        <v>140.73579410249127</v>
      </c>
      <c r="I27" s="146">
        <f>IF(SER_hh_tes!I27=0,0,11630*1000*SER_hh_tes!I27/SER_hh_num!I19)</f>
        <v>207.22721667174869</v>
      </c>
      <c r="J27" s="146">
        <f>IF(SER_hh_tes!J27=0,0,11630*1000*SER_hh_tes!J27/SER_hh_num!J19)</f>
        <v>264.39307134688966</v>
      </c>
      <c r="K27" s="146">
        <f>IF(SER_hh_tes!K27=0,0,11630*1000*SER_hh_tes!K27/SER_hh_num!K19)</f>
        <v>335.71846491140781</v>
      </c>
      <c r="L27" s="146">
        <f>IF(SER_hh_tes!L27=0,0,11630*1000*SER_hh_tes!L27/SER_hh_num!L19)</f>
        <v>500.63754878216582</v>
      </c>
      <c r="M27" s="146">
        <f>IF(SER_hh_tes!M27=0,0,11630*1000*SER_hh_tes!M27/SER_hh_num!M19)</f>
        <v>519.67663987003357</v>
      </c>
      <c r="N27" s="146">
        <f>IF(SER_hh_tes!N27=0,0,11630*1000*SER_hh_tes!N27/SER_hh_num!N19)</f>
        <v>573.32408469121276</v>
      </c>
      <c r="O27" s="146">
        <f>IF(SER_hh_tes!O27=0,0,11630*1000*SER_hh_tes!O27/SER_hh_num!O19)</f>
        <v>622.48627639076062</v>
      </c>
      <c r="P27" s="146">
        <f>IF(SER_hh_tes!P27=0,0,11630*1000*SER_hh_tes!P27/SER_hh_num!P19)</f>
        <v>656.41889637832935</v>
      </c>
      <c r="Q27" s="146">
        <f>IF(SER_hh_tes!Q27=0,0,11630*1000*SER_hh_tes!Q27/SER_hh_num!Q19)</f>
        <v>692.54498854923531</v>
      </c>
      <c r="R27" s="146">
        <f>IF(SER_hh_tes!R27=0,0,11630*1000*SER_hh_tes!R27/SER_hh_num!R19)</f>
        <v>729.39557302170761</v>
      </c>
      <c r="S27" s="146">
        <f>IF(SER_hh_tes!S27=0,0,11630*1000*SER_hh_tes!S27/SER_hh_num!S19)</f>
        <v>757.35597299500785</v>
      </c>
      <c r="T27" s="146">
        <f>IF(SER_hh_tes!T27=0,0,11630*1000*SER_hh_tes!T27/SER_hh_num!T19)</f>
        <v>789.79092232996118</v>
      </c>
      <c r="U27" s="146">
        <f>IF(SER_hh_tes!U27=0,0,11630*1000*SER_hh_tes!U27/SER_hh_num!U19)</f>
        <v>822.1484479294312</v>
      </c>
      <c r="V27" s="146">
        <f>IF(SER_hh_tes!V27=0,0,11630*1000*SER_hh_tes!V27/SER_hh_num!V19)</f>
        <v>778.8150251584857</v>
      </c>
      <c r="W27" s="146">
        <f>IF(SER_hh_tes!W27=0,0,11630*1000*SER_hh_tes!W27/SER_hh_num!W19)</f>
        <v>798.76596338292643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14982.690787664873</v>
      </c>
      <c r="C28" s="147">
        <f>IF(SER_hh_tes!C27=0,0,11630*1000*SER_hh_tes!C27/SER_hh_num!C27)</f>
        <v>15729.503245138165</v>
      </c>
      <c r="D28" s="147">
        <f>IF(SER_hh_tes!D27=0,0,11630*1000*SER_hh_tes!D27/SER_hh_num!D27)</f>
        <v>15415.270482704002</v>
      </c>
      <c r="E28" s="147">
        <f>IF(SER_hh_tes!E27=0,0,11630*1000*SER_hh_tes!E27/SER_hh_num!E27)</f>
        <v>15815.280488578308</v>
      </c>
      <c r="F28" s="147">
        <f>IF(SER_hh_tes!F27=0,0,11630*1000*SER_hh_tes!F27/SER_hh_num!F27)</f>
        <v>15411.460904963829</v>
      </c>
      <c r="G28" s="147">
        <f>IF(SER_hh_tes!G27=0,0,11630*1000*SER_hh_tes!G27/SER_hh_num!G27)</f>
        <v>15768.135826428103</v>
      </c>
      <c r="H28" s="147">
        <f>IF(SER_hh_tes!H27=0,0,11630*1000*SER_hh_tes!H27/SER_hh_num!H27)</f>
        <v>15757.767741183197</v>
      </c>
      <c r="I28" s="147">
        <f>IF(SER_hh_tes!I27=0,0,11630*1000*SER_hh_tes!I27/SER_hh_num!I27)</f>
        <v>16082.44639367795</v>
      </c>
      <c r="J28" s="147">
        <f>IF(SER_hh_tes!J27=0,0,11630*1000*SER_hh_tes!J27/SER_hh_num!J27)</f>
        <v>15190.417008953051</v>
      </c>
      <c r="K28" s="147">
        <f>IF(SER_hh_tes!K27=0,0,11630*1000*SER_hh_tes!K27/SER_hh_num!K27)</f>
        <v>15810.690891470529</v>
      </c>
      <c r="L28" s="147">
        <f>IF(SER_hh_tes!L27=0,0,11630*1000*SER_hh_tes!L27/SER_hh_num!L27)</f>
        <v>16180.817385418324</v>
      </c>
      <c r="M28" s="147">
        <f>IF(SER_hh_tes!M27=0,0,11630*1000*SER_hh_tes!M27/SER_hh_num!M27)</f>
        <v>15842.580747667032</v>
      </c>
      <c r="N28" s="147">
        <f>IF(SER_hh_tes!N27=0,0,11630*1000*SER_hh_tes!N27/SER_hh_num!N27)</f>
        <v>16550.930066354329</v>
      </c>
      <c r="O28" s="147">
        <f>IF(SER_hh_tes!O27=0,0,11630*1000*SER_hh_tes!O27/SER_hh_num!O27)</f>
        <v>17221.65043414008</v>
      </c>
      <c r="P28" s="147">
        <f>IF(SER_hh_tes!P27=0,0,11630*1000*SER_hh_tes!P27/SER_hh_num!P27)</f>
        <v>15838.417485088152</v>
      </c>
      <c r="Q28" s="147">
        <f>IF(SER_hh_tes!Q27=0,0,11630*1000*SER_hh_tes!Q27/SER_hh_num!Q27)</f>
        <v>17187.563686733876</v>
      </c>
      <c r="R28" s="147">
        <f>IF(SER_hh_tes!R27=0,0,11630*1000*SER_hh_tes!R27/SER_hh_num!R27)</f>
        <v>17706.577992467559</v>
      </c>
      <c r="S28" s="147">
        <f>IF(SER_hh_tes!S27=0,0,11630*1000*SER_hh_tes!S27/SER_hh_num!S27)</f>
        <v>17233.803995797804</v>
      </c>
      <c r="T28" s="147">
        <f>IF(SER_hh_tes!T27=0,0,11630*1000*SER_hh_tes!T27/SER_hh_num!T27)</f>
        <v>17481.264071956088</v>
      </c>
      <c r="U28" s="147">
        <f>IF(SER_hh_tes!U27=0,0,11630*1000*SER_hh_tes!U27/SER_hh_num!U27)</f>
        <v>16268.52852921148</v>
      </c>
      <c r="V28" s="147">
        <f>IF(SER_hh_tes!V27=0,0,11630*1000*SER_hh_tes!V27/SER_hh_num!V27)</f>
        <v>15153.798854345992</v>
      </c>
      <c r="W28" s="147">
        <f>IF(SER_hh_tes!W27=0,0,11630*1000*SER_hh_tes!W27/SER_hh_num!W27)</f>
        <v>15600.199266100852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19797.583541007538</v>
      </c>
      <c r="C29" s="131">
        <f>IF(SER_hh_tes!C29=0,0,11630*1000*SER_hh_tes!C29/SER_hh_num!C29)</f>
        <v>19694.783578048959</v>
      </c>
      <c r="D29" s="131">
        <f>IF(SER_hh_tes!D29=0,0,11630*1000*SER_hh_tes!D29/SER_hh_num!D29)</f>
        <v>19859.847164506547</v>
      </c>
      <c r="E29" s="131">
        <f>IF(SER_hh_tes!E29=0,0,11630*1000*SER_hh_tes!E29/SER_hh_num!E29)</f>
        <v>19869.145407930715</v>
      </c>
      <c r="F29" s="131">
        <f>IF(SER_hh_tes!F29=0,0,11630*1000*SER_hh_tes!F29/SER_hh_num!F29)</f>
        <v>20468.251313272791</v>
      </c>
      <c r="G29" s="131">
        <f>IF(SER_hh_tes!G29=0,0,11630*1000*SER_hh_tes!G29/SER_hh_num!G29)</f>
        <v>21291.653384900139</v>
      </c>
      <c r="H29" s="131">
        <f>IF(SER_hh_tes!H29=0,0,11630*1000*SER_hh_tes!H29/SER_hh_num!H29)</f>
        <v>21142.896172167719</v>
      </c>
      <c r="I29" s="131">
        <f>IF(SER_hh_tes!I29=0,0,11630*1000*SER_hh_tes!I29/SER_hh_num!I29)</f>
        <v>21362.529131297029</v>
      </c>
      <c r="J29" s="131">
        <f>IF(SER_hh_tes!J29=0,0,11630*1000*SER_hh_tes!J29/SER_hh_num!J29)</f>
        <v>21819.393794739877</v>
      </c>
      <c r="K29" s="131">
        <f>IF(SER_hh_tes!K29=0,0,11630*1000*SER_hh_tes!K29/SER_hh_num!K29)</f>
        <v>22195.516874540339</v>
      </c>
      <c r="L29" s="131">
        <f>IF(SER_hh_tes!L29=0,0,11630*1000*SER_hh_tes!L29/SER_hh_num!L29)</f>
        <v>22278.686529916231</v>
      </c>
      <c r="M29" s="131">
        <f>IF(SER_hh_tes!M29=0,0,11630*1000*SER_hh_tes!M29/SER_hh_num!M29)</f>
        <v>22317.46848435601</v>
      </c>
      <c r="N29" s="131">
        <f>IF(SER_hh_tes!N29=0,0,11630*1000*SER_hh_tes!N29/SER_hh_num!N29)</f>
        <v>22417.798620873768</v>
      </c>
      <c r="O29" s="131">
        <f>IF(SER_hh_tes!O29=0,0,11630*1000*SER_hh_tes!O29/SER_hh_num!O29)</f>
        <v>22692.977818552168</v>
      </c>
      <c r="P29" s="131">
        <f>IF(SER_hh_tes!P29=0,0,11630*1000*SER_hh_tes!P29/SER_hh_num!P29)</f>
        <v>22813.130156555515</v>
      </c>
      <c r="Q29" s="131">
        <f>IF(SER_hh_tes!Q29=0,0,11630*1000*SER_hh_tes!Q29/SER_hh_num!Q29)</f>
        <v>22976.857354165222</v>
      </c>
      <c r="R29" s="131">
        <f>IF(SER_hh_tes!R29=0,0,11630*1000*SER_hh_tes!R29/SER_hh_num!R29)</f>
        <v>23111.129709497403</v>
      </c>
      <c r="S29" s="131">
        <f>IF(SER_hh_tes!S29=0,0,11630*1000*SER_hh_tes!S29/SER_hh_num!S29)</f>
        <v>23059.83286176786</v>
      </c>
      <c r="T29" s="131">
        <f>IF(SER_hh_tes!T29=0,0,11630*1000*SER_hh_tes!T29/SER_hh_num!T29)</f>
        <v>23080.463700353772</v>
      </c>
      <c r="U29" s="131">
        <f>IF(SER_hh_tes!U29=0,0,11630*1000*SER_hh_tes!U29/SER_hh_num!U29)</f>
        <v>22752.025156418906</v>
      </c>
      <c r="V29" s="131">
        <f>IF(SER_hh_tes!V29=0,0,11630*1000*SER_hh_tes!V29/SER_hh_num!V29)</f>
        <v>20421.827510379695</v>
      </c>
      <c r="W29" s="131">
        <f>IF(SER_hh_tes!W29=0,0,11630*1000*SER_hh_tes!W29/SER_hh_num!W29)</f>
        <v>22383.050220107118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20166.643396930289</v>
      </c>
      <c r="C30" s="133">
        <f>IF(SER_hh_tes!C30=0,0,11630*1000*SER_hh_tes!C30/SER_hh_num!C30)</f>
        <v>19387.078860375641</v>
      </c>
      <c r="D30" s="133">
        <f>IF(SER_hh_tes!D30=0,0,11630*1000*SER_hh_tes!D30/SER_hh_num!D30)</f>
        <v>20025.890101347777</v>
      </c>
      <c r="E30" s="133">
        <f>IF(SER_hh_tes!E30=0,0,11630*1000*SER_hh_tes!E30/SER_hh_num!E30)</f>
        <v>20430.538458506489</v>
      </c>
      <c r="F30" s="133">
        <f>IF(SER_hh_tes!F30=0,0,11630*1000*SER_hh_tes!F30/SER_hh_num!F30)</f>
        <v>20786.122104595597</v>
      </c>
      <c r="G30" s="133">
        <f>IF(SER_hh_tes!G30=0,0,11630*1000*SER_hh_tes!G30/SER_hh_num!G30)</f>
        <v>21053.849740792917</v>
      </c>
      <c r="H30" s="133">
        <f>IF(SER_hh_tes!H30=0,0,11630*1000*SER_hh_tes!H30/SER_hh_num!H30)</f>
        <v>20407.657867996411</v>
      </c>
      <c r="I30" s="133">
        <f>IF(SER_hh_tes!I30=0,0,11630*1000*SER_hh_tes!I30/SER_hh_num!I30)</f>
        <v>22954.034279403138</v>
      </c>
      <c r="J30" s="133">
        <f>IF(SER_hh_tes!J30=0,0,11630*1000*SER_hh_tes!J30/SER_hh_num!J30)</f>
        <v>17359.352734814162</v>
      </c>
      <c r="K30" s="133">
        <f>IF(SER_hh_tes!K30=0,0,11630*1000*SER_hh_tes!K30/SER_hh_num!K30)</f>
        <v>22754.657593900389</v>
      </c>
      <c r="L30" s="133">
        <f>IF(SER_hh_tes!L30=0,0,11630*1000*SER_hh_tes!L30/SER_hh_num!L30)</f>
        <v>22907.611643819688</v>
      </c>
      <c r="M30" s="133">
        <f>IF(SER_hh_tes!M30=0,0,11630*1000*SER_hh_tes!M30/SER_hh_num!M30)</f>
        <v>23284.966295903763</v>
      </c>
      <c r="N30" s="133">
        <f>IF(SER_hh_tes!N30=0,0,11630*1000*SER_hh_tes!N30/SER_hh_num!N30)</f>
        <v>20454.597768663363</v>
      </c>
      <c r="O30" s="133">
        <f>IF(SER_hh_tes!O30=0,0,11630*1000*SER_hh_tes!O30/SER_hh_num!O30)</f>
        <v>21825.090535632251</v>
      </c>
      <c r="P30" s="133">
        <f>IF(SER_hh_tes!P30=0,0,11630*1000*SER_hh_tes!P30/SER_hh_num!P30)</f>
        <v>23962.968340546155</v>
      </c>
      <c r="Q30" s="133">
        <f>IF(SER_hh_tes!Q30=0,0,11630*1000*SER_hh_tes!Q30/SER_hh_num!Q30)</f>
        <v>23097.565404658173</v>
      </c>
      <c r="R30" s="133">
        <f>IF(SER_hh_tes!R30=0,0,11630*1000*SER_hh_tes!R30/SER_hh_num!R30)</f>
        <v>22980.216600710577</v>
      </c>
      <c r="S30" s="133">
        <f>IF(SER_hh_tes!S30=0,0,11630*1000*SER_hh_tes!S30/SER_hh_num!S30)</f>
        <v>23292.062685618308</v>
      </c>
      <c r="T30" s="133">
        <f>IF(SER_hh_tes!T30=0,0,11630*1000*SER_hh_tes!T30/SER_hh_num!T30)</f>
        <v>22828.898833205705</v>
      </c>
      <c r="U30" s="133">
        <f>IF(SER_hh_tes!U30=0,0,11630*1000*SER_hh_tes!U30/SER_hh_num!U30)</f>
        <v>21733.650518525599</v>
      </c>
      <c r="V30" s="133">
        <f>IF(SER_hh_tes!V30=0,0,11630*1000*SER_hh_tes!V30/SER_hh_num!V30)</f>
        <v>21892.532135277539</v>
      </c>
      <c r="W30" s="133">
        <f>IF(SER_hh_tes!W30=0,0,11630*1000*SER_hh_tes!W30/SER_hh_num!W30)</f>
        <v>21748.657029916209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19786.123460042945</v>
      </c>
      <c r="C31" s="133">
        <f>IF(SER_hh_tes!C31=0,0,11630*1000*SER_hh_tes!C31/SER_hh_num!C31)</f>
        <v>20089.07201296508</v>
      </c>
      <c r="D31" s="133">
        <f>IF(SER_hh_tes!D31=0,0,11630*1000*SER_hh_tes!D31/SER_hh_num!D31)</f>
        <v>20463.613785448</v>
      </c>
      <c r="E31" s="133">
        <f>IF(SER_hh_tes!E31=0,0,11630*1000*SER_hh_tes!E31/SER_hh_num!E31)</f>
        <v>18683.197631806761</v>
      </c>
      <c r="F31" s="133">
        <f>IF(SER_hh_tes!F31=0,0,11630*1000*SER_hh_tes!F31/SER_hh_num!F31)</f>
        <v>19067.580305285719</v>
      </c>
      <c r="G31" s="133">
        <f>IF(SER_hh_tes!G31=0,0,11630*1000*SER_hh_tes!G31/SER_hh_num!G31)</f>
        <v>21837.167633453653</v>
      </c>
      <c r="H31" s="133">
        <f>IF(SER_hh_tes!H31=0,0,11630*1000*SER_hh_tes!H31/SER_hh_num!H31)</f>
        <v>20128.742323834169</v>
      </c>
      <c r="I31" s="133">
        <f>IF(SER_hh_tes!I31=0,0,11630*1000*SER_hh_tes!I31/SER_hh_num!I31)</f>
        <v>21802.307175291753</v>
      </c>
      <c r="J31" s="133">
        <f>IF(SER_hh_tes!J31=0,0,11630*1000*SER_hh_tes!J31/SER_hh_num!J31)</f>
        <v>21414.151511537497</v>
      </c>
      <c r="K31" s="133">
        <f>IF(SER_hh_tes!K31=0,0,11630*1000*SER_hh_tes!K31/SER_hh_num!K31)</f>
        <v>22388.896459785137</v>
      </c>
      <c r="L31" s="133">
        <f>IF(SER_hh_tes!L31=0,0,11630*1000*SER_hh_tes!L31/SER_hh_num!L31)</f>
        <v>22270.695384213883</v>
      </c>
      <c r="M31" s="133">
        <f>IF(SER_hh_tes!M31=0,0,11630*1000*SER_hh_tes!M31/SER_hh_num!M31)</f>
        <v>22174.477424648114</v>
      </c>
      <c r="N31" s="133">
        <f>IF(SER_hh_tes!N31=0,0,11630*1000*SER_hh_tes!N31/SER_hh_num!N31)</f>
        <v>22299.99024214004</v>
      </c>
      <c r="O31" s="133">
        <f>IF(SER_hh_tes!O31=0,0,11630*1000*SER_hh_tes!O31/SER_hh_num!O31)</f>
        <v>22384.912005893726</v>
      </c>
      <c r="P31" s="133">
        <f>IF(SER_hh_tes!P31=0,0,11630*1000*SER_hh_tes!P31/SER_hh_num!P31)</f>
        <v>23293.795529733554</v>
      </c>
      <c r="Q31" s="133">
        <f>IF(SER_hh_tes!Q31=0,0,11630*1000*SER_hh_tes!Q31/SER_hh_num!Q31)</f>
        <v>23035.909904185402</v>
      </c>
      <c r="R31" s="133">
        <f>IF(SER_hh_tes!R31=0,0,11630*1000*SER_hh_tes!R31/SER_hh_num!R31)</f>
        <v>23558.38389722562</v>
      </c>
      <c r="S31" s="133">
        <f>IF(SER_hh_tes!S31=0,0,11630*1000*SER_hh_tes!S31/SER_hh_num!S31)</f>
        <v>23365.461191026494</v>
      </c>
      <c r="T31" s="133">
        <f>IF(SER_hh_tes!T31=0,0,11630*1000*SER_hh_tes!T31/SER_hh_num!T31)</f>
        <v>21506.451854860061</v>
      </c>
      <c r="U31" s="133">
        <f>IF(SER_hh_tes!U31=0,0,11630*1000*SER_hh_tes!U31/SER_hh_num!U31)</f>
        <v>23383.525240463547</v>
      </c>
      <c r="V31" s="133">
        <f>IF(SER_hh_tes!V31=0,0,11630*1000*SER_hh_tes!V31/SER_hh_num!V31)</f>
        <v>20708.49105936323</v>
      </c>
      <c r="W31" s="133">
        <f>IF(SER_hh_tes!W31=0,0,11630*1000*SER_hh_tes!W31/SER_hh_num!W31)</f>
        <v>21297.481819982215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19332.948389828296</v>
      </c>
      <c r="C33" s="68">
        <f>IF(SER_hh_tes!C33=0,0,11630*1000*SER_hh_tes!C33/SER_hh_num!C33)</f>
        <v>18408.210862194581</v>
      </c>
      <c r="D33" s="68">
        <f>IF(SER_hh_tes!D33=0,0,11630*1000*SER_hh_tes!D33/SER_hh_num!D33)</f>
        <v>18303.59705332858</v>
      </c>
      <c r="E33" s="68">
        <f>IF(SER_hh_tes!E33=0,0,11630*1000*SER_hh_tes!E33/SER_hh_num!E33)</f>
        <v>21482.131902746456</v>
      </c>
      <c r="F33" s="68">
        <f>IF(SER_hh_tes!F33=0,0,11630*1000*SER_hh_tes!F33/SER_hh_num!F33)</f>
        <v>22031.928953857627</v>
      </c>
      <c r="G33" s="68">
        <f>IF(SER_hh_tes!G33=0,0,11630*1000*SER_hh_tes!G33/SER_hh_num!G33)</f>
        <v>20778.257910963966</v>
      </c>
      <c r="H33" s="68">
        <f>IF(SER_hh_tes!H33=0,0,11630*1000*SER_hh_tes!H33/SER_hh_num!H33)</f>
        <v>22397.266159369596</v>
      </c>
      <c r="I33" s="68">
        <f>IF(SER_hh_tes!I33=0,0,11630*1000*SER_hh_tes!I33/SER_hh_num!I33)</f>
        <v>20469.000550183959</v>
      </c>
      <c r="J33" s="68">
        <f>IF(SER_hh_tes!J33=0,0,11630*1000*SER_hh_tes!J33/SER_hh_num!J33)</f>
        <v>23356.620506146261</v>
      </c>
      <c r="K33" s="68">
        <f>IF(SER_hh_tes!K33=0,0,11630*1000*SER_hh_tes!K33/SER_hh_num!K33)</f>
        <v>21832.029812222456</v>
      </c>
      <c r="L33" s="68">
        <f>IF(SER_hh_tes!L33=0,0,11630*1000*SER_hh_tes!L33/SER_hh_num!L33)</f>
        <v>22131.230260241333</v>
      </c>
      <c r="M33" s="68">
        <f>IF(SER_hh_tes!M33=0,0,11630*1000*SER_hh_tes!M33/SER_hh_num!M33)</f>
        <v>22252.976889770962</v>
      </c>
      <c r="N33" s="68">
        <f>IF(SER_hh_tes!N33=0,0,11630*1000*SER_hh_tes!N33/SER_hh_num!N33)</f>
        <v>23114.324193697554</v>
      </c>
      <c r="O33" s="68">
        <f>IF(SER_hh_tes!O33=0,0,11630*1000*SER_hh_tes!O33/SER_hh_num!O33)</f>
        <v>23414.200571375975</v>
      </c>
      <c r="P33" s="68">
        <f>IF(SER_hh_tes!P33=0,0,11630*1000*SER_hh_tes!P33/SER_hh_num!P33)</f>
        <v>21583.77073032752</v>
      </c>
      <c r="Q33" s="68">
        <f>IF(SER_hh_tes!Q33=0,0,11630*1000*SER_hh_tes!Q33/SER_hh_num!Q33)</f>
        <v>22821.281124701789</v>
      </c>
      <c r="R33" s="68">
        <f>IF(SER_hh_tes!R33=0,0,11630*1000*SER_hh_tes!R33/SER_hh_num!R33)</f>
        <v>22292.463718947092</v>
      </c>
      <c r="S33" s="68">
        <f>IF(SER_hh_tes!S33=0,0,11630*1000*SER_hh_tes!S33/SER_hh_num!S33)</f>
        <v>22391.000665593037</v>
      </c>
      <c r="T33" s="68">
        <f>IF(SER_hh_tes!T33=0,0,11630*1000*SER_hh_tes!T33/SER_hh_num!T33)</f>
        <v>26187.886277105095</v>
      </c>
      <c r="U33" s="68">
        <f>IF(SER_hh_tes!U33=0,0,11630*1000*SER_hh_tes!U33/SER_hh_num!U33)</f>
        <v>21926.62729604639</v>
      </c>
      <c r="V33" s="68">
        <f>IF(SER_hh_tes!V33=0,0,11630*1000*SER_hh_tes!V33/SER_hh_num!V33)</f>
        <v>19237.267310788531</v>
      </c>
      <c r="W33" s="68">
        <f>IF(SER_hh_tes!W33=0,0,11630*1000*SER_hh_tes!W33/SER_hh_num!W33)</f>
        <v>24838.981579986736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29009.819062121882</v>
      </c>
      <c r="C3" s="126">
        <f>IF(SER_hh_emi!C3=0,0,1000000*SER_hh_emi!C3/SER_hh_num!C3)</f>
        <v>28908.858468245759</v>
      </c>
      <c r="D3" s="126">
        <f>IF(SER_hh_emi!D3=0,0,1000000*SER_hh_emi!D3/SER_hh_num!D3)</f>
        <v>27109.432112966839</v>
      </c>
      <c r="E3" s="126">
        <f>IF(SER_hh_emi!E3=0,0,1000000*SER_hh_emi!E3/SER_hh_num!E3)</f>
        <v>30616.900674847187</v>
      </c>
      <c r="F3" s="126">
        <f>IF(SER_hh_emi!F3=0,0,1000000*SER_hh_emi!F3/SER_hh_num!F3)</f>
        <v>30358.665987328699</v>
      </c>
      <c r="G3" s="126">
        <f>IF(SER_hh_emi!G3=0,0,1000000*SER_hh_emi!G3/SER_hh_num!G3)</f>
        <v>35259.510386573391</v>
      </c>
      <c r="H3" s="126">
        <f>IF(SER_hh_emi!H3=0,0,1000000*SER_hh_emi!H3/SER_hh_num!H3)</f>
        <v>34891.149885600222</v>
      </c>
      <c r="I3" s="126">
        <f>IF(SER_hh_emi!I3=0,0,1000000*SER_hh_emi!I3/SER_hh_num!I3)</f>
        <v>32054.880224470366</v>
      </c>
      <c r="J3" s="126">
        <f>IF(SER_hh_emi!J3=0,0,1000000*SER_hh_emi!J3/SER_hh_num!J3)</f>
        <v>37991.586711399061</v>
      </c>
      <c r="K3" s="126">
        <f>IF(SER_hh_emi!K3=0,0,1000000*SER_hh_emi!K3/SER_hh_num!K3)</f>
        <v>36918.643385133219</v>
      </c>
      <c r="L3" s="126">
        <f>IF(SER_hh_emi!L3=0,0,1000000*SER_hh_emi!L3/SER_hh_num!L3)</f>
        <v>36793.540943065214</v>
      </c>
      <c r="M3" s="126">
        <f>IF(SER_hh_emi!M3=0,0,1000000*SER_hh_emi!M3/SER_hh_num!M3)</f>
        <v>31010.40395544843</v>
      </c>
      <c r="N3" s="126">
        <f>IF(SER_hh_emi!N3=0,0,1000000*SER_hh_emi!N3/SER_hh_num!N3)</f>
        <v>30491.568326046014</v>
      </c>
      <c r="O3" s="126">
        <f>IF(SER_hh_emi!O3=0,0,1000000*SER_hh_emi!O3/SER_hh_num!O3)</f>
        <v>30300.144593301888</v>
      </c>
      <c r="P3" s="126">
        <f>IF(SER_hh_emi!P3=0,0,1000000*SER_hh_emi!P3/SER_hh_num!P3)</f>
        <v>25220.5625528073</v>
      </c>
      <c r="Q3" s="126">
        <f>IF(SER_hh_emi!Q3=0,0,1000000*SER_hh_emi!Q3/SER_hh_num!Q3)</f>
        <v>26960.255803775923</v>
      </c>
      <c r="R3" s="126">
        <f>IF(SER_hh_emi!R3=0,0,1000000*SER_hh_emi!R3/SER_hh_num!R3)</f>
        <v>27162.146811533294</v>
      </c>
      <c r="S3" s="126">
        <f>IF(SER_hh_emi!S3=0,0,1000000*SER_hh_emi!S3/SER_hh_num!S3)</f>
        <v>26866.309996119493</v>
      </c>
      <c r="T3" s="126">
        <f>IF(SER_hh_emi!T3=0,0,1000000*SER_hh_emi!T3/SER_hh_num!T3)</f>
        <v>29214.370677327803</v>
      </c>
      <c r="U3" s="126">
        <f>IF(SER_hh_emi!U3=0,0,1000000*SER_hh_emi!U3/SER_hh_num!U3)</f>
        <v>28265.848719456844</v>
      </c>
      <c r="V3" s="126">
        <f>IF(SER_hh_emi!V3=0,0,1000000*SER_hh_emi!V3/SER_hh_num!V3)</f>
        <v>26621.773326065653</v>
      </c>
      <c r="W3" s="126">
        <f>IF(SER_hh_emi!W3=0,0,1000000*SER_hh_emi!W3/SER_hh_num!W3)</f>
        <v>25607.193759439135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19485.587159666044</v>
      </c>
      <c r="C4" s="131">
        <f>IF(SER_hh_emi!C4=0,0,1000000*SER_hh_emi!C4/SER_hh_num!C4)</f>
        <v>19702.976918479282</v>
      </c>
      <c r="D4" s="131">
        <f>IF(SER_hh_emi!D4=0,0,1000000*SER_hh_emi!D4/SER_hh_num!D4)</f>
        <v>18459.610743485286</v>
      </c>
      <c r="E4" s="131">
        <f>IF(SER_hh_emi!E4=0,0,1000000*SER_hh_emi!E4/SER_hh_num!E4)</f>
        <v>22870.661021801494</v>
      </c>
      <c r="F4" s="131">
        <f>IF(SER_hh_emi!F4=0,0,1000000*SER_hh_emi!F4/SER_hh_num!F4)</f>
        <v>23012.921114312259</v>
      </c>
      <c r="G4" s="131">
        <f>IF(SER_hh_emi!G4=0,0,1000000*SER_hh_emi!G4/SER_hh_num!G4)</f>
        <v>27695.546858046167</v>
      </c>
      <c r="H4" s="131">
        <f>IF(SER_hh_emi!H4=0,0,1000000*SER_hh_emi!H4/SER_hh_num!H4)</f>
        <v>27817.240604407783</v>
      </c>
      <c r="I4" s="131">
        <f>IF(SER_hh_emi!I4=0,0,1000000*SER_hh_emi!I4/SER_hh_num!I4)</f>
        <v>24692.833619141511</v>
      </c>
      <c r="J4" s="131">
        <f>IF(SER_hh_emi!J4=0,0,1000000*SER_hh_emi!J4/SER_hh_num!J4)</f>
        <v>30932.278709225928</v>
      </c>
      <c r="K4" s="131">
        <f>IF(SER_hh_emi!K4=0,0,1000000*SER_hh_emi!K4/SER_hh_num!K4)</f>
        <v>29515.023962954911</v>
      </c>
      <c r="L4" s="131">
        <f>IF(SER_hh_emi!L4=0,0,1000000*SER_hh_emi!L4/SER_hh_num!L4)</f>
        <v>29426.508653587269</v>
      </c>
      <c r="M4" s="131">
        <f>IF(SER_hh_emi!M4=0,0,1000000*SER_hh_emi!M4/SER_hh_num!M4)</f>
        <v>23556.98522810826</v>
      </c>
      <c r="N4" s="131">
        <f>IF(SER_hh_emi!N4=0,0,1000000*SER_hh_emi!N4/SER_hh_num!N4)</f>
        <v>23065.603116044575</v>
      </c>
      <c r="O4" s="131">
        <f>IF(SER_hh_emi!O4=0,0,1000000*SER_hh_emi!O4/SER_hh_num!O4)</f>
        <v>22694.98413281914</v>
      </c>
      <c r="P4" s="131">
        <f>IF(SER_hh_emi!P4=0,0,1000000*SER_hh_emi!P4/SER_hh_num!P4)</f>
        <v>17197.003113654839</v>
      </c>
      <c r="Q4" s="131">
        <f>IF(SER_hh_emi!Q4=0,0,1000000*SER_hh_emi!Q4/SER_hh_num!Q4)</f>
        <v>18884.263602588529</v>
      </c>
      <c r="R4" s="131">
        <f>IF(SER_hh_emi!R4=0,0,1000000*SER_hh_emi!R4/SER_hh_num!R4)</f>
        <v>18944.99421427655</v>
      </c>
      <c r="S4" s="131">
        <f>IF(SER_hh_emi!S4=0,0,1000000*SER_hh_emi!S4/SER_hh_num!S4)</f>
        <v>18586.467917574948</v>
      </c>
      <c r="T4" s="131">
        <f>IF(SER_hh_emi!T4=0,0,1000000*SER_hh_emi!T4/SER_hh_num!T4)</f>
        <v>21174.732770699102</v>
      </c>
      <c r="U4" s="131">
        <f>IF(SER_hh_emi!U4=0,0,1000000*SER_hh_emi!U4/SER_hh_num!U4)</f>
        <v>20329.210912281411</v>
      </c>
      <c r="V4" s="131">
        <f>IF(SER_hh_emi!V4=0,0,1000000*SER_hh_emi!V4/SER_hh_num!V4)</f>
        <v>19331.179010849661</v>
      </c>
      <c r="W4" s="131">
        <f>IF(SER_hh_emi!W4=0,0,1000000*SER_hh_emi!W4/SER_hh_num!W4)</f>
        <v>17932.887512138233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34758.974153722433</v>
      </c>
      <c r="C6" s="133">
        <f>IF(SER_hh_emi!C6=0,0,1000000*SER_hh_emi!C6/SER_hh_num!C6)</f>
        <v>35270.815679661857</v>
      </c>
      <c r="D6" s="133">
        <f>IF(SER_hh_emi!D6=0,0,1000000*SER_hh_emi!D6/SER_hh_num!D6)</f>
        <v>33626.504315101112</v>
      </c>
      <c r="E6" s="133">
        <f>IF(SER_hh_emi!E6=0,0,1000000*SER_hh_emi!E6/SER_hh_num!E6)</f>
        <v>40855.274511005358</v>
      </c>
      <c r="F6" s="133">
        <f>IF(SER_hh_emi!F6=0,0,1000000*SER_hh_emi!F6/SER_hh_num!F6)</f>
        <v>42037.569486265333</v>
      </c>
      <c r="G6" s="133">
        <f>IF(SER_hh_emi!G6=0,0,1000000*SER_hh_emi!G6/SER_hh_num!G6)</f>
        <v>49068.612524783348</v>
      </c>
      <c r="H6" s="133">
        <f>IF(SER_hh_emi!H6=0,0,1000000*SER_hh_emi!H6/SER_hh_num!H6)</f>
        <v>49855.17415774674</v>
      </c>
      <c r="I6" s="133">
        <f>IF(SER_hh_emi!I6=0,0,1000000*SER_hh_emi!I6/SER_hh_num!I6)</f>
        <v>47048.119351949856</v>
      </c>
      <c r="J6" s="133">
        <f>IF(SER_hh_emi!J6=0,0,1000000*SER_hh_emi!J6/SER_hh_num!J6)</f>
        <v>55142.291153155602</v>
      </c>
      <c r="K6" s="133">
        <f>IF(SER_hh_emi!K6=0,0,1000000*SER_hh_emi!K6/SER_hh_num!K6)</f>
        <v>55376.474202959733</v>
      </c>
      <c r="L6" s="133">
        <f>IF(SER_hh_emi!L6=0,0,1000000*SER_hh_emi!L6/SER_hh_num!L6)</f>
        <v>57254.918384491873</v>
      </c>
      <c r="M6" s="133">
        <f>IF(SER_hh_emi!M6=0,0,1000000*SER_hh_emi!M6/SER_hh_num!M6)</f>
        <v>51380.261608238237</v>
      </c>
      <c r="N6" s="133">
        <f>IF(SER_hh_emi!N6=0,0,1000000*SER_hh_emi!N6/SER_hh_num!N6)</f>
        <v>47248.005942540207</v>
      </c>
      <c r="O6" s="133">
        <f>IF(SER_hh_emi!O6=0,0,1000000*SER_hh_emi!O6/SER_hh_num!O6)</f>
        <v>52051.963501298153</v>
      </c>
      <c r="P6" s="133">
        <f>IF(SER_hh_emi!P6=0,0,1000000*SER_hh_emi!P6/SER_hh_num!P6)</f>
        <v>48209.097518895054</v>
      </c>
      <c r="Q6" s="133">
        <f>IF(SER_hh_emi!Q6=0,0,1000000*SER_hh_emi!Q6/SER_hh_num!Q6)</f>
        <v>50314.820083582672</v>
      </c>
      <c r="R6" s="133">
        <f>IF(SER_hh_emi!R6=0,0,1000000*SER_hh_emi!R6/SER_hh_num!R6)</f>
        <v>58672.210131015177</v>
      </c>
      <c r="S6" s="133">
        <f>IF(SER_hh_emi!S6=0,0,1000000*SER_hh_emi!S6/SER_hh_num!S6)</f>
        <v>62451.978905391436</v>
      </c>
      <c r="T6" s="133">
        <f>IF(SER_hh_emi!T6=0,0,1000000*SER_hh_emi!T6/SER_hh_num!T6)</f>
        <v>59219.787621898933</v>
      </c>
      <c r="U6" s="133">
        <f>IF(SER_hh_emi!U6=0,0,1000000*SER_hh_emi!U6/SER_hh_num!U6)</f>
        <v>60231.320961498161</v>
      </c>
      <c r="V6" s="133">
        <f>IF(SER_hh_emi!V6=0,0,1000000*SER_hh_emi!V6/SER_hh_num!V6)</f>
        <v>55244.682566554446</v>
      </c>
      <c r="W6" s="133">
        <f>IF(SER_hh_emi!W6=0,0,1000000*SER_hh_emi!W6/SER_hh_num!W6)</f>
        <v>65142.37251866961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49284.459687769311</v>
      </c>
      <c r="C7" s="133">
        <f>IF(SER_hh_emi!C7=0,0,1000000*SER_hh_emi!C7/SER_hh_num!C7)</f>
        <v>30910.48853973686</v>
      </c>
      <c r="D7" s="133">
        <f>IF(SER_hh_emi!D7=0,0,1000000*SER_hh_emi!D7/SER_hh_num!D7)</f>
        <v>40360.603290220162</v>
      </c>
      <c r="E7" s="133">
        <f>IF(SER_hh_emi!E7=0,0,1000000*SER_hh_emi!E7/SER_hh_num!E7)</f>
        <v>50118.951951461269</v>
      </c>
      <c r="F7" s="133">
        <f>IF(SER_hh_emi!F7=0,0,1000000*SER_hh_emi!F7/SER_hh_num!F7)</f>
        <v>52463.28534835171</v>
      </c>
      <c r="G7" s="133">
        <f>IF(SER_hh_emi!G7=0,0,1000000*SER_hh_emi!G7/SER_hh_num!G7)</f>
        <v>55677.236580576275</v>
      </c>
      <c r="H7" s="133">
        <f>IF(SER_hh_emi!H7=0,0,1000000*SER_hh_emi!H7/SER_hh_num!H7)</f>
        <v>59554.11961107856</v>
      </c>
      <c r="I7" s="133">
        <f>IF(SER_hh_emi!I7=0,0,1000000*SER_hh_emi!I7/SER_hh_num!I7)</f>
        <v>58553.863271516981</v>
      </c>
      <c r="J7" s="133">
        <f>IF(SER_hh_emi!J7=0,0,1000000*SER_hh_emi!J7/SER_hh_num!J7)</f>
        <v>74290.778556050471</v>
      </c>
      <c r="K7" s="133">
        <f>IF(SER_hh_emi!K7=0,0,1000000*SER_hh_emi!K7/SER_hh_num!K7)</f>
        <v>53203.507787923241</v>
      </c>
      <c r="L7" s="133">
        <f>IF(SER_hh_emi!L7=0,0,1000000*SER_hh_emi!L7/SER_hh_num!L7)</f>
        <v>64285.025049271477</v>
      </c>
      <c r="M7" s="133">
        <f>IF(SER_hh_emi!M7=0,0,1000000*SER_hh_emi!M7/SER_hh_num!M7)</f>
        <v>63295.372315111621</v>
      </c>
      <c r="N7" s="133">
        <f>IF(SER_hh_emi!N7=0,0,1000000*SER_hh_emi!N7/SER_hh_num!N7)</f>
        <v>62998.507341430697</v>
      </c>
      <c r="O7" s="133">
        <f>IF(SER_hh_emi!O7=0,0,1000000*SER_hh_emi!O7/SER_hh_num!O7)</f>
        <v>57071.331139611641</v>
      </c>
      <c r="P7" s="133">
        <f>IF(SER_hh_emi!P7=0,0,1000000*SER_hh_emi!P7/SER_hh_num!P7)</f>
        <v>59366.358764294557</v>
      </c>
      <c r="Q7" s="133">
        <f>IF(SER_hh_emi!Q7=0,0,1000000*SER_hh_emi!Q7/SER_hh_num!Q7)</f>
        <v>72187.186276570545</v>
      </c>
      <c r="R7" s="133">
        <f>IF(SER_hh_emi!R7=0,0,1000000*SER_hh_emi!R7/SER_hh_num!R7)</f>
        <v>77883.218340870124</v>
      </c>
      <c r="S7" s="133">
        <f>IF(SER_hh_emi!S7=0,0,1000000*SER_hh_emi!S7/SER_hh_num!S7)</f>
        <v>62779.525742952872</v>
      </c>
      <c r="T7" s="133">
        <f>IF(SER_hh_emi!T7=0,0,1000000*SER_hh_emi!T7/SER_hh_num!T7)</f>
        <v>80412.543560146078</v>
      </c>
      <c r="U7" s="133">
        <f>IF(SER_hh_emi!U7=0,0,1000000*SER_hh_emi!U7/SER_hh_num!U7)</f>
        <v>61792.723698688074</v>
      </c>
      <c r="V7" s="133">
        <f>IF(SER_hh_emi!V7=0,0,1000000*SER_hh_emi!V7/SER_hh_num!V7)</f>
        <v>48442.469433238235</v>
      </c>
      <c r="W7" s="133">
        <f>IF(SER_hh_emi!W7=0,0,1000000*SER_hh_emi!W7/SER_hh_num!W7)</f>
        <v>83863.962849099451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12743.429845001749</v>
      </c>
      <c r="C8" s="133">
        <f>IF(SER_hh_emi!C8=0,0,1000000*SER_hh_emi!C8/SER_hh_num!C8)</f>
        <v>13464.408361149224</v>
      </c>
      <c r="D8" s="133">
        <f>IF(SER_hh_emi!D8=0,0,1000000*SER_hh_emi!D8/SER_hh_num!D8)</f>
        <v>11871.763680956175</v>
      </c>
      <c r="E8" s="133">
        <f>IF(SER_hh_emi!E8=0,0,1000000*SER_hh_emi!E8/SER_hh_num!E8)</f>
        <v>12995.384313150551</v>
      </c>
      <c r="F8" s="133">
        <f>IF(SER_hh_emi!F8=0,0,1000000*SER_hh_emi!F8/SER_hh_num!F8)</f>
        <v>12871.187284628702</v>
      </c>
      <c r="G8" s="133">
        <f>IF(SER_hh_emi!G8=0,0,1000000*SER_hh_emi!G8/SER_hh_num!G8)</f>
        <v>13287.721255304274</v>
      </c>
      <c r="H8" s="133">
        <f>IF(SER_hh_emi!H8=0,0,1000000*SER_hh_emi!H8/SER_hh_num!H8)</f>
        <v>13297.518618227312</v>
      </c>
      <c r="I8" s="133">
        <f>IF(SER_hh_emi!I8=0,0,1000000*SER_hh_emi!I8/SER_hh_num!I8)</f>
        <v>12917.866306084543</v>
      </c>
      <c r="J8" s="133">
        <f>IF(SER_hh_emi!J8=0,0,1000000*SER_hh_emi!J8/SER_hh_num!J8)</f>
        <v>12940.012550576967</v>
      </c>
      <c r="K8" s="133">
        <f>IF(SER_hh_emi!K8=0,0,1000000*SER_hh_emi!K8/SER_hh_num!K8)</f>
        <v>12091.487991741014</v>
      </c>
      <c r="L8" s="133">
        <f>IF(SER_hh_emi!L8=0,0,1000000*SER_hh_emi!L8/SER_hh_num!L8)</f>
        <v>10823.555909541694</v>
      </c>
      <c r="M8" s="133">
        <f>IF(SER_hh_emi!M8=0,0,1000000*SER_hh_emi!M8/SER_hh_num!M8)</f>
        <v>9655.8452295772586</v>
      </c>
      <c r="N8" s="133">
        <f>IF(SER_hh_emi!N8=0,0,1000000*SER_hh_emi!N8/SER_hh_num!N8)</f>
        <v>8798.4560994523254</v>
      </c>
      <c r="O8" s="133">
        <f>IF(SER_hh_emi!O8=0,0,1000000*SER_hh_emi!O8/SER_hh_num!O8)</f>
        <v>8621.5828244567947</v>
      </c>
      <c r="P8" s="133">
        <f>IF(SER_hh_emi!P8=0,0,1000000*SER_hh_emi!P8/SER_hh_num!P8)</f>
        <v>8862.2094675255048</v>
      </c>
      <c r="Q8" s="133">
        <f>IF(SER_hh_emi!Q8=0,0,1000000*SER_hh_emi!Q8/SER_hh_num!Q8)</f>
        <v>10348.237108290428</v>
      </c>
      <c r="R8" s="133">
        <f>IF(SER_hh_emi!R8=0,0,1000000*SER_hh_emi!R8/SER_hh_num!R8)</f>
        <v>9852.3903934902428</v>
      </c>
      <c r="S8" s="133">
        <f>IF(SER_hh_emi!S8=0,0,1000000*SER_hh_emi!S8/SER_hh_num!S8)</f>
        <v>9890.2879633202483</v>
      </c>
      <c r="T8" s="133">
        <f>IF(SER_hh_emi!T8=0,0,1000000*SER_hh_emi!T8/SER_hh_num!T8)</f>
        <v>9855.3506870502588</v>
      </c>
      <c r="U8" s="133">
        <f>IF(SER_hh_emi!U8=0,0,1000000*SER_hh_emi!U8/SER_hh_num!U8)</f>
        <v>9202.5408115120335</v>
      </c>
      <c r="V8" s="133">
        <f>IF(SER_hh_emi!V8=0,0,1000000*SER_hh_emi!V8/SER_hh_num!V8)</f>
        <v>8750.8115722294478</v>
      </c>
      <c r="W8" s="133">
        <f>IF(SER_hh_emi!W8=0,0,1000000*SER_hh_emi!W8/SER_hh_num!W8)</f>
        <v>8687.4201514647066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28744.424995311059</v>
      </c>
      <c r="C9" s="133">
        <f>IF(SER_hh_emi!C9=0,0,1000000*SER_hh_emi!C9/SER_hh_num!C9)</f>
        <v>30134.519778271148</v>
      </c>
      <c r="D9" s="133">
        <f>IF(SER_hh_emi!D9=0,0,1000000*SER_hh_emi!D9/SER_hh_num!D9)</f>
        <v>27150.6353781412</v>
      </c>
      <c r="E9" s="133">
        <f>IF(SER_hh_emi!E9=0,0,1000000*SER_hh_emi!E9/SER_hh_num!E9)</f>
        <v>32689.516939154695</v>
      </c>
      <c r="F9" s="133">
        <f>IF(SER_hh_emi!F9=0,0,1000000*SER_hh_emi!F9/SER_hh_num!F9)</f>
        <v>32866.559526405952</v>
      </c>
      <c r="G9" s="133">
        <f>IF(SER_hh_emi!G9=0,0,1000000*SER_hh_emi!G9/SER_hh_num!G9)</f>
        <v>40292.764526933599</v>
      </c>
      <c r="H9" s="133">
        <f>IF(SER_hh_emi!H9=0,0,1000000*SER_hh_emi!H9/SER_hh_num!H9)</f>
        <v>40402.069008677041</v>
      </c>
      <c r="I9" s="133">
        <f>IF(SER_hh_emi!I9=0,0,1000000*SER_hh_emi!I9/SER_hh_num!I9)</f>
        <v>35446.35519233458</v>
      </c>
      <c r="J9" s="133">
        <f>IF(SER_hh_emi!J9=0,0,1000000*SER_hh_emi!J9/SER_hh_num!J9)</f>
        <v>44434.446768519076</v>
      </c>
      <c r="K9" s="133">
        <f>IF(SER_hh_emi!K9=0,0,1000000*SER_hh_emi!K9/SER_hh_num!K9)</f>
        <v>44148.25709545509</v>
      </c>
      <c r="L9" s="133">
        <f>IF(SER_hh_emi!L9=0,0,1000000*SER_hh_emi!L9/SER_hh_num!L9)</f>
        <v>44754.862434999864</v>
      </c>
      <c r="M9" s="133">
        <f>IF(SER_hh_emi!M9=0,0,1000000*SER_hh_emi!M9/SER_hh_num!M9)</f>
        <v>37537.85189332455</v>
      </c>
      <c r="N9" s="133">
        <f>IF(SER_hh_emi!N9=0,0,1000000*SER_hh_emi!N9/SER_hh_num!N9)</f>
        <v>39704.88367255</v>
      </c>
      <c r="O9" s="133">
        <f>IF(SER_hh_emi!O9=0,0,1000000*SER_hh_emi!O9/SER_hh_num!O9)</f>
        <v>43015.599273894295</v>
      </c>
      <c r="P9" s="133">
        <f>IF(SER_hh_emi!P9=0,0,1000000*SER_hh_emi!P9/SER_hh_num!P9)</f>
        <v>35552.333198860593</v>
      </c>
      <c r="Q9" s="133">
        <f>IF(SER_hh_emi!Q9=0,0,1000000*SER_hh_emi!Q9/SER_hh_num!Q9)</f>
        <v>43354.143213286217</v>
      </c>
      <c r="R9" s="133">
        <f>IF(SER_hh_emi!R9=0,0,1000000*SER_hh_emi!R9/SER_hh_num!R9)</f>
        <v>45907.242427299381</v>
      </c>
      <c r="S9" s="133">
        <f>IF(SER_hh_emi!S9=0,0,1000000*SER_hh_emi!S9/SER_hh_num!S9)</f>
        <v>44934.843351983072</v>
      </c>
      <c r="T9" s="133">
        <f>IF(SER_hh_emi!T9=0,0,1000000*SER_hh_emi!T9/SER_hh_num!T9)</f>
        <v>50338.244134670516</v>
      </c>
      <c r="U9" s="133">
        <f>IF(SER_hh_emi!U9=0,0,1000000*SER_hh_emi!U9/SER_hh_num!U9)</f>
        <v>47717.497550492342</v>
      </c>
      <c r="V9" s="133">
        <f>IF(SER_hh_emi!V9=0,0,1000000*SER_hh_emi!V9/SER_hh_num!V9)</f>
        <v>44543.734910331412</v>
      </c>
      <c r="W9" s="133">
        <f>IF(SER_hh_emi!W9=0,0,1000000*SER_hh_emi!W9/SER_hh_num!W9)</f>
        <v>39215.29765780826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7.2188472856759969</v>
      </c>
      <c r="C16" s="131">
        <f>IF(SER_hh_emi!C16=0,0,1000000*SER_hh_emi!C16/SER_hh_num!C16)</f>
        <v>11.517470046291603</v>
      </c>
      <c r="D16" s="131">
        <f>IF(SER_hh_emi!D16=0,0,1000000*SER_hh_emi!D16/SER_hh_num!D16)</f>
        <v>9.890311335857648</v>
      </c>
      <c r="E16" s="131">
        <f>IF(SER_hh_emi!E16=0,0,1000000*SER_hh_emi!E16/SER_hh_num!E16)</f>
        <v>28.55719739805922</v>
      </c>
      <c r="F16" s="131">
        <f>IF(SER_hh_emi!F16=0,0,1000000*SER_hh_emi!F16/SER_hh_num!F16)</f>
        <v>15.85993826330199</v>
      </c>
      <c r="G16" s="131">
        <f>IF(SER_hh_emi!G16=0,0,1000000*SER_hh_emi!G16/SER_hh_num!G16)</f>
        <v>17.005191688735156</v>
      </c>
      <c r="H16" s="131">
        <f>IF(SER_hh_emi!H16=0,0,1000000*SER_hh_emi!H16/SER_hh_num!H16)</f>
        <v>22.586164832479113</v>
      </c>
      <c r="I16" s="131">
        <f>IF(SER_hh_emi!I16=0,0,1000000*SER_hh_emi!I16/SER_hh_num!I16)</f>
        <v>22.753864631931009</v>
      </c>
      <c r="J16" s="131">
        <f>IF(SER_hh_emi!J16=0,0,1000000*SER_hh_emi!J16/SER_hh_num!J16)</f>
        <v>30.299437815444779</v>
      </c>
      <c r="K16" s="131">
        <f>IF(SER_hh_emi!K16=0,0,1000000*SER_hh_emi!K16/SER_hh_num!K16)</f>
        <v>36.219392872057405</v>
      </c>
      <c r="L16" s="131">
        <f>IF(SER_hh_emi!L16=0,0,1000000*SER_hh_emi!L16/SER_hh_num!L16)</f>
        <v>32.833494119310323</v>
      </c>
      <c r="M16" s="131">
        <f>IF(SER_hh_emi!M16=0,0,1000000*SER_hh_emi!M16/SER_hh_num!M16)</f>
        <v>38.319415402012218</v>
      </c>
      <c r="N16" s="131">
        <f>IF(SER_hh_emi!N16=0,0,1000000*SER_hh_emi!N16/SER_hh_num!N16)</f>
        <v>64.389590083557593</v>
      </c>
      <c r="O16" s="131">
        <f>IF(SER_hh_emi!O16=0,0,1000000*SER_hh_emi!O16/SER_hh_num!O16)</f>
        <v>42.716154681462747</v>
      </c>
      <c r="P16" s="131">
        <f>IF(SER_hh_emi!P16=0,0,1000000*SER_hh_emi!P16/SER_hh_num!P16)</f>
        <v>40.18943700036084</v>
      </c>
      <c r="Q16" s="131">
        <f>IF(SER_hh_emi!Q16=0,0,1000000*SER_hh_emi!Q16/SER_hh_num!Q16)</f>
        <v>76.529472188606178</v>
      </c>
      <c r="R16" s="131">
        <f>IF(SER_hh_emi!R16=0,0,1000000*SER_hh_emi!R16/SER_hh_num!R16)</f>
        <v>54.628299935787176</v>
      </c>
      <c r="S16" s="131">
        <f>IF(SER_hh_emi!S16=0,0,1000000*SER_hh_emi!S16/SER_hh_num!S16)</f>
        <v>86.246098592341724</v>
      </c>
      <c r="T16" s="131">
        <f>IF(SER_hh_emi!T16=0,0,1000000*SER_hh_emi!T16/SER_hh_num!T16)</f>
        <v>67.163068284611199</v>
      </c>
      <c r="U16" s="131">
        <f>IF(SER_hh_emi!U16=0,0,1000000*SER_hh_emi!U16/SER_hh_num!U16)</f>
        <v>90.062766292584982</v>
      </c>
      <c r="V16" s="131">
        <f>IF(SER_hh_emi!V16=0,0,1000000*SER_hh_emi!V16/SER_hh_num!V16)</f>
        <v>68.336704540976299</v>
      </c>
      <c r="W16" s="131">
        <f>IF(SER_hh_emi!W16=0,0,1000000*SER_hh_emi!W16/SER_hh_num!W16)</f>
        <v>82.274622304227137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3660.6150844465405</v>
      </c>
      <c r="C17" s="133">
        <f>IF(SER_hh_emi!C17=0,0,1000000*SER_hh_emi!C17/SER_hh_num!C17)</f>
        <v>3975.1125697022244</v>
      </c>
      <c r="D17" s="133">
        <f>IF(SER_hh_emi!D17=0,0,1000000*SER_hh_emi!D17/SER_hh_num!D17)</f>
        <v>3492.8784839106456</v>
      </c>
      <c r="E17" s="133">
        <f>IF(SER_hh_emi!E17=0,0,1000000*SER_hh_emi!E17/SER_hh_num!E17)</f>
        <v>8096.3581021318678</v>
      </c>
      <c r="F17" s="133">
        <f>IF(SER_hh_emi!F17=0,0,1000000*SER_hh_emi!F17/SER_hh_num!F17)</f>
        <v>3642.8948516953892</v>
      </c>
      <c r="G17" s="133">
        <f>IF(SER_hh_emi!G17=0,0,1000000*SER_hh_emi!G17/SER_hh_num!G17)</f>
        <v>3657.9779312436585</v>
      </c>
      <c r="H17" s="133">
        <f>IF(SER_hh_emi!H17=0,0,1000000*SER_hh_emi!H17/SER_hh_num!H17)</f>
        <v>4300.9332058641421</v>
      </c>
      <c r="I17" s="133">
        <f>IF(SER_hh_emi!I17=0,0,1000000*SER_hh_emi!I17/SER_hh_num!I17)</f>
        <v>3963.9662292345465</v>
      </c>
      <c r="J17" s="133">
        <f>IF(SER_hh_emi!J17=0,0,1000000*SER_hh_emi!J17/SER_hh_num!J17)</f>
        <v>4671.2573435913209</v>
      </c>
      <c r="K17" s="133">
        <f>IF(SER_hh_emi!K17=0,0,1000000*SER_hh_emi!K17/SER_hh_num!K17)</f>
        <v>4800.0593054834371</v>
      </c>
      <c r="L17" s="133">
        <f>IF(SER_hh_emi!L17=0,0,1000000*SER_hh_emi!L17/SER_hh_num!L17)</f>
        <v>3912.2008059650702</v>
      </c>
      <c r="M17" s="133">
        <f>IF(SER_hh_emi!M17=0,0,1000000*SER_hh_emi!M17/SER_hh_num!M17)</f>
        <v>4249.6705044929249</v>
      </c>
      <c r="N17" s="133">
        <f>IF(SER_hh_emi!N17=0,0,1000000*SER_hh_emi!N17/SER_hh_num!N17)</f>
        <v>6708.1460722520615</v>
      </c>
      <c r="O17" s="133">
        <f>IF(SER_hh_emi!O17=0,0,1000000*SER_hh_emi!O17/SER_hh_num!O17)</f>
        <v>3987.7380446284506</v>
      </c>
      <c r="P17" s="133">
        <f>IF(SER_hh_emi!P17=0,0,1000000*SER_hh_emi!P17/SER_hh_num!P17)</f>
        <v>3433.0015513058361</v>
      </c>
      <c r="Q17" s="133">
        <f>IF(SER_hh_emi!Q17=0,0,1000000*SER_hh_emi!Q17/SER_hh_num!Q17)</f>
        <v>6109.9539681618626</v>
      </c>
      <c r="R17" s="133">
        <f>IF(SER_hh_emi!R17=0,0,1000000*SER_hh_emi!R17/SER_hh_num!R17)</f>
        <v>3963.2853330506018</v>
      </c>
      <c r="S17" s="133">
        <f>IF(SER_hh_emi!S17=0,0,1000000*SER_hh_emi!S17/SER_hh_num!S17)</f>
        <v>5961.0057034178199</v>
      </c>
      <c r="T17" s="133">
        <f>IF(SER_hh_emi!T17=0,0,1000000*SER_hh_emi!T17/SER_hh_num!T17)</f>
        <v>4507.5851421115631</v>
      </c>
      <c r="U17" s="133">
        <f>IF(SER_hh_emi!U17=0,0,1000000*SER_hh_emi!U17/SER_hh_num!U17)</f>
        <v>5878.9192245301838</v>
      </c>
      <c r="V17" s="133">
        <f>IF(SER_hh_emi!V17=0,0,1000000*SER_hh_emi!V17/SER_hh_num!V17)</f>
        <v>4194.960321049145</v>
      </c>
      <c r="W17" s="133">
        <f>IF(SER_hh_emi!W17=0,0,1000000*SER_hh_emi!W17/SER_hh_num!W17)</f>
        <v>5077.6776148748486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3727.0044436497601</v>
      </c>
      <c r="C19" s="131">
        <f>IF(SER_hh_emi!C19=0,0,1000000*SER_hh_emi!C19/SER_hh_num!C19)</f>
        <v>3663.1041738239142</v>
      </c>
      <c r="D19" s="131">
        <f>IF(SER_hh_emi!D19=0,0,1000000*SER_hh_emi!D19/SER_hh_num!D19)</f>
        <v>3539.3628859625069</v>
      </c>
      <c r="E19" s="131">
        <f>IF(SER_hh_emi!E19=0,0,1000000*SER_hh_emi!E19/SER_hh_num!E19)</f>
        <v>3439.515191449967</v>
      </c>
      <c r="F19" s="131">
        <f>IF(SER_hh_emi!F19=0,0,1000000*SER_hh_emi!F19/SER_hh_num!F19)</f>
        <v>3359.1471854712336</v>
      </c>
      <c r="G19" s="131">
        <f>IF(SER_hh_emi!G19=0,0,1000000*SER_hh_emi!G19/SER_hh_num!G19)</f>
        <v>3358.6061652143935</v>
      </c>
      <c r="H19" s="131">
        <f>IF(SER_hh_emi!H19=0,0,1000000*SER_hh_emi!H19/SER_hh_num!H19)</f>
        <v>3272.0607414843239</v>
      </c>
      <c r="I19" s="131">
        <f>IF(SER_hh_emi!I19=0,0,1000000*SER_hh_emi!I19/SER_hh_num!I19)</f>
        <v>3165.5773373528928</v>
      </c>
      <c r="J19" s="131">
        <f>IF(SER_hh_emi!J19=0,0,1000000*SER_hh_emi!J19/SER_hh_num!J19)</f>
        <v>3145.6066292977903</v>
      </c>
      <c r="K19" s="131">
        <f>IF(SER_hh_emi!K19=0,0,1000000*SER_hh_emi!K19/SER_hh_num!K19)</f>
        <v>3072.4284508153</v>
      </c>
      <c r="L19" s="131">
        <f>IF(SER_hh_emi!L19=0,0,1000000*SER_hh_emi!L19/SER_hh_num!L19)</f>
        <v>2979.9092354515205</v>
      </c>
      <c r="M19" s="131">
        <f>IF(SER_hh_emi!M19=0,0,1000000*SER_hh_emi!M19/SER_hh_num!M19)</f>
        <v>2958.8167180169885</v>
      </c>
      <c r="N19" s="131">
        <f>IF(SER_hh_emi!N19=0,0,1000000*SER_hh_emi!N19/SER_hh_num!N19)</f>
        <v>2903.3961844555811</v>
      </c>
      <c r="O19" s="131">
        <f>IF(SER_hh_emi!O19=0,0,1000000*SER_hh_emi!O19/SER_hh_num!O19)</f>
        <v>2902.2377824405767</v>
      </c>
      <c r="P19" s="131">
        <f>IF(SER_hh_emi!P19=0,0,1000000*SER_hh_emi!P19/SER_hh_num!P19)</f>
        <v>2844.7676043713786</v>
      </c>
      <c r="Q19" s="131">
        <f>IF(SER_hh_emi!Q19=0,0,1000000*SER_hh_emi!Q19/SER_hh_num!Q19)</f>
        <v>2836.497249262175</v>
      </c>
      <c r="R19" s="131">
        <f>IF(SER_hh_emi!R19=0,0,1000000*SER_hh_emi!R19/SER_hh_num!R19)</f>
        <v>2860.4270011058638</v>
      </c>
      <c r="S19" s="131">
        <f>IF(SER_hh_emi!S19=0,0,1000000*SER_hh_emi!S19/SER_hh_num!S19)</f>
        <v>2953.2071432333105</v>
      </c>
      <c r="T19" s="131">
        <f>IF(SER_hh_emi!T19=0,0,1000000*SER_hh_emi!T19/SER_hh_num!T19)</f>
        <v>3076.1812402831015</v>
      </c>
      <c r="U19" s="131">
        <f>IF(SER_hh_emi!U19=0,0,1000000*SER_hh_emi!U19/SER_hh_num!U19)</f>
        <v>2644.8863928917253</v>
      </c>
      <c r="V19" s="131">
        <f>IF(SER_hh_emi!V19=0,0,1000000*SER_hh_emi!V19/SER_hh_num!V19)</f>
        <v>2433.3624346206093</v>
      </c>
      <c r="W19" s="131">
        <f>IF(SER_hh_emi!W19=0,0,1000000*SER_hh_emi!W19/SER_hh_num!W19)</f>
        <v>2699.8175548491049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7511.4614625741033</v>
      </c>
      <c r="C21" s="133">
        <f>IF(SER_hh_emi!C21=0,0,1000000*SER_hh_emi!C21/SER_hh_num!C21)</f>
        <v>7657.5138250491955</v>
      </c>
      <c r="D21" s="133">
        <f>IF(SER_hh_emi!D21=0,0,1000000*SER_hh_emi!D21/SER_hh_num!D21)</f>
        <v>7622.3680744639323</v>
      </c>
      <c r="E21" s="133">
        <f>IF(SER_hh_emi!E21=0,0,1000000*SER_hh_emi!E21/SER_hh_num!E21)</f>
        <v>7436.693158688955</v>
      </c>
      <c r="F21" s="133">
        <f>IF(SER_hh_emi!F21=0,0,1000000*SER_hh_emi!F21/SER_hh_num!F21)</f>
        <v>7579.4130457321744</v>
      </c>
      <c r="G21" s="133">
        <f>IF(SER_hh_emi!G21=0,0,1000000*SER_hh_emi!G21/SER_hh_num!G21)</f>
        <v>7706.6963043028036</v>
      </c>
      <c r="H21" s="133">
        <f>IF(SER_hh_emi!H21=0,0,1000000*SER_hh_emi!H21/SER_hh_num!H21)</f>
        <v>7830.4477249272923</v>
      </c>
      <c r="I21" s="133">
        <f>IF(SER_hh_emi!I21=0,0,1000000*SER_hh_emi!I21/SER_hh_num!I21)</f>
        <v>7528.3005627237917</v>
      </c>
      <c r="J21" s="133">
        <f>IF(SER_hh_emi!J21=0,0,1000000*SER_hh_emi!J21/SER_hh_num!J21)</f>
        <v>7776.9192639661742</v>
      </c>
      <c r="K21" s="133">
        <f>IF(SER_hh_emi!K21=0,0,1000000*SER_hh_emi!K21/SER_hh_num!K21)</f>
        <v>7518.6896204625036</v>
      </c>
      <c r="L21" s="133">
        <f>IF(SER_hh_emi!L21=0,0,1000000*SER_hh_emi!L21/SER_hh_num!L21)</f>
        <v>7593.0779392663881</v>
      </c>
      <c r="M21" s="133">
        <f>IF(SER_hh_emi!M21=0,0,1000000*SER_hh_emi!M21/SER_hh_num!M21)</f>
        <v>7889.8175437679447</v>
      </c>
      <c r="N21" s="133">
        <f>IF(SER_hh_emi!N21=0,0,1000000*SER_hh_emi!N21/SER_hh_num!N21)</f>
        <v>7281.7293924156083</v>
      </c>
      <c r="O21" s="133">
        <f>IF(SER_hh_emi!O21=0,0,1000000*SER_hh_emi!O21/SER_hh_num!O21)</f>
        <v>7738.4858871278702</v>
      </c>
      <c r="P21" s="133">
        <f>IF(SER_hh_emi!P21=0,0,1000000*SER_hh_emi!P21/SER_hh_num!P21)</f>
        <v>7164.5306848127648</v>
      </c>
      <c r="Q21" s="133">
        <f>IF(SER_hh_emi!Q21=0,0,1000000*SER_hh_emi!Q21/SER_hh_num!Q21)</f>
        <v>6985.3530773298162</v>
      </c>
      <c r="R21" s="133">
        <f>IF(SER_hh_emi!R21=0,0,1000000*SER_hh_emi!R21/SER_hh_num!R21)</f>
        <v>7842.1381883946369</v>
      </c>
      <c r="S21" s="133">
        <f>IF(SER_hh_emi!S21=0,0,1000000*SER_hh_emi!S21/SER_hh_num!S21)</f>
        <v>7627.7536570936645</v>
      </c>
      <c r="T21" s="133">
        <f>IF(SER_hh_emi!T21=0,0,1000000*SER_hh_emi!T21/SER_hh_num!T21)</f>
        <v>6944.1069064425474</v>
      </c>
      <c r="U21" s="133">
        <f>IF(SER_hh_emi!U21=0,0,1000000*SER_hh_emi!U21/SER_hh_num!U21)</f>
        <v>6798.1540690813354</v>
      </c>
      <c r="V21" s="133">
        <f>IF(SER_hh_emi!V21=0,0,1000000*SER_hh_emi!V21/SER_hh_num!V21)</f>
        <v>5781.8264674355632</v>
      </c>
      <c r="W21" s="133">
        <f>IF(SER_hh_emi!W21=0,0,1000000*SER_hh_emi!W21/SER_hh_num!W21)</f>
        <v>6121.0723557727079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9443.9293932004875</v>
      </c>
      <c r="C22" s="133">
        <f>IF(SER_hh_emi!C22=0,0,1000000*SER_hh_emi!C22/SER_hh_num!C22)</f>
        <v>9491.276536546422</v>
      </c>
      <c r="D22" s="133">
        <f>IF(SER_hh_emi!D22=0,0,1000000*SER_hh_emi!D22/SER_hh_num!D22)</f>
        <v>9228.7152018037705</v>
      </c>
      <c r="E22" s="133">
        <f>IF(SER_hh_emi!E22=0,0,1000000*SER_hh_emi!E22/SER_hh_num!E22)</f>
        <v>9445.3359117003711</v>
      </c>
      <c r="F22" s="133">
        <f>IF(SER_hh_emi!F22=0,0,1000000*SER_hh_emi!F22/SER_hh_num!F22)</f>
        <v>9277.650164571236</v>
      </c>
      <c r="G22" s="133">
        <f>IF(SER_hh_emi!G22=0,0,1000000*SER_hh_emi!G22/SER_hh_num!G22)</f>
        <v>9275.2443951568002</v>
      </c>
      <c r="H22" s="133">
        <f>IF(SER_hh_emi!H22=0,0,1000000*SER_hh_emi!H22/SER_hh_num!H22)</f>
        <v>9598.0876477633392</v>
      </c>
      <c r="I22" s="133">
        <f>IF(SER_hh_emi!I22=0,0,1000000*SER_hh_emi!I22/SER_hh_num!I22)</f>
        <v>9607.5676387871426</v>
      </c>
      <c r="J22" s="133">
        <f>IF(SER_hh_emi!J22=0,0,1000000*SER_hh_emi!J22/SER_hh_num!J22)</f>
        <v>9899.7422469834401</v>
      </c>
      <c r="K22" s="133">
        <f>IF(SER_hh_emi!K22=0,0,1000000*SER_hh_emi!K22/SER_hh_num!K22)</f>
        <v>9240.169605412153</v>
      </c>
      <c r="L22" s="133">
        <f>IF(SER_hh_emi!L22=0,0,1000000*SER_hh_emi!L22/SER_hh_num!L22)</f>
        <v>8950.6243271361272</v>
      </c>
      <c r="M22" s="133">
        <f>IF(SER_hh_emi!M22=0,0,1000000*SER_hh_emi!M22/SER_hh_num!M22)</f>
        <v>9162.2413972227951</v>
      </c>
      <c r="N22" s="133">
        <f>IF(SER_hh_emi!N22=0,0,1000000*SER_hh_emi!N22/SER_hh_num!N22)</f>
        <v>9013.0577651629319</v>
      </c>
      <c r="O22" s="133">
        <f>IF(SER_hh_emi!O22=0,0,1000000*SER_hh_emi!O22/SER_hh_num!O22)</f>
        <v>9201.4891651699018</v>
      </c>
      <c r="P22" s="133">
        <f>IF(SER_hh_emi!P22=0,0,1000000*SER_hh_emi!P22/SER_hh_num!P22)</f>
        <v>9177.5431903801364</v>
      </c>
      <c r="Q22" s="133">
        <f>IF(SER_hh_emi!Q22=0,0,1000000*SER_hh_emi!Q22/SER_hh_num!Q22)</f>
        <v>9152.9627874907073</v>
      </c>
      <c r="R22" s="133">
        <f>IF(SER_hh_emi!R22=0,0,1000000*SER_hh_emi!R22/SER_hh_num!R22)</f>
        <v>9030.0428570115964</v>
      </c>
      <c r="S22" s="133">
        <f>IF(SER_hh_emi!S22=0,0,1000000*SER_hh_emi!S22/SER_hh_num!S22)</f>
        <v>9312.7697279533295</v>
      </c>
      <c r="T22" s="133">
        <f>IF(SER_hh_emi!T22=0,0,1000000*SER_hh_emi!T22/SER_hh_num!T22)</f>
        <v>9465.3975863333471</v>
      </c>
      <c r="U22" s="133">
        <f>IF(SER_hh_emi!U22=0,0,1000000*SER_hh_emi!U22/SER_hh_num!U22)</f>
        <v>8788.3593146202256</v>
      </c>
      <c r="V22" s="133">
        <f>IF(SER_hh_emi!V22=0,0,1000000*SER_hh_emi!V22/SER_hh_num!V22)</f>
        <v>7644.9125903080812</v>
      </c>
      <c r="W22" s="133">
        <f>IF(SER_hh_emi!W22=0,0,1000000*SER_hh_emi!W22/SER_hh_num!W22)</f>
        <v>8345.9267013646622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6859.5651633094622</v>
      </c>
      <c r="C23" s="133">
        <f>IF(SER_hh_emi!C23=0,0,1000000*SER_hh_emi!C23/SER_hh_num!C23)</f>
        <v>6940.9861715217085</v>
      </c>
      <c r="D23" s="133">
        <f>IF(SER_hh_emi!D23=0,0,1000000*SER_hh_emi!D23/SER_hh_num!D23)</f>
        <v>6961.4085401515085</v>
      </c>
      <c r="E23" s="133">
        <f>IF(SER_hh_emi!E23=0,0,1000000*SER_hh_emi!E23/SER_hh_num!E23)</f>
        <v>6880.0372613106401</v>
      </c>
      <c r="F23" s="133">
        <f>IF(SER_hh_emi!F23=0,0,1000000*SER_hh_emi!F23/SER_hh_num!F23)</f>
        <v>6807.5653792020457</v>
      </c>
      <c r="G23" s="133">
        <f>IF(SER_hh_emi!G23=0,0,1000000*SER_hh_emi!G23/SER_hh_num!G23)</f>
        <v>6806.4415770115265</v>
      </c>
      <c r="H23" s="133">
        <f>IF(SER_hh_emi!H23=0,0,1000000*SER_hh_emi!H23/SER_hh_num!H23)</f>
        <v>6729.0461141732567</v>
      </c>
      <c r="I23" s="133">
        <f>IF(SER_hh_emi!I23=0,0,1000000*SER_hh_emi!I23/SER_hh_num!I23)</f>
        <v>6671.5185769503869</v>
      </c>
      <c r="J23" s="133">
        <f>IF(SER_hh_emi!J23=0,0,1000000*SER_hh_emi!J23/SER_hh_num!J23)</f>
        <v>6640.1642814902043</v>
      </c>
      <c r="K23" s="133">
        <f>IF(SER_hh_emi!K23=0,0,1000000*SER_hh_emi!K23/SER_hh_num!K23)</f>
        <v>6564.3949444551217</v>
      </c>
      <c r="L23" s="133">
        <f>IF(SER_hh_emi!L23=0,0,1000000*SER_hh_emi!L23/SER_hh_num!L23)</f>
        <v>6412.9045399447396</v>
      </c>
      <c r="M23" s="133">
        <f>IF(SER_hh_emi!M23=0,0,1000000*SER_hh_emi!M23/SER_hh_num!M23)</f>
        <v>6394.2758108176786</v>
      </c>
      <c r="N23" s="133">
        <f>IF(SER_hh_emi!N23=0,0,1000000*SER_hh_emi!N23/SER_hh_num!N23)</f>
        <v>6315.0932234055144</v>
      </c>
      <c r="O23" s="133">
        <f>IF(SER_hh_emi!O23=0,0,1000000*SER_hh_emi!O23/SER_hh_num!O23)</f>
        <v>6292.0783711568993</v>
      </c>
      <c r="P23" s="133">
        <f>IF(SER_hh_emi!P23=0,0,1000000*SER_hh_emi!P23/SER_hh_num!P23)</f>
        <v>6292.838312515194</v>
      </c>
      <c r="Q23" s="133">
        <f>IF(SER_hh_emi!Q23=0,0,1000000*SER_hh_emi!Q23/SER_hh_num!Q23)</f>
        <v>6248.4672299820686</v>
      </c>
      <c r="R23" s="133">
        <f>IF(SER_hh_emi!R23=0,0,1000000*SER_hh_emi!R23/SER_hh_num!R23)</f>
        <v>6109.7329733153501</v>
      </c>
      <c r="S23" s="133">
        <f>IF(SER_hh_emi!S23=0,0,1000000*SER_hh_emi!S23/SER_hh_num!S23)</f>
        <v>6103.921297495629</v>
      </c>
      <c r="T23" s="133">
        <f>IF(SER_hh_emi!T23=0,0,1000000*SER_hh_emi!T23/SER_hh_num!T23)</f>
        <v>6334.2988044005815</v>
      </c>
      <c r="U23" s="133">
        <f>IF(SER_hh_emi!U23=0,0,1000000*SER_hh_emi!U23/SER_hh_num!U23)</f>
        <v>5332.4070478945569</v>
      </c>
      <c r="V23" s="133">
        <f>IF(SER_hh_emi!V23=0,0,1000000*SER_hh_emi!V23/SER_hh_num!V23)</f>
        <v>4946.6200062141406</v>
      </c>
      <c r="W23" s="133">
        <f>IF(SER_hh_emi!W23=0,0,1000000*SER_hh_emi!W23/SER_hh_num!W23)</f>
        <v>5534.3717338646138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5795.4236769499494</v>
      </c>
      <c r="C29" s="131">
        <f>IF(SER_hh_emi!C29=0,0,1000000*SER_hh_emi!C29/SER_hh_num!C29)</f>
        <v>5539.7234419930692</v>
      </c>
      <c r="D29" s="131">
        <f>IF(SER_hh_emi!D29=0,0,1000000*SER_hh_emi!D29/SER_hh_num!D29)</f>
        <v>5107.6517099072717</v>
      </c>
      <c r="E29" s="131">
        <f>IF(SER_hh_emi!E29=0,0,1000000*SER_hh_emi!E29/SER_hh_num!E29)</f>
        <v>4298.2989196835015</v>
      </c>
      <c r="F29" s="131">
        <f>IF(SER_hh_emi!F29=0,0,1000000*SER_hh_emi!F29/SER_hh_num!F29)</f>
        <v>3981.601880912513</v>
      </c>
      <c r="G29" s="131">
        <f>IF(SER_hh_emi!G29=0,0,1000000*SER_hh_emi!G29/SER_hh_num!G29)</f>
        <v>4199.7612451935802</v>
      </c>
      <c r="H29" s="131">
        <f>IF(SER_hh_emi!H29=0,0,1000000*SER_hh_emi!H29/SER_hh_num!H29)</f>
        <v>3793.8253232546554</v>
      </c>
      <c r="I29" s="131">
        <f>IF(SER_hh_emi!I29=0,0,1000000*SER_hh_emi!I29/SER_hh_num!I29)</f>
        <v>4187.6990138253759</v>
      </c>
      <c r="J29" s="131">
        <f>IF(SER_hh_emi!J29=0,0,1000000*SER_hh_emi!J29/SER_hh_num!J29)</f>
        <v>3901.4568710056651</v>
      </c>
      <c r="K29" s="131">
        <f>IF(SER_hh_emi!K29=0,0,1000000*SER_hh_emi!K29/SER_hh_num!K29)</f>
        <v>4315.5778956617714</v>
      </c>
      <c r="L29" s="131">
        <f>IF(SER_hh_emi!L29=0,0,1000000*SER_hh_emi!L29/SER_hh_num!L29)</f>
        <v>4372.1989965238618</v>
      </c>
      <c r="M29" s="131">
        <f>IF(SER_hh_emi!M29=0,0,1000000*SER_hh_emi!M29/SER_hh_num!M29)</f>
        <v>4476.3754056358894</v>
      </c>
      <c r="N29" s="131">
        <f>IF(SER_hh_emi!N29=0,0,1000000*SER_hh_emi!N29/SER_hh_num!N29)</f>
        <v>4491.0213850289756</v>
      </c>
      <c r="O29" s="131">
        <f>IF(SER_hh_emi!O29=0,0,1000000*SER_hh_emi!O29/SER_hh_num!O29)</f>
        <v>4681.5384361530614</v>
      </c>
      <c r="P29" s="131">
        <f>IF(SER_hh_emi!P29=0,0,1000000*SER_hh_emi!P29/SER_hh_num!P29)</f>
        <v>5158.447691947702</v>
      </c>
      <c r="Q29" s="131">
        <f>IF(SER_hh_emi!Q29=0,0,1000000*SER_hh_emi!Q29/SER_hh_num!Q29)</f>
        <v>5200.5894312348628</v>
      </c>
      <c r="R29" s="131">
        <f>IF(SER_hh_emi!R29=0,0,1000000*SER_hh_emi!R29/SER_hh_num!R29)</f>
        <v>5329.4044640448001</v>
      </c>
      <c r="S29" s="131">
        <f>IF(SER_hh_emi!S29=0,0,1000000*SER_hh_emi!S29/SER_hh_num!S29)</f>
        <v>5283.187309919831</v>
      </c>
      <c r="T29" s="131">
        <f>IF(SER_hh_emi!T29=0,0,1000000*SER_hh_emi!T29/SER_hh_num!T29)</f>
        <v>4929.3001293479692</v>
      </c>
      <c r="U29" s="131">
        <f>IF(SER_hh_emi!U29=0,0,1000000*SER_hh_emi!U29/SER_hh_num!U29)</f>
        <v>5245.8983891264779</v>
      </c>
      <c r="V29" s="131">
        <f>IF(SER_hh_emi!V29=0,0,1000000*SER_hh_emi!V29/SER_hh_num!V29)</f>
        <v>4823.6862929773151</v>
      </c>
      <c r="W29" s="131">
        <f>IF(SER_hh_emi!W29=0,0,1000000*SER_hh_emi!W29/SER_hh_num!W29)</f>
        <v>4933.3494398149851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7446.7148847701974</v>
      </c>
      <c r="C30" s="133">
        <f>IF(SER_hh_emi!C30=0,0,1000000*SER_hh_emi!C30/SER_hh_num!C30)</f>
        <v>7152.6851224591592</v>
      </c>
      <c r="D30" s="133">
        <f>IF(SER_hh_emi!D30=0,0,1000000*SER_hh_emi!D30/SER_hh_num!D30)</f>
        <v>7381.2752455780183</v>
      </c>
      <c r="E30" s="133">
        <f>IF(SER_hh_emi!E30=0,0,1000000*SER_hh_emi!E30/SER_hh_num!E30)</f>
        <v>7523.7838165794028</v>
      </c>
      <c r="F30" s="133">
        <f>IF(SER_hh_emi!F30=0,0,1000000*SER_hh_emi!F30/SER_hh_num!F30)</f>
        <v>7648.8847089978726</v>
      </c>
      <c r="G30" s="133">
        <f>IF(SER_hh_emi!G30=0,0,1000000*SER_hh_emi!G30/SER_hh_num!G30)</f>
        <v>7741.0971635974156</v>
      </c>
      <c r="H30" s="133">
        <f>IF(SER_hh_emi!H30=0,0,1000000*SER_hh_emi!H30/SER_hh_num!H30)</f>
        <v>7496.8071594251196</v>
      </c>
      <c r="I30" s="133">
        <f>IF(SER_hh_emi!I30=0,0,1000000*SER_hh_emi!I30/SER_hh_num!I30)</f>
        <v>8420.4230824455481</v>
      </c>
      <c r="J30" s="133">
        <f>IF(SER_hh_emi!J30=0,0,1000000*SER_hh_emi!J30/SER_hh_num!J30)</f>
        <v>6357.1306507241216</v>
      </c>
      <c r="K30" s="133">
        <f>IF(SER_hh_emi!K30=0,0,1000000*SER_hh_emi!K30/SER_hh_num!K30)</f>
        <v>8316.2569648187491</v>
      </c>
      <c r="L30" s="133">
        <f>IF(SER_hh_emi!L30=0,0,1000000*SER_hh_emi!L30/SER_hh_num!L30)</f>
        <v>8361.0180075396329</v>
      </c>
      <c r="M30" s="133">
        <f>IF(SER_hh_emi!M30=0,0,1000000*SER_hh_emi!M30/SER_hh_num!M30)</f>
        <v>8497.6372370364861</v>
      </c>
      <c r="N30" s="133">
        <f>IF(SER_hh_emi!N30=0,0,1000000*SER_hh_emi!N30/SER_hh_num!N30)</f>
        <v>7463.6240061338476</v>
      </c>
      <c r="O30" s="133">
        <f>IF(SER_hh_emi!O30=0,0,1000000*SER_hh_emi!O30/SER_hh_num!O30)</f>
        <v>7962.1494497097065</v>
      </c>
      <c r="P30" s="133">
        <f>IF(SER_hh_emi!P30=0,0,1000000*SER_hh_emi!P30/SER_hh_num!P30)</f>
        <v>8740.6318611794268</v>
      </c>
      <c r="Q30" s="133">
        <f>IF(SER_hh_emi!Q30=0,0,1000000*SER_hh_emi!Q30/SER_hh_num!Q30)</f>
        <v>8424.0800646884636</v>
      </c>
      <c r="R30" s="133">
        <f>IF(SER_hh_emi!R30=0,0,1000000*SER_hh_emi!R30/SER_hh_num!R30)</f>
        <v>8380.0791638538449</v>
      </c>
      <c r="S30" s="133">
        <f>IF(SER_hh_emi!S30=0,0,1000000*SER_hh_emi!S30/SER_hh_num!S30)</f>
        <v>8491.7936540415831</v>
      </c>
      <c r="T30" s="133">
        <f>IF(SER_hh_emi!T30=0,0,1000000*SER_hh_emi!T30/SER_hh_num!T30)</f>
        <v>8319.4453958506438</v>
      </c>
      <c r="U30" s="133">
        <f>IF(SER_hh_emi!U30=0,0,1000000*SER_hh_emi!U30/SER_hh_num!U30)</f>
        <v>7915.2340373709994</v>
      </c>
      <c r="V30" s="133">
        <f>IF(SER_hh_emi!V30=0,0,1000000*SER_hh_emi!V30/SER_hh_num!V30)</f>
        <v>7966.0502763474969</v>
      </c>
      <c r="W30" s="133">
        <f>IF(SER_hh_emi!W30=0,0,1000000*SER_hh_emi!W30/SER_hh_num!W30)</f>
        <v>7906.9120438234486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6396.0919990486545</v>
      </c>
      <c r="C31" s="133">
        <f>IF(SER_hh_emi!C31=0,0,1000000*SER_hh_emi!C31/SER_hh_num!C31)</f>
        <v>6489.1113842257892</v>
      </c>
      <c r="D31" s="133">
        <f>IF(SER_hh_emi!D31=0,0,1000000*SER_hh_emi!D31/SER_hh_num!D31)</f>
        <v>6608.951507449302</v>
      </c>
      <c r="E31" s="133">
        <f>IF(SER_hh_emi!E31=0,0,1000000*SER_hh_emi!E31/SER_hh_num!E31)</f>
        <v>6032.7353500148565</v>
      </c>
      <c r="F31" s="133">
        <f>IF(SER_hh_emi!F31=0,0,1000000*SER_hh_emi!F31/SER_hh_num!F31)</f>
        <v>6152.957330806239</v>
      </c>
      <c r="G31" s="133">
        <f>IF(SER_hh_emi!G31=0,0,1000000*SER_hh_emi!G31/SER_hh_num!G31)</f>
        <v>7036.5650620109263</v>
      </c>
      <c r="H31" s="133">
        <f>IF(SER_hh_emi!H31=0,0,1000000*SER_hh_emi!H31/SER_hh_num!H31)</f>
        <v>6473.6701647597611</v>
      </c>
      <c r="I31" s="133">
        <f>IF(SER_hh_emi!I31=0,0,1000000*SER_hh_emi!I31/SER_hh_num!I31)</f>
        <v>6997.4947970226567</v>
      </c>
      <c r="J31" s="133">
        <f>IF(SER_hh_emi!J31=0,0,1000000*SER_hh_emi!J31/SER_hh_num!J31)</f>
        <v>6860.675106777072</v>
      </c>
      <c r="K31" s="133">
        <f>IF(SER_hh_emi!K31=0,0,1000000*SER_hh_emi!K31/SER_hh_num!K31)</f>
        <v>7160.1552539437398</v>
      </c>
      <c r="L31" s="133">
        <f>IF(SER_hh_emi!L31=0,0,1000000*SER_hh_emi!L31/SER_hh_num!L31)</f>
        <v>7113.6337338369431</v>
      </c>
      <c r="M31" s="133">
        <f>IF(SER_hh_emi!M31=0,0,1000000*SER_hh_emi!M31/SER_hh_num!M31)</f>
        <v>7080.3588819083552</v>
      </c>
      <c r="N31" s="133">
        <f>IF(SER_hh_emi!N31=0,0,1000000*SER_hh_emi!N31/SER_hh_num!N31)</f>
        <v>7098.6233294625781</v>
      </c>
      <c r="O31" s="133">
        <f>IF(SER_hh_emi!O31=0,0,1000000*SER_hh_emi!O31/SER_hh_num!O31)</f>
        <v>7124.7158512556143</v>
      </c>
      <c r="P31" s="133">
        <f>IF(SER_hh_emi!P31=0,0,1000000*SER_hh_emi!P31/SER_hh_num!P31)</f>
        <v>7408.1079315857269</v>
      </c>
      <c r="Q31" s="133">
        <f>IF(SER_hh_emi!Q31=0,0,1000000*SER_hh_emi!Q31/SER_hh_num!Q31)</f>
        <v>7327.7603245553237</v>
      </c>
      <c r="R31" s="133">
        <f>IF(SER_hh_emi!R31=0,0,1000000*SER_hh_emi!R31/SER_hh_num!R31)</f>
        <v>7493.5878140296345</v>
      </c>
      <c r="S31" s="133">
        <f>IF(SER_hh_emi!S31=0,0,1000000*SER_hh_emi!S31/SER_hh_num!S31)</f>
        <v>7431.7497057002438</v>
      </c>
      <c r="T31" s="133">
        <f>IF(SER_hh_emi!T31=0,0,1000000*SER_hh_emi!T31/SER_hh_num!T31)</f>
        <v>6838.9142756138453</v>
      </c>
      <c r="U31" s="133">
        <f>IF(SER_hh_emi!U31=0,0,1000000*SER_hh_emi!U31/SER_hh_num!U31)</f>
        <v>7433.6335647733194</v>
      </c>
      <c r="V31" s="133">
        <f>IF(SER_hh_emi!V31=0,0,1000000*SER_hh_emi!V31/SER_hh_num!V31)</f>
        <v>6577.2256975294913</v>
      </c>
      <c r="W31" s="133">
        <f>IF(SER_hh_emi!W31=0,0,1000000*SER_hh_emi!W31/SER_hh_num!W31)</f>
        <v>6758.3832825370046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217.11976665036067</v>
      </c>
      <c r="C3" s="126">
        <f>IF(SER_hh_fech!C3=0,0,SER_hh_fech!C3/SER_summary!C$26)</f>
        <v>220.32404357502267</v>
      </c>
      <c r="D3" s="126">
        <f>IF(SER_hh_fech!D3=0,0,SER_hh_fech!D3/SER_summary!D$26)</f>
        <v>214.44489919031486</v>
      </c>
      <c r="E3" s="126">
        <f>IF(SER_hh_fech!E3=0,0,SER_hh_fech!E3/SER_summary!E$26)</f>
        <v>239.54661592545648</v>
      </c>
      <c r="F3" s="126">
        <f>IF(SER_hh_fech!F3=0,0,SER_hh_fech!F3/SER_summary!F$26)</f>
        <v>241.9629077810084</v>
      </c>
      <c r="G3" s="126">
        <f>IF(SER_hh_fech!G3=0,0,SER_hh_fech!G3/SER_summary!G$26)</f>
        <v>274.2371961934162</v>
      </c>
      <c r="H3" s="126">
        <f>IF(SER_hh_fech!H3=0,0,SER_hh_fech!H3/SER_summary!H$26)</f>
        <v>277.24985715163569</v>
      </c>
      <c r="I3" s="126">
        <f>IF(SER_hh_fech!I3=0,0,SER_hh_fech!I3/SER_summary!I$26)</f>
        <v>262.11250145452442</v>
      </c>
      <c r="J3" s="126">
        <f>IF(SER_hh_fech!J3=0,0,SER_hh_fech!J3/SER_summary!J$26)</f>
        <v>298.22163343757177</v>
      </c>
      <c r="K3" s="126">
        <f>IF(SER_hh_fech!K3=0,0,SER_hh_fech!K3/SER_summary!K$26)</f>
        <v>295.04192495985643</v>
      </c>
      <c r="L3" s="126">
        <f>IF(SER_hh_fech!L3=0,0,SER_hh_fech!L3/SER_summary!L$26)</f>
        <v>293.99273729089947</v>
      </c>
      <c r="M3" s="126">
        <f>IF(SER_hh_fech!M3=0,0,SER_hh_fech!M3/SER_summary!M$26)</f>
        <v>265.16473554995088</v>
      </c>
      <c r="N3" s="126">
        <f>IF(SER_hh_fech!N3=0,0,SER_hh_fech!N3/SER_summary!N$26)</f>
        <v>267.04538433587123</v>
      </c>
      <c r="O3" s="126">
        <f>IF(SER_hh_fech!O3=0,0,SER_hh_fech!O3/SER_summary!O$26)</f>
        <v>264.14681418401238</v>
      </c>
      <c r="P3" s="126">
        <f>IF(SER_hh_fech!P3=0,0,SER_hh_fech!P3/SER_summary!P$26)</f>
        <v>233.94644220910351</v>
      </c>
      <c r="Q3" s="126">
        <f>IF(SER_hh_fech!Q3=0,0,SER_hh_fech!Q3/SER_summary!Q$26)</f>
        <v>247.57560480281077</v>
      </c>
      <c r="R3" s="126">
        <f>IF(SER_hh_fech!R3=0,0,SER_hh_fech!R3/SER_summary!R$26)</f>
        <v>248.39137095999067</v>
      </c>
      <c r="S3" s="126">
        <f>IF(SER_hh_fech!S3=0,0,SER_hh_fech!S3/SER_summary!S$26)</f>
        <v>250.57213246522574</v>
      </c>
      <c r="T3" s="126">
        <f>IF(SER_hh_fech!T3=0,0,SER_hh_fech!T3/SER_summary!T$26)</f>
        <v>266.66878639973106</v>
      </c>
      <c r="U3" s="126">
        <f>IF(SER_hh_fech!U3=0,0,SER_hh_fech!U3/SER_summary!U$26)</f>
        <v>252.72747985364597</v>
      </c>
      <c r="V3" s="126">
        <f>IF(SER_hh_fech!V3=0,0,SER_hh_fech!V3/SER_summary!V$26)</f>
        <v>225.73213434567998</v>
      </c>
      <c r="W3" s="126">
        <f>IF(SER_hh_fech!W3=0,0,SER_hh_fech!W3/SER_summary!W$26)</f>
        <v>228.06186126383531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145.10936425607588</v>
      </c>
      <c r="C4" s="131">
        <f>IF(SER_hh_fech!C4=0,0,SER_hh_fech!C4/SER_summary!C$26)</f>
        <v>148.02874273417584</v>
      </c>
      <c r="D4" s="131">
        <f>IF(SER_hh_fech!D4=0,0,SER_hh_fech!D4/SER_summary!D$26)</f>
        <v>142.80391637670797</v>
      </c>
      <c r="E4" s="131">
        <f>IF(SER_hh_fech!E4=0,0,SER_hh_fech!E4/SER_summary!E$26)</f>
        <v>165.03864590326452</v>
      </c>
      <c r="F4" s="131">
        <f>IF(SER_hh_fech!F4=0,0,SER_hh_fech!F4/SER_summary!F$26)</f>
        <v>171.11284827570893</v>
      </c>
      <c r="G4" s="131">
        <f>IF(SER_hh_fech!G4=0,0,SER_hh_fech!G4/SER_summary!G$26)</f>
        <v>202.58297792815054</v>
      </c>
      <c r="H4" s="131">
        <f>IF(SER_hh_fech!H4=0,0,SER_hh_fech!H4/SER_summary!H$26)</f>
        <v>205.83905008377138</v>
      </c>
      <c r="I4" s="131">
        <f>IF(SER_hh_fech!I4=0,0,SER_hh_fech!I4/SER_summary!I$26)</f>
        <v>189.81467947002088</v>
      </c>
      <c r="J4" s="131">
        <f>IF(SER_hh_fech!J4=0,0,SER_hh_fech!J4/SER_summary!J$26)</f>
        <v>225.31455564862404</v>
      </c>
      <c r="K4" s="131">
        <f>IF(SER_hh_fech!K4=0,0,SER_hh_fech!K4/SER_summary!K$26)</f>
        <v>221.17812994949321</v>
      </c>
      <c r="L4" s="131">
        <f>IF(SER_hh_fech!L4=0,0,SER_hh_fech!L4/SER_summary!L$26)</f>
        <v>221.08399559232728</v>
      </c>
      <c r="M4" s="131">
        <f>IF(SER_hh_fech!M4=0,0,SER_hh_fech!M4/SER_summary!M$26)</f>
        <v>191.48302500176104</v>
      </c>
      <c r="N4" s="131">
        <f>IF(SER_hh_fech!N4=0,0,SER_hh_fech!N4/SER_summary!N$26)</f>
        <v>190.9939082076317</v>
      </c>
      <c r="O4" s="131">
        <f>IF(SER_hh_fech!O4=0,0,SER_hh_fech!O4/SER_summary!O$26)</f>
        <v>190.14635057484179</v>
      </c>
      <c r="P4" s="131">
        <f>IF(SER_hh_fech!P4=0,0,SER_hh_fech!P4/SER_summary!P$26)</f>
        <v>159.81574548106948</v>
      </c>
      <c r="Q4" s="131">
        <f>IF(SER_hh_fech!Q4=0,0,SER_hh_fech!Q4/SER_summary!Q$26)</f>
        <v>170.33216415540105</v>
      </c>
      <c r="R4" s="131">
        <f>IF(SER_hh_fech!R4=0,0,SER_hh_fech!R4/SER_summary!R$26)</f>
        <v>173.21513920934422</v>
      </c>
      <c r="S4" s="131">
        <f>IF(SER_hh_fech!S4=0,0,SER_hh_fech!S4/SER_summary!S$26)</f>
        <v>174.30487412429363</v>
      </c>
      <c r="T4" s="131">
        <f>IF(SER_hh_fech!T4=0,0,SER_hh_fech!T4/SER_summary!T$26)</f>
        <v>193.33695757905093</v>
      </c>
      <c r="U4" s="131">
        <f>IF(SER_hh_fech!U4=0,0,SER_hh_fech!U4/SER_summary!U$26)</f>
        <v>179.90899470092515</v>
      </c>
      <c r="V4" s="131">
        <f>IF(SER_hh_fech!V4=0,0,SER_hh_fech!V4/SER_summary!V$26)</f>
        <v>161.38309499460428</v>
      </c>
      <c r="W4" s="131">
        <f>IF(SER_hh_fech!W4=0,0,SER_hh_fech!W4/SER_summary!W$26)</f>
        <v>158.44983382507644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170.01709100644885</v>
      </c>
      <c r="C6" s="133">
        <f>IF(SER_hh_fech!C6=0,0,SER_hh_fech!C6/SER_summary!C$26)</f>
        <v>172.52066913023543</v>
      </c>
      <c r="D6" s="133">
        <f>IF(SER_hh_fech!D6=0,0,SER_hh_fech!D6/SER_summary!D$26)</f>
        <v>164.47782431913436</v>
      </c>
      <c r="E6" s="133">
        <f>IF(SER_hh_fech!E6=0,0,SER_hh_fech!E6/SER_summary!E$26)</f>
        <v>199.83601627343114</v>
      </c>
      <c r="F6" s="133">
        <f>IF(SER_hh_fech!F6=0,0,SER_hh_fech!F6/SER_summary!F$26)</f>
        <v>205.61899339802255</v>
      </c>
      <c r="G6" s="133">
        <f>IF(SER_hh_fech!G6=0,0,SER_hh_fech!G6/SER_summary!G$26)</f>
        <v>240.01003954522184</v>
      </c>
      <c r="H6" s="133">
        <f>IF(SER_hh_fech!H6=0,0,SER_hh_fech!H6/SER_summary!H$26)</f>
        <v>243.8573602441096</v>
      </c>
      <c r="I6" s="133">
        <f>IF(SER_hh_fech!I6=0,0,SER_hh_fech!I6/SER_summary!I$26)</f>
        <v>230.12717101969164</v>
      </c>
      <c r="J6" s="133">
        <f>IF(SER_hh_fech!J6=0,0,SER_hh_fech!J6/SER_summary!J$26)</f>
        <v>269.7183148106846</v>
      </c>
      <c r="K6" s="133">
        <f>IF(SER_hh_fech!K6=0,0,SER_hh_fech!K6/SER_summary!K$26)</f>
        <v>270.86377787051572</v>
      </c>
      <c r="L6" s="133">
        <f>IF(SER_hh_fech!L6=0,0,SER_hh_fech!L6/SER_summary!L$26)</f>
        <v>280.05184003684076</v>
      </c>
      <c r="M6" s="133">
        <f>IF(SER_hh_fech!M6=0,0,SER_hh_fech!M6/SER_summary!M$26)</f>
        <v>251.31704333821602</v>
      </c>
      <c r="N6" s="133">
        <f>IF(SER_hh_fech!N6=0,0,SER_hh_fech!N6/SER_summary!N$26)</f>
        <v>231.10487929477119</v>
      </c>
      <c r="O6" s="133">
        <f>IF(SER_hh_fech!O6=0,0,SER_hh_fech!O6/SER_summary!O$26)</f>
        <v>254.60254887058619</v>
      </c>
      <c r="P6" s="133">
        <f>IF(SER_hh_fech!P6=0,0,SER_hh_fech!P6/SER_summary!P$26)</f>
        <v>235.80588092042345</v>
      </c>
      <c r="Q6" s="133">
        <f>IF(SER_hh_fech!Q6=0,0,SER_hh_fech!Q6/SER_summary!Q$26)</f>
        <v>246.10563324716142</v>
      </c>
      <c r="R6" s="133">
        <f>IF(SER_hh_fech!R6=0,0,SER_hh_fech!R6/SER_summary!R$26)</f>
        <v>286.98426038922719</v>
      </c>
      <c r="S6" s="133">
        <f>IF(SER_hh_fech!S6=0,0,SER_hh_fech!S6/SER_summary!S$26)</f>
        <v>305.47230002050156</v>
      </c>
      <c r="T6" s="133">
        <f>IF(SER_hh_fech!T6=0,0,SER_hh_fech!T6/SER_summary!T$26)</f>
        <v>289.66263437371077</v>
      </c>
      <c r="U6" s="133">
        <f>IF(SER_hh_fech!U6=0,0,SER_hh_fech!U6/SER_summary!U$26)</f>
        <v>294.61036255159433</v>
      </c>
      <c r="V6" s="133">
        <f>IF(SER_hh_fech!V6=0,0,SER_hh_fech!V6/SER_summary!V$26)</f>
        <v>270.21914346498028</v>
      </c>
      <c r="W6" s="133">
        <f>IF(SER_hh_fech!W6=0,0,SER_hh_fech!W6/SER_summary!W$26)</f>
        <v>318.63186260623741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207.52637239459128</v>
      </c>
      <c r="C7" s="133">
        <f>IF(SER_hh_fech!C7=0,0,SER_hh_fech!C7/SER_summary!C$26)</f>
        <v>129.68122294938277</v>
      </c>
      <c r="D7" s="133">
        <f>IF(SER_hh_fech!D7=0,0,SER_hh_fech!D7/SER_summary!D$26)</f>
        <v>169.13530014147335</v>
      </c>
      <c r="E7" s="133">
        <f>IF(SER_hh_fech!E7=0,0,SER_hh_fech!E7/SER_summary!E$26)</f>
        <v>210.31827512988289</v>
      </c>
      <c r="F7" s="133">
        <f>IF(SER_hh_fech!F7=0,0,SER_hh_fech!F7/SER_summary!F$26)</f>
        <v>220.27221279089602</v>
      </c>
      <c r="G7" s="133">
        <f>IF(SER_hh_fech!G7=0,0,SER_hh_fech!G7/SER_summary!G$26)</f>
        <v>233.96077316370952</v>
      </c>
      <c r="H7" s="133">
        <f>IF(SER_hh_fech!H7=0,0,SER_hh_fech!H7/SER_summary!H$26)</f>
        <v>249.83273816049297</v>
      </c>
      <c r="I7" s="133">
        <f>IF(SER_hh_fech!I7=0,0,SER_hh_fech!I7/SER_summary!I$26)</f>
        <v>245.50005690690008</v>
      </c>
      <c r="J7" s="133">
        <f>IF(SER_hh_fech!J7=0,0,SER_hh_fech!J7/SER_summary!J$26)</f>
        <v>310.98747990194863</v>
      </c>
      <c r="K7" s="133">
        <f>IF(SER_hh_fech!K7=0,0,SER_hh_fech!K7/SER_summary!K$26)</f>
        <v>223.6780012660667</v>
      </c>
      <c r="L7" s="133">
        <f>IF(SER_hh_fech!L7=0,0,SER_hh_fech!L7/SER_summary!L$26)</f>
        <v>270.58050633133621</v>
      </c>
      <c r="M7" s="133">
        <f>IF(SER_hh_fech!M7=0,0,SER_hh_fech!M7/SER_summary!M$26)</f>
        <v>267.17886503415014</v>
      </c>
      <c r="N7" s="133">
        <f>IF(SER_hh_fech!N7=0,0,SER_hh_fech!N7/SER_summary!N$26)</f>
        <v>266.248963455987</v>
      </c>
      <c r="O7" s="133">
        <f>IF(SER_hh_fech!O7=0,0,SER_hh_fech!O7/SER_summary!O$26)</f>
        <v>240.95165921897868</v>
      </c>
      <c r="P7" s="133">
        <f>IF(SER_hh_fech!P7=0,0,SER_hh_fech!P7/SER_summary!P$26)</f>
        <v>250.73930032363916</v>
      </c>
      <c r="Q7" s="133">
        <f>IF(SER_hh_fech!Q7=0,0,SER_hh_fech!Q7/SER_summary!Q$26)</f>
        <v>304.77248241943033</v>
      </c>
      <c r="R7" s="133">
        <f>IF(SER_hh_fech!R7=0,0,SER_hh_fech!R7/SER_summary!R$26)</f>
        <v>329.738957342655</v>
      </c>
      <c r="S7" s="133">
        <f>IF(SER_hh_fech!S7=0,0,SER_hh_fech!S7/SER_summary!S$26)</f>
        <v>265.24227999084326</v>
      </c>
      <c r="T7" s="133">
        <f>IF(SER_hh_fech!T7=0,0,SER_hh_fech!T7/SER_summary!T$26)</f>
        <v>339.72194270477098</v>
      </c>
      <c r="U7" s="133">
        <f>IF(SER_hh_fech!U7=0,0,SER_hh_fech!U7/SER_summary!U$26)</f>
        <v>260.60636315307892</v>
      </c>
      <c r="V7" s="133">
        <f>IF(SER_hh_fech!V7=0,0,SER_hh_fech!V7/SER_summary!V$26)</f>
        <v>203.56620234367142</v>
      </c>
      <c r="W7" s="133">
        <f>IF(SER_hh_fech!W7=0,0,SER_hh_fech!W7/SER_summary!W$26)</f>
        <v>355.0172508358761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70.109756855052424</v>
      </c>
      <c r="C8" s="133">
        <f>IF(SER_hh_fech!C8=0,0,SER_hh_fech!C8/SER_summary!C$26)</f>
        <v>74.076320729898242</v>
      </c>
      <c r="D8" s="133">
        <f>IF(SER_hh_fech!D8=0,0,SER_hh_fech!D8/SER_summary!D$26)</f>
        <v>65.31416386609105</v>
      </c>
      <c r="E8" s="133">
        <f>IF(SER_hh_fech!E8=0,0,SER_hh_fech!E8/SER_summary!E$26)</f>
        <v>71.495919506340925</v>
      </c>
      <c r="F8" s="133">
        <f>IF(SER_hh_fech!F8=0,0,SER_hh_fech!F8/SER_summary!F$26)</f>
        <v>70.812632229862359</v>
      </c>
      <c r="G8" s="133">
        <f>IF(SER_hh_fech!G8=0,0,SER_hh_fech!G8/SER_summary!G$26)</f>
        <v>73.104251971260908</v>
      </c>
      <c r="H8" s="133">
        <f>IF(SER_hh_fech!H8=0,0,SER_hh_fech!H8/SER_summary!H$26)</f>
        <v>73.158153530002139</v>
      </c>
      <c r="I8" s="133">
        <f>IF(SER_hh_fech!I8=0,0,SER_hh_fech!I8/SER_summary!I$26)</f>
        <v>71.069443377591512</v>
      </c>
      <c r="J8" s="133">
        <f>IF(SER_hh_fech!J8=0,0,SER_hh_fech!J8/SER_summary!J$26)</f>
        <v>71.191284030814501</v>
      </c>
      <c r="K8" s="133">
        <f>IF(SER_hh_fech!K8=0,0,SER_hh_fech!K8/SER_summary!K$26)</f>
        <v>66.523007810903195</v>
      </c>
      <c r="L8" s="133">
        <f>IF(SER_hh_fech!L8=0,0,SER_hh_fech!L8/SER_summary!L$26)</f>
        <v>59.555558345724386</v>
      </c>
      <c r="M8" s="133">
        <f>IF(SER_hh_fech!M8=0,0,SER_hh_fech!M8/SER_summary!M$26)</f>
        <v>53.144842004143499</v>
      </c>
      <c r="N8" s="133">
        <f>IF(SER_hh_fech!N8=0,0,SER_hh_fech!N8/SER_summary!N$26)</f>
        <v>48.569908507707005</v>
      </c>
      <c r="O8" s="133">
        <f>IF(SER_hh_fech!O8=0,0,SER_hh_fech!O8/SER_summary!O$26)</f>
        <v>47.594685944089569</v>
      </c>
      <c r="P8" s="133">
        <f>IF(SER_hh_fech!P8=0,0,SER_hh_fech!P8/SER_summary!P$26)</f>
        <v>48.957546894520604</v>
      </c>
      <c r="Q8" s="133">
        <f>IF(SER_hh_fech!Q8=0,0,SER_hh_fech!Q8/SER_summary!Q$26)</f>
        <v>57.149239253824412</v>
      </c>
      <c r="R8" s="133">
        <f>IF(SER_hh_fech!R8=0,0,SER_hh_fech!R8/SER_summary!R$26)</f>
        <v>54.404769840875446</v>
      </c>
      <c r="S8" s="133">
        <f>IF(SER_hh_fech!S8=0,0,SER_hh_fech!S8/SER_summary!S$26)</f>
        <v>54.600342686711414</v>
      </c>
      <c r="T8" s="133">
        <f>IF(SER_hh_fech!T8=0,0,SER_hh_fech!T8/SER_summary!T$26)</f>
        <v>54.392604483446419</v>
      </c>
      <c r="U8" s="133">
        <f>IF(SER_hh_fech!U8=0,0,SER_hh_fech!U8/SER_summary!U$26)</f>
        <v>50.771754962778793</v>
      </c>
      <c r="V8" s="133">
        <f>IF(SER_hh_fech!V8=0,0,SER_hh_fech!V8/SER_summary!V$26)</f>
        <v>48.287805039002485</v>
      </c>
      <c r="W8" s="133">
        <f>IF(SER_hh_fech!W8=0,0,SER_hh_fech!W8/SER_summary!W$26)</f>
        <v>47.943623845048229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158.1414636303727</v>
      </c>
      <c r="C9" s="133">
        <f>IF(SER_hh_fech!C9=0,0,SER_hh_fech!C9/SER_summary!C$26)</f>
        <v>165.78926398115769</v>
      </c>
      <c r="D9" s="133">
        <f>IF(SER_hh_fech!D9=0,0,SER_hh_fech!D9/SER_summary!D$26)</f>
        <v>149.37300773608195</v>
      </c>
      <c r="E9" s="133">
        <f>IF(SER_hh_fech!E9=0,0,SER_hh_fech!E9/SER_summary!E$26)</f>
        <v>179.84593725465274</v>
      </c>
      <c r="F9" s="133">
        <f>IF(SER_hh_fech!F9=0,0,SER_hh_fech!F9/SER_summary!F$26)</f>
        <v>180.81996174383235</v>
      </c>
      <c r="G9" s="133">
        <f>IF(SER_hh_fech!G9=0,0,SER_hh_fech!G9/SER_summary!G$26)</f>
        <v>221.67626442493338</v>
      </c>
      <c r="H9" s="133">
        <f>IF(SER_hh_fech!H9=0,0,SER_hh_fech!H9/SER_summary!H$26)</f>
        <v>222.27761827797056</v>
      </c>
      <c r="I9" s="133">
        <f>IF(SER_hh_fech!I9=0,0,SER_hh_fech!I9/SER_summary!I$26)</f>
        <v>195.01306745194088</v>
      </c>
      <c r="J9" s="133">
        <f>IF(SER_hh_fech!J9=0,0,SER_hh_fech!J9/SER_summary!J$26)</f>
        <v>244.46230699433926</v>
      </c>
      <c r="K9" s="133">
        <f>IF(SER_hh_fech!K9=0,0,SER_hh_fech!K9/SER_summary!K$26)</f>
        <v>242.88779458779007</v>
      </c>
      <c r="L9" s="133">
        <f>IF(SER_hh_fech!L9=0,0,SER_hh_fech!L9/SER_summary!L$26)</f>
        <v>246.25925557909974</v>
      </c>
      <c r="M9" s="133">
        <f>IF(SER_hh_fech!M9=0,0,SER_hh_fech!M9/SER_summary!M$26)</f>
        <v>206.60472083115741</v>
      </c>
      <c r="N9" s="133">
        <f>IF(SER_hh_fech!N9=0,0,SER_hh_fech!N9/SER_summary!N$26)</f>
        <v>219.18192754350886</v>
      </c>
      <c r="O9" s="133">
        <f>IF(SER_hh_fech!O9=0,0,SER_hh_fech!O9/SER_summary!O$26)</f>
        <v>237.46381375937173</v>
      </c>
      <c r="P9" s="133">
        <f>IF(SER_hh_fech!P9=0,0,SER_hh_fech!P9/SER_summary!P$26)</f>
        <v>196.40192732646327</v>
      </c>
      <c r="Q9" s="133">
        <f>IF(SER_hh_fech!Q9=0,0,SER_hh_fech!Q9/SER_summary!Q$26)</f>
        <v>239.42786362671396</v>
      </c>
      <c r="R9" s="133">
        <f>IF(SER_hh_fech!R9=0,0,SER_hh_fech!R9/SER_summary!R$26)</f>
        <v>253.49918735829971</v>
      </c>
      <c r="S9" s="133">
        <f>IF(SER_hh_fech!S9=0,0,SER_hh_fech!S9/SER_summary!S$26)</f>
        <v>248.06738233416684</v>
      </c>
      <c r="T9" s="133">
        <f>IF(SER_hh_fech!T9=0,0,SER_hh_fech!T9/SER_summary!T$26)</f>
        <v>277.82148911311862</v>
      </c>
      <c r="U9" s="133">
        <f>IF(SER_hh_fech!U9=0,0,SER_hh_fech!U9/SER_summary!U$26)</f>
        <v>263.26436825359002</v>
      </c>
      <c r="V9" s="133">
        <f>IF(SER_hh_fech!V9=0,0,SER_hh_fech!V9/SER_summary!V$26)</f>
        <v>245.79653776170863</v>
      </c>
      <c r="W9" s="133">
        <f>IF(SER_hh_fech!W9=0,0,SER_hh_fech!W9/SER_summary!W$26)</f>
        <v>216.41908035961285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131.19189696271982</v>
      </c>
      <c r="C10" s="133">
        <f>IF(SER_hh_fech!C10=0,0,SER_hh_fech!C10/SER_summary!C$26)</f>
        <v>138.81355703994672</v>
      </c>
      <c r="D10" s="133">
        <f>IF(SER_hh_fech!D10=0,0,SER_hh_fech!D10/SER_summary!D$26)</f>
        <v>136.30879126057479</v>
      </c>
      <c r="E10" s="133">
        <f>IF(SER_hh_fech!E10=0,0,SER_hh_fech!E10/SER_summary!E$26)</f>
        <v>150.20073775562597</v>
      </c>
      <c r="F10" s="133">
        <f>IF(SER_hh_fech!F10=0,0,SER_hh_fech!F10/SER_summary!F$26)</f>
        <v>162.69836877299221</v>
      </c>
      <c r="G10" s="133">
        <f>IF(SER_hh_fech!G10=0,0,SER_hh_fech!G10/SER_summary!G$26)</f>
        <v>174.87555479860973</v>
      </c>
      <c r="H10" s="133">
        <f>IF(SER_hh_fech!H10=0,0,SER_hh_fech!H10/SER_summary!H$26)</f>
        <v>224.23035372275541</v>
      </c>
      <c r="I10" s="133">
        <f>IF(SER_hh_fech!I10=0,0,SER_hh_fech!I10/SER_summary!I$26)</f>
        <v>183.25976577329686</v>
      </c>
      <c r="J10" s="133">
        <f>IF(SER_hh_fech!J10=0,0,SER_hh_fech!J10/SER_summary!J$26)</f>
        <v>170.05899341257913</v>
      </c>
      <c r="K10" s="133">
        <f>IF(SER_hh_fech!K10=0,0,SER_hh_fech!K10/SER_summary!K$26)</f>
        <v>203.08436441830742</v>
      </c>
      <c r="L10" s="133">
        <f>IF(SER_hh_fech!L10=0,0,SER_hh_fech!L10/SER_summary!L$26)</f>
        <v>250.73224863771347</v>
      </c>
      <c r="M10" s="133">
        <f>IF(SER_hh_fech!M10=0,0,SER_hh_fech!M10/SER_summary!M$26)</f>
        <v>210.67899394916628</v>
      </c>
      <c r="N10" s="133">
        <f>IF(SER_hh_fech!N10=0,0,SER_hh_fech!N10/SER_summary!N$26)</f>
        <v>163.72784957773175</v>
      </c>
      <c r="O10" s="133">
        <f>IF(SER_hh_fech!O10=0,0,SER_hh_fech!O10/SER_summary!O$26)</f>
        <v>207.77094164060472</v>
      </c>
      <c r="P10" s="133">
        <f>IF(SER_hh_fech!P10=0,0,SER_hh_fech!P10/SER_summary!P$26)</f>
        <v>269.63481339508888</v>
      </c>
      <c r="Q10" s="133">
        <f>IF(SER_hh_fech!Q10=0,0,SER_hh_fech!Q10/SER_summary!Q$26)</f>
        <v>223.58391856122344</v>
      </c>
      <c r="R10" s="133">
        <f>IF(SER_hh_fech!R10=0,0,SER_hh_fech!R10/SER_summary!R$26)</f>
        <v>271.24634266507587</v>
      </c>
      <c r="S10" s="133">
        <f>IF(SER_hh_fech!S10=0,0,SER_hh_fech!S10/SER_summary!S$26)</f>
        <v>280.21437034444034</v>
      </c>
      <c r="T10" s="133">
        <f>IF(SER_hh_fech!T10=0,0,SER_hh_fech!T10/SER_summary!T$26)</f>
        <v>269.92610808162436</v>
      </c>
      <c r="U10" s="133">
        <f>IF(SER_hh_fech!U10=0,0,SER_hh_fech!U10/SER_summary!U$26)</f>
        <v>274.73301135448389</v>
      </c>
      <c r="V10" s="133">
        <f>IF(SER_hh_fech!V10=0,0,SER_hh_fech!V10/SER_summary!V$26)</f>
        <v>254.78833089297544</v>
      </c>
      <c r="W10" s="133">
        <f>IF(SER_hh_fech!W10=0,0,SER_hh_fech!W10/SER_summary!W$26)</f>
        <v>258.6265611046382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107.23908059304615</v>
      </c>
      <c r="C11" s="133">
        <f>IF(SER_hh_fech!C11=0,0,SER_hh_fech!C11/SER_summary!C$26)</f>
        <v>109.29274795639108</v>
      </c>
      <c r="D11" s="133">
        <f>IF(SER_hh_fech!D11=0,0,SER_hh_fech!D11/SER_summary!D$26)</f>
        <v>113.84606509736888</v>
      </c>
      <c r="E11" s="133">
        <f>IF(SER_hh_fech!E11=0,0,SER_hh_fech!E11/SER_summary!E$26)</f>
        <v>123.80892496422696</v>
      </c>
      <c r="F11" s="133">
        <f>IF(SER_hh_fech!F11=0,0,SER_hh_fech!F11/SER_summary!F$26)</f>
        <v>133.57677286523165</v>
      </c>
      <c r="G11" s="133">
        <f>IF(SER_hh_fech!G11=0,0,SER_hh_fech!G11/SER_summary!G$26)</f>
        <v>148.53037437453901</v>
      </c>
      <c r="H11" s="133">
        <f>IF(SER_hh_fech!H11=0,0,SER_hh_fech!H11/SER_summary!H$26)</f>
        <v>158.48776692366994</v>
      </c>
      <c r="I11" s="133">
        <f>IF(SER_hh_fech!I11=0,0,SER_hh_fech!I11/SER_summary!I$26)</f>
        <v>164.29074684038616</v>
      </c>
      <c r="J11" s="133">
        <f>IF(SER_hh_fech!J11=0,0,SER_hh_fech!J11/SER_summary!J$26)</f>
        <v>182.14149378175128</v>
      </c>
      <c r="K11" s="133">
        <f>IF(SER_hh_fech!K11=0,0,SER_hh_fech!K11/SER_summary!K$26)</f>
        <v>205.14202783562303</v>
      </c>
      <c r="L11" s="133">
        <f>IF(SER_hh_fech!L11=0,0,SER_hh_fech!L11/SER_summary!L$26)</f>
        <v>148.34890451631665</v>
      </c>
      <c r="M11" s="133">
        <f>IF(SER_hh_fech!M11=0,0,SER_hh_fech!M11/SER_summary!M$26)</f>
        <v>163.79635439935379</v>
      </c>
      <c r="N11" s="133">
        <f>IF(SER_hh_fech!N11=0,0,SER_hh_fech!N11/SER_summary!N$26)</f>
        <v>176.34889816015124</v>
      </c>
      <c r="O11" s="133">
        <f>IF(SER_hh_fech!O11=0,0,SER_hh_fech!O11/SER_summary!O$26)</f>
        <v>179.3431036828631</v>
      </c>
      <c r="P11" s="133">
        <f>IF(SER_hh_fech!P11=0,0,SER_hh_fech!P11/SER_summary!P$26)</f>
        <v>177.24421344372263</v>
      </c>
      <c r="Q11" s="133">
        <f>IF(SER_hh_fech!Q11=0,0,SER_hh_fech!Q11/SER_summary!Q$26)</f>
        <v>195.80660624371583</v>
      </c>
      <c r="R11" s="133">
        <f>IF(SER_hh_fech!R11=0,0,SER_hh_fech!R11/SER_summary!R$26)</f>
        <v>205.74394560898287</v>
      </c>
      <c r="S11" s="133">
        <f>IF(SER_hh_fech!S11=0,0,SER_hh_fech!S11/SER_summary!S$26)</f>
        <v>224.21396182492657</v>
      </c>
      <c r="T11" s="133">
        <f>IF(SER_hh_fech!T11=0,0,SER_hh_fech!T11/SER_summary!T$26)</f>
        <v>227.96576014115655</v>
      </c>
      <c r="U11" s="133">
        <f>IF(SER_hh_fech!U11=0,0,SER_hh_fech!U11/SER_summary!U$26)</f>
        <v>226.2616738327377</v>
      </c>
      <c r="V11" s="133">
        <f>IF(SER_hh_fech!V11=0,0,SER_hh_fech!V11/SER_summary!V$26)</f>
        <v>208.42607743330024</v>
      </c>
      <c r="W11" s="133">
        <f>IF(SER_hh_fech!W11=0,0,SER_hh_fech!W11/SER_summary!W$26)</f>
        <v>198.73162350134862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0</v>
      </c>
      <c r="C12" s="133">
        <f>IF(SER_hh_fech!C12=0,0,SER_hh_fech!C12/SER_summary!C$26)</f>
        <v>0</v>
      </c>
      <c r="D12" s="133">
        <f>IF(SER_hh_fech!D12=0,0,SER_hh_fech!D12/SER_summary!D$26)</f>
        <v>0</v>
      </c>
      <c r="E12" s="133">
        <f>IF(SER_hh_fech!E12=0,0,SER_hh_fech!E12/SER_summary!E$26)</f>
        <v>0</v>
      </c>
      <c r="F12" s="133">
        <f>IF(SER_hh_fech!F12=0,0,SER_hh_fech!F12/SER_summary!F$26)</f>
        <v>183.62909402818241</v>
      </c>
      <c r="G12" s="133">
        <f>IF(SER_hh_fech!G12=0,0,SER_hh_fech!G12/SER_summary!G$26)</f>
        <v>141.33902845458491</v>
      </c>
      <c r="H12" s="133">
        <f>IF(SER_hh_fech!H12=0,0,SER_hh_fech!H12/SER_summary!H$26)</f>
        <v>167.86208176621676</v>
      </c>
      <c r="I12" s="133">
        <f>IF(SER_hh_fech!I12=0,0,SER_hh_fech!I12/SER_summary!I$26)</f>
        <v>168.15822118093234</v>
      </c>
      <c r="J12" s="133">
        <f>IF(SER_hh_fech!J12=0,0,SER_hh_fech!J12/SER_summary!J$26)</f>
        <v>179.07336346029328</v>
      </c>
      <c r="K12" s="133">
        <f>IF(SER_hh_fech!K12=0,0,SER_hh_fech!K12/SER_summary!K$26)</f>
        <v>156.37931322470672</v>
      </c>
      <c r="L12" s="133">
        <f>IF(SER_hh_fech!L12=0,0,SER_hh_fech!L12/SER_summary!L$26)</f>
        <v>119.1063677265663</v>
      </c>
      <c r="M12" s="133">
        <f>IF(SER_hh_fech!M12=0,0,SER_hh_fech!M12/SER_summary!M$26)</f>
        <v>217.15272495261311</v>
      </c>
      <c r="N12" s="133">
        <f>IF(SER_hh_fech!N12=0,0,SER_hh_fech!N12/SER_summary!N$26)</f>
        <v>143.52624743810833</v>
      </c>
      <c r="O12" s="133">
        <f>IF(SER_hh_fech!O12=0,0,SER_hh_fech!O12/SER_summary!O$26)</f>
        <v>164.07528648542717</v>
      </c>
      <c r="P12" s="133">
        <f>IF(SER_hh_fech!P12=0,0,SER_hh_fech!P12/SER_summary!P$26)</f>
        <v>228.34733154643675</v>
      </c>
      <c r="Q12" s="133">
        <f>IF(SER_hh_fech!Q12=0,0,SER_hh_fech!Q12/SER_summary!Q$26)</f>
        <v>179.66321119002271</v>
      </c>
      <c r="R12" s="133">
        <f>IF(SER_hh_fech!R12=0,0,SER_hh_fech!R12/SER_summary!R$26)</f>
        <v>183.34685943159968</v>
      </c>
      <c r="S12" s="133">
        <f>IF(SER_hh_fech!S12=0,0,SER_hh_fech!S12/SER_summary!S$26)</f>
        <v>223.19386297001594</v>
      </c>
      <c r="T12" s="133">
        <f>IF(SER_hh_fech!T12=0,0,SER_hh_fech!T12/SER_summary!T$26)</f>
        <v>267.34335243336977</v>
      </c>
      <c r="U12" s="133">
        <f>IF(SER_hh_fech!U12=0,0,SER_hh_fech!U12/SER_summary!U$26)</f>
        <v>197.25398719851924</v>
      </c>
      <c r="V12" s="133">
        <f>IF(SER_hh_fech!V12=0,0,SER_hh_fech!V12/SER_summary!V$26)</f>
        <v>194.31729265286558</v>
      </c>
      <c r="W12" s="133">
        <f>IF(SER_hh_fech!W12=0,0,SER_hh_fech!W12/SER_summary!W$26)</f>
        <v>221.28860884051659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49.215007570868849</v>
      </c>
      <c r="C13" s="133">
        <f>IF(SER_hh_fech!C13=0,0,SER_hh_fech!C13/SER_summary!C$26)</f>
        <v>43.02705018595536</v>
      </c>
      <c r="D13" s="133">
        <f>IF(SER_hh_fech!D13=0,0,SER_hh_fech!D13/SER_summary!D$26)</f>
        <v>61.105706054222317</v>
      </c>
      <c r="E13" s="133">
        <f>IF(SER_hh_fech!E13=0,0,SER_hh_fech!E13/SER_summary!E$26)</f>
        <v>42.720178018452764</v>
      </c>
      <c r="F13" s="133">
        <f>IF(SER_hh_fech!F13=0,0,SER_hh_fech!F13/SER_summary!F$26)</f>
        <v>54.611597054395581</v>
      </c>
      <c r="G13" s="133">
        <f>IF(SER_hh_fech!G13=0,0,SER_hh_fech!G13/SER_summary!G$26)</f>
        <v>69.639499290505867</v>
      </c>
      <c r="H13" s="133">
        <f>IF(SER_hh_fech!H13=0,0,SER_hh_fech!H13/SER_summary!H$26)</f>
        <v>70.176380983980664</v>
      </c>
      <c r="I13" s="133">
        <f>IF(SER_hh_fech!I13=0,0,SER_hh_fech!I13/SER_summary!I$26)</f>
        <v>65.714882648436344</v>
      </c>
      <c r="J13" s="133">
        <f>IF(SER_hh_fech!J13=0,0,SER_hh_fech!J13/SER_summary!J$26)</f>
        <v>65.098796338171439</v>
      </c>
      <c r="K13" s="133">
        <f>IF(SER_hh_fech!K13=0,0,SER_hh_fech!K13/SER_summary!K$26)</f>
        <v>66.005429688884931</v>
      </c>
      <c r="L13" s="133">
        <f>IF(SER_hh_fech!L13=0,0,SER_hh_fech!L13/SER_summary!L$26)</f>
        <v>53.562149070741853</v>
      </c>
      <c r="M13" s="133">
        <f>IF(SER_hh_fech!M13=0,0,SER_hh_fech!M13/SER_summary!M$26)</f>
        <v>52.379489925885991</v>
      </c>
      <c r="N13" s="133">
        <f>IF(SER_hh_fech!N13=0,0,SER_hh_fech!N13/SER_summary!N$26)</f>
        <v>53.355327466994126</v>
      </c>
      <c r="O13" s="133">
        <f>IF(SER_hh_fech!O13=0,0,SER_hh_fech!O13/SER_summary!O$26)</f>
        <v>43.100686178749399</v>
      </c>
      <c r="P13" s="133">
        <f>IF(SER_hh_fech!P13=0,0,SER_hh_fech!P13/SER_summary!P$26)</f>
        <v>45.533914716382967</v>
      </c>
      <c r="Q13" s="133">
        <f>IF(SER_hh_fech!Q13=0,0,SER_hh_fech!Q13/SER_summary!Q$26)</f>
        <v>60.787024047138914</v>
      </c>
      <c r="R13" s="133">
        <f>IF(SER_hh_fech!R13=0,0,SER_hh_fech!R13/SER_summary!R$26)</f>
        <v>55.730254248791951</v>
      </c>
      <c r="S13" s="133">
        <f>IF(SER_hh_fech!S13=0,0,SER_hh_fech!S13/SER_summary!S$26)</f>
        <v>60.177847531476708</v>
      </c>
      <c r="T13" s="133">
        <f>IF(SER_hh_fech!T13=0,0,SER_hh_fech!T13/SER_summary!T$26)</f>
        <v>58.065391821068268</v>
      </c>
      <c r="U13" s="133">
        <f>IF(SER_hh_fech!U13=0,0,SER_hh_fech!U13/SER_summary!U$26)</f>
        <v>54.743270886053431</v>
      </c>
      <c r="V13" s="133">
        <f>IF(SER_hh_fech!V13=0,0,SER_hh_fech!V13/SER_summary!V$26)</f>
        <v>52.507119393012701</v>
      </c>
      <c r="W13" s="133">
        <f>IF(SER_hh_fech!W13=0,0,SER_hh_fech!W13/SER_summary!W$26)</f>
        <v>40.7034327546695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112.92562882614257</v>
      </c>
      <c r="C14" s="65">
        <f>IF(SER_hh_fech!C14=0,0,SER_hh_fech!C14/SER_summary!C$26)</f>
        <v>117.23863174145538</v>
      </c>
      <c r="D14" s="65">
        <f>IF(SER_hh_fech!D14=0,0,SER_hh_fech!D14/SER_summary!D$26)</f>
        <v>125.96176838199636</v>
      </c>
      <c r="E14" s="65">
        <f>IF(SER_hh_fech!E14=0,0,SER_hh_fech!E14/SER_summary!E$26)</f>
        <v>128.33841863586298</v>
      </c>
      <c r="F14" s="65">
        <f>IF(SER_hh_fech!F14=0,0,SER_hh_fech!F14/SER_summary!F$26)</f>
        <v>144.51055156407276</v>
      </c>
      <c r="G14" s="65">
        <f>IF(SER_hh_fech!G14=0,0,SER_hh_fech!G14/SER_summary!G$26)</f>
        <v>165.2528493184044</v>
      </c>
      <c r="H14" s="65">
        <f>IF(SER_hh_fech!H14=0,0,SER_hh_fech!H14/SER_summary!H$26)</f>
        <v>173.43981726388859</v>
      </c>
      <c r="I14" s="65">
        <f>IF(SER_hh_fech!I14=0,0,SER_hh_fech!I14/SER_summary!I$26)</f>
        <v>179.07379135489381</v>
      </c>
      <c r="J14" s="65">
        <f>IF(SER_hh_fech!J14=0,0,SER_hh_fech!J14/SER_summary!J$26)</f>
        <v>187.0517737944914</v>
      </c>
      <c r="K14" s="65">
        <f>IF(SER_hh_fech!K14=0,0,SER_hh_fech!K14/SER_summary!K$26)</f>
        <v>191.73829993074389</v>
      </c>
      <c r="L14" s="65">
        <f>IF(SER_hh_fech!L14=0,0,SER_hh_fech!L14/SER_summary!L$26)</f>
        <v>194.86333988342139</v>
      </c>
      <c r="M14" s="65">
        <f>IF(SER_hh_fech!M14=0,0,SER_hh_fech!M14/SER_summary!M$26)</f>
        <v>187.66801777751601</v>
      </c>
      <c r="N14" s="65">
        <f>IF(SER_hh_fech!N14=0,0,SER_hh_fech!N14/SER_summary!N$26)</f>
        <v>190.44798310153874</v>
      </c>
      <c r="O14" s="65">
        <f>IF(SER_hh_fech!O14=0,0,SER_hh_fech!O14/SER_summary!O$26)</f>
        <v>194.97855863582132</v>
      </c>
      <c r="P14" s="65">
        <f>IF(SER_hh_fech!P14=0,0,SER_hh_fech!P14/SER_summary!P$26)</f>
        <v>192.33899469478334</v>
      </c>
      <c r="Q14" s="65">
        <f>IF(SER_hh_fech!Q14=0,0,SER_hh_fech!Q14/SER_summary!Q$26)</f>
        <v>194.40222904645276</v>
      </c>
      <c r="R14" s="65">
        <f>IF(SER_hh_fech!R14=0,0,SER_hh_fech!R14/SER_summary!R$26)</f>
        <v>219.12526027305358</v>
      </c>
      <c r="S14" s="65">
        <f>IF(SER_hh_fech!S14=0,0,SER_hh_fech!S14/SER_summary!S$26)</f>
        <v>230.43926975807278</v>
      </c>
      <c r="T14" s="65">
        <f>IF(SER_hh_fech!T14=0,0,SER_hh_fech!T14/SER_summary!T$26)</f>
        <v>265.59872152099069</v>
      </c>
      <c r="U14" s="65">
        <f>IF(SER_hh_fech!U14=0,0,SER_hh_fech!U14/SER_summary!U$26)</f>
        <v>243.10063233949415</v>
      </c>
      <c r="V14" s="65">
        <f>IF(SER_hh_fech!V14=0,0,SER_hh_fech!V14/SER_summary!V$26)</f>
        <v>183.3695596890567</v>
      </c>
      <c r="W14" s="65">
        <f>IF(SER_hh_fech!W14=0,0,SER_hh_fech!W14/SER_summary!W$26)</f>
        <v>264.19444687132938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1.5920353937230471</v>
      </c>
      <c r="C15" s="135">
        <f>IF(SER_hh_fech!C15=0,0,SER_hh_fech!C15/SER_summary!C$26)</f>
        <v>1.6072490859666273</v>
      </c>
      <c r="D15" s="135">
        <f>IF(SER_hh_fech!D15=0,0,SER_hh_fech!D15/SER_summary!D$26)</f>
        <v>1.4803081659169934</v>
      </c>
      <c r="E15" s="135">
        <f>IF(SER_hh_fech!E15=0,0,SER_hh_fech!E15/SER_summary!E$26)</f>
        <v>1.7897086574079808</v>
      </c>
      <c r="F15" s="135">
        <f>IF(SER_hh_fech!F15=0,0,SER_hh_fech!F15/SER_summary!F$26)</f>
        <v>1.7947134160681326</v>
      </c>
      <c r="G15" s="135">
        <f>IF(SER_hh_fech!G15=0,0,SER_hh_fech!G15/SER_summary!G$26)</f>
        <v>2.1652939905815995</v>
      </c>
      <c r="H15" s="135">
        <f>IF(SER_hh_fech!H15=0,0,SER_hh_fech!H15/SER_summary!H$26)</f>
        <v>2.188398398620194</v>
      </c>
      <c r="I15" s="135">
        <f>IF(SER_hh_fech!I15=0,0,SER_hh_fech!I15/SER_summary!I$26)</f>
        <v>1.9507270898211626</v>
      </c>
      <c r="J15" s="135">
        <f>IF(SER_hh_fech!J15=0,0,SER_hh_fech!J15/SER_summary!J$26)</f>
        <v>2.454733346306361</v>
      </c>
      <c r="K15" s="135">
        <f>IF(SER_hh_fech!K15=0,0,SER_hh_fech!K15/SER_summary!K$26)</f>
        <v>2.4205732379373015</v>
      </c>
      <c r="L15" s="135">
        <f>IF(SER_hh_fech!L15=0,0,SER_hh_fech!L15/SER_summary!L$26)</f>
        <v>2.4855847573572811</v>
      </c>
      <c r="M15" s="135">
        <f>IF(SER_hh_fech!M15=0,0,SER_hh_fech!M15/SER_summary!M$26)</f>
        <v>2.1164781720483417</v>
      </c>
      <c r="N15" s="135">
        <f>IF(SER_hh_fech!N15=0,0,SER_hh_fech!N15/SER_summary!N$26)</f>
        <v>2.230092881057673</v>
      </c>
      <c r="O15" s="135">
        <f>IF(SER_hh_fech!O15=0,0,SER_hh_fech!O15/SER_summary!O$26)</f>
        <v>2.3985204737704642</v>
      </c>
      <c r="P15" s="135">
        <f>IF(SER_hh_fech!P15=0,0,SER_hh_fech!P15/SER_summary!P$26)</f>
        <v>1.9939986170384545</v>
      </c>
      <c r="Q15" s="135">
        <f>IF(SER_hh_fech!Q15=0,0,SER_hh_fech!Q15/SER_summary!Q$26)</f>
        <v>2.3630979417460019</v>
      </c>
      <c r="R15" s="135">
        <f>IF(SER_hh_fech!R15=0,0,SER_hh_fech!R15/SER_summary!R$26)</f>
        <v>2.4899148037196759</v>
      </c>
      <c r="S15" s="135">
        <f>IF(SER_hh_fech!S15=0,0,SER_hh_fech!S15/SER_summary!S$26)</f>
        <v>2.4771742216902735</v>
      </c>
      <c r="T15" s="135">
        <f>IF(SER_hh_fech!T15=0,0,SER_hh_fech!T15/SER_summary!T$26)</f>
        <v>2.8343179081687642</v>
      </c>
      <c r="U15" s="135">
        <f>IF(SER_hh_fech!U15=0,0,SER_hh_fech!U15/SER_summary!U$26)</f>
        <v>2.7237341903348131</v>
      </c>
      <c r="V15" s="135">
        <f>IF(SER_hh_fech!V15=0,0,SER_hh_fech!V15/SER_summary!V$26)</f>
        <v>2.5810260983726416</v>
      </c>
      <c r="W15" s="135">
        <f>IF(SER_hh_fech!W15=0,0,SER_hh_fech!W15/SER_summary!W$26)</f>
        <v>2.3803116688722676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13.749255672310591</v>
      </c>
      <c r="C16" s="131">
        <f>IF(SER_hh_fech!C16=0,0,SER_hh_fech!C16/SER_summary!C$26)</f>
        <v>14.462643864167404</v>
      </c>
      <c r="D16" s="131">
        <f>IF(SER_hh_fech!D16=0,0,SER_hh_fech!D16/SER_summary!D$26)</f>
        <v>12.189901006154123</v>
      </c>
      <c r="E16" s="131">
        <f>IF(SER_hh_fech!E16=0,0,SER_hh_fech!E16/SER_summary!E$26)</f>
        <v>27.311368527185302</v>
      </c>
      <c r="F16" s="131">
        <f>IF(SER_hh_fech!F16=0,0,SER_hh_fech!F16/SER_summary!F$26)</f>
        <v>11.80450233734048</v>
      </c>
      <c r="G16" s="131">
        <f>IF(SER_hh_fech!G16=0,0,SER_hh_fech!G16/SER_summary!G$26)</f>
        <v>11.387825181650603</v>
      </c>
      <c r="H16" s="131">
        <f>IF(SER_hh_fech!H16=0,0,SER_hh_fech!H16/SER_summary!H$26)</f>
        <v>12.765305507573119</v>
      </c>
      <c r="I16" s="131">
        <f>IF(SER_hh_fech!I16=0,0,SER_hh_fech!I16/SER_summary!I$26)</f>
        <v>11.204082108597762</v>
      </c>
      <c r="J16" s="131">
        <f>IF(SER_hh_fech!J16=0,0,SER_hh_fech!J16/SER_summary!J$26)</f>
        <v>12.607045487721521</v>
      </c>
      <c r="K16" s="131">
        <f>IF(SER_hh_fech!K16=0,0,SER_hh_fech!K16/SER_summary!K$26)</f>
        <v>12.764102349318367</v>
      </c>
      <c r="L16" s="131">
        <f>IF(SER_hh_fech!L16=0,0,SER_hh_fech!L16/SER_summary!L$26)</f>
        <v>10.197907118143837</v>
      </c>
      <c r="M16" s="131">
        <f>IF(SER_hh_fech!M16=0,0,SER_hh_fech!M16/SER_summary!M$26)</f>
        <v>10.783872280840093</v>
      </c>
      <c r="N16" s="131">
        <f>IF(SER_hh_fech!N16=0,0,SER_hh_fech!N16/SER_summary!N$26)</f>
        <v>16.654861005329874</v>
      </c>
      <c r="O16" s="131">
        <f>IF(SER_hh_fech!O16=0,0,SER_hh_fech!O16/SER_summary!O$26)</f>
        <v>9.703457690250989</v>
      </c>
      <c r="P16" s="131">
        <f>IF(SER_hh_fech!P16=0,0,SER_hh_fech!P16/SER_summary!P$26)</f>
        <v>8.1826626263056799</v>
      </c>
      <c r="Q16" s="131">
        <f>IF(SER_hh_fech!Q16=0,0,SER_hh_fech!Q16/SER_summary!Q$26)</f>
        <v>14.26006678584608</v>
      </c>
      <c r="R16" s="131">
        <f>IF(SER_hh_fech!R16=0,0,SER_hh_fech!R16/SER_summary!R$26)</f>
        <v>9.0965811800278953</v>
      </c>
      <c r="S16" s="131">
        <f>IF(SER_hh_fech!S16=0,0,SER_hh_fech!S16/SER_summary!S$26)</f>
        <v>13.420517537536147</v>
      </c>
      <c r="T16" s="131">
        <f>IF(SER_hh_fech!T16=0,0,SER_hh_fech!T16/SER_summary!T$26)</f>
        <v>9.9054174419815393</v>
      </c>
      <c r="U16" s="131">
        <f>IF(SER_hh_fech!U16=0,0,SER_hh_fech!U16/SER_summary!U$26)</f>
        <v>12.931759110929804</v>
      </c>
      <c r="V16" s="131">
        <f>IF(SER_hh_fech!V16=0,0,SER_hh_fech!V16/SER_summary!V$26)</f>
        <v>9.5564645542368378</v>
      </c>
      <c r="W16" s="131">
        <f>IF(SER_hh_fech!W16=0,0,SER_hh_fech!W16/SER_summary!W$26)</f>
        <v>11.470323542807108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20.139384501037277</v>
      </c>
      <c r="C17" s="133">
        <f>IF(SER_hh_fech!C17=0,0,SER_hh_fech!C17/SER_summary!C$26)</f>
        <v>21.869636284975154</v>
      </c>
      <c r="D17" s="133">
        <f>IF(SER_hh_fech!D17=0,0,SER_hh_fech!D17/SER_summary!D$26)</f>
        <v>19.216558195850912</v>
      </c>
      <c r="E17" s="133">
        <f>IF(SER_hh_fech!E17=0,0,SER_hh_fech!E17/SER_summary!E$26)</f>
        <v>44.543243448272854</v>
      </c>
      <c r="F17" s="133">
        <f>IF(SER_hh_fech!F17=0,0,SER_hh_fech!F17/SER_summary!F$26)</f>
        <v>20.041894168786936</v>
      </c>
      <c r="G17" s="133">
        <f>IF(SER_hh_fech!G17=0,0,SER_hh_fech!G17/SER_summary!G$26)</f>
        <v>20.1248758348389</v>
      </c>
      <c r="H17" s="133">
        <f>IF(SER_hh_fech!H17=0,0,SER_hh_fech!H17/SER_summary!H$26)</f>
        <v>23.662183963073776</v>
      </c>
      <c r="I17" s="133">
        <f>IF(SER_hh_fech!I17=0,0,SER_hh_fech!I17/SER_summary!I$26)</f>
        <v>21.808313138105163</v>
      </c>
      <c r="J17" s="133">
        <f>IF(SER_hh_fech!J17=0,0,SER_hh_fech!J17/SER_summary!J$26)</f>
        <v>25.699573862763366</v>
      </c>
      <c r="K17" s="133">
        <f>IF(SER_hh_fech!K17=0,0,SER_hh_fech!K17/SER_summary!K$26)</f>
        <v>26.408195822514006</v>
      </c>
      <c r="L17" s="133">
        <f>IF(SER_hh_fech!L17=0,0,SER_hh_fech!L17/SER_summary!L$26)</f>
        <v>21.526502501312294</v>
      </c>
      <c r="M17" s="133">
        <f>IF(SER_hh_fech!M17=0,0,SER_hh_fech!M17/SER_summary!M$26)</f>
        <v>23.389777089543628</v>
      </c>
      <c r="N17" s="133">
        <f>IF(SER_hh_fech!N17=0,0,SER_hh_fech!N17/SER_summary!N$26)</f>
        <v>37.030819646403373</v>
      </c>
      <c r="O17" s="133">
        <f>IF(SER_hh_fech!O17=0,0,SER_hh_fech!O17/SER_summary!O$26)</f>
        <v>22.013955410020323</v>
      </c>
      <c r="P17" s="133">
        <f>IF(SER_hh_fech!P17=0,0,SER_hh_fech!P17/SER_summary!P$26)</f>
        <v>18.964947178566984</v>
      </c>
      <c r="Q17" s="133">
        <f>IF(SER_hh_fech!Q17=0,0,SER_hh_fech!Q17/SER_summary!Q$26)</f>
        <v>33.742870162551</v>
      </c>
      <c r="R17" s="133">
        <f>IF(SER_hh_fech!R17=0,0,SER_hh_fech!R17/SER_summary!R$26)</f>
        <v>21.88520934988556</v>
      </c>
      <c r="S17" s="133">
        <f>IF(SER_hh_fech!S17=0,0,SER_hh_fech!S17/SER_summary!S$26)</f>
        <v>32.908339511561643</v>
      </c>
      <c r="T17" s="133">
        <f>IF(SER_hh_fech!T17=0,0,SER_hh_fech!T17/SER_summary!T$26)</f>
        <v>24.877785032296696</v>
      </c>
      <c r="U17" s="133">
        <f>IF(SER_hh_fech!U17=0,0,SER_hh_fech!U17/SER_summary!U$26)</f>
        <v>32.434851681442694</v>
      </c>
      <c r="V17" s="133">
        <f>IF(SER_hh_fech!V17=0,0,SER_hh_fech!V17/SER_summary!V$26)</f>
        <v>23.148187394642381</v>
      </c>
      <c r="W17" s="133">
        <f>IF(SER_hh_fech!W17=0,0,SER_hh_fech!W17/SER_summary!W$26)</f>
        <v>28.022388848424331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13.736629238943971</v>
      </c>
      <c r="C18" s="133">
        <f>IF(SER_hh_fech!C18=0,0,SER_hh_fech!C18/SER_summary!C$26)</f>
        <v>14.441120522051264</v>
      </c>
      <c r="D18" s="133">
        <f>IF(SER_hh_fech!D18=0,0,SER_hh_fech!D18/SER_summary!D$26)</f>
        <v>12.169948073840525</v>
      </c>
      <c r="E18" s="133">
        <f>IF(SER_hh_fech!E18=0,0,SER_hh_fech!E18/SER_summary!E$26)</f>
        <v>27.250373708464451</v>
      </c>
      <c r="F18" s="133">
        <f>IF(SER_hh_fech!F18=0,0,SER_hh_fech!F18/SER_summary!F$26)</f>
        <v>11.768482687953167</v>
      </c>
      <c r="G18" s="133">
        <f>IF(SER_hh_fech!G18=0,0,SER_hh_fech!G18/SER_summary!G$26)</f>
        <v>11.347018718164197</v>
      </c>
      <c r="H18" s="133">
        <f>IF(SER_hh_fech!H18=0,0,SER_hh_fech!H18/SER_summary!H$26)</f>
        <v>12.707778922984488</v>
      </c>
      <c r="I18" s="133">
        <f>IF(SER_hh_fech!I18=0,0,SER_hh_fech!I18/SER_summary!I$26)</f>
        <v>11.142860531314026</v>
      </c>
      <c r="J18" s="133">
        <f>IF(SER_hh_fech!J18=0,0,SER_hh_fech!J18/SER_summary!J$26)</f>
        <v>12.521568252762588</v>
      </c>
      <c r="K18" s="133">
        <f>IF(SER_hh_fech!K18=0,0,SER_hh_fech!K18/SER_summary!K$26)</f>
        <v>12.66036654145033</v>
      </c>
      <c r="L18" s="133">
        <f>IF(SER_hh_fech!L18=0,0,SER_hh_fech!L18/SER_summary!L$26)</f>
        <v>10.102026181900053</v>
      </c>
      <c r="M18" s="133">
        <f>IF(SER_hh_fech!M18=0,0,SER_hh_fech!M18/SER_summary!M$26)</f>
        <v>10.669170159676597</v>
      </c>
      <c r="N18" s="133">
        <f>IF(SER_hh_fech!N18=0,0,SER_hh_fech!N18/SER_summary!N$26)</f>
        <v>16.457382421041064</v>
      </c>
      <c r="O18" s="133">
        <f>IF(SER_hh_fech!O18=0,0,SER_hh_fech!O18/SER_summary!O$26)</f>
        <v>9.5701613133301144</v>
      </c>
      <c r="P18" s="133">
        <f>IF(SER_hh_fech!P18=0,0,SER_hh_fech!P18/SER_summary!P$26)</f>
        <v>8.054941452502403</v>
      </c>
      <c r="Q18" s="133">
        <f>IF(SER_hh_fech!Q18=0,0,SER_hh_fech!Q18/SER_summary!Q$26)</f>
        <v>14.012942012813992</v>
      </c>
      <c r="R18" s="133">
        <f>IF(SER_hh_fech!R18=0,0,SER_hh_fech!R18/SER_summary!R$26)</f>
        <v>8.9178443378052599</v>
      </c>
      <c r="S18" s="133">
        <f>IF(SER_hh_fech!S18=0,0,SER_hh_fech!S18/SER_summary!S$26)</f>
        <v>13.134420960249605</v>
      </c>
      <c r="T18" s="133">
        <f>IF(SER_hh_fech!T18=0,0,SER_hh_fech!T18/SER_summary!T$26)</f>
        <v>9.6789547025996558</v>
      </c>
      <c r="U18" s="133">
        <f>IF(SER_hh_fech!U18=0,0,SER_hh_fech!U18/SER_summary!U$26)</f>
        <v>12.628330881048369</v>
      </c>
      <c r="V18" s="133">
        <f>IF(SER_hh_fech!V18=0,0,SER_hh_fech!V18/SER_summary!V$26)</f>
        <v>9.3313862252533077</v>
      </c>
      <c r="W18" s="133">
        <f>IF(SER_hh_fech!W18=0,0,SER_hh_fech!W18/SER_summary!W$26)</f>
        <v>11.197709917159704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34.281439525670365</v>
      </c>
      <c r="C19" s="131">
        <f>IF(SER_hh_fech!C19=0,0,SER_hh_fech!C19/SER_summary!C$26)</f>
        <v>34.677452482225505</v>
      </c>
      <c r="D19" s="131">
        <f>IF(SER_hh_fech!D19=0,0,SER_hh_fech!D19/SER_summary!D$26)</f>
        <v>34.798159160228579</v>
      </c>
      <c r="E19" s="131">
        <f>IF(SER_hh_fech!E19=0,0,SER_hh_fech!E19/SER_summary!E$26)</f>
        <v>34.191968486437673</v>
      </c>
      <c r="F19" s="131">
        <f>IF(SER_hh_fech!F19=0,0,SER_hh_fech!F19/SER_summary!F$26)</f>
        <v>34.538442290053517</v>
      </c>
      <c r="G19" s="131">
        <f>IF(SER_hh_fech!G19=0,0,SER_hh_fech!G19/SER_summary!G$26)</f>
        <v>33.944853745673917</v>
      </c>
      <c r="H19" s="131">
        <f>IF(SER_hh_fech!H19=0,0,SER_hh_fech!H19/SER_summary!H$26)</f>
        <v>33.698646212918831</v>
      </c>
      <c r="I19" s="131">
        <f>IF(SER_hh_fech!I19=0,0,SER_hh_fech!I19/SER_summary!I$26)</f>
        <v>34.012357992386299</v>
      </c>
      <c r="J19" s="131">
        <f>IF(SER_hh_fech!J19=0,0,SER_hh_fech!J19/SER_summary!J$26)</f>
        <v>33.651353045007689</v>
      </c>
      <c r="K19" s="131">
        <f>IF(SER_hh_fech!K19=0,0,SER_hh_fech!K19/SER_summary!K$26)</f>
        <v>33.19683338347722</v>
      </c>
      <c r="L19" s="131">
        <f>IF(SER_hh_fech!L19=0,0,SER_hh_fech!L19/SER_summary!L$26)</f>
        <v>32.953929286085923</v>
      </c>
      <c r="M19" s="131">
        <f>IF(SER_hh_fech!M19=0,0,SER_hh_fech!M19/SER_summary!M$26)</f>
        <v>33.051940590393762</v>
      </c>
      <c r="N19" s="131">
        <f>IF(SER_hh_fech!N19=0,0,SER_hh_fech!N19/SER_summary!N$26)</f>
        <v>32.232827403565537</v>
      </c>
      <c r="O19" s="131">
        <f>IF(SER_hh_fech!O19=0,0,SER_hh_fech!O19/SER_summary!O$26)</f>
        <v>32.896177346323334</v>
      </c>
      <c r="P19" s="131">
        <f>IF(SER_hh_fech!P19=0,0,SER_hh_fech!P19/SER_summary!P$26)</f>
        <v>32.958964219293314</v>
      </c>
      <c r="Q19" s="131">
        <f>IF(SER_hh_fech!Q19=0,0,SER_hh_fech!Q19/SER_summary!Q$26)</f>
        <v>32.731157133645254</v>
      </c>
      <c r="R19" s="131">
        <f>IF(SER_hh_fech!R19=0,0,SER_hh_fech!R19/SER_summary!R$26)</f>
        <v>33.052280638517921</v>
      </c>
      <c r="S19" s="131">
        <f>IF(SER_hh_fech!S19=0,0,SER_hh_fech!S19/SER_summary!S$26)</f>
        <v>32.122045413986193</v>
      </c>
      <c r="T19" s="131">
        <f>IF(SER_hh_fech!T19=0,0,SER_hh_fech!T19/SER_summary!T$26)</f>
        <v>31.465446685744755</v>
      </c>
      <c r="U19" s="131">
        <f>IF(SER_hh_fech!U19=0,0,SER_hh_fech!U19/SER_summary!U$26)</f>
        <v>29.415499912224227</v>
      </c>
      <c r="V19" s="131">
        <f>IF(SER_hh_fech!V19=0,0,SER_hh_fech!V19/SER_summary!V$26)</f>
        <v>26.504533520379358</v>
      </c>
      <c r="W19" s="131">
        <f>IF(SER_hh_fech!W19=0,0,SER_hh_fech!W19/SER_summary!W$26)</f>
        <v>28.147469129724332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36.740923981990683</v>
      </c>
      <c r="C21" s="133">
        <f>IF(SER_hh_fech!C21=0,0,SER_hh_fech!C21/SER_summary!C$26)</f>
        <v>37.455312090592997</v>
      </c>
      <c r="D21" s="133">
        <f>IF(SER_hh_fech!D21=0,0,SER_hh_fech!D21/SER_summary!D$26)</f>
        <v>37.283403154232609</v>
      </c>
      <c r="E21" s="133">
        <f>IF(SER_hh_fech!E21=0,0,SER_hh_fech!E21/SER_summary!E$26)</f>
        <v>36.375208657084364</v>
      </c>
      <c r="F21" s="133">
        <f>IF(SER_hh_fech!F21=0,0,SER_hh_fech!F21/SER_summary!F$26)</f>
        <v>37.073296578682545</v>
      </c>
      <c r="G21" s="133">
        <f>IF(SER_hh_fech!G21=0,0,SER_hh_fech!G21/SER_summary!G$26)</f>
        <v>37.695879088174763</v>
      </c>
      <c r="H21" s="133">
        <f>IF(SER_hh_fech!H21=0,0,SER_hh_fech!H21/SER_summary!H$26)</f>
        <v>38.301186265810152</v>
      </c>
      <c r="I21" s="133">
        <f>IF(SER_hh_fech!I21=0,0,SER_hh_fech!I21/SER_summary!I$26)</f>
        <v>36.823289324821417</v>
      </c>
      <c r="J21" s="133">
        <f>IF(SER_hh_fech!J21=0,0,SER_hh_fech!J21/SER_summary!J$26)</f>
        <v>38.039361702794771</v>
      </c>
      <c r="K21" s="133">
        <f>IF(SER_hh_fech!K21=0,0,SER_hh_fech!K21/SER_summary!K$26)</f>
        <v>36.776279178956102</v>
      </c>
      <c r="L21" s="133">
        <f>IF(SER_hh_fech!L21=0,0,SER_hh_fech!L21/SER_summary!L$26)</f>
        <v>37.140135877141844</v>
      </c>
      <c r="M21" s="133">
        <f>IF(SER_hh_fech!M21=0,0,SER_hh_fech!M21/SER_summary!M$26)</f>
        <v>38.591582750131799</v>
      </c>
      <c r="N21" s="133">
        <f>IF(SER_hh_fech!N21=0,0,SER_hh_fech!N21/SER_summary!N$26)</f>
        <v>35.617232065580822</v>
      </c>
      <c r="O21" s="133">
        <f>IF(SER_hh_fech!O21=0,0,SER_hh_fech!O21/SER_summary!O$26)</f>
        <v>37.851371950890552</v>
      </c>
      <c r="P21" s="133">
        <f>IF(SER_hh_fech!P21=0,0,SER_hh_fech!P21/SER_summary!P$26)</f>
        <v>35.043976271315195</v>
      </c>
      <c r="Q21" s="133">
        <f>IF(SER_hh_fech!Q21=0,0,SER_hh_fech!Q21/SER_summary!Q$26)</f>
        <v>34.167562155552702</v>
      </c>
      <c r="R21" s="133">
        <f>IF(SER_hh_fech!R21=0,0,SER_hh_fech!R21/SER_summary!R$26)</f>
        <v>38.3583680049042</v>
      </c>
      <c r="S21" s="133">
        <f>IF(SER_hh_fech!S21=0,0,SER_hh_fech!S21/SER_summary!S$26)</f>
        <v>37.309745735231473</v>
      </c>
      <c r="T21" s="133">
        <f>IF(SER_hh_fech!T21=0,0,SER_hh_fech!T21/SER_summary!T$26)</f>
        <v>33.965814141977994</v>
      </c>
      <c r="U21" s="133">
        <f>IF(SER_hh_fech!U21=0,0,SER_hh_fech!U21/SER_summary!U$26)</f>
        <v>33.251912842056186</v>
      </c>
      <c r="V21" s="133">
        <f>IF(SER_hh_fech!V21=0,0,SER_hh_fech!V21/SER_summary!V$26)</f>
        <v>28.280734418400943</v>
      </c>
      <c r="W21" s="133">
        <f>IF(SER_hh_fech!W21=0,0,SER_hh_fech!W21/SER_summary!W$26)</f>
        <v>29.940092914307616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39.766377079871297</v>
      </c>
      <c r="C22" s="133">
        <f>IF(SER_hh_fech!C22=0,0,SER_hh_fech!C22/SER_summary!C$26)</f>
        <v>39.819504859259027</v>
      </c>
      <c r="D22" s="133">
        <f>IF(SER_hh_fech!D22=0,0,SER_hh_fech!D22/SER_summary!D$26)</f>
        <v>38.673889593604834</v>
      </c>
      <c r="E22" s="133">
        <f>IF(SER_hh_fech!E22=0,0,SER_hh_fech!E22/SER_summary!E$26)</f>
        <v>39.636238979918311</v>
      </c>
      <c r="F22" s="133">
        <f>IF(SER_hh_fech!F22=0,0,SER_hh_fech!F22/SER_summary!F$26)</f>
        <v>38.95311774092189</v>
      </c>
      <c r="G22" s="133">
        <f>IF(SER_hh_fech!G22=0,0,SER_hh_fech!G22/SER_summary!G$26)</f>
        <v>38.975414069495969</v>
      </c>
      <c r="H22" s="133">
        <f>IF(SER_hh_fech!H22=0,0,SER_hh_fech!H22/SER_summary!H$26)</f>
        <v>40.264494443119055</v>
      </c>
      <c r="I22" s="133">
        <f>IF(SER_hh_fech!I22=0,0,SER_hh_fech!I22/SER_summary!I$26)</f>
        <v>40.281857938594527</v>
      </c>
      <c r="J22" s="133">
        <f>IF(SER_hh_fech!J22=0,0,SER_hh_fech!J22/SER_summary!J$26)</f>
        <v>41.441158013244376</v>
      </c>
      <c r="K22" s="133">
        <f>IF(SER_hh_fech!K22=0,0,SER_hh_fech!K22/SER_summary!K$26)</f>
        <v>38.847488720794509</v>
      </c>
      <c r="L22" s="133">
        <f>IF(SER_hh_fech!L22=0,0,SER_hh_fech!L22/SER_summary!L$26)</f>
        <v>37.673851111698603</v>
      </c>
      <c r="M22" s="133">
        <f>IF(SER_hh_fech!M22=0,0,SER_hh_fech!M22/SER_summary!M$26)</f>
        <v>38.675137978364468</v>
      </c>
      <c r="N22" s="133">
        <f>IF(SER_hh_fech!N22=0,0,SER_hh_fech!N22/SER_summary!N$26)</f>
        <v>38.091653101206127</v>
      </c>
      <c r="O22" s="133">
        <f>IF(SER_hh_fech!O22=0,0,SER_hh_fech!O22/SER_summary!O$26)</f>
        <v>38.848122820361297</v>
      </c>
      <c r="P22" s="133">
        <f>IF(SER_hh_fech!P22=0,0,SER_hh_fech!P22/SER_summary!P$26)</f>
        <v>38.762201457939447</v>
      </c>
      <c r="Q22" s="133">
        <f>IF(SER_hh_fech!Q22=0,0,SER_hh_fech!Q22/SER_summary!Q$26)</f>
        <v>38.643578370661743</v>
      </c>
      <c r="R22" s="133">
        <f>IF(SER_hh_fech!R22=0,0,SER_hh_fech!R22/SER_summary!R$26)</f>
        <v>38.231046172214818</v>
      </c>
      <c r="S22" s="133">
        <f>IF(SER_hh_fech!S22=0,0,SER_hh_fech!S22/SER_summary!S$26)</f>
        <v>39.346271677583118</v>
      </c>
      <c r="T22" s="133">
        <f>IF(SER_hh_fech!T22=0,0,SER_hh_fech!T22/SER_summary!T$26)</f>
        <v>39.988826545413829</v>
      </c>
      <c r="U22" s="133">
        <f>IF(SER_hh_fech!U22=0,0,SER_hh_fech!U22/SER_summary!U$26)</f>
        <v>37.064272651802327</v>
      </c>
      <c r="V22" s="133">
        <f>IF(SER_hh_fech!V22=0,0,SER_hh_fech!V22/SER_summary!V$26)</f>
        <v>32.125650105494756</v>
      </c>
      <c r="W22" s="133">
        <f>IF(SER_hh_fech!W22=0,0,SER_hh_fech!W22/SER_summary!W$26)</f>
        <v>35.330407156260804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37.738854576865947</v>
      </c>
      <c r="C23" s="133">
        <f>IF(SER_hh_fech!C23=0,0,SER_hh_fech!C23/SER_summary!C$26)</f>
        <v>38.186803610845431</v>
      </c>
      <c r="D23" s="133">
        <f>IF(SER_hh_fech!D23=0,0,SER_hh_fech!D23/SER_summary!D$26)</f>
        <v>38.299160120549217</v>
      </c>
      <c r="E23" s="133">
        <f>IF(SER_hh_fech!E23=0,0,SER_hh_fech!E23/SER_summary!E$26)</f>
        <v>37.851484679643058</v>
      </c>
      <c r="F23" s="133">
        <f>IF(SER_hh_fech!F23=0,0,SER_hh_fech!F23/SER_summary!F$26)</f>
        <v>37.452770511223598</v>
      </c>
      <c r="G23" s="133">
        <f>IF(SER_hh_fech!G23=0,0,SER_hh_fech!G23/SER_summary!G$26)</f>
        <v>37.446587756714891</v>
      </c>
      <c r="H23" s="133">
        <f>IF(SER_hh_fech!H23=0,0,SER_hh_fech!H23/SER_summary!H$26)</f>
        <v>37.020785822127898</v>
      </c>
      <c r="I23" s="133">
        <f>IF(SER_hh_fech!I23=0,0,SER_hh_fech!I23/SER_summary!I$26)</f>
        <v>36.704290051662525</v>
      </c>
      <c r="J23" s="133">
        <f>IF(SER_hh_fech!J23=0,0,SER_hh_fech!J23/SER_summary!J$26)</f>
        <v>36.531790021622562</v>
      </c>
      <c r="K23" s="133">
        <f>IF(SER_hh_fech!K23=0,0,SER_hh_fech!K23/SER_summary!K$26)</f>
        <v>36.114934444967759</v>
      </c>
      <c r="L23" s="133">
        <f>IF(SER_hh_fech!L23=0,0,SER_hh_fech!L23/SER_summary!L$26)</f>
        <v>35.286380343593727</v>
      </c>
      <c r="M23" s="133">
        <f>IF(SER_hh_fech!M23=0,0,SER_hh_fech!M23/SER_summary!M$26)</f>
        <v>35.193478107529678</v>
      </c>
      <c r="N23" s="133">
        <f>IF(SER_hh_fech!N23=0,0,SER_hh_fech!N23/SER_summary!N$26)</f>
        <v>34.861059328072209</v>
      </c>
      <c r="O23" s="133">
        <f>IF(SER_hh_fech!O23=0,0,SER_hh_fech!O23/SER_summary!O$26)</f>
        <v>34.734862508228517</v>
      </c>
      <c r="P23" s="133">
        <f>IF(SER_hh_fech!P23=0,0,SER_hh_fech!P23/SER_summary!P$26)</f>
        <v>34.763557317565954</v>
      </c>
      <c r="Q23" s="133">
        <f>IF(SER_hh_fech!Q23=0,0,SER_hh_fech!Q23/SER_summary!Q$26)</f>
        <v>34.507824372311887</v>
      </c>
      <c r="R23" s="133">
        <f>IF(SER_hh_fech!R23=0,0,SER_hh_fech!R23/SER_summary!R$26)</f>
        <v>33.73786491672665</v>
      </c>
      <c r="S23" s="133">
        <f>IF(SER_hh_fech!S23=0,0,SER_hh_fech!S23/SER_summary!S$26)</f>
        <v>33.697319614149443</v>
      </c>
      <c r="T23" s="133">
        <f>IF(SER_hh_fech!T23=0,0,SER_hh_fech!T23/SER_summary!T$26)</f>
        <v>34.959589007872239</v>
      </c>
      <c r="U23" s="133">
        <f>IF(SER_hh_fech!U23=0,0,SER_hh_fech!U23/SER_summary!U$26)</f>
        <v>29.41966458424362</v>
      </c>
      <c r="V23" s="133">
        <f>IF(SER_hh_fech!V23=0,0,SER_hh_fech!V23/SER_summary!V$26)</f>
        <v>27.295916554770805</v>
      </c>
      <c r="W23" s="133">
        <f>IF(SER_hh_fech!W23=0,0,SER_hh_fech!W23/SER_summary!W$26)</f>
        <v>30.542765516220165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0</v>
      </c>
      <c r="C25" s="133">
        <f>IF(SER_hh_fech!C25=0,0,SER_hh_fech!C25/SER_summary!C$26)</f>
        <v>0</v>
      </c>
      <c r="D25" s="133">
        <f>IF(SER_hh_fech!D25=0,0,SER_hh_fech!D25/SER_summary!D$26)</f>
        <v>0</v>
      </c>
      <c r="E25" s="133">
        <f>IF(SER_hh_fech!E25=0,0,SER_hh_fech!E25/SER_summary!E$26)</f>
        <v>0</v>
      </c>
      <c r="F25" s="133">
        <f>IF(SER_hh_fech!F25=0,0,SER_hh_fech!F25/SER_summary!F$26)</f>
        <v>36.348511067875464</v>
      </c>
      <c r="G25" s="133">
        <f>IF(SER_hh_fech!G25=0,0,SER_hh_fech!G25/SER_summary!G$26)</f>
        <v>28.763241022675963</v>
      </c>
      <c r="H25" s="133">
        <f>IF(SER_hh_fech!H25=0,0,SER_hh_fech!H25/SER_summary!H$26)</f>
        <v>25.711169607120677</v>
      </c>
      <c r="I25" s="133">
        <f>IF(SER_hh_fech!I25=0,0,SER_hh_fech!I25/SER_summary!I$26)</f>
        <v>25.231798672760004</v>
      </c>
      <c r="J25" s="133">
        <f>IF(SER_hh_fech!J25=0,0,SER_hh_fech!J25/SER_summary!J$26)</f>
        <v>24.409168507809273</v>
      </c>
      <c r="K25" s="133">
        <f>IF(SER_hh_fech!K25=0,0,SER_hh_fech!K25/SER_summary!K$26)</f>
        <v>26.393745145775515</v>
      </c>
      <c r="L25" s="133">
        <f>IF(SER_hh_fech!L25=0,0,SER_hh_fech!L25/SER_summary!L$26)</f>
        <v>25.085060846910718</v>
      </c>
      <c r="M25" s="133">
        <f>IF(SER_hh_fech!M25=0,0,SER_hh_fech!M25/SER_summary!M$26)</f>
        <v>24.823717262443044</v>
      </c>
      <c r="N25" s="133">
        <f>IF(SER_hh_fech!N25=0,0,SER_hh_fech!N25/SER_summary!N$26)</f>
        <v>24.931738648083151</v>
      </c>
      <c r="O25" s="133">
        <f>IF(SER_hh_fech!O25=0,0,SER_hh_fech!O25/SER_summary!O$26)</f>
        <v>27.759692846835193</v>
      </c>
      <c r="P25" s="133">
        <f>IF(SER_hh_fech!P25=0,0,SER_hh_fech!P25/SER_summary!P$26)</f>
        <v>28.043629947905011</v>
      </c>
      <c r="Q25" s="133">
        <f>IF(SER_hh_fech!Q25=0,0,SER_hh_fech!Q25/SER_summary!Q$26)</f>
        <v>26.512036705573916</v>
      </c>
      <c r="R25" s="133">
        <f>IF(SER_hh_fech!R25=0,0,SER_hh_fech!R25/SER_summary!R$26)</f>
        <v>27.571935172917037</v>
      </c>
      <c r="S25" s="133">
        <f>IF(SER_hh_fech!S25=0,0,SER_hh_fech!S25/SER_summary!S$26)</f>
        <v>27.028203515053267</v>
      </c>
      <c r="T25" s="133">
        <f>IF(SER_hh_fech!T25=0,0,SER_hh_fech!T25/SER_summary!T$26)</f>
        <v>27.172456903589687</v>
      </c>
      <c r="U25" s="133">
        <f>IF(SER_hh_fech!U25=0,0,SER_hh_fech!U25/SER_summary!U$26)</f>
        <v>25.463907926116264</v>
      </c>
      <c r="V25" s="133">
        <f>IF(SER_hh_fech!V25=0,0,SER_hh_fech!V25/SER_summary!V$26)</f>
        <v>22.611452183405738</v>
      </c>
      <c r="W25" s="133">
        <f>IF(SER_hh_fech!W25=0,0,SER_hh_fech!W25/SER_summary!W$26)</f>
        <v>24.782404449218596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30.357432514956336</v>
      </c>
      <c r="C26" s="65">
        <f>IF(SER_hh_fech!C26=0,0,SER_hh_fech!C26/SER_summary!C$26)</f>
        <v>30.919091602756424</v>
      </c>
      <c r="D26" s="65">
        <f>IF(SER_hh_fech!D26=0,0,SER_hh_fech!D26/SER_summary!D$26)</f>
        <v>31.393309690955597</v>
      </c>
      <c r="E26" s="65">
        <f>IF(SER_hh_fech!E26=0,0,SER_hh_fech!E26/SER_summary!E$26)</f>
        <v>30.649458633039927</v>
      </c>
      <c r="F26" s="65">
        <f>IF(SER_hh_fech!F26=0,0,SER_hh_fech!F26/SER_summary!F$26)</f>
        <v>31.607817247598259</v>
      </c>
      <c r="G26" s="65">
        <f>IF(SER_hh_fech!G26=0,0,SER_hh_fech!G26/SER_summary!G$26)</f>
        <v>30.442137083083018</v>
      </c>
      <c r="H26" s="65">
        <f>IF(SER_hh_fech!H26=0,0,SER_hh_fech!H26/SER_summary!H$26)</f>
        <v>30.29329937668701</v>
      </c>
      <c r="I26" s="65">
        <f>IF(SER_hh_fech!I26=0,0,SER_hh_fech!I26/SER_summary!I$26)</f>
        <v>31.221000566030366</v>
      </c>
      <c r="J26" s="65">
        <f>IF(SER_hh_fech!J26=0,0,SER_hh_fech!J26/SER_summary!J$26)</f>
        <v>30.478218258657499</v>
      </c>
      <c r="K26" s="65">
        <f>IF(SER_hh_fech!K26=0,0,SER_hh_fech!K26/SER_summary!K$26)</f>
        <v>30.004714485163859</v>
      </c>
      <c r="L26" s="65">
        <f>IF(SER_hh_fech!L26=0,0,SER_hh_fech!L26/SER_summary!L$26)</f>
        <v>29.945596273376584</v>
      </c>
      <c r="M26" s="65">
        <f>IF(SER_hh_fech!M26=0,0,SER_hh_fech!M26/SER_summary!M$26)</f>
        <v>30.121286965284991</v>
      </c>
      <c r="N26" s="65">
        <f>IF(SER_hh_fech!N26=0,0,SER_hh_fech!N26/SER_summary!N$26)</f>
        <v>28.928800388519196</v>
      </c>
      <c r="O26" s="65">
        <f>IF(SER_hh_fech!O26=0,0,SER_hh_fech!O26/SER_summary!O$26)</f>
        <v>29.982989867263047</v>
      </c>
      <c r="P26" s="65">
        <f>IF(SER_hh_fech!P26=0,0,SER_hh_fech!P26/SER_summary!P$26)</f>
        <v>30.180187644774882</v>
      </c>
      <c r="Q26" s="65">
        <f>IF(SER_hh_fech!Q26=0,0,SER_hh_fech!Q26/SER_summary!Q$26)</f>
        <v>29.971176802865088</v>
      </c>
      <c r="R26" s="65">
        <f>IF(SER_hh_fech!R26=0,0,SER_hh_fech!R26/SER_summary!R$26)</f>
        <v>30.889951189079564</v>
      </c>
      <c r="S26" s="65">
        <f>IF(SER_hh_fech!S26=0,0,SER_hh_fech!S26/SER_summary!S$26)</f>
        <v>28.950315455875014</v>
      </c>
      <c r="T26" s="65">
        <f>IF(SER_hh_fech!T26=0,0,SER_hh_fech!T26/SER_summary!T$26)</f>
        <v>26.451877150066281</v>
      </c>
      <c r="U26" s="65">
        <f>IF(SER_hh_fech!U26=0,0,SER_hh_fech!U26/SER_summary!U$26)</f>
        <v>27.426960703719409</v>
      </c>
      <c r="V26" s="65">
        <f>IF(SER_hh_fech!V26=0,0,SER_hh_fech!V26/SER_summary!V$26)</f>
        <v>24.025974308769026</v>
      </c>
      <c r="W26" s="65">
        <f>IF(SER_hh_fech!W26=0,0,SER_hh_fech!W26/SER_summary!W$26)</f>
        <v>24.09947260367613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5.2851169339678268E-2</v>
      </c>
      <c r="C27" s="146">
        <f>IF(SER_hh_fech!C27=0,0,SER_hh_fech!C27/SER_summary!C$26)</f>
        <v>5.79446666714485E-2</v>
      </c>
      <c r="D27" s="146">
        <f>IF(SER_hh_fech!D27=0,0,SER_hh_fech!D27/SER_summary!D$26)</f>
        <v>6.5500084265643299E-2</v>
      </c>
      <c r="E27" s="146">
        <f>IF(SER_hh_fech!E27=0,0,SER_hh_fech!E27/SER_summary!E$26)</f>
        <v>7.4799812536465227E-2</v>
      </c>
      <c r="F27" s="146">
        <f>IF(SER_hh_fech!F27=0,0,SER_hh_fech!F27/SER_summary!F$26)</f>
        <v>8.525803489514687E-2</v>
      </c>
      <c r="G27" s="146">
        <f>IF(SER_hh_fech!G27=0,0,SER_hh_fech!G27/SER_summary!G$26)</f>
        <v>0.1254516566285242</v>
      </c>
      <c r="H27" s="146">
        <f>IF(SER_hh_fech!H27=0,0,SER_hh_fech!H27/SER_summary!H$26)</f>
        <v>0.15637310455832362</v>
      </c>
      <c r="I27" s="146">
        <f>IF(SER_hh_fech!I27=0,0,SER_hh_fech!I27/SER_summary!I$26)</f>
        <v>0.23025246296860963</v>
      </c>
      <c r="J27" s="146">
        <f>IF(SER_hh_fech!J27=0,0,SER_hh_fech!J27/SER_summary!J$26)</f>
        <v>0.29377007927432186</v>
      </c>
      <c r="K27" s="146">
        <f>IF(SER_hh_fech!K27=0,0,SER_hh_fech!K27/SER_summary!K$26)</f>
        <v>0.37302051656823082</v>
      </c>
      <c r="L27" s="146">
        <f>IF(SER_hh_fech!L27=0,0,SER_hh_fech!L27/SER_summary!L$26)</f>
        <v>0.55626394309129545</v>
      </c>
      <c r="M27" s="146">
        <f>IF(SER_hh_fech!M27=0,0,SER_hh_fech!M27/SER_summary!M$26)</f>
        <v>0.57741848874448176</v>
      </c>
      <c r="N27" s="146">
        <f>IF(SER_hh_fech!N27=0,0,SER_hh_fech!N27/SER_summary!N$26)</f>
        <v>0.63702676076801423</v>
      </c>
      <c r="O27" s="146">
        <f>IF(SER_hh_fech!O27=0,0,SER_hh_fech!O27/SER_summary!O$26)</f>
        <v>0.69165141821195619</v>
      </c>
      <c r="P27" s="146">
        <f>IF(SER_hh_fech!P27=0,0,SER_hh_fech!P27/SER_summary!P$26)</f>
        <v>0.72935432930925481</v>
      </c>
      <c r="Q27" s="146">
        <f>IF(SER_hh_fech!Q27=0,0,SER_hh_fech!Q27/SER_summary!Q$26)</f>
        <v>0.76949443172137255</v>
      </c>
      <c r="R27" s="146">
        <f>IF(SER_hh_fech!R27=0,0,SER_hh_fech!R27/SER_summary!R$26)</f>
        <v>0.81043952557967502</v>
      </c>
      <c r="S27" s="146">
        <f>IF(SER_hh_fech!S27=0,0,SER_hh_fech!S27/SER_summary!S$26)</f>
        <v>0.8415066366611198</v>
      </c>
      <c r="T27" s="146">
        <f>IF(SER_hh_fech!T27=0,0,SER_hh_fech!T27/SER_summary!T$26)</f>
        <v>0.87754546925551247</v>
      </c>
      <c r="U27" s="146">
        <f>IF(SER_hh_fech!U27=0,0,SER_hh_fech!U27/SER_summary!U$26)</f>
        <v>0.91349827547714579</v>
      </c>
      <c r="V27" s="146">
        <f>IF(SER_hh_fech!V27=0,0,SER_hh_fech!V27/SER_summary!V$26)</f>
        <v>0.86535002795387295</v>
      </c>
      <c r="W27" s="146">
        <f>IF(SER_hh_fech!W27=0,0,SER_hh_fech!W27/SER_summary!W$26)</f>
        <v>0.88751773709214044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16.647434208516529</v>
      </c>
      <c r="C28" s="147">
        <f>IF(SER_hh_fech!C28=0,0,SER_hh_fech!C28/SER_summary!C$26)</f>
        <v>17.477225827931296</v>
      </c>
      <c r="D28" s="147">
        <f>IF(SER_hh_fech!D28=0,0,SER_hh_fech!D28/SER_summary!D$26)</f>
        <v>17.128078314115559</v>
      </c>
      <c r="E28" s="147">
        <f>IF(SER_hh_fech!E28=0,0,SER_hh_fech!E28/SER_summary!E$26)</f>
        <v>17.572533876198122</v>
      </c>
      <c r="F28" s="147">
        <f>IF(SER_hh_fech!F28=0,0,SER_hh_fech!F28/SER_summary!F$26)</f>
        <v>17.123845449959809</v>
      </c>
      <c r="G28" s="147">
        <f>IF(SER_hh_fech!G28=0,0,SER_hh_fech!G28/SER_summary!G$26)</f>
        <v>17.520150918253446</v>
      </c>
      <c r="H28" s="147">
        <f>IF(SER_hh_fech!H28=0,0,SER_hh_fech!H28/SER_summary!H$26)</f>
        <v>17.508630823536887</v>
      </c>
      <c r="I28" s="147">
        <f>IF(SER_hh_fech!I28=0,0,SER_hh_fech!I28/SER_summary!I$26)</f>
        <v>17.869384881864388</v>
      </c>
      <c r="J28" s="147">
        <f>IF(SER_hh_fech!J28=0,0,SER_hh_fech!J28/SER_summary!J$26)</f>
        <v>16.878241121058949</v>
      </c>
      <c r="K28" s="147">
        <f>IF(SER_hh_fech!K28=0,0,SER_hh_fech!K28/SER_summary!K$26)</f>
        <v>17.567434323856141</v>
      </c>
      <c r="L28" s="147">
        <f>IF(SER_hh_fech!L28=0,0,SER_hh_fech!L28/SER_summary!L$26)</f>
        <v>17.97868598379814</v>
      </c>
      <c r="M28" s="147">
        <f>IF(SER_hh_fech!M28=0,0,SER_hh_fech!M28/SER_summary!M$26)</f>
        <v>17.602867497407818</v>
      </c>
      <c r="N28" s="147">
        <f>IF(SER_hh_fech!N28=0,0,SER_hh_fech!N28/SER_summary!N$26)</f>
        <v>18.389922295949255</v>
      </c>
      <c r="O28" s="147">
        <f>IF(SER_hh_fech!O28=0,0,SER_hh_fech!O28/SER_summary!O$26)</f>
        <v>19.135167149044531</v>
      </c>
      <c r="P28" s="147">
        <f>IF(SER_hh_fech!P28=0,0,SER_hh_fech!P28/SER_summary!P$26)</f>
        <v>17.598241650097947</v>
      </c>
      <c r="Q28" s="147">
        <f>IF(SER_hh_fech!Q28=0,0,SER_hh_fech!Q28/SER_summary!Q$26)</f>
        <v>19.097292985259863</v>
      </c>
      <c r="R28" s="147">
        <f>IF(SER_hh_fech!R28=0,0,SER_hh_fech!R28/SER_summary!R$26)</f>
        <v>19.673975547186174</v>
      </c>
      <c r="S28" s="147">
        <f>IF(SER_hh_fech!S28=0,0,SER_hh_fech!S28/SER_summary!S$26)</f>
        <v>19.148671106442006</v>
      </c>
      <c r="T28" s="147">
        <f>IF(SER_hh_fech!T28=0,0,SER_hh_fech!T28/SER_summary!T$26)</f>
        <v>19.423626746617874</v>
      </c>
      <c r="U28" s="147">
        <f>IF(SER_hh_fech!U28=0,0,SER_hh_fech!U28/SER_summary!U$26)</f>
        <v>18.076142810234977</v>
      </c>
      <c r="V28" s="147">
        <f>IF(SER_hh_fech!V28=0,0,SER_hh_fech!V28/SER_summary!V$26)</f>
        <v>16.837554282606657</v>
      </c>
      <c r="W28" s="147">
        <f>IF(SER_hh_fech!W28=0,0,SER_hh_fech!W28/SER_summary!W$26)</f>
        <v>17.333554740112056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34.293420193238276</v>
      </c>
      <c r="C29" s="131">
        <f>IF(SER_hh_fech!C29=0,0,SER_hh_fech!C29/SER_summary!C$26)</f>
        <v>33.782981941019322</v>
      </c>
      <c r="D29" s="131">
        <f>IF(SER_hh_fech!D29=0,0,SER_hh_fech!D29/SER_summary!D$26)</f>
        <v>33.383448987373299</v>
      </c>
      <c r="E29" s="131">
        <f>IF(SER_hh_fech!E29=0,0,SER_hh_fech!E29/SER_summary!E$26)</f>
        <v>32.258030124956065</v>
      </c>
      <c r="F29" s="131">
        <f>IF(SER_hh_fech!F29=0,0,SER_hh_fech!F29/SER_summary!F$26)</f>
        <v>32.593253997593806</v>
      </c>
      <c r="G29" s="131">
        <f>IF(SER_hh_fech!G29=0,0,SER_hh_fech!G29/SER_summary!G$26)</f>
        <v>33.961825767641081</v>
      </c>
      <c r="H29" s="131">
        <f>IF(SER_hh_fech!H29=0,0,SER_hh_fech!H29/SER_summary!H$26)</f>
        <v>33.177579178887711</v>
      </c>
      <c r="I29" s="131">
        <f>IF(SER_hh_fech!I29=0,0,SER_hh_fech!I29/SER_summary!I$26)</f>
        <v>33.966960335441499</v>
      </c>
      <c r="J29" s="131">
        <f>IF(SER_hh_fech!J29=0,0,SER_hh_fech!J29/SER_summary!J$26)</f>
        <v>34.161010017358734</v>
      </c>
      <c r="K29" s="131">
        <f>IF(SER_hh_fech!K29=0,0,SER_hh_fech!K29/SER_summary!K$26)</f>
        <v>35.16474636496595</v>
      </c>
      <c r="L29" s="131">
        <f>IF(SER_hh_fech!L29=0,0,SER_hh_fech!L29/SER_summary!L$26)</f>
        <v>35.319480221405072</v>
      </c>
      <c r="M29" s="131">
        <f>IF(SER_hh_fech!M29=0,0,SER_hh_fech!M29/SER_summary!M$26)</f>
        <v>35.500428494333477</v>
      </c>
      <c r="N29" s="131">
        <f>IF(SER_hh_fech!N29=0,0,SER_hh_fech!N29/SER_summary!N$26)</f>
        <v>35.658609700151324</v>
      </c>
      <c r="O29" s="131">
        <f>IF(SER_hh_fech!O29=0,0,SER_hh_fech!O29/SER_summary!O$26)</f>
        <v>36.246613844615837</v>
      </c>
      <c r="P29" s="131">
        <f>IF(SER_hh_fech!P29=0,0,SER_hh_fech!P29/SER_summary!P$26)</f>
        <v>37.029617822600329</v>
      </c>
      <c r="Q29" s="131">
        <f>IF(SER_hh_fech!Q29=0,0,SER_hh_fech!Q29/SER_summary!Q$26)</f>
        <v>37.262849962004402</v>
      </c>
      <c r="R29" s="131">
        <f>IF(SER_hh_fech!R29=0,0,SER_hh_fech!R29/SER_summary!R$26)</f>
        <v>37.574497872225706</v>
      </c>
      <c r="S29" s="131">
        <f>IF(SER_hh_fech!S29=0,0,SER_hh_fech!S29/SER_summary!S$26)</f>
        <v>37.384447767170137</v>
      </c>
      <c r="T29" s="131">
        <f>IF(SER_hh_fech!T29=0,0,SER_hh_fech!T29/SER_summary!T$26)</f>
        <v>36.828870210968297</v>
      </c>
      <c r="U29" s="131">
        <f>IF(SER_hh_fech!U29=0,0,SER_hh_fech!U29/SER_summary!U$26)</f>
        <v>36.81912933366727</v>
      </c>
      <c r="V29" s="131">
        <f>IF(SER_hh_fech!V29=0,0,SER_hh_fech!V29/SER_summary!V$26)</f>
        <v>33.15336333009607</v>
      </c>
      <c r="W29" s="131">
        <f>IF(SER_hh_fech!W29=0,0,SER_hh_fech!W29/SER_summary!W$26)</f>
        <v>35.729125865374648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36.424228076002208</v>
      </c>
      <c r="C30" s="133">
        <f>IF(SER_hh_fech!C30=0,0,SER_hh_fech!C30/SER_summary!C$26)</f>
        <v>34.986035894715215</v>
      </c>
      <c r="D30" s="133">
        <f>IF(SER_hh_fech!D30=0,0,SER_hh_fech!D30/SER_summary!D$26)</f>
        <v>36.104142188462447</v>
      </c>
      <c r="E30" s="133">
        <f>IF(SER_hh_fech!E30=0,0,SER_hh_fech!E30/SER_summary!E$26)</f>
        <v>36.801196496739458</v>
      </c>
      <c r="F30" s="133">
        <f>IF(SER_hh_fech!F30=0,0,SER_hh_fech!F30/SER_summary!F$26)</f>
        <v>37.413104365977333</v>
      </c>
      <c r="G30" s="133">
        <f>IF(SER_hh_fech!G30=0,0,SER_hh_fech!G30/SER_summary!G$26)</f>
        <v>37.864144526605891</v>
      </c>
      <c r="H30" s="133">
        <f>IF(SER_hh_fech!H30=0,0,SER_hh_fech!H30/SER_summary!H$26)</f>
        <v>36.669245169460183</v>
      </c>
      <c r="I30" s="133">
        <f>IF(SER_hh_fech!I30=0,0,SER_hh_fech!I30/SER_summary!I$26)</f>
        <v>41.18694157053055</v>
      </c>
      <c r="J30" s="133">
        <f>IF(SER_hh_fech!J30=0,0,SER_hh_fech!J30/SER_summary!J$26)</f>
        <v>31.094728388821011</v>
      </c>
      <c r="K30" s="133">
        <f>IF(SER_hh_fech!K30=0,0,SER_hh_fech!K30/SER_summary!K$26)</f>
        <v>40.677432278857523</v>
      </c>
      <c r="L30" s="133">
        <f>IF(SER_hh_fech!L30=0,0,SER_hh_fech!L30/SER_summary!L$26)</f>
        <v>40.896372637688728</v>
      </c>
      <c r="M30" s="133">
        <f>IF(SER_hh_fech!M30=0,0,SER_hh_fech!M30/SER_summary!M$26)</f>
        <v>41.56462032163568</v>
      </c>
      <c r="N30" s="133">
        <f>IF(SER_hh_fech!N30=0,0,SER_hh_fech!N30/SER_summary!N$26)</f>
        <v>36.506935914645801</v>
      </c>
      <c r="O30" s="133">
        <f>IF(SER_hh_fech!O30=0,0,SER_hh_fech!O30/SER_summary!O$26)</f>
        <v>38.945380885277658</v>
      </c>
      <c r="P30" s="133">
        <f>IF(SER_hh_fech!P30=0,0,SER_hh_fech!P30/SER_summary!P$26)</f>
        <v>42.753183567037567</v>
      </c>
      <c r="Q30" s="133">
        <f>IF(SER_hh_fech!Q30=0,0,SER_hh_fech!Q30/SER_summary!Q$26)</f>
        <v>41.204829022561015</v>
      </c>
      <c r="R30" s="133">
        <f>IF(SER_hh_fech!R30=0,0,SER_hh_fech!R30/SER_summary!R$26)</f>
        <v>40.989606757125877</v>
      </c>
      <c r="S30" s="133">
        <f>IF(SER_hh_fech!S30=0,0,SER_hh_fech!S30/SER_summary!S$26)</f>
        <v>41.536037516589303</v>
      </c>
      <c r="T30" s="133">
        <f>IF(SER_hh_fech!T30=0,0,SER_hh_fech!T30/SER_summary!T$26)</f>
        <v>40.693027899330104</v>
      </c>
      <c r="U30" s="133">
        <f>IF(SER_hh_fech!U30=0,0,SER_hh_fech!U30/SER_summary!U$26)</f>
        <v>38.715902826059938</v>
      </c>
      <c r="V30" s="133">
        <f>IF(SER_hh_fech!V30=0,0,SER_hh_fech!V30/SER_summary!V$26)</f>
        <v>38.964461057049832</v>
      </c>
      <c r="W30" s="133">
        <f>IF(SER_hh_fech!W30=0,0,SER_hh_fech!W30/SER_summary!W$26)</f>
        <v>38.675197334348027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35.188992314477311</v>
      </c>
      <c r="C31" s="133">
        <f>IF(SER_hh_fech!C31=0,0,SER_hh_fech!C31/SER_summary!C$26)</f>
        <v>35.700751437170112</v>
      </c>
      <c r="D31" s="133">
        <f>IF(SER_hh_fech!D31=0,0,SER_hh_fech!D31/SER_summary!D$26)</f>
        <v>36.360068591411391</v>
      </c>
      <c r="E31" s="133">
        <f>IF(SER_hh_fech!E31=0,0,SER_hh_fech!E31/SER_summary!E$26)</f>
        <v>33.189935025719372</v>
      </c>
      <c r="F31" s="133">
        <f>IF(SER_hh_fech!F31=0,0,SER_hh_fech!F31/SER_summary!F$26)</f>
        <v>33.851353022635053</v>
      </c>
      <c r="G31" s="133">
        <f>IF(SER_hh_fech!G31=0,0,SER_hh_fech!G31/SER_summary!G$26)</f>
        <v>38.71264420903438</v>
      </c>
      <c r="H31" s="133">
        <f>IF(SER_hh_fech!H31=0,0,SER_hh_fech!H31/SER_summary!H$26)</f>
        <v>35.615799414404179</v>
      </c>
      <c r="I31" s="133">
        <f>IF(SER_hh_fech!I31=0,0,SER_hh_fech!I31/SER_summary!I$26)</f>
        <v>38.497693696346118</v>
      </c>
      <c r="J31" s="133">
        <f>IF(SER_hh_fech!J31=0,0,SER_hh_fech!J31/SER_summary!J$26)</f>
        <v>37.744961085677431</v>
      </c>
      <c r="K31" s="133">
        <f>IF(SER_hh_fech!K31=0,0,SER_hh_fech!K31/SER_summary!K$26)</f>
        <v>39.392592889371585</v>
      </c>
      <c r="L31" s="133">
        <f>IF(SER_hh_fech!L31=0,0,SER_hh_fech!L31/SER_summary!L$26)</f>
        <v>39.142074233862246</v>
      </c>
      <c r="M31" s="133">
        <f>IF(SER_hh_fech!M31=0,0,SER_hh_fech!M31/SER_summary!M$26)</f>
        <v>38.969613241007565</v>
      </c>
      <c r="N31" s="133">
        <f>IF(SER_hh_fech!N31=0,0,SER_hh_fech!N31/SER_summary!N$26)</f>
        <v>39.186361987318804</v>
      </c>
      <c r="O31" s="133">
        <f>IF(SER_hh_fech!O31=0,0,SER_hh_fech!O31/SER_summary!O$26)</f>
        <v>39.33136412254472</v>
      </c>
      <c r="P31" s="133">
        <f>IF(SER_hh_fech!P31=0,0,SER_hh_fech!P31/SER_summary!P$26)</f>
        <v>40.92464670230212</v>
      </c>
      <c r="Q31" s="133">
        <f>IF(SER_hh_fech!Q31=0,0,SER_hh_fech!Q31/SER_summary!Q$26)</f>
        <v>40.468335195682208</v>
      </c>
      <c r="R31" s="133">
        <f>IF(SER_hh_fech!R31=0,0,SER_hh_fech!R31/SER_summary!R$26)</f>
        <v>41.379493099871652</v>
      </c>
      <c r="S31" s="133">
        <f>IF(SER_hh_fech!S31=0,0,SER_hh_fech!S31/SER_summary!S$26)</f>
        <v>41.027731669491025</v>
      </c>
      <c r="T31" s="133">
        <f>IF(SER_hh_fech!T31=0,0,SER_hh_fech!T31/SER_summary!T$26)</f>
        <v>37.744609106446333</v>
      </c>
      <c r="U31" s="133">
        <f>IF(SER_hh_fech!U31=0,0,SER_hh_fech!U31/SER_summary!U$26)</f>
        <v>41.012436626374139</v>
      </c>
      <c r="V31" s="133">
        <f>IF(SER_hh_fech!V31=0,0,SER_hh_fech!V31/SER_summary!V$26)</f>
        <v>36.293752820334831</v>
      </c>
      <c r="W31" s="133">
        <f>IF(SER_hh_fech!W31=0,0,SER_hh_fech!W31/SER_summary!W$26)</f>
        <v>37.297768526135599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26.128277614475419</v>
      </c>
      <c r="C33" s="68">
        <f>IF(SER_hh_fech!C33=0,0,SER_hh_fech!C33/SER_summary!C$26)</f>
        <v>24.724658299105663</v>
      </c>
      <c r="D33" s="68">
        <f>IF(SER_hh_fech!D33=0,0,SER_hh_fech!D33/SER_summary!D$26)</f>
        <v>24.445555834708106</v>
      </c>
      <c r="E33" s="68">
        <f>IF(SER_hh_fech!E33=0,0,SER_hh_fech!E33/SER_summary!E$26)</f>
        <v>28.60179901390191</v>
      </c>
      <c r="F33" s="68">
        <f>IF(SER_hh_fech!F33=0,0,SER_hh_fech!F33/SER_summary!F$26)</f>
        <v>29.277260725405881</v>
      </c>
      <c r="G33" s="68">
        <f>IF(SER_hh_fech!G33=0,0,SER_hh_fech!G33/SER_summary!G$26)</f>
        <v>27.577972778057237</v>
      </c>
      <c r="H33" s="68">
        <f>IF(SER_hh_fech!H33=0,0,SER_hh_fech!H33/SER_summary!H$26)</f>
        <v>29.692451035056607</v>
      </c>
      <c r="I33" s="68">
        <f>IF(SER_hh_fech!I33=0,0,SER_hh_fech!I33/SER_summary!I$26)</f>
        <v>27.113207986014253</v>
      </c>
      <c r="J33" s="68">
        <f>IF(SER_hh_fech!J33=0,0,SER_hh_fech!J33/SER_summary!J$26)</f>
        <v>30.905001740891503</v>
      </c>
      <c r="K33" s="68">
        <f>IF(SER_hh_fech!K33=0,0,SER_hh_fech!K33/SER_summary!K$26)</f>
        <v>28.856396331718944</v>
      </c>
      <c r="L33" s="68">
        <f>IF(SER_hh_fech!L33=0,0,SER_hh_fech!L33/SER_summary!L$26)</f>
        <v>29.219240721692799</v>
      </c>
      <c r="M33" s="68">
        <f>IF(SER_hh_fech!M33=0,0,SER_hh_fech!M33/SER_summary!M$26)</f>
        <v>29.35215963779207</v>
      </c>
      <c r="N33" s="68">
        <f>IF(SER_hh_fech!N33=0,0,SER_hh_fech!N33/SER_summary!N$26)</f>
        <v>30.439295171274523</v>
      </c>
      <c r="O33" s="68">
        <f>IF(SER_hh_fech!O33=0,0,SER_hh_fech!O33/SER_summary!O$26)</f>
        <v>30.751707316849352</v>
      </c>
      <c r="P33" s="68">
        <f>IF(SER_hh_fech!P33=0,0,SER_hh_fech!P33/SER_summary!P$26)</f>
        <v>28.256692053297101</v>
      </c>
      <c r="Q33" s="68">
        <f>IF(SER_hh_fech!Q33=0,0,SER_hh_fech!Q33/SER_summary!Q$26)</f>
        <v>29.75447581013087</v>
      </c>
      <c r="R33" s="68">
        <f>IF(SER_hh_fech!R33=0,0,SER_hh_fech!R33/SER_summary!R$26)</f>
        <v>28.928044152779691</v>
      </c>
      <c r="S33" s="68">
        <f>IF(SER_hh_fech!S33=0,0,SER_hh_fech!S33/SER_summary!S$26)</f>
        <v>28.901337820983525</v>
      </c>
      <c r="T33" s="68">
        <f>IF(SER_hh_fech!T33=0,0,SER_hh_fech!T33/SER_summary!T$26)</f>
        <v>33.623854378634235</v>
      </c>
      <c r="U33" s="68">
        <f>IF(SER_hh_fech!U33=0,0,SER_hh_fech!U33/SER_summary!U$26)</f>
        <v>28.003932839195119</v>
      </c>
      <c r="V33" s="68">
        <f>IF(SER_hh_fech!V33=0,0,SER_hh_fech!V33/SER_summary!V$26)</f>
        <v>24.438767227384577</v>
      </c>
      <c r="W33" s="68">
        <f>IF(SER_hh_fech!W33=0,0,SER_hh_fech!W33/SER_summary!W$26)</f>
        <v>31.324211964567059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131.39250534668901</v>
      </c>
      <c r="C3" s="126">
        <f>IF(SER_hh_tesh!C3=0,0,SER_hh_tesh!C3/SER_summary!C$26)</f>
        <v>135.55771019246222</v>
      </c>
      <c r="D3" s="126">
        <f>IF(SER_hh_tesh!D3=0,0,SER_hh_tesh!D3/SER_summary!D$26)</f>
        <v>134.33942966197785</v>
      </c>
      <c r="E3" s="126">
        <f>IF(SER_hh_tesh!E3=0,0,SER_hh_tesh!E3/SER_summary!E$26)</f>
        <v>156.87098488339876</v>
      </c>
      <c r="F3" s="126">
        <f>IF(SER_hh_tesh!F3=0,0,SER_hh_tesh!F3/SER_summary!F$26)</f>
        <v>155.10766991205656</v>
      </c>
      <c r="G3" s="126">
        <f>IF(SER_hh_tesh!G3=0,0,SER_hh_tesh!G3/SER_summary!G$26)</f>
        <v>176.79405790345115</v>
      </c>
      <c r="H3" s="126">
        <f>IF(SER_hh_tesh!H3=0,0,SER_hh_tesh!H3/SER_summary!H$26)</f>
        <v>183.67554079656972</v>
      </c>
      <c r="I3" s="126">
        <f>IF(SER_hh_tesh!I3=0,0,SER_hh_tesh!I3/SER_summary!I$26)</f>
        <v>177.51795665889043</v>
      </c>
      <c r="J3" s="126">
        <f>IF(SER_hh_tesh!J3=0,0,SER_hh_tesh!J3/SER_summary!J$26)</f>
        <v>203.93415350219112</v>
      </c>
      <c r="K3" s="126">
        <f>IF(SER_hh_tesh!K3=0,0,SER_hh_tesh!K3/SER_summary!K$26)</f>
        <v>206.93794889821999</v>
      </c>
      <c r="L3" s="126">
        <f>IF(SER_hh_tesh!L3=0,0,SER_hh_tesh!L3/SER_summary!L$26)</f>
        <v>207.94148336151488</v>
      </c>
      <c r="M3" s="126">
        <f>IF(SER_hh_tesh!M3=0,0,SER_hh_tesh!M3/SER_summary!M$26)</f>
        <v>196.9076138461875</v>
      </c>
      <c r="N3" s="126">
        <f>IF(SER_hh_tesh!N3=0,0,SER_hh_tesh!N3/SER_summary!N$26)</f>
        <v>213.04986939269895</v>
      </c>
      <c r="O3" s="126">
        <f>IF(SER_hh_tesh!O3=0,0,SER_hh_tesh!O3/SER_summary!O$26)</f>
        <v>210.39808634413654</v>
      </c>
      <c r="P3" s="126">
        <f>IF(SER_hh_tesh!P3=0,0,SER_hh_tesh!P3/SER_summary!P$26)</f>
        <v>199.43469652768636</v>
      </c>
      <c r="Q3" s="126">
        <f>IF(SER_hh_tesh!Q3=0,0,SER_hh_tesh!Q3/SER_summary!Q$26)</f>
        <v>239.15230010385</v>
      </c>
      <c r="R3" s="126">
        <f>IF(SER_hh_tesh!R3=0,0,SER_hh_tesh!R3/SER_summary!R$26)</f>
        <v>237.00191982479257</v>
      </c>
      <c r="S3" s="126">
        <f>IF(SER_hh_tesh!S3=0,0,SER_hh_tesh!S3/SER_summary!S$26)</f>
        <v>253.4799917306014</v>
      </c>
      <c r="T3" s="126">
        <f>IF(SER_hh_tesh!T3=0,0,SER_hh_tesh!T3/SER_summary!T$26)</f>
        <v>262.4750032043662</v>
      </c>
      <c r="U3" s="126">
        <f>IF(SER_hh_tesh!U3=0,0,SER_hh_tesh!U3/SER_summary!U$26)</f>
        <v>256.7457147182206</v>
      </c>
      <c r="V3" s="126">
        <f>IF(SER_hh_tesh!V3=0,0,SER_hh_tesh!V3/SER_summary!V$26)</f>
        <v>232.99250280528332</v>
      </c>
      <c r="W3" s="126">
        <f>IF(SER_hh_tesh!W3=0,0,SER_hh_tesh!W3/SER_summary!W$26)</f>
        <v>230.93369194847463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82.716618420076671</v>
      </c>
      <c r="C4" s="131">
        <f>IF(SER_hh_tesh!C4=0,0,SER_hh_tesh!C4/SER_summary!C$26)</f>
        <v>85.550422660853812</v>
      </c>
      <c r="D4" s="131">
        <f>IF(SER_hh_tesh!D4=0,0,SER_hh_tesh!D4/SER_summary!D$26)</f>
        <v>84.298106251664876</v>
      </c>
      <c r="E4" s="131">
        <f>IF(SER_hh_tesh!E4=0,0,SER_hh_tesh!E4/SER_summary!E$26)</f>
        <v>97.116460613888108</v>
      </c>
      <c r="F4" s="131">
        <f>IF(SER_hh_tesh!F4=0,0,SER_hh_tesh!F4/SER_summary!F$26)</f>
        <v>102.99959381981375</v>
      </c>
      <c r="G4" s="131">
        <f>IF(SER_hh_tesh!G4=0,0,SER_hh_tesh!G4/SER_summary!G$26)</f>
        <v>123.60359967870291</v>
      </c>
      <c r="H4" s="131">
        <f>IF(SER_hh_tesh!H4=0,0,SER_hh_tesh!H4/SER_summary!H$26)</f>
        <v>128.266140618116</v>
      </c>
      <c r="I4" s="131">
        <f>IF(SER_hh_tesh!I4=0,0,SER_hh_tesh!I4/SER_summary!I$26)</f>
        <v>121.38156212712101</v>
      </c>
      <c r="J4" s="131">
        <f>IF(SER_hh_tesh!J4=0,0,SER_hh_tesh!J4/SER_summary!J$26)</f>
        <v>144.73989306888362</v>
      </c>
      <c r="K4" s="131">
        <f>IF(SER_hh_tesh!K4=0,0,SER_hh_tesh!K4/SER_summary!K$26)</f>
        <v>146.06603404779659</v>
      </c>
      <c r="L4" s="131">
        <f>IF(SER_hh_tesh!L4=0,0,SER_hh_tesh!L4/SER_summary!L$26)</f>
        <v>148.90221377957087</v>
      </c>
      <c r="M4" s="131">
        <f>IF(SER_hh_tesh!M4=0,0,SER_hh_tesh!M4/SER_summary!M$26)</f>
        <v>135.71408867050266</v>
      </c>
      <c r="N4" s="131">
        <f>IF(SER_hh_tesh!N4=0,0,SER_hh_tesh!N4/SER_summary!N$26)</f>
        <v>142.73598042378529</v>
      </c>
      <c r="O4" s="131">
        <f>IF(SER_hh_tesh!O4=0,0,SER_hh_tesh!O4/SER_summary!O$26)</f>
        <v>148.20370657187883</v>
      </c>
      <c r="P4" s="131">
        <f>IF(SER_hh_tesh!P4=0,0,SER_hh_tesh!P4/SER_summary!P$26)</f>
        <v>138.6234426399549</v>
      </c>
      <c r="Q4" s="131">
        <f>IF(SER_hh_tesh!Q4=0,0,SER_hh_tesh!Q4/SER_summary!Q$26)</f>
        <v>167.81287351437811</v>
      </c>
      <c r="R4" s="131">
        <f>IF(SER_hh_tesh!R4=0,0,SER_hh_tesh!R4/SER_summary!R$26)</f>
        <v>173.13637733909681</v>
      </c>
      <c r="S4" s="131">
        <f>IF(SER_hh_tesh!S4=0,0,SER_hh_tesh!S4/SER_summary!S$26)</f>
        <v>181.99607277515494</v>
      </c>
      <c r="T4" s="131">
        <f>IF(SER_hh_tesh!T4=0,0,SER_hh_tesh!T4/SER_summary!T$26)</f>
        <v>196.40800344370916</v>
      </c>
      <c r="U4" s="131">
        <f>IF(SER_hh_tesh!U4=0,0,SER_hh_tesh!U4/SER_summary!U$26)</f>
        <v>186.06635462358417</v>
      </c>
      <c r="V4" s="131">
        <f>IF(SER_hh_tesh!V4=0,0,SER_hh_tesh!V4/SER_summary!V$26)</f>
        <v>173.09786736420477</v>
      </c>
      <c r="W4" s="131">
        <f>IF(SER_hh_tesh!W4=0,0,SER_hh_tesh!W4/SER_summary!W$26)</f>
        <v>162.8681976196653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82.171756073345563</v>
      </c>
      <c r="C6" s="133">
        <f>IF(SER_hh_tesh!C6=0,0,SER_hh_tesh!C6/SER_summary!C$26)</f>
        <v>83.919122012281989</v>
      </c>
      <c r="D6" s="133">
        <f>IF(SER_hh_tesh!D6=0,0,SER_hh_tesh!D6/SER_summary!D$26)</f>
        <v>80.67374613059944</v>
      </c>
      <c r="E6" s="133">
        <f>IF(SER_hh_tesh!E6=0,0,SER_hh_tesh!E6/SER_summary!E$26)</f>
        <v>98.959983165040995</v>
      </c>
      <c r="F6" s="133">
        <f>IF(SER_hh_tesh!F6=0,0,SER_hh_tesh!F6/SER_summary!F$26)</f>
        <v>102.5275448060089</v>
      </c>
      <c r="G6" s="133">
        <f>IF(SER_hh_tesh!G6=0,0,SER_hh_tesh!G6/SER_summary!G$26)</f>
        <v>120.44041611245744</v>
      </c>
      <c r="H6" s="133">
        <f>IF(SER_hh_tesh!H6=0,0,SER_hh_tesh!H6/SER_summary!H$26)</f>
        <v>123.26909287220286</v>
      </c>
      <c r="I6" s="133">
        <f>IF(SER_hh_tesh!I6=0,0,SER_hh_tesh!I6/SER_summary!I$26)</f>
        <v>117.7463968831585</v>
      </c>
      <c r="J6" s="133">
        <f>IF(SER_hh_tesh!J6=0,0,SER_hh_tesh!J6/SER_summary!J$26)</f>
        <v>140.36697330695904</v>
      </c>
      <c r="K6" s="133">
        <f>IF(SER_hh_tesh!K6=0,0,SER_hh_tesh!K6/SER_summary!K$26)</f>
        <v>143.96657199398561</v>
      </c>
      <c r="L6" s="133">
        <f>IF(SER_hh_tesh!L6=0,0,SER_hh_tesh!L6/SER_summary!L$26)</f>
        <v>152.1402377270532</v>
      </c>
      <c r="M6" s="133">
        <f>IF(SER_hh_tesh!M6=0,0,SER_hh_tesh!M6/SER_summary!M$26)</f>
        <v>139.71264958443982</v>
      </c>
      <c r="N6" s="133">
        <f>IF(SER_hh_tesh!N6=0,0,SER_hh_tesh!N6/SER_summary!N$26)</f>
        <v>131.8224293295354</v>
      </c>
      <c r="O6" s="133">
        <f>IF(SER_hh_tesh!O6=0,0,SER_hh_tesh!O6/SER_summary!O$26)</f>
        <v>149.58314085291704</v>
      </c>
      <c r="P6" s="133">
        <f>IF(SER_hh_tesh!P6=0,0,SER_hh_tesh!P6/SER_summary!P$26)</f>
        <v>138.85096835475511</v>
      </c>
      <c r="Q6" s="133">
        <f>IF(SER_hh_tesh!Q6=0,0,SER_hh_tesh!Q6/SER_summary!Q$26)</f>
        <v>145.16364573326291</v>
      </c>
      <c r="R6" s="133">
        <f>IF(SER_hh_tesh!R6=0,0,SER_hh_tesh!R6/SER_summary!R$26)</f>
        <v>169.73449725153844</v>
      </c>
      <c r="S6" s="133">
        <f>IF(SER_hh_tesh!S6=0,0,SER_hh_tesh!S6/SER_summary!S$26)</f>
        <v>183.74999333363846</v>
      </c>
      <c r="T6" s="133">
        <f>IF(SER_hh_tesh!T6=0,0,SER_hh_tesh!T6/SER_summary!T$26)</f>
        <v>178.22453460111035</v>
      </c>
      <c r="U6" s="133">
        <f>IF(SER_hh_tesh!U6=0,0,SER_hh_tesh!U6/SER_summary!U$26)</f>
        <v>186.01341607833481</v>
      </c>
      <c r="V6" s="133">
        <f>IF(SER_hh_tesh!V6=0,0,SER_hh_tesh!V6/SER_summary!V$26)</f>
        <v>175.42398442715742</v>
      </c>
      <c r="W6" s="133">
        <f>IF(SER_hh_tesh!W6=0,0,SER_hh_tesh!W6/SER_summary!W$26)</f>
        <v>212.40189359689936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97.117867444272974</v>
      </c>
      <c r="C7" s="133">
        <f>IF(SER_hh_tesh!C7=0,0,SER_hh_tesh!C7/SER_summary!C$26)</f>
        <v>61.437090583407837</v>
      </c>
      <c r="D7" s="133">
        <f>IF(SER_hh_tesh!D7=0,0,SER_hh_tesh!D7/SER_summary!D$26)</f>
        <v>81.352958379703665</v>
      </c>
      <c r="E7" s="133">
        <f>IF(SER_hh_tesh!E7=0,0,SER_hh_tesh!E7/SER_summary!E$26)</f>
        <v>103.11591196337559</v>
      </c>
      <c r="F7" s="133">
        <f>IF(SER_hh_tesh!F7=0,0,SER_hh_tesh!F7/SER_summary!F$26)</f>
        <v>109.50538113492082</v>
      </c>
      <c r="G7" s="133">
        <f>IF(SER_hh_tesh!G7=0,0,SER_hh_tesh!G7/SER_summary!G$26)</f>
        <v>117.54340135531882</v>
      </c>
      <c r="H7" s="133">
        <f>IF(SER_hh_tesh!H7=0,0,SER_hh_tesh!H7/SER_summary!H$26)</f>
        <v>126.7050394757033</v>
      </c>
      <c r="I7" s="133">
        <f>IF(SER_hh_tesh!I7=0,0,SER_hh_tesh!I7/SER_summary!I$26)</f>
        <v>125.28111693684143</v>
      </c>
      <c r="J7" s="133">
        <f>IF(SER_hh_tesh!J7=0,0,SER_hh_tesh!J7/SER_summary!J$26)</f>
        <v>159.71646088827578</v>
      </c>
      <c r="K7" s="133">
        <f>IF(SER_hh_tesh!K7=0,0,SER_hh_tesh!K7/SER_summary!K$26)</f>
        <v>115.70272418661602</v>
      </c>
      <c r="L7" s="133">
        <f>IF(SER_hh_tesh!L7=0,0,SER_hh_tesh!L7/SER_summary!L$26)</f>
        <v>140.72201154781638</v>
      </c>
      <c r="M7" s="133">
        <f>IF(SER_hh_tesh!M7=0,0,SER_hh_tesh!M7/SER_summary!M$26)</f>
        <v>140.47067713079556</v>
      </c>
      <c r="N7" s="133">
        <f>IF(SER_hh_tesh!N7=0,0,SER_hh_tesh!N7/SER_summary!N$26)</f>
        <v>143.40115842662451</v>
      </c>
      <c r="O7" s="133">
        <f>IF(SER_hh_tesh!O7=0,0,SER_hh_tesh!O7/SER_summary!O$26)</f>
        <v>132.88385136972065</v>
      </c>
      <c r="P7" s="133">
        <f>IF(SER_hh_tesh!P7=0,0,SER_hh_tesh!P7/SER_summary!P$26)</f>
        <v>139.03720183992093</v>
      </c>
      <c r="Q7" s="133">
        <f>IF(SER_hh_tesh!Q7=0,0,SER_hh_tesh!Q7/SER_summary!Q$26)</f>
        <v>170.50916296609131</v>
      </c>
      <c r="R7" s="133">
        <f>IF(SER_hh_tesh!R7=0,0,SER_hh_tesh!R7/SER_summary!R$26)</f>
        <v>187.86452587245461</v>
      </c>
      <c r="S7" s="133">
        <f>IF(SER_hh_tesh!S7=0,0,SER_hh_tesh!S7/SER_summary!S$26)</f>
        <v>153.73848689682248</v>
      </c>
      <c r="T7" s="133">
        <f>IF(SER_hh_tesh!T7=0,0,SER_hh_tesh!T7/SER_summary!T$26)</f>
        <v>204.51833945507411</v>
      </c>
      <c r="U7" s="133">
        <f>IF(SER_hh_tesh!U7=0,0,SER_hh_tesh!U7/SER_summary!U$26)</f>
        <v>164.30013487598595</v>
      </c>
      <c r="V7" s="133">
        <f>IF(SER_hh_tesh!V7=0,0,SER_hh_tesh!V7/SER_summary!V$26)</f>
        <v>133.56959297532063</v>
      </c>
      <c r="W7" s="133">
        <f>IF(SER_hh_tesh!W7=0,0,SER_hh_tesh!W7/SER_summary!W$26)</f>
        <v>239.08267761742226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71.981349404682788</v>
      </c>
      <c r="C8" s="133">
        <f>IF(SER_hh_tesh!C8=0,0,SER_hh_tesh!C8/SER_summary!C$26)</f>
        <v>84.999193970075467</v>
      </c>
      <c r="D8" s="133">
        <f>IF(SER_hh_tesh!D8=0,0,SER_hh_tesh!D8/SER_summary!D$26)</f>
        <v>84.101077753393781</v>
      </c>
      <c r="E8" s="133">
        <f>IF(SER_hh_tesh!E8=0,0,SER_hh_tesh!E8/SER_summary!E$26)</f>
        <v>100.13965361928898</v>
      </c>
      <c r="F8" s="133">
        <f>IF(SER_hh_tesh!F8=0,0,SER_hh_tesh!F8/SER_summary!F$26)</f>
        <v>105.85260924560438</v>
      </c>
      <c r="G8" s="133">
        <f>IF(SER_hh_tesh!G8=0,0,SER_hh_tesh!G8/SER_summary!G$26)</f>
        <v>115.81841882772281</v>
      </c>
      <c r="H8" s="133">
        <f>IF(SER_hh_tesh!H8=0,0,SER_hh_tesh!H8/SER_summary!H$26)</f>
        <v>123.27965075898364</v>
      </c>
      <c r="I8" s="133">
        <f>IF(SER_hh_tesh!I8=0,0,SER_hh_tesh!I8/SER_summary!I$26)</f>
        <v>127.95485253393161</v>
      </c>
      <c r="J8" s="133">
        <f>IF(SER_hh_tesh!J8=0,0,SER_hh_tesh!J8/SER_summary!J$26)</f>
        <v>135.82190215058679</v>
      </c>
      <c r="K8" s="133">
        <f>IF(SER_hh_tesh!K8=0,0,SER_hh_tesh!K8/SER_summary!K$26)</f>
        <v>136.85260283689473</v>
      </c>
      <c r="L8" s="133">
        <f>IF(SER_hh_tesh!L8=0,0,SER_hh_tesh!L8/SER_summary!L$26)</f>
        <v>133.0930830976462</v>
      </c>
      <c r="M8" s="133">
        <f>IF(SER_hh_tesh!M8=0,0,SER_hh_tesh!M8/SER_summary!M$26)</f>
        <v>130.19754491467103</v>
      </c>
      <c r="N8" s="133">
        <f>IF(SER_hh_tesh!N8=0,0,SER_hh_tesh!N8/SER_summary!N$26)</f>
        <v>129.81777782995465</v>
      </c>
      <c r="O8" s="133">
        <f>IF(SER_hh_tesh!O8=0,0,SER_hh_tesh!O8/SER_summary!O$26)</f>
        <v>137.22054374420429</v>
      </c>
      <c r="P8" s="133">
        <f>IF(SER_hh_tesh!P8=0,0,SER_hh_tesh!P8/SER_summary!P$26)</f>
        <v>148.80263112233516</v>
      </c>
      <c r="Q8" s="133">
        <f>IF(SER_hh_tesh!Q8=0,0,SER_hh_tesh!Q8/SER_summary!Q$26)</f>
        <v>180.04762410870993</v>
      </c>
      <c r="R8" s="133">
        <f>IF(SER_hh_tesh!R8=0,0,SER_hh_tesh!R8/SER_summary!R$26)</f>
        <v>175.09995293858162</v>
      </c>
      <c r="S8" s="133">
        <f>IF(SER_hh_tesh!S8=0,0,SER_hh_tesh!S8/SER_summary!S$26)</f>
        <v>179.02487310044137</v>
      </c>
      <c r="T8" s="133">
        <f>IF(SER_hh_tesh!T8=0,0,SER_hh_tesh!T8/SER_summary!T$26)</f>
        <v>182.18354429092565</v>
      </c>
      <c r="U8" s="133">
        <f>IF(SER_hh_tesh!U8=0,0,SER_hh_tesh!U8/SER_summary!U$26)</f>
        <v>174.88104057274538</v>
      </c>
      <c r="V8" s="133">
        <f>IF(SER_hh_tesh!V8=0,0,SER_hh_tesh!V8/SER_summary!V$26)</f>
        <v>171.0149271256486</v>
      </c>
      <c r="W8" s="133">
        <f>IF(SER_hh_tesh!W8=0,0,SER_hh_tesh!W8/SER_summary!W$26)</f>
        <v>173.5103727300704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81.349182770248191</v>
      </c>
      <c r="C9" s="133">
        <f>IF(SER_hh_tesh!C9=0,0,SER_hh_tesh!C9/SER_summary!C$26)</f>
        <v>86.68785050282996</v>
      </c>
      <c r="D9" s="133">
        <f>IF(SER_hh_tesh!D9=0,0,SER_hh_tesh!D9/SER_summary!D$26)</f>
        <v>79.418608862210434</v>
      </c>
      <c r="E9" s="133">
        <f>IF(SER_hh_tesh!E9=0,0,SER_hh_tesh!E9/SER_summary!E$26)</f>
        <v>97.410337619448953</v>
      </c>
      <c r="F9" s="133">
        <f>IF(SER_hh_tesh!F9=0,0,SER_hh_tesh!F9/SER_summary!F$26)</f>
        <v>99.382928782885855</v>
      </c>
      <c r="G9" s="133">
        <f>IF(SER_hh_tesh!G9=0,0,SER_hh_tesh!G9/SER_summary!G$26)</f>
        <v>123.87249209830462</v>
      </c>
      <c r="H9" s="133">
        <f>IF(SER_hh_tesh!H9=0,0,SER_hh_tesh!H9/SER_summary!H$26)</f>
        <v>126.66007055898665</v>
      </c>
      <c r="I9" s="133">
        <f>IF(SER_hh_tesh!I9=0,0,SER_hh_tesh!I9/SER_summary!I$26)</f>
        <v>113.40232006938312</v>
      </c>
      <c r="J9" s="133">
        <f>IF(SER_hh_tesh!J9=0,0,SER_hh_tesh!J9/SER_summary!J$26)</f>
        <v>145.08789322780711</v>
      </c>
      <c r="K9" s="133">
        <f>IF(SER_hh_tesh!K9=0,0,SER_hh_tesh!K9/SER_summary!K$26)</f>
        <v>146.87998664097435</v>
      </c>
      <c r="L9" s="133">
        <f>IF(SER_hh_tesh!L9=0,0,SER_hh_tesh!L9/SER_summary!L$26)</f>
        <v>151.8321324262744</v>
      </c>
      <c r="M9" s="133">
        <f>IF(SER_hh_tesh!M9=0,0,SER_hh_tesh!M9/SER_summary!M$26)</f>
        <v>129.80594770006761</v>
      </c>
      <c r="N9" s="133">
        <f>IF(SER_hh_tesh!N9=0,0,SER_hh_tesh!N9/SER_summary!N$26)</f>
        <v>140.77241454583159</v>
      </c>
      <c r="O9" s="133">
        <f>IF(SER_hh_tesh!O9=0,0,SER_hh_tesh!O9/SER_summary!O$26)</f>
        <v>155.51500796850701</v>
      </c>
      <c r="P9" s="133">
        <f>IF(SER_hh_tesh!P9=0,0,SER_hh_tesh!P9/SER_summary!P$26)</f>
        <v>128.91357376656981</v>
      </c>
      <c r="Q9" s="133">
        <f>IF(SER_hh_tesh!Q9=0,0,SER_hh_tesh!Q9/SER_summary!Q$26)</f>
        <v>157.56898956816258</v>
      </c>
      <c r="R9" s="133">
        <f>IF(SER_hh_tesh!R9=0,0,SER_hh_tesh!R9/SER_summary!R$26)</f>
        <v>167.71715161936663</v>
      </c>
      <c r="S9" s="133">
        <f>IF(SER_hh_tesh!S9=0,0,SER_hh_tesh!S9/SER_summary!S$26)</f>
        <v>168.65740232489858</v>
      </c>
      <c r="T9" s="133">
        <f>IF(SER_hh_tesh!T9=0,0,SER_hh_tesh!T9/SER_summary!T$26)</f>
        <v>193.94467716036138</v>
      </c>
      <c r="U9" s="133">
        <f>IF(SER_hh_tesh!U9=0,0,SER_hh_tesh!U9/SER_summary!U$26)</f>
        <v>188.26866235297612</v>
      </c>
      <c r="V9" s="133">
        <f>IF(SER_hh_tesh!V9=0,0,SER_hh_tesh!V9/SER_summary!V$26)</f>
        <v>179.6093527317438</v>
      </c>
      <c r="W9" s="133">
        <f>IF(SER_hh_tesh!W9=0,0,SER_hh_tesh!W9/SER_summary!W$26)</f>
        <v>161.32124488262733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81.416519551430781</v>
      </c>
      <c r="C10" s="133">
        <f>IF(SER_hh_tesh!C10=0,0,SER_hh_tesh!C10/SER_summary!C$26)</f>
        <v>86.469387246869076</v>
      </c>
      <c r="D10" s="133">
        <f>IF(SER_hh_tesh!D10=0,0,SER_hh_tesh!D10/SER_summary!D$26)</f>
        <v>85.008107142328612</v>
      </c>
      <c r="E10" s="133">
        <f>IF(SER_hh_tesh!E10=0,0,SER_hh_tesh!E10/SER_summary!E$26)</f>
        <v>93.748393170587931</v>
      </c>
      <c r="F10" s="133">
        <f>IF(SER_hh_tesh!F10=0,0,SER_hh_tesh!F10/SER_summary!F$26)</f>
        <v>101.82623514660145</v>
      </c>
      <c r="G10" s="133">
        <f>IF(SER_hh_tesh!G10=0,0,SER_hh_tesh!G10/SER_summary!G$26)</f>
        <v>109.8147421668439</v>
      </c>
      <c r="H10" s="133">
        <f>IF(SER_hh_tesh!H10=0,0,SER_hh_tesh!H10/SER_summary!H$26)</f>
        <v>141.7032862773242</v>
      </c>
      <c r="I10" s="133">
        <f>IF(SER_hh_tesh!I10=0,0,SER_hh_tesh!I10/SER_summary!I$26)</f>
        <v>116.43019497182756</v>
      </c>
      <c r="J10" s="133">
        <f>IF(SER_hh_tesh!J10=0,0,SER_hh_tesh!J10/SER_summary!J$26)</f>
        <v>108.98931681515219</v>
      </c>
      <c r="K10" s="133">
        <f>IF(SER_hh_tesh!K10=0,0,SER_hh_tesh!K10/SER_summary!K$26)</f>
        <v>131.50035342616775</v>
      </c>
      <c r="L10" s="133">
        <f>IF(SER_hh_tesh!L10=0,0,SER_hh_tesh!L10/SER_summary!L$26)</f>
        <v>163.53734726338971</v>
      </c>
      <c r="M10" s="133">
        <f>IF(SER_hh_tesh!M10=0,0,SER_hh_tesh!M10/SER_summary!M$26)</f>
        <v>138.06014039896169</v>
      </c>
      <c r="N10" s="133">
        <f>IF(SER_hh_tesh!N10=0,0,SER_hh_tesh!N10/SER_summary!N$26)</f>
        <v>107.67670950627151</v>
      </c>
      <c r="O10" s="133">
        <f>IF(SER_hh_tesh!O10=0,0,SER_hh_tesh!O10/SER_summary!O$26)</f>
        <v>136.92936125114193</v>
      </c>
      <c r="P10" s="133">
        <f>IF(SER_hh_tesh!P10=0,0,SER_hh_tesh!P10/SER_summary!P$26)</f>
        <v>177.7561626278013</v>
      </c>
      <c r="Q10" s="133">
        <f>IF(SER_hh_tesh!Q10=0,0,SER_hh_tesh!Q10/SER_summary!Q$26)</f>
        <v>147.40921516505838</v>
      </c>
      <c r="R10" s="133">
        <f>IF(SER_hh_tesh!R10=0,0,SER_hh_tesh!R10/SER_summary!R$26)</f>
        <v>178.85885081637508</v>
      </c>
      <c r="S10" s="133">
        <f>IF(SER_hh_tesh!S10=0,0,SER_hh_tesh!S10/SER_summary!S$26)</f>
        <v>184.78552021908726</v>
      </c>
      <c r="T10" s="133">
        <f>IF(SER_hh_tesh!T10=0,0,SER_hh_tesh!T10/SER_summary!T$26)</f>
        <v>178.02963052700787</v>
      </c>
      <c r="U10" s="133">
        <f>IF(SER_hh_tesh!U10=0,0,SER_hh_tesh!U10/SER_summary!U$26)</f>
        <v>181.26857113910702</v>
      </c>
      <c r="V10" s="133">
        <f>IF(SER_hh_tesh!V10=0,0,SER_hh_tesh!V10/SER_summary!V$26)</f>
        <v>168.1917455943088</v>
      </c>
      <c r="W10" s="133">
        <f>IF(SER_hh_tesh!W10=0,0,SER_hh_tesh!W10/SER_summary!W$26)</f>
        <v>170.80719151340969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82.555240997782974</v>
      </c>
      <c r="C11" s="133">
        <f>IF(SER_hh_tesh!C11=0,0,SER_hh_tesh!C11/SER_summary!C$26)</f>
        <v>84.529591623986747</v>
      </c>
      <c r="D11" s="133">
        <f>IF(SER_hh_tesh!D11=0,0,SER_hh_tesh!D11/SER_summary!D$26)</f>
        <v>88.277978059473469</v>
      </c>
      <c r="E11" s="133">
        <f>IF(SER_hh_tesh!E11=0,0,SER_hh_tesh!E11/SER_summary!E$26)</f>
        <v>96.069890830131357</v>
      </c>
      <c r="F11" s="133">
        <f>IF(SER_hh_tesh!F11=0,0,SER_hh_tesh!F11/SER_summary!F$26)</f>
        <v>103.72661659817436</v>
      </c>
      <c r="G11" s="133">
        <f>IF(SER_hh_tesh!G11=0,0,SER_hh_tesh!G11/SER_summary!G$26)</f>
        <v>115.43967329639278</v>
      </c>
      <c r="H11" s="133">
        <f>IF(SER_hh_tesh!H11=0,0,SER_hh_tesh!H11/SER_summary!H$26)</f>
        <v>123.59082191637717</v>
      </c>
      <c r="I11" s="133">
        <f>IF(SER_hh_tesh!I11=0,0,SER_hh_tesh!I11/SER_summary!I$26)</f>
        <v>128.84300272045184</v>
      </c>
      <c r="J11" s="133">
        <f>IF(SER_hh_tesh!J11=0,0,SER_hh_tesh!J11/SER_summary!J$26)</f>
        <v>143.35649498170312</v>
      </c>
      <c r="K11" s="133">
        <f>IF(SER_hh_tesh!K11=0,0,SER_hh_tesh!K11/SER_summary!K$26)</f>
        <v>162.16831967929375</v>
      </c>
      <c r="L11" s="133">
        <f>IF(SER_hh_tesh!L11=0,0,SER_hh_tesh!L11/SER_summary!L$26)</f>
        <v>117.78143625712903</v>
      </c>
      <c r="M11" s="133">
        <f>IF(SER_hh_tesh!M11=0,0,SER_hh_tesh!M11/SER_summary!M$26)</f>
        <v>131.12101618589912</v>
      </c>
      <c r="N11" s="133">
        <f>IF(SER_hh_tesh!N11=0,0,SER_hh_tesh!N11/SER_summary!N$26)</f>
        <v>143.07126484376363</v>
      </c>
      <c r="O11" s="133">
        <f>IF(SER_hh_tesh!O11=0,0,SER_hh_tesh!O11/SER_summary!O$26)</f>
        <v>147.33034441530447</v>
      </c>
      <c r="P11" s="133">
        <f>IF(SER_hh_tesh!P11=0,0,SER_hh_tesh!P11/SER_summary!P$26)</f>
        <v>145.63401160082771</v>
      </c>
      <c r="Q11" s="133">
        <f>IF(SER_hh_tesh!Q11=0,0,SER_hh_tesh!Q11/SER_summary!Q$26)</f>
        <v>160.91741398809094</v>
      </c>
      <c r="R11" s="133">
        <f>IF(SER_hh_tesh!R11=0,0,SER_hh_tesh!R11/SER_summary!R$26)</f>
        <v>169.14008395564451</v>
      </c>
      <c r="S11" s="133">
        <f>IF(SER_hh_tesh!S11=0,0,SER_hh_tesh!S11/SER_summary!S$26)</f>
        <v>184.4279587954581</v>
      </c>
      <c r="T11" s="133">
        <f>IF(SER_hh_tesh!T11=0,0,SER_hh_tesh!T11/SER_summary!T$26)</f>
        <v>187.57221408921521</v>
      </c>
      <c r="U11" s="133">
        <f>IF(SER_hh_tesh!U11=0,0,SER_hh_tesh!U11/SER_summary!U$26)</f>
        <v>186.22575522061717</v>
      </c>
      <c r="V11" s="133">
        <f>IF(SER_hh_tesh!V11=0,0,SER_hh_tesh!V11/SER_summary!V$26)</f>
        <v>171.61327106676154</v>
      </c>
      <c r="W11" s="133">
        <f>IF(SER_hh_tesh!W11=0,0,SER_hh_tesh!W11/SER_summary!W$26)</f>
        <v>163.71011517873669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0</v>
      </c>
      <c r="C12" s="133">
        <f>IF(SER_hh_tesh!C12=0,0,SER_hh_tesh!C12/SER_summary!C$26)</f>
        <v>0</v>
      </c>
      <c r="D12" s="133">
        <f>IF(SER_hh_tesh!D12=0,0,SER_hh_tesh!D12/SER_summary!D$26)</f>
        <v>0</v>
      </c>
      <c r="E12" s="133">
        <f>IF(SER_hh_tesh!E12=0,0,SER_hh_tesh!E12/SER_summary!E$26)</f>
        <v>0</v>
      </c>
      <c r="F12" s="133">
        <f>IF(SER_hh_tesh!F12=0,0,SER_hh_tesh!F12/SER_summary!F$26)</f>
        <v>148.79796700166133</v>
      </c>
      <c r="G12" s="133">
        <f>IF(SER_hh_tesh!G12=0,0,SER_hh_tesh!G12/SER_summary!G$26)</f>
        <v>114.61757489034028</v>
      </c>
      <c r="H12" s="133">
        <f>IF(SER_hh_tesh!H12=0,0,SER_hh_tesh!H12/SER_summary!H$26)</f>
        <v>136.26935253822921</v>
      </c>
      <c r="I12" s="133">
        <f>IF(SER_hh_tesh!I12=0,0,SER_hh_tesh!I12/SER_summary!I$26)</f>
        <v>136.55367022700804</v>
      </c>
      <c r="J12" s="133">
        <f>IF(SER_hh_tesh!J12=0,0,SER_hh_tesh!J12/SER_summary!J$26)</f>
        <v>145.4187100824108</v>
      </c>
      <c r="K12" s="133">
        <f>IF(SER_hh_tesh!K12=0,0,SER_hh_tesh!K12/SER_summary!K$26)</f>
        <v>126.99138445380926</v>
      </c>
      <c r="L12" s="133">
        <f>IF(SER_hh_tesh!L12=0,0,SER_hh_tesh!L12/SER_summary!L$26)</f>
        <v>96.835933565525238</v>
      </c>
      <c r="M12" s="133">
        <f>IF(SER_hh_tesh!M12=0,0,SER_hh_tesh!M12/SER_summary!M$26)</f>
        <v>177.56804038232403</v>
      </c>
      <c r="N12" s="133">
        <f>IF(SER_hh_tesh!N12=0,0,SER_hh_tesh!N12/SER_summary!N$26)</f>
        <v>117.78859318569955</v>
      </c>
      <c r="O12" s="133">
        <f>IF(SER_hh_tesh!O12=0,0,SER_hh_tesh!O12/SER_summary!O$26)</f>
        <v>135.43110814620707</v>
      </c>
      <c r="P12" s="133">
        <f>IF(SER_hh_tesh!P12=0,0,SER_hh_tesh!P12/SER_summary!P$26)</f>
        <v>189.20873484888881</v>
      </c>
      <c r="Q12" s="133">
        <f>IF(SER_hh_tesh!Q12=0,0,SER_hh_tesh!Q12/SER_summary!Q$26)</f>
        <v>149.52745752813013</v>
      </c>
      <c r="R12" s="133">
        <f>IF(SER_hh_tesh!R12=0,0,SER_hh_tesh!R12/SER_summary!R$26)</f>
        <v>153.34360078467904</v>
      </c>
      <c r="S12" s="133">
        <f>IF(SER_hh_tesh!S12=0,0,SER_hh_tesh!S12/SER_summary!S$26)</f>
        <v>187.87998145606718</v>
      </c>
      <c r="T12" s="133">
        <f>IF(SER_hh_tesh!T12=0,0,SER_hh_tesh!T12/SER_summary!T$26)</f>
        <v>226.52301489706306</v>
      </c>
      <c r="U12" s="133">
        <f>IF(SER_hh_tesh!U12=0,0,SER_hh_tesh!U12/SER_summary!U$26)</f>
        <v>168.32602018932246</v>
      </c>
      <c r="V12" s="133">
        <f>IF(SER_hh_tesh!V12=0,0,SER_hh_tesh!V12/SER_summary!V$26)</f>
        <v>167.15706010364664</v>
      </c>
      <c r="W12" s="133">
        <f>IF(SER_hh_tesh!W12=0,0,SER_hh_tesh!W12/SER_summary!W$26)</f>
        <v>191.14399383783496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68.447459863737024</v>
      </c>
      <c r="C13" s="133">
        <f>IF(SER_hh_tesh!C13=0,0,SER_hh_tesh!C13/SER_summary!C$26)</f>
        <v>63.065855912632841</v>
      </c>
      <c r="D13" s="133">
        <f>IF(SER_hh_tesh!D13=0,0,SER_hh_tesh!D13/SER_summary!D$26)</f>
        <v>95.204961980751435</v>
      </c>
      <c r="E13" s="133">
        <f>IF(SER_hh_tesh!E13=0,0,SER_hh_tesh!E13/SER_summary!E$26)</f>
        <v>69.904887447504308</v>
      </c>
      <c r="F13" s="133">
        <f>IF(SER_hh_tesh!F13=0,0,SER_hh_tesh!F13/SER_summary!F$26)</f>
        <v>94.822726647289926</v>
      </c>
      <c r="G13" s="133">
        <f>IF(SER_hh_tesh!G13=0,0,SER_hh_tesh!G13/SER_summary!G$26)</f>
        <v>127.22840734541185</v>
      </c>
      <c r="H13" s="133">
        <f>IF(SER_hh_tesh!H13=0,0,SER_hh_tesh!H13/SER_summary!H$26)</f>
        <v>133.25199356395791</v>
      </c>
      <c r="I13" s="133">
        <f>IF(SER_hh_tesh!I13=0,0,SER_hh_tesh!I13/SER_summary!I$26)</f>
        <v>128.90771970925607</v>
      </c>
      <c r="J13" s="133">
        <f>IF(SER_hh_tesh!J13=0,0,SER_hh_tesh!J13/SER_summary!J$26)</f>
        <v>130.97781779755593</v>
      </c>
      <c r="K13" s="133">
        <f>IF(SER_hh_tesh!K13=0,0,SER_hh_tesh!K13/SER_summary!K$26)</f>
        <v>139.46446947443579</v>
      </c>
      <c r="L13" s="133">
        <f>IF(SER_hh_tesh!L13=0,0,SER_hh_tesh!L13/SER_summary!L$26)</f>
        <v>120.5432306992372</v>
      </c>
      <c r="M13" s="133">
        <f>IF(SER_hh_tesh!M13=0,0,SER_hh_tesh!M13/SER_summary!M$26)</f>
        <v>127.09594260543084</v>
      </c>
      <c r="N13" s="133">
        <f>IF(SER_hh_tesh!N13=0,0,SER_hh_tesh!N13/SER_summary!N$26)</f>
        <v>139.55218085462602</v>
      </c>
      <c r="O13" s="133">
        <f>IF(SER_hh_tesh!O13=0,0,SER_hh_tesh!O13/SER_summary!O$26)</f>
        <v>120.87173663959977</v>
      </c>
      <c r="P13" s="133">
        <f>IF(SER_hh_tesh!P13=0,0,SER_hh_tesh!P13/SER_summary!P$26)</f>
        <v>135.85582147764069</v>
      </c>
      <c r="Q13" s="133">
        <f>IF(SER_hh_tesh!Q13=0,0,SER_hh_tesh!Q13/SER_summary!Q$26)</f>
        <v>190.14551481199047</v>
      </c>
      <c r="R13" s="133">
        <f>IF(SER_hh_tesh!R13=0,0,SER_hh_tesh!R13/SER_summary!R$26)</f>
        <v>178.32064940417354</v>
      </c>
      <c r="S13" s="133">
        <f>IF(SER_hh_tesh!S13=0,0,SER_hh_tesh!S13/SER_summary!S$26)</f>
        <v>194.80325613745788</v>
      </c>
      <c r="T13" s="133">
        <f>IF(SER_hh_tesh!T13=0,0,SER_hh_tesh!T13/SER_summary!T$26)</f>
        <v>189.78161647579617</v>
      </c>
      <c r="U13" s="133">
        <f>IF(SER_hh_tesh!U13=0,0,SER_hh_tesh!U13/SER_summary!U$26)</f>
        <v>180.83825700430668</v>
      </c>
      <c r="V13" s="133">
        <f>IF(SER_hh_tesh!V13=0,0,SER_hh_tesh!V13/SER_summary!V$26)</f>
        <v>175.62015859764503</v>
      </c>
      <c r="W13" s="133">
        <f>IF(SER_hh_tesh!W13=0,0,SER_hh_tesh!W13/SER_summary!W$26)</f>
        <v>137.83148108109731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80.260421826732127</v>
      </c>
      <c r="C14" s="65">
        <f>IF(SER_hh_tesh!C14=0,0,SER_hh_tesh!C14/SER_summary!C$26)</f>
        <v>83.645835489452352</v>
      </c>
      <c r="D14" s="65">
        <f>IF(SER_hh_tesh!D14=0,0,SER_hh_tesh!D14/SER_summary!D$26)</f>
        <v>90.240255338560232</v>
      </c>
      <c r="E14" s="65">
        <f>IF(SER_hh_tesh!E14=0,0,SER_hh_tesh!E14/SER_summary!E$26)</f>
        <v>92.175653858461985</v>
      </c>
      <c r="F14" s="65">
        <f>IF(SER_hh_tesh!F14=0,0,SER_hh_tesh!F14/SER_summary!F$26)</f>
        <v>104.24849068425175</v>
      </c>
      <c r="G14" s="65">
        <f>IF(SER_hh_tesh!G14=0,0,SER_hh_tesh!G14/SER_summary!G$26)</f>
        <v>119.77998649581905</v>
      </c>
      <c r="H14" s="65">
        <f>IF(SER_hh_tesh!H14=0,0,SER_hh_tesh!H14/SER_summary!H$26)</f>
        <v>126.51146886456819</v>
      </c>
      <c r="I14" s="65">
        <f>IF(SER_hh_tesh!I14=0,0,SER_hh_tesh!I14/SER_summary!I$26)</f>
        <v>131.45797919510758</v>
      </c>
      <c r="J14" s="65">
        <f>IF(SER_hh_tesh!J14=0,0,SER_hh_tesh!J14/SER_summary!J$26)</f>
        <v>138.17551313490497</v>
      </c>
      <c r="K14" s="65">
        <f>IF(SER_hh_tesh!K14=0,0,SER_hh_tesh!K14/SER_summary!K$26)</f>
        <v>142.75709359636423</v>
      </c>
      <c r="L14" s="65">
        <f>IF(SER_hh_tesh!L14=0,0,SER_hh_tesh!L14/SER_summary!L$26)</f>
        <v>146.35151837501985</v>
      </c>
      <c r="M14" s="65">
        <f>IF(SER_hh_tesh!M14=0,0,SER_hh_tesh!M14/SER_summary!M$26)</f>
        <v>142.34023457653203</v>
      </c>
      <c r="N14" s="65">
        <f>IF(SER_hh_tesh!N14=0,0,SER_hh_tesh!N14/SER_summary!N$26)</f>
        <v>145.8110767872229</v>
      </c>
      <c r="O14" s="65">
        <f>IF(SER_hh_tesh!O14=0,0,SER_hh_tesh!O14/SER_summary!O$26)</f>
        <v>150.40192410460048</v>
      </c>
      <c r="P14" s="65">
        <f>IF(SER_hh_tesh!P14=0,0,SER_hh_tesh!P14/SER_summary!P$26)</f>
        <v>148.48272277971395</v>
      </c>
      <c r="Q14" s="65">
        <f>IF(SER_hh_tesh!Q14=0,0,SER_hh_tesh!Q14/SER_summary!Q$26)</f>
        <v>150.18835700410585</v>
      </c>
      <c r="R14" s="65">
        <f>IF(SER_hh_tesh!R14=0,0,SER_hh_tesh!R14/SER_summary!R$26)</f>
        <v>169.41717182267365</v>
      </c>
      <c r="S14" s="65">
        <f>IF(SER_hh_tesh!S14=0,0,SER_hh_tesh!S14/SER_summary!S$26)</f>
        <v>178.44943299044263</v>
      </c>
      <c r="T14" s="65">
        <f>IF(SER_hh_tesh!T14=0,0,SER_hh_tesh!T14/SER_summary!T$26)</f>
        <v>206.67589548838671</v>
      </c>
      <c r="U14" s="65">
        <f>IF(SER_hh_tesh!U14=0,0,SER_hh_tesh!U14/SER_summary!U$26)</f>
        <v>190.09990684739017</v>
      </c>
      <c r="V14" s="65">
        <f>IF(SER_hh_tesh!V14=0,0,SER_hh_tesh!V14/SER_summary!V$26)</f>
        <v>143.95395114709333</v>
      </c>
      <c r="W14" s="65">
        <f>IF(SER_hh_tesh!W14=0,0,SER_hh_tesh!W14/SER_summary!W$26)</f>
        <v>209.228798287415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1.5920353937230471</v>
      </c>
      <c r="C15" s="135">
        <f>IF(SER_hh_tesh!C15=0,0,SER_hh_tesh!C15/SER_summary!C$26)</f>
        <v>1.6072490859666273</v>
      </c>
      <c r="D15" s="135">
        <f>IF(SER_hh_tesh!D15=0,0,SER_hh_tesh!D15/SER_summary!D$26)</f>
        <v>1.4803081659169934</v>
      </c>
      <c r="E15" s="135">
        <f>IF(SER_hh_tesh!E15=0,0,SER_hh_tesh!E15/SER_summary!E$26)</f>
        <v>1.7897086574079808</v>
      </c>
      <c r="F15" s="135">
        <f>IF(SER_hh_tesh!F15=0,0,SER_hh_tesh!F15/SER_summary!F$26)</f>
        <v>1.7947134160681326</v>
      </c>
      <c r="G15" s="135">
        <f>IF(SER_hh_tesh!G15=0,0,SER_hh_tesh!G15/SER_summary!G$26)</f>
        <v>2.1652939905815995</v>
      </c>
      <c r="H15" s="135">
        <f>IF(SER_hh_tesh!H15=0,0,SER_hh_tesh!H15/SER_summary!H$26)</f>
        <v>2.188398398620194</v>
      </c>
      <c r="I15" s="135">
        <f>IF(SER_hh_tesh!I15=0,0,SER_hh_tesh!I15/SER_summary!I$26)</f>
        <v>1.9507270898211626</v>
      </c>
      <c r="J15" s="135">
        <f>IF(SER_hh_tesh!J15=0,0,SER_hh_tesh!J15/SER_summary!J$26)</f>
        <v>2.454733346306361</v>
      </c>
      <c r="K15" s="135">
        <f>IF(SER_hh_tesh!K15=0,0,SER_hh_tesh!K15/SER_summary!K$26)</f>
        <v>2.4205732379373015</v>
      </c>
      <c r="L15" s="135">
        <f>IF(SER_hh_tesh!L15=0,0,SER_hh_tesh!L15/SER_summary!L$26)</f>
        <v>2.4855847573572811</v>
      </c>
      <c r="M15" s="135">
        <f>IF(SER_hh_tesh!M15=0,0,SER_hh_tesh!M15/SER_summary!M$26)</f>
        <v>2.1164781720483417</v>
      </c>
      <c r="N15" s="135">
        <f>IF(SER_hh_tesh!N15=0,0,SER_hh_tesh!N15/SER_summary!N$26)</f>
        <v>2.230092881057673</v>
      </c>
      <c r="O15" s="135">
        <f>IF(SER_hh_tesh!O15=0,0,SER_hh_tesh!O15/SER_summary!O$26)</f>
        <v>2.3985204737704642</v>
      </c>
      <c r="P15" s="135">
        <f>IF(SER_hh_tesh!P15=0,0,SER_hh_tesh!P15/SER_summary!P$26)</f>
        <v>1.9939986170384545</v>
      </c>
      <c r="Q15" s="135">
        <f>IF(SER_hh_tesh!Q15=0,0,SER_hh_tesh!Q15/SER_summary!Q$26)</f>
        <v>2.3630979417460019</v>
      </c>
      <c r="R15" s="135">
        <f>IF(SER_hh_tesh!R15=0,0,SER_hh_tesh!R15/SER_summary!R$26)</f>
        <v>2.4899148037196759</v>
      </c>
      <c r="S15" s="135">
        <f>IF(SER_hh_tesh!S15=0,0,SER_hh_tesh!S15/SER_summary!S$26)</f>
        <v>2.4771742216902735</v>
      </c>
      <c r="T15" s="135">
        <f>IF(SER_hh_tesh!T15=0,0,SER_hh_tesh!T15/SER_summary!T$26)</f>
        <v>2.8343179081687642</v>
      </c>
      <c r="U15" s="135">
        <f>IF(SER_hh_tesh!U15=0,0,SER_hh_tesh!U15/SER_summary!U$26)</f>
        <v>2.7237341903348131</v>
      </c>
      <c r="V15" s="135">
        <f>IF(SER_hh_tesh!V15=0,0,SER_hh_tesh!V15/SER_summary!V$26)</f>
        <v>2.5810260983726416</v>
      </c>
      <c r="W15" s="135">
        <f>IF(SER_hh_tesh!W15=0,0,SER_hh_tesh!W15/SER_summary!W$26)</f>
        <v>2.3803116688722676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25.502199585289514</v>
      </c>
      <c r="C16" s="131">
        <f>IF(SER_hh_tesh!C16=0,0,SER_hh_tesh!C16/SER_summary!C$26)</f>
        <v>27.939156421661249</v>
      </c>
      <c r="D16" s="131">
        <f>IF(SER_hh_tesh!D16=0,0,SER_hh_tesh!D16/SER_summary!D$26)</f>
        <v>24.610645809148583</v>
      </c>
      <c r="E16" s="131">
        <f>IF(SER_hh_tesh!E16=0,0,SER_hh_tesh!E16/SER_summary!E$26)</f>
        <v>57.304498321353165</v>
      </c>
      <c r="F16" s="131">
        <f>IF(SER_hh_tesh!F16=0,0,SER_hh_tesh!F16/SER_summary!F$26)</f>
        <v>25.879558880774095</v>
      </c>
      <c r="G16" s="131">
        <f>IF(SER_hh_tesh!G16=0,0,SER_hh_tesh!G16/SER_summary!G$26)</f>
        <v>26.038131980019706</v>
      </c>
      <c r="H16" s="131">
        <f>IF(SER_hh_tesh!H16=0,0,SER_hh_tesh!H16/SER_summary!H$26)</f>
        <v>30.686632354879638</v>
      </c>
      <c r="I16" s="131">
        <f>IF(SER_hh_tesh!I16=0,0,SER_hh_tesh!I16/SER_summary!I$26)</f>
        <v>28.334569903135502</v>
      </c>
      <c r="J16" s="131">
        <f>IF(SER_hh_tesh!J16=0,0,SER_hh_tesh!J16/SER_summary!J$26)</f>
        <v>33.443665358876395</v>
      </c>
      <c r="K16" s="131">
        <f>IF(SER_hh_tesh!K16=0,0,SER_hh_tesh!K16/SER_summary!K$26)</f>
        <v>34.402600516635218</v>
      </c>
      <c r="L16" s="131">
        <f>IF(SER_hh_tesh!L16=0,0,SER_hh_tesh!L16/SER_summary!L$26)</f>
        <v>28.074039647793569</v>
      </c>
      <c r="M16" s="131">
        <f>IF(SER_hh_tesh!M16=0,0,SER_hh_tesh!M16/SER_summary!M$26)</f>
        <v>30.555801715072914</v>
      </c>
      <c r="N16" s="131">
        <f>IF(SER_hh_tesh!N16=0,0,SER_hh_tesh!N16/SER_summary!N$26)</f>
        <v>48.506928203392093</v>
      </c>
      <c r="O16" s="131">
        <f>IF(SER_hh_tesh!O16=0,0,SER_hh_tesh!O16/SER_summary!O$26)</f>
        <v>29.015667910718211</v>
      </c>
      <c r="P16" s="131">
        <f>IF(SER_hh_tesh!P16=0,0,SER_hh_tesh!P16/SER_summary!P$26)</f>
        <v>25.219379026975062</v>
      </c>
      <c r="Q16" s="131">
        <f>IF(SER_hh_tesh!Q16=0,0,SER_hh_tesh!Q16/SER_summary!Q$26)</f>
        <v>45.33372398774636</v>
      </c>
      <c r="R16" s="131">
        <f>IF(SER_hh_tesh!R16=0,0,SER_hh_tesh!R16/SER_summary!R$26)</f>
        <v>29.802137284031474</v>
      </c>
      <c r="S16" s="131">
        <f>IF(SER_hh_tesh!S16=0,0,SER_hh_tesh!S16/SER_summary!S$26)</f>
        <v>45.460770509566693</v>
      </c>
      <c r="T16" s="131">
        <f>IF(SER_hh_tesh!T16=0,0,SER_hh_tesh!T16/SER_summary!T$26)</f>
        <v>34.566468989367912</v>
      </c>
      <c r="U16" s="131">
        <f>IF(SER_hh_tesh!U16=0,0,SER_hh_tesh!U16/SER_summary!U$26)</f>
        <v>46.335432991948039</v>
      </c>
      <c r="V16" s="131">
        <f>IF(SER_hh_tesh!V16=0,0,SER_hh_tesh!V16/SER_summary!V$26)</f>
        <v>35.042569778344635</v>
      </c>
      <c r="W16" s="131">
        <f>IF(SER_hh_tesh!W16=0,0,SER_hh_tesh!W16/SER_summary!W$26)</f>
        <v>43.203921739333964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25.502199585289517</v>
      </c>
      <c r="C17" s="133">
        <f>IF(SER_hh_tesh!C17=0,0,SER_hh_tesh!C17/SER_summary!C$26)</f>
        <v>27.939198997819187</v>
      </c>
      <c r="D17" s="133">
        <f>IF(SER_hh_tesh!D17=0,0,SER_hh_tesh!D17/SER_summary!D$26)</f>
        <v>24.610654926560287</v>
      </c>
      <c r="E17" s="133">
        <f>IF(SER_hh_tesh!E17=0,0,SER_hh_tesh!E17/SER_summary!E$26)</f>
        <v>57.304478062451267</v>
      </c>
      <c r="F17" s="133">
        <f>IF(SER_hh_tesh!F17=0,0,SER_hh_tesh!F17/SER_summary!F$26)</f>
        <v>25.879539919609527</v>
      </c>
      <c r="G17" s="133">
        <f>IF(SER_hh_tesh!G17=0,0,SER_hh_tesh!G17/SER_summary!G$26)</f>
        <v>26.038112185470734</v>
      </c>
      <c r="H17" s="133">
        <f>IF(SER_hh_tesh!H17=0,0,SER_hh_tesh!H17/SER_summary!H$26)</f>
        <v>30.686618614875346</v>
      </c>
      <c r="I17" s="133">
        <f>IF(SER_hh_tesh!I17=0,0,SER_hh_tesh!I17/SER_summary!I$26)</f>
        <v>28.334568260880882</v>
      </c>
      <c r="J17" s="133">
        <f>IF(SER_hh_tesh!J17=0,0,SER_hh_tesh!J17/SER_summary!J$26)</f>
        <v>33.443673426397112</v>
      </c>
      <c r="K17" s="133">
        <f>IF(SER_hh_tesh!K17=0,0,SER_hh_tesh!K17/SER_summary!K$26)</f>
        <v>34.402615980839464</v>
      </c>
      <c r="L17" s="133">
        <f>IF(SER_hh_tesh!L17=0,0,SER_hh_tesh!L17/SER_summary!L$26)</f>
        <v>28.074058000258066</v>
      </c>
      <c r="M17" s="133">
        <f>IF(SER_hh_tesh!M17=0,0,SER_hh_tesh!M17/SER_summary!M$26)</f>
        <v>30.555826225009966</v>
      </c>
      <c r="N17" s="133">
        <f>IF(SER_hh_tesh!N17=0,0,SER_hh_tesh!N17/SER_summary!N$26)</f>
        <v>48.506920012966155</v>
      </c>
      <c r="O17" s="133">
        <f>IF(SER_hh_tesh!O17=0,0,SER_hh_tesh!O17/SER_summary!O$26)</f>
        <v>29.01564079433194</v>
      </c>
      <c r="P17" s="133">
        <f>IF(SER_hh_tesh!P17=0,0,SER_hh_tesh!P17/SER_summary!P$26)</f>
        <v>25.219344759849182</v>
      </c>
      <c r="Q17" s="133">
        <f>IF(SER_hh_tesh!Q17=0,0,SER_hh_tesh!Q17/SER_summary!Q$26)</f>
        <v>45.333665261503754</v>
      </c>
      <c r="R17" s="133">
        <f>IF(SER_hh_tesh!R17=0,0,SER_hh_tesh!R17/SER_summary!R$26)</f>
        <v>29.802115654653552</v>
      </c>
      <c r="S17" s="133">
        <f>IF(SER_hh_tesh!S17=0,0,SER_hh_tesh!S17/SER_summary!S$26)</f>
        <v>45.460778246819913</v>
      </c>
      <c r="T17" s="133">
        <f>IF(SER_hh_tesh!T17=0,0,SER_hh_tesh!T17/SER_summary!T$26)</f>
        <v>34.915735156926445</v>
      </c>
      <c r="U17" s="133">
        <f>IF(SER_hh_tesh!U17=0,0,SER_hh_tesh!U17/SER_summary!U$26)</f>
        <v>46.335494377556039</v>
      </c>
      <c r="V17" s="133">
        <f>IF(SER_hh_tesh!V17=0,0,SER_hh_tesh!V17/SER_summary!V$26)</f>
        <v>33.685948106588697</v>
      </c>
      <c r="W17" s="133">
        <f>IF(SER_hh_tesh!W17=0,0,SER_hh_tesh!W17/SER_summary!W$26)</f>
        <v>41.555408087798931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25.502199585289514</v>
      </c>
      <c r="C18" s="133">
        <f>IF(SER_hh_tesh!C18=0,0,SER_hh_tesh!C18/SER_summary!C$26)</f>
        <v>27.939156297942851</v>
      </c>
      <c r="D18" s="133">
        <f>IF(SER_hh_tesh!D18=0,0,SER_hh_tesh!D18/SER_summary!D$26)</f>
        <v>24.610645783258732</v>
      </c>
      <c r="E18" s="133">
        <f>IF(SER_hh_tesh!E18=0,0,SER_hh_tesh!E18/SER_summary!E$26)</f>
        <v>57.304498393062595</v>
      </c>
      <c r="F18" s="133">
        <f>IF(SER_hh_tesh!F18=0,0,SER_hh_tesh!F18/SER_summary!F$26)</f>
        <v>25.879558963685596</v>
      </c>
      <c r="G18" s="133">
        <f>IF(SER_hh_tesh!G18=0,0,SER_hh_tesh!G18/SER_summary!G$26)</f>
        <v>26.038132072470297</v>
      </c>
      <c r="H18" s="133">
        <f>IF(SER_hh_tesh!H18=0,0,SER_hh_tesh!H18/SER_summary!H$26)</f>
        <v>30.686632427415599</v>
      </c>
      <c r="I18" s="133">
        <f>IF(SER_hh_tesh!I18=0,0,SER_hh_tesh!I18/SER_summary!I$26)</f>
        <v>28.334569912616757</v>
      </c>
      <c r="J18" s="133">
        <f>IF(SER_hh_tesh!J18=0,0,SER_hh_tesh!J18/SER_summary!J$26)</f>
        <v>33.443665306205943</v>
      </c>
      <c r="K18" s="133">
        <f>IF(SER_hh_tesh!K18=0,0,SER_hh_tesh!K18/SER_summary!K$26)</f>
        <v>34.402600399061143</v>
      </c>
      <c r="L18" s="133">
        <f>IF(SER_hh_tesh!L18=0,0,SER_hh_tesh!L18/SER_summary!L$26)</f>
        <v>28.074039492465271</v>
      </c>
      <c r="M18" s="133">
        <f>IF(SER_hh_tesh!M18=0,0,SER_hh_tesh!M18/SER_summary!M$26)</f>
        <v>30.555801492055068</v>
      </c>
      <c r="N18" s="133">
        <f>IF(SER_hh_tesh!N18=0,0,SER_hh_tesh!N18/SER_summary!N$26)</f>
        <v>48.506928282771604</v>
      </c>
      <c r="O18" s="133">
        <f>IF(SER_hh_tesh!O18=0,0,SER_hh_tesh!O18/SER_summary!O$26)</f>
        <v>29.015668204330712</v>
      </c>
      <c r="P18" s="133">
        <f>IF(SER_hh_tesh!P18=0,0,SER_hh_tesh!P18/SER_summary!P$26)</f>
        <v>25.219379432885102</v>
      </c>
      <c r="Q18" s="133">
        <f>IF(SER_hh_tesh!Q18=0,0,SER_hh_tesh!Q18/SER_summary!Q$26)</f>
        <v>45.333724732644768</v>
      </c>
      <c r="R18" s="133">
        <f>IF(SER_hh_tesh!R18=0,0,SER_hh_tesh!R18/SER_summary!R$26)</f>
        <v>29.802137586328691</v>
      </c>
      <c r="S18" s="133">
        <f>IF(SER_hh_tesh!S18=0,0,SER_hh_tesh!S18/SER_summary!S$26)</f>
        <v>45.460770395977718</v>
      </c>
      <c r="T18" s="133">
        <f>IF(SER_hh_tesh!T18=0,0,SER_hh_tesh!T18/SER_summary!T$26)</f>
        <v>34.561186206093886</v>
      </c>
      <c r="U18" s="133">
        <f>IF(SER_hh_tesh!U18=0,0,SER_hh_tesh!U18/SER_summary!U$26)</f>
        <v>46.335432036913531</v>
      </c>
      <c r="V18" s="133">
        <f>IF(SER_hh_tesh!V18=0,0,SER_hh_tesh!V18/SER_summary!V$26)</f>
        <v>35.065035373216382</v>
      </c>
      <c r="W18" s="133">
        <f>IF(SER_hh_tesh!W18=0,0,SER_hh_tesh!W18/SER_summary!W$26)</f>
        <v>43.231072869732273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20.306307296015966</v>
      </c>
      <c r="C19" s="131">
        <f>IF(SER_hh_tesh!C19=0,0,SER_hh_tesh!C19/SER_summary!C$26)</f>
        <v>20.715941120673509</v>
      </c>
      <c r="D19" s="131">
        <f>IF(SER_hh_tesh!D19=0,0,SER_hh_tesh!D19/SER_summary!D$26)</f>
        <v>20.990566017382818</v>
      </c>
      <c r="E19" s="131">
        <f>IF(SER_hh_tesh!E19=0,0,SER_hh_tesh!E19/SER_summary!E$26)</f>
        <v>20.770523894247507</v>
      </c>
      <c r="F19" s="131">
        <f>IF(SER_hh_tesh!F19=0,0,SER_hh_tesh!F19/SER_summary!F$26)</f>
        <v>21.213634205461965</v>
      </c>
      <c r="G19" s="131">
        <f>IF(SER_hh_tesh!G19=0,0,SER_hh_tesh!G19/SER_summary!G$26)</f>
        <v>20.964361097312352</v>
      </c>
      <c r="H19" s="131">
        <f>IF(SER_hh_tesh!H19=0,0,SER_hh_tesh!H19/SER_summary!H$26)</f>
        <v>21.016571775375922</v>
      </c>
      <c r="I19" s="131">
        <f>IF(SER_hh_tesh!I19=0,0,SER_hh_tesh!I19/SER_summary!I$26)</f>
        <v>21.478968742138925</v>
      </c>
      <c r="J19" s="131">
        <f>IF(SER_hh_tesh!J19=0,0,SER_hh_tesh!J19/SER_summary!J$26)</f>
        <v>21.435353543125796</v>
      </c>
      <c r="K19" s="131">
        <f>IF(SER_hh_tesh!K19=0,0,SER_hh_tesh!K19/SER_summary!K$26)</f>
        <v>21.380317511594846</v>
      </c>
      <c r="L19" s="131">
        <f>IF(SER_hh_tesh!L19=0,0,SER_hh_tesh!L19/SER_summary!L$26)</f>
        <v>21.524466931295901</v>
      </c>
      <c r="M19" s="131">
        <f>IF(SER_hh_tesh!M19=0,0,SER_hh_tesh!M19/SER_summary!M$26)</f>
        <v>21.862491815699666</v>
      </c>
      <c r="N19" s="131">
        <f>IF(SER_hh_tesh!N19=0,0,SER_hh_tesh!N19/SER_summary!N$26)</f>
        <v>21.63928385031716</v>
      </c>
      <c r="O19" s="131">
        <f>IF(SER_hh_tesh!O19=0,0,SER_hh_tesh!O19/SER_summary!O$26)</f>
        <v>22.45435330810356</v>
      </c>
      <c r="P19" s="131">
        <f>IF(SER_hh_tesh!P19=0,0,SER_hh_tesh!P19/SER_summary!P$26)</f>
        <v>22.69712506051869</v>
      </c>
      <c r="Q19" s="131">
        <f>IF(SER_hh_tesh!Q19=0,0,SER_hh_tesh!Q19/SER_summary!Q$26)</f>
        <v>22.763141850146202</v>
      </c>
      <c r="R19" s="131">
        <f>IF(SER_hh_tesh!R19=0,0,SER_hh_tesh!R19/SER_summary!R$26)</f>
        <v>23.281631770039073</v>
      </c>
      <c r="S19" s="131">
        <f>IF(SER_hh_tesh!S19=0,0,SER_hh_tesh!S19/SER_summary!S$26)</f>
        <v>22.960411426964324</v>
      </c>
      <c r="T19" s="131">
        <f>IF(SER_hh_tesh!T19=0,0,SER_hh_tesh!T19/SER_summary!T$26)</f>
        <v>22.842871853258597</v>
      </c>
      <c r="U19" s="131">
        <f>IF(SER_hh_tesh!U19=0,0,SER_hh_tesh!U19/SER_summary!U$26)</f>
        <v>21.808897803643713</v>
      </c>
      <c r="V19" s="131">
        <f>IF(SER_hh_tesh!V19=0,0,SER_hh_tesh!V19/SER_summary!V$26)</f>
        <v>20.001780323176565</v>
      </c>
      <c r="W19" s="131">
        <f>IF(SER_hh_tesh!W19=0,0,SER_hh_tesh!W19/SER_summary!W$26)</f>
        <v>21.592458149596638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20.506668502452118</v>
      </c>
      <c r="C21" s="133">
        <f>IF(SER_hh_tesh!C21=0,0,SER_hh_tesh!C21/SER_summary!C$26)</f>
        <v>20.9391702698526</v>
      </c>
      <c r="D21" s="133">
        <f>IF(SER_hh_tesh!D21=0,0,SER_hh_tesh!D21/SER_summary!D$26)</f>
        <v>20.861434285318559</v>
      </c>
      <c r="E21" s="133">
        <f>IF(SER_hh_tesh!E21=0,0,SER_hh_tesh!E21/SER_summary!E$26)</f>
        <v>20.385588503115169</v>
      </c>
      <c r="F21" s="133">
        <f>IF(SER_hh_tesh!F21=0,0,SER_hh_tesh!F21/SER_summary!F$26)</f>
        <v>20.830609890749908</v>
      </c>
      <c r="G21" s="133">
        <f>IF(SER_hh_tesh!G21=0,0,SER_hh_tesh!G21/SER_summary!G$26)</f>
        <v>21.254413800468726</v>
      </c>
      <c r="H21" s="133">
        <f>IF(SER_hh_tesh!H21=0,0,SER_hh_tesh!H21/SER_summary!H$26)</f>
        <v>21.676586753318912</v>
      </c>
      <c r="I21" s="133">
        <f>IF(SER_hh_tesh!I21=0,0,SER_hh_tesh!I21/SER_summary!I$26)</f>
        <v>20.906981540284729</v>
      </c>
      <c r="J21" s="133">
        <f>IF(SER_hh_tesh!J21=0,0,SER_hh_tesh!J21/SER_summary!J$26)</f>
        <v>21.692658734286475</v>
      </c>
      <c r="K21" s="133">
        <f>IF(SER_hh_tesh!K21=0,0,SER_hh_tesh!K21/SER_summary!K$26)</f>
        <v>21.079171518063617</v>
      </c>
      <c r="L21" s="133">
        <f>IF(SER_hh_tesh!L21=0,0,SER_hh_tesh!L21/SER_summary!L$26)</f>
        <v>21.435886273147659</v>
      </c>
      <c r="M21" s="133">
        <f>IF(SER_hh_tesh!M21=0,0,SER_hh_tesh!M21/SER_summary!M$26)</f>
        <v>22.489636414869874</v>
      </c>
      <c r="N21" s="133">
        <f>IF(SER_hh_tesh!N21=0,0,SER_hh_tesh!N21/SER_summary!N$26)</f>
        <v>21.01962537435417</v>
      </c>
      <c r="O21" s="133">
        <f>IF(SER_hh_tesh!O21=0,0,SER_hh_tesh!O21/SER_summary!O$26)</f>
        <v>22.689791426973542</v>
      </c>
      <c r="P21" s="133">
        <f>IF(SER_hh_tesh!P21=0,0,SER_hh_tesh!P21/SER_summary!P$26)</f>
        <v>21.03555893090039</v>
      </c>
      <c r="Q21" s="133">
        <f>IF(SER_hh_tesh!Q21=0,0,SER_hh_tesh!Q21/SER_summary!Q$26)</f>
        <v>20.525817372292924</v>
      </c>
      <c r="R21" s="133">
        <f>IF(SER_hh_tesh!R21=0,0,SER_hh_tesh!R21/SER_summary!R$26)</f>
        <v>23.365490485790382</v>
      </c>
      <c r="S21" s="133">
        <f>IF(SER_hh_tesh!S21=0,0,SER_hh_tesh!S21/SER_summary!S$26)</f>
        <v>23.473347148225916</v>
      </c>
      <c r="T21" s="133">
        <f>IF(SER_hh_tesh!T21=0,0,SER_hh_tesh!T21/SER_summary!T$26)</f>
        <v>22.012346076546461</v>
      </c>
      <c r="U21" s="133">
        <f>IF(SER_hh_tesh!U21=0,0,SER_hh_tesh!U21/SER_summary!U$26)</f>
        <v>22.288888000806864</v>
      </c>
      <c r="V21" s="133">
        <f>IF(SER_hh_tesh!V21=0,0,SER_hh_tesh!V21/SER_summary!V$26)</f>
        <v>19.607017835441269</v>
      </c>
      <c r="W21" s="133">
        <f>IF(SER_hh_tesh!W21=0,0,SER_hh_tesh!W21/SER_summary!W$26)</f>
        <v>21.408759940938175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20.916604373793323</v>
      </c>
      <c r="C22" s="133">
        <f>IF(SER_hh_tesh!C22=0,0,SER_hh_tesh!C22/SER_summary!C$26)</f>
        <v>20.949174942523896</v>
      </c>
      <c r="D22" s="133">
        <f>IF(SER_hh_tesh!D22=0,0,SER_hh_tesh!D22/SER_summary!D$26)</f>
        <v>20.346874896697649</v>
      </c>
      <c r="E22" s="133">
        <f>IF(SER_hh_tesh!E22=0,0,SER_hh_tesh!E22/SER_summary!E$26)</f>
        <v>20.853549979754071</v>
      </c>
      <c r="F22" s="133">
        <f>IF(SER_hh_tesh!F22=0,0,SER_hh_tesh!F22/SER_summary!F$26)</f>
        <v>20.494569551574486</v>
      </c>
      <c r="G22" s="133">
        <f>IF(SER_hh_tesh!G22=0,0,SER_hh_tesh!G22/SER_summary!G$26)</f>
        <v>20.536693322486812</v>
      </c>
      <c r="H22" s="133">
        <f>IF(SER_hh_tesh!H22=0,0,SER_hh_tesh!H22/SER_summary!H$26)</f>
        <v>21.308175905629902</v>
      </c>
      <c r="I22" s="133">
        <f>IF(SER_hh_tesh!I22=0,0,SER_hh_tesh!I22/SER_summary!I$26)</f>
        <v>21.422328167984592</v>
      </c>
      <c r="J22" s="133">
        <f>IF(SER_hh_tesh!J22=0,0,SER_hh_tesh!J22/SER_summary!J$26)</f>
        <v>22.165948892699006</v>
      </c>
      <c r="K22" s="133">
        <f>IF(SER_hh_tesh!K22=0,0,SER_hh_tesh!K22/SER_summary!K$26)</f>
        <v>20.901200876335544</v>
      </c>
      <c r="L22" s="133">
        <f>IF(SER_hh_tesh!L22=0,0,SER_hh_tesh!L22/SER_summary!L$26)</f>
        <v>20.459131989338175</v>
      </c>
      <c r="M22" s="133">
        <f>IF(SER_hh_tesh!M22=0,0,SER_hh_tesh!M22/SER_summary!M$26)</f>
        <v>21.34995370029279</v>
      </c>
      <c r="N22" s="133">
        <f>IF(SER_hh_tesh!N22=0,0,SER_hh_tesh!N22/SER_summary!N$26)</f>
        <v>21.58824287477476</v>
      </c>
      <c r="O22" s="133">
        <f>IF(SER_hh_tesh!O22=0,0,SER_hh_tesh!O22/SER_summary!O$26)</f>
        <v>22.693482615436416</v>
      </c>
      <c r="P22" s="133">
        <f>IF(SER_hh_tesh!P22=0,0,SER_hh_tesh!P22/SER_summary!P$26)</f>
        <v>22.660826325618448</v>
      </c>
      <c r="Q22" s="133">
        <f>IF(SER_hh_tesh!Q22=0,0,SER_hh_tesh!Q22/SER_summary!Q$26)</f>
        <v>22.603185583838865</v>
      </c>
      <c r="R22" s="133">
        <f>IF(SER_hh_tesh!R22=0,0,SER_hh_tesh!R22/SER_summary!R$26)</f>
        <v>22.375904637008038</v>
      </c>
      <c r="S22" s="133">
        <f>IF(SER_hh_tesh!S22=0,0,SER_hh_tesh!S22/SER_summary!S$26)</f>
        <v>23.054711871468108</v>
      </c>
      <c r="T22" s="133">
        <f>IF(SER_hh_tesh!T22=0,0,SER_hh_tesh!T22/SER_summary!T$26)</f>
        <v>23.476809841991049</v>
      </c>
      <c r="U22" s="133">
        <f>IF(SER_hh_tesh!U22=0,0,SER_hh_tesh!U22/SER_summary!U$26)</f>
        <v>21.821548777543246</v>
      </c>
      <c r="V22" s="133">
        <f>IF(SER_hh_tesh!V22=0,0,SER_hh_tesh!V22/SER_summary!V$26)</f>
        <v>18.990702862718546</v>
      </c>
      <c r="W22" s="133">
        <f>IF(SER_hh_tesh!W22=0,0,SER_hh_tesh!W22/SER_summary!W$26)</f>
        <v>21.480567703782519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20.279394781924687</v>
      </c>
      <c r="C23" s="133">
        <f>IF(SER_hh_tesh!C23=0,0,SER_hh_tesh!C23/SER_summary!C$26)</f>
        <v>20.678555957429406</v>
      </c>
      <c r="D23" s="133">
        <f>IF(SER_hh_tesh!D23=0,0,SER_hh_tesh!D23/SER_summary!D$26)</f>
        <v>20.92437504413661</v>
      </c>
      <c r="E23" s="133">
        <f>IF(SER_hh_tesh!E23=0,0,SER_hh_tesh!E23/SER_summary!E$26)</f>
        <v>20.88364676817481</v>
      </c>
      <c r="F23" s="133">
        <f>IF(SER_hh_tesh!F23=0,0,SER_hh_tesh!F23/SER_summary!F$26)</f>
        <v>20.876393883644305</v>
      </c>
      <c r="G23" s="133">
        <f>IF(SER_hh_tesh!G23=0,0,SER_hh_tesh!G23/SER_summary!G$26)</f>
        <v>21.116366001684955</v>
      </c>
      <c r="H23" s="133">
        <f>IF(SER_hh_tesh!H23=0,0,SER_hh_tesh!H23/SER_summary!H$26)</f>
        <v>21.12369592847471</v>
      </c>
      <c r="I23" s="133">
        <f>IF(SER_hh_tesh!I23=0,0,SER_hh_tesh!I23/SER_summary!I$26)</f>
        <v>21.203941194483654</v>
      </c>
      <c r="J23" s="133">
        <f>IF(SER_hh_tesh!J23=0,0,SER_hh_tesh!J23/SER_summary!J$26)</f>
        <v>21.392560957405095</v>
      </c>
      <c r="K23" s="133">
        <f>IF(SER_hh_tesh!K23=0,0,SER_hh_tesh!K23/SER_summary!K$26)</f>
        <v>21.458391894385535</v>
      </c>
      <c r="L23" s="133">
        <f>IF(SER_hh_tesh!L23=0,0,SER_hh_tesh!L23/SER_summary!L$26)</f>
        <v>21.294942894197018</v>
      </c>
      <c r="M23" s="133">
        <f>IF(SER_hh_tesh!M23=0,0,SER_hh_tesh!M23/SER_summary!M$26)</f>
        <v>21.622927650564929</v>
      </c>
      <c r="N23" s="133">
        <f>IF(SER_hh_tesh!N23=0,0,SER_hh_tesh!N23/SER_summary!N$26)</f>
        <v>21.874288271194164</v>
      </c>
      <c r="O23" s="133">
        <f>IF(SER_hh_tesh!O23=0,0,SER_hh_tesh!O23/SER_summary!O$26)</f>
        <v>22.248752068739311</v>
      </c>
      <c r="P23" s="133">
        <f>IF(SER_hh_tesh!P23=0,0,SER_hh_tesh!P23/SER_summary!P$26)</f>
        <v>22.44562158985897</v>
      </c>
      <c r="Q23" s="133">
        <f>IF(SER_hh_tesh!Q23=0,0,SER_hh_tesh!Q23/SER_summary!Q$26)</f>
        <v>22.562830765353137</v>
      </c>
      <c r="R23" s="133">
        <f>IF(SER_hh_tesh!R23=0,0,SER_hh_tesh!R23/SER_summary!R$26)</f>
        <v>22.463024814055466</v>
      </c>
      <c r="S23" s="133">
        <f>IF(SER_hh_tesh!S23=0,0,SER_hh_tesh!S23/SER_summary!S$26)</f>
        <v>22.958562694563998</v>
      </c>
      <c r="T23" s="133">
        <f>IF(SER_hh_tesh!T23=0,0,SER_hh_tesh!T23/SER_summary!T$26)</f>
        <v>24.297645854303443</v>
      </c>
      <c r="U23" s="133">
        <f>IF(SER_hh_tesh!U23=0,0,SER_hh_tesh!U23/SER_summary!U$26)</f>
        <v>20.860468402339102</v>
      </c>
      <c r="V23" s="133">
        <f>IF(SER_hh_tesh!V23=0,0,SER_hh_tesh!V23/SER_summary!V$26)</f>
        <v>19.72087972200379</v>
      </c>
      <c r="W23" s="133">
        <f>IF(SER_hh_tesh!W23=0,0,SER_hh_tesh!W23/SER_summary!W$26)</f>
        <v>22.463394142340249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0</v>
      </c>
      <c r="C25" s="133">
        <f>IF(SER_hh_tesh!C25=0,0,SER_hh_tesh!C25/SER_summary!C$26)</f>
        <v>0</v>
      </c>
      <c r="D25" s="133">
        <f>IF(SER_hh_tesh!D25=0,0,SER_hh_tesh!D25/SER_summary!D$26)</f>
        <v>0</v>
      </c>
      <c r="E25" s="133">
        <f>IF(SER_hh_tesh!E25=0,0,SER_hh_tesh!E25/SER_summary!E$26)</f>
        <v>0</v>
      </c>
      <c r="F25" s="133">
        <f>IF(SER_hh_tesh!F25=0,0,SER_hh_tesh!F25/SER_summary!F$26)</f>
        <v>29.738403894520069</v>
      </c>
      <c r="G25" s="133">
        <f>IF(SER_hh_tesh!G25=0,0,SER_hh_tesh!G25/SER_summary!G$26)</f>
        <v>23.549863721673802</v>
      </c>
      <c r="H25" s="133">
        <f>IF(SER_hh_tesh!H25=0,0,SER_hh_tesh!H25/SER_summary!H$26)</f>
        <v>21.063521475429567</v>
      </c>
      <c r="I25" s="133">
        <f>IF(SER_hh_tesh!I25=0,0,SER_hh_tesh!I25/SER_summary!I$26)</f>
        <v>20.676129909958412</v>
      </c>
      <c r="J25" s="133">
        <f>IF(SER_hh_tesh!J25=0,0,SER_hh_tesh!J25/SER_summary!J$26)</f>
        <v>20.017441817839796</v>
      </c>
      <c r="K25" s="133">
        <f>IF(SER_hh_tesh!K25=0,0,SER_hh_tesh!K25/SER_summary!K$26)</f>
        <v>21.682816143191395</v>
      </c>
      <c r="L25" s="133">
        <f>IF(SER_hh_tesh!L25=0,0,SER_hh_tesh!L25/SER_summary!L$26)</f>
        <v>20.652625281260381</v>
      </c>
      <c r="M25" s="133">
        <f>IF(SER_hh_tesh!M25=0,0,SER_hh_tesh!M25/SER_summary!M$26)</f>
        <v>20.509005616875065</v>
      </c>
      <c r="N25" s="133">
        <f>IF(SER_hh_tesh!N25=0,0,SER_hh_tesh!N25/SER_summary!N$26)</f>
        <v>20.694764185159855</v>
      </c>
      <c r="O25" s="133">
        <f>IF(SER_hh_tesh!O25=0,0,SER_hh_tesh!O25/SER_summary!O$26)</f>
        <v>23.169539422097991</v>
      </c>
      <c r="P25" s="133">
        <f>IF(SER_hh_tesh!P25=0,0,SER_hh_tesh!P25/SER_summary!P$26)</f>
        <v>23.528420652541111</v>
      </c>
      <c r="Q25" s="133">
        <f>IF(SER_hh_tesh!Q25=0,0,SER_hh_tesh!Q25/SER_summary!Q$26)</f>
        <v>22.346495974421828</v>
      </c>
      <c r="R25" s="133">
        <f>IF(SER_hh_tesh!R25=0,0,SER_hh_tesh!R25/SER_summary!R$26)</f>
        <v>23.353114791492519</v>
      </c>
      <c r="S25" s="133">
        <f>IF(SER_hh_tesh!S25=0,0,SER_hh_tesh!S25/SER_summary!S$26)</f>
        <v>23.003576686775823</v>
      </c>
      <c r="T25" s="133">
        <f>IF(SER_hh_tesh!T25=0,0,SER_hh_tesh!T25/SER_summary!T$26)</f>
        <v>23.244529585156673</v>
      </c>
      <c r="U25" s="133">
        <f>IF(SER_hh_tesh!U25=0,0,SER_hh_tesh!U25/SER_summary!U$26)</f>
        <v>21.893750963977773</v>
      </c>
      <c r="V25" s="133">
        <f>IF(SER_hh_tesh!V25=0,0,SER_hh_tesh!V25/SER_summary!V$26)</f>
        <v>19.556256882116887</v>
      </c>
      <c r="W25" s="133">
        <f>IF(SER_hh_tesh!W25=0,0,SER_hh_tesh!W25/SER_summary!W$26)</f>
        <v>21.519033909119845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20.120737792354237</v>
      </c>
      <c r="C26" s="65">
        <f>IF(SER_hh_tesh!C26=0,0,SER_hh_tesh!C26/SER_summary!C$26)</f>
        <v>20.579802071430333</v>
      </c>
      <c r="D26" s="65">
        <f>IF(SER_hh_tesh!D26=0,0,SER_hh_tesh!D26/SER_summary!D$26)</f>
        <v>20.986138554503373</v>
      </c>
      <c r="E26" s="65">
        <f>IF(SER_hh_tesh!E26=0,0,SER_hh_tesh!E26/SER_summary!E$26)</f>
        <v>20.568352251711808</v>
      </c>
      <c r="F26" s="65">
        <f>IF(SER_hh_tesh!F26=0,0,SER_hh_tesh!F26/SER_summary!F$26)</f>
        <v>21.283753011949837</v>
      </c>
      <c r="G26" s="65">
        <f>IF(SER_hh_tesh!G26=0,0,SER_hh_tesh!G26/SER_summary!G$26)</f>
        <v>20.569254711545483</v>
      </c>
      <c r="H26" s="65">
        <f>IF(SER_hh_tesh!H26=0,0,SER_hh_tesh!H26/SER_summary!H$26)</f>
        <v>20.569783943290169</v>
      </c>
      <c r="I26" s="65">
        <f>IF(SER_hh_tesh!I26=0,0,SER_hh_tesh!I26/SER_summary!I$26)</f>
        <v>21.304350284316822</v>
      </c>
      <c r="J26" s="65">
        <f>IF(SER_hh_tesh!J26=0,0,SER_hh_tesh!J26/SER_summary!J$26)</f>
        <v>20.889679963917029</v>
      </c>
      <c r="K26" s="65">
        <f>IF(SER_hh_tesh!K26=0,0,SER_hh_tesh!K26/SER_summary!K$26)</f>
        <v>20.660455321321855</v>
      </c>
      <c r="L26" s="65">
        <f>IF(SER_hh_tesh!L26=0,0,SER_hh_tesh!L26/SER_summary!L$26)</f>
        <v>20.729943779309941</v>
      </c>
      <c r="M26" s="65">
        <f>IF(SER_hh_tesh!M26=0,0,SER_hh_tesh!M26/SER_summary!M$26)</f>
        <v>20.994652910380893</v>
      </c>
      <c r="N26" s="65">
        <f>IF(SER_hh_tesh!N26=0,0,SER_hh_tesh!N26/SER_summary!N$26)</f>
        <v>20.32904704806268</v>
      </c>
      <c r="O26" s="65">
        <f>IF(SER_hh_tesh!O26=0,0,SER_hh_tesh!O26/SER_summary!O$26)</f>
        <v>21.263015911878615</v>
      </c>
      <c r="P26" s="65">
        <f>IF(SER_hh_tesh!P26=0,0,SER_hh_tesh!P26/SER_summary!P$26)</f>
        <v>21.539037146130916</v>
      </c>
      <c r="Q26" s="65">
        <f>IF(SER_hh_tesh!Q26=0,0,SER_hh_tesh!Q26/SER_summary!Q$26)</f>
        <v>21.557588730548243</v>
      </c>
      <c r="R26" s="65">
        <f>IF(SER_hh_tesh!R26=0,0,SER_hh_tesh!R26/SER_summary!R$26)</f>
        <v>22.405756886201505</v>
      </c>
      <c r="S26" s="65">
        <f>IF(SER_hh_tesh!S26=0,0,SER_hh_tesh!S26/SER_summary!S$26)</f>
        <v>21.254558976144111</v>
      </c>
      <c r="T26" s="65">
        <f>IF(SER_hh_tesh!T26=0,0,SER_hh_tesh!T26/SER_summary!T$26)</f>
        <v>19.736516672881805</v>
      </c>
      <c r="U26" s="65">
        <f>IF(SER_hh_tesh!U26=0,0,SER_hh_tesh!U26/SER_summary!U$26)</f>
        <v>20.790899825226088</v>
      </c>
      <c r="V26" s="65">
        <f>IF(SER_hh_tesh!V26=0,0,SER_hh_tesh!V26/SER_summary!V$26)</f>
        <v>18.557283238949392</v>
      </c>
      <c r="W26" s="65">
        <f>IF(SER_hh_tesh!W26=0,0,SER_hh_tesh!W26/SER_summary!W$26)</f>
        <v>18.99854250403255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5.2851169339678268E-2</v>
      </c>
      <c r="C27" s="146">
        <f>IF(SER_hh_tesh!C27=0,0,SER_hh_tesh!C27/SER_summary!C$26)</f>
        <v>5.79446666714485E-2</v>
      </c>
      <c r="D27" s="146">
        <f>IF(SER_hh_tesh!D27=0,0,SER_hh_tesh!D27/SER_summary!D$26)</f>
        <v>6.5500084265643299E-2</v>
      </c>
      <c r="E27" s="146">
        <f>IF(SER_hh_tesh!E27=0,0,SER_hh_tesh!E27/SER_summary!E$26)</f>
        <v>7.4799812536465227E-2</v>
      </c>
      <c r="F27" s="146">
        <f>IF(SER_hh_tesh!F27=0,0,SER_hh_tesh!F27/SER_summary!F$26)</f>
        <v>8.525803489514687E-2</v>
      </c>
      <c r="G27" s="146">
        <f>IF(SER_hh_tesh!G27=0,0,SER_hh_tesh!G27/SER_summary!G$26)</f>
        <v>0.1254516566285242</v>
      </c>
      <c r="H27" s="146">
        <f>IF(SER_hh_tesh!H27=0,0,SER_hh_tesh!H27/SER_summary!H$26)</f>
        <v>0.15637310455832362</v>
      </c>
      <c r="I27" s="146">
        <f>IF(SER_hh_tesh!I27=0,0,SER_hh_tesh!I27/SER_summary!I$26)</f>
        <v>0.23025246296860963</v>
      </c>
      <c r="J27" s="146">
        <f>IF(SER_hh_tesh!J27=0,0,SER_hh_tesh!J27/SER_summary!J$26)</f>
        <v>0.29377007927432186</v>
      </c>
      <c r="K27" s="146">
        <f>IF(SER_hh_tesh!K27=0,0,SER_hh_tesh!K27/SER_summary!K$26)</f>
        <v>0.37302051656823082</v>
      </c>
      <c r="L27" s="146">
        <f>IF(SER_hh_tesh!L27=0,0,SER_hh_tesh!L27/SER_summary!L$26)</f>
        <v>0.55626394309129545</v>
      </c>
      <c r="M27" s="146">
        <f>IF(SER_hh_tesh!M27=0,0,SER_hh_tesh!M27/SER_summary!M$26)</f>
        <v>0.57741848874448176</v>
      </c>
      <c r="N27" s="146">
        <f>IF(SER_hh_tesh!N27=0,0,SER_hh_tesh!N27/SER_summary!N$26)</f>
        <v>0.63702676076801423</v>
      </c>
      <c r="O27" s="146">
        <f>IF(SER_hh_tesh!O27=0,0,SER_hh_tesh!O27/SER_summary!O$26)</f>
        <v>0.69165141821195619</v>
      </c>
      <c r="P27" s="146">
        <f>IF(SER_hh_tesh!P27=0,0,SER_hh_tesh!P27/SER_summary!P$26)</f>
        <v>0.72935432930925481</v>
      </c>
      <c r="Q27" s="146">
        <f>IF(SER_hh_tesh!Q27=0,0,SER_hh_tesh!Q27/SER_summary!Q$26)</f>
        <v>0.76949443172137255</v>
      </c>
      <c r="R27" s="146">
        <f>IF(SER_hh_tesh!R27=0,0,SER_hh_tesh!R27/SER_summary!R$26)</f>
        <v>0.81043952557967502</v>
      </c>
      <c r="S27" s="146">
        <f>IF(SER_hh_tesh!S27=0,0,SER_hh_tesh!S27/SER_summary!S$26)</f>
        <v>0.8415066366611198</v>
      </c>
      <c r="T27" s="146">
        <f>IF(SER_hh_tesh!T27=0,0,SER_hh_tesh!T27/SER_summary!T$26)</f>
        <v>0.87754546925551247</v>
      </c>
      <c r="U27" s="146">
        <f>IF(SER_hh_tesh!U27=0,0,SER_hh_tesh!U27/SER_summary!U$26)</f>
        <v>0.91349827547714579</v>
      </c>
      <c r="V27" s="146">
        <f>IF(SER_hh_tesh!V27=0,0,SER_hh_tesh!V27/SER_summary!V$26)</f>
        <v>0.86535002795387295</v>
      </c>
      <c r="W27" s="146">
        <f>IF(SER_hh_tesh!W27=0,0,SER_hh_tesh!W27/SER_summary!W$26)</f>
        <v>0.88751773709214044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16.647434208516529</v>
      </c>
      <c r="C28" s="147">
        <f>IF(SER_hh_tesh!C28=0,0,SER_hh_tesh!C28/SER_summary!C$26)</f>
        <v>17.477225827931296</v>
      </c>
      <c r="D28" s="147">
        <f>IF(SER_hh_tesh!D28=0,0,SER_hh_tesh!D28/SER_summary!D$26)</f>
        <v>17.128078314115559</v>
      </c>
      <c r="E28" s="147">
        <f>IF(SER_hh_tesh!E28=0,0,SER_hh_tesh!E28/SER_summary!E$26)</f>
        <v>17.572533876198122</v>
      </c>
      <c r="F28" s="147">
        <f>IF(SER_hh_tesh!F28=0,0,SER_hh_tesh!F28/SER_summary!F$26)</f>
        <v>17.123845449959809</v>
      </c>
      <c r="G28" s="147">
        <f>IF(SER_hh_tesh!G28=0,0,SER_hh_tesh!G28/SER_summary!G$26)</f>
        <v>17.520150918253446</v>
      </c>
      <c r="H28" s="147">
        <f>IF(SER_hh_tesh!H28=0,0,SER_hh_tesh!H28/SER_summary!H$26)</f>
        <v>17.508630823536887</v>
      </c>
      <c r="I28" s="147">
        <f>IF(SER_hh_tesh!I28=0,0,SER_hh_tesh!I28/SER_summary!I$26)</f>
        <v>17.869384881864388</v>
      </c>
      <c r="J28" s="147">
        <f>IF(SER_hh_tesh!J28=0,0,SER_hh_tesh!J28/SER_summary!J$26)</f>
        <v>16.878241121058949</v>
      </c>
      <c r="K28" s="147">
        <f>IF(SER_hh_tesh!K28=0,0,SER_hh_tesh!K28/SER_summary!K$26)</f>
        <v>17.567434323856141</v>
      </c>
      <c r="L28" s="147">
        <f>IF(SER_hh_tesh!L28=0,0,SER_hh_tesh!L28/SER_summary!L$26)</f>
        <v>17.97868598379814</v>
      </c>
      <c r="M28" s="147">
        <f>IF(SER_hh_tesh!M28=0,0,SER_hh_tesh!M28/SER_summary!M$26)</f>
        <v>17.602867497407818</v>
      </c>
      <c r="N28" s="147">
        <f>IF(SER_hh_tesh!N28=0,0,SER_hh_tesh!N28/SER_summary!N$26)</f>
        <v>18.389922295949255</v>
      </c>
      <c r="O28" s="147">
        <f>IF(SER_hh_tesh!O28=0,0,SER_hh_tesh!O28/SER_summary!O$26)</f>
        <v>19.135167149044531</v>
      </c>
      <c r="P28" s="147">
        <f>IF(SER_hh_tesh!P28=0,0,SER_hh_tesh!P28/SER_summary!P$26)</f>
        <v>17.598241650097947</v>
      </c>
      <c r="Q28" s="147">
        <f>IF(SER_hh_tesh!Q28=0,0,SER_hh_tesh!Q28/SER_summary!Q$26)</f>
        <v>19.097292985259863</v>
      </c>
      <c r="R28" s="147">
        <f>IF(SER_hh_tesh!R28=0,0,SER_hh_tesh!R28/SER_summary!R$26)</f>
        <v>19.673975547186174</v>
      </c>
      <c r="S28" s="147">
        <f>IF(SER_hh_tesh!S28=0,0,SER_hh_tesh!S28/SER_summary!S$26)</f>
        <v>19.148671106442006</v>
      </c>
      <c r="T28" s="147">
        <f>IF(SER_hh_tesh!T28=0,0,SER_hh_tesh!T28/SER_summary!T$26)</f>
        <v>19.423626746617874</v>
      </c>
      <c r="U28" s="147">
        <f>IF(SER_hh_tesh!U28=0,0,SER_hh_tesh!U28/SER_summary!U$26)</f>
        <v>18.076142810234977</v>
      </c>
      <c r="V28" s="147">
        <f>IF(SER_hh_tesh!V28=0,0,SER_hh_tesh!V28/SER_summary!V$26)</f>
        <v>16.837554282606657</v>
      </c>
      <c r="W28" s="147">
        <f>IF(SER_hh_tesh!W28=0,0,SER_hh_tesh!W28/SER_summary!W$26)</f>
        <v>17.333554740112056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21.997315045563933</v>
      </c>
      <c r="C29" s="131">
        <f>IF(SER_hh_tesh!C29=0,0,SER_hh_tesh!C29/SER_summary!C$26)</f>
        <v>21.883092864498842</v>
      </c>
      <c r="D29" s="131">
        <f>IF(SER_hh_tesh!D29=0,0,SER_hh_tesh!D29/SER_summary!D$26)</f>
        <v>22.06649684945172</v>
      </c>
      <c r="E29" s="131">
        <f>IF(SER_hh_tesh!E29=0,0,SER_hh_tesh!E29/SER_summary!E$26)</f>
        <v>22.076828231034131</v>
      </c>
      <c r="F29" s="131">
        <f>IF(SER_hh_tesh!F29=0,0,SER_hh_tesh!F29/SER_summary!F$26)</f>
        <v>22.742501459191988</v>
      </c>
      <c r="G29" s="131">
        <f>IF(SER_hh_tesh!G29=0,0,SER_hh_tesh!G29/SER_summary!G$26)</f>
        <v>23.65739264988904</v>
      </c>
      <c r="H29" s="131">
        <f>IF(SER_hh_tesh!H29=0,0,SER_hh_tesh!H29/SER_summary!H$26)</f>
        <v>23.492106857964131</v>
      </c>
      <c r="I29" s="131">
        <f>IF(SER_hh_tesh!I29=0,0,SER_hh_tesh!I29/SER_summary!I$26)</f>
        <v>23.736143479218917</v>
      </c>
      <c r="J29" s="131">
        <f>IF(SER_hh_tesh!J29=0,0,SER_hh_tesh!J29/SER_summary!J$26)</f>
        <v>24.243770883044313</v>
      </c>
      <c r="K29" s="131">
        <f>IF(SER_hh_tesh!K29=0,0,SER_hh_tesh!K29/SER_summary!K$26)</f>
        <v>24.661685416155926</v>
      </c>
      <c r="L29" s="131">
        <f>IF(SER_hh_tesh!L29=0,0,SER_hh_tesh!L29/SER_summary!L$26)</f>
        <v>24.754096144351372</v>
      </c>
      <c r="M29" s="131">
        <f>IF(SER_hh_tesh!M29=0,0,SER_hh_tesh!M29/SER_summary!M$26)</f>
        <v>24.797187204840014</v>
      </c>
      <c r="N29" s="131">
        <f>IF(SER_hh_tesh!N29=0,0,SER_hh_tesh!N29/SER_summary!N$26)</f>
        <v>24.908665134304186</v>
      </c>
      <c r="O29" s="131">
        <f>IF(SER_hh_tesh!O29=0,0,SER_hh_tesh!O29/SER_summary!O$26)</f>
        <v>25.214419798391294</v>
      </c>
      <c r="P29" s="131">
        <f>IF(SER_hh_tesh!P29=0,0,SER_hh_tesh!P29/SER_summary!P$26)</f>
        <v>25.347922396172795</v>
      </c>
      <c r="Q29" s="131">
        <f>IF(SER_hh_tesh!Q29=0,0,SER_hh_tesh!Q29/SER_summary!Q$26)</f>
        <v>25.529841504628024</v>
      </c>
      <c r="R29" s="131">
        <f>IF(SER_hh_tesh!R29=0,0,SER_hh_tesh!R29/SER_summary!R$26)</f>
        <v>25.679033010552669</v>
      </c>
      <c r="S29" s="131">
        <f>IF(SER_hh_tesh!S29=0,0,SER_hh_tesh!S29/SER_summary!S$26)</f>
        <v>25.6220365130754</v>
      </c>
      <c r="T29" s="131">
        <f>IF(SER_hh_tesh!T29=0,0,SER_hh_tesh!T29/SER_summary!T$26)</f>
        <v>25.644959667059748</v>
      </c>
      <c r="U29" s="131">
        <f>IF(SER_hh_tesh!U29=0,0,SER_hh_tesh!U29/SER_summary!U$26)</f>
        <v>25.28002795157656</v>
      </c>
      <c r="V29" s="131">
        <f>IF(SER_hh_tesh!V29=0,0,SER_hh_tesh!V29/SER_summary!V$26)</f>
        <v>22.69091945597744</v>
      </c>
      <c r="W29" s="131">
        <f>IF(SER_hh_tesh!W29=0,0,SER_hh_tesh!W29/SER_summary!W$26)</f>
        <v>24.870055800119019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22.40738155214477</v>
      </c>
      <c r="C30" s="133">
        <f>IF(SER_hh_tesh!C30=0,0,SER_hh_tesh!C30/SER_summary!C$26)</f>
        <v>21.541198733750711</v>
      </c>
      <c r="D30" s="133">
        <f>IF(SER_hh_tesh!D30=0,0,SER_hh_tesh!D30/SER_summary!D$26)</f>
        <v>22.25098900149753</v>
      </c>
      <c r="E30" s="133">
        <f>IF(SER_hh_tesh!E30=0,0,SER_hh_tesh!E30/SER_summary!E$26)</f>
        <v>22.700598287229436</v>
      </c>
      <c r="F30" s="133">
        <f>IF(SER_hh_tesh!F30=0,0,SER_hh_tesh!F30/SER_summary!F$26)</f>
        <v>23.095691227328441</v>
      </c>
      <c r="G30" s="133">
        <f>IF(SER_hh_tesh!G30=0,0,SER_hh_tesh!G30/SER_summary!G$26)</f>
        <v>23.393166378658794</v>
      </c>
      <c r="H30" s="133">
        <f>IF(SER_hh_tesh!H30=0,0,SER_hh_tesh!H30/SER_summary!H$26)</f>
        <v>22.6751754088849</v>
      </c>
      <c r="I30" s="133">
        <f>IF(SER_hh_tesh!I30=0,0,SER_hh_tesh!I30/SER_summary!I$26)</f>
        <v>25.504482532670149</v>
      </c>
      <c r="J30" s="133">
        <f>IF(SER_hh_tesh!J30=0,0,SER_hh_tesh!J30/SER_summary!J$26)</f>
        <v>19.28816970534907</v>
      </c>
      <c r="K30" s="133">
        <f>IF(SER_hh_tesh!K30=0,0,SER_hh_tesh!K30/SER_summary!K$26)</f>
        <v>25.282952882111537</v>
      </c>
      <c r="L30" s="133">
        <f>IF(SER_hh_tesh!L30=0,0,SER_hh_tesh!L30/SER_summary!L$26)</f>
        <v>25.452901826466324</v>
      </c>
      <c r="M30" s="133">
        <f>IF(SER_hh_tesh!M30=0,0,SER_hh_tesh!M30/SER_summary!M$26)</f>
        <v>25.872184773226408</v>
      </c>
      <c r="N30" s="133">
        <f>IF(SER_hh_tesh!N30=0,0,SER_hh_tesh!N30/SER_summary!N$26)</f>
        <v>22.727330854070402</v>
      </c>
      <c r="O30" s="133">
        <f>IF(SER_hh_tesh!O30=0,0,SER_hh_tesh!O30/SER_summary!O$26)</f>
        <v>24.250100595146943</v>
      </c>
      <c r="P30" s="133">
        <f>IF(SER_hh_tesh!P30=0,0,SER_hh_tesh!P30/SER_summary!P$26)</f>
        <v>26.625520378384618</v>
      </c>
      <c r="Q30" s="133">
        <f>IF(SER_hh_tesh!Q30=0,0,SER_hh_tesh!Q30/SER_summary!Q$26)</f>
        <v>25.663961560731302</v>
      </c>
      <c r="R30" s="133">
        <f>IF(SER_hh_tesh!R30=0,0,SER_hh_tesh!R30/SER_summary!R$26)</f>
        <v>25.533574000789528</v>
      </c>
      <c r="S30" s="133">
        <f>IF(SER_hh_tesh!S30=0,0,SER_hh_tesh!S30/SER_summary!S$26)</f>
        <v>25.880069650687009</v>
      </c>
      <c r="T30" s="133">
        <f>IF(SER_hh_tesh!T30=0,0,SER_hh_tesh!T30/SER_summary!T$26)</f>
        <v>25.365443148006339</v>
      </c>
      <c r="U30" s="133">
        <f>IF(SER_hh_tesh!U30=0,0,SER_hh_tesh!U30/SER_summary!U$26)</f>
        <v>24.148500576139554</v>
      </c>
      <c r="V30" s="133">
        <f>IF(SER_hh_tesh!V30=0,0,SER_hh_tesh!V30/SER_summary!V$26)</f>
        <v>24.325035705863932</v>
      </c>
      <c r="W30" s="133">
        <f>IF(SER_hh_tesh!W30=0,0,SER_hh_tesh!W30/SER_summary!W$26)</f>
        <v>24.165174477684676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21.984581622269943</v>
      </c>
      <c r="C31" s="133">
        <f>IF(SER_hh_tesh!C31=0,0,SER_hh_tesh!C31/SER_summary!C$26)</f>
        <v>22.321191125516755</v>
      </c>
      <c r="D31" s="133">
        <f>IF(SER_hh_tesh!D31=0,0,SER_hh_tesh!D31/SER_summary!D$26)</f>
        <v>22.737348650497779</v>
      </c>
      <c r="E31" s="133">
        <f>IF(SER_hh_tesh!E31=0,0,SER_hh_tesh!E31/SER_summary!E$26)</f>
        <v>20.759108479785294</v>
      </c>
      <c r="F31" s="133">
        <f>IF(SER_hh_tesh!F31=0,0,SER_hh_tesh!F31/SER_summary!F$26)</f>
        <v>21.186200339206355</v>
      </c>
      <c r="G31" s="133">
        <f>IF(SER_hh_tesh!G31=0,0,SER_hh_tesh!G31/SER_summary!G$26)</f>
        <v>24.263519592726279</v>
      </c>
      <c r="H31" s="133">
        <f>IF(SER_hh_tesh!H31=0,0,SER_hh_tesh!H31/SER_summary!H$26)</f>
        <v>22.365269248704632</v>
      </c>
      <c r="I31" s="133">
        <f>IF(SER_hh_tesh!I31=0,0,SER_hh_tesh!I31/SER_summary!I$26)</f>
        <v>24.224785750324166</v>
      </c>
      <c r="J31" s="133">
        <f>IF(SER_hh_tesh!J31=0,0,SER_hh_tesh!J31/SER_summary!J$26)</f>
        <v>23.793501679486109</v>
      </c>
      <c r="K31" s="133">
        <f>IF(SER_hh_tesh!K31=0,0,SER_hh_tesh!K31/SER_summary!K$26)</f>
        <v>24.876551621983481</v>
      </c>
      <c r="L31" s="133">
        <f>IF(SER_hh_tesh!L31=0,0,SER_hh_tesh!L31/SER_summary!L$26)</f>
        <v>24.745217093570982</v>
      </c>
      <c r="M31" s="133">
        <f>IF(SER_hh_tesh!M31=0,0,SER_hh_tesh!M31/SER_summary!M$26)</f>
        <v>24.638308249609018</v>
      </c>
      <c r="N31" s="133">
        <f>IF(SER_hh_tesh!N31=0,0,SER_hh_tesh!N31/SER_summary!N$26)</f>
        <v>24.777766935711156</v>
      </c>
      <c r="O31" s="133">
        <f>IF(SER_hh_tesh!O31=0,0,SER_hh_tesh!O31/SER_summary!O$26)</f>
        <v>24.872124450993027</v>
      </c>
      <c r="P31" s="133">
        <f>IF(SER_hh_tesh!P31=0,0,SER_hh_tesh!P31/SER_summary!P$26)</f>
        <v>25.881995033037281</v>
      </c>
      <c r="Q31" s="133">
        <f>IF(SER_hh_tesh!Q31=0,0,SER_hh_tesh!Q31/SER_summary!Q$26)</f>
        <v>25.595455449094892</v>
      </c>
      <c r="R31" s="133">
        <f>IF(SER_hh_tesh!R31=0,0,SER_hh_tesh!R31/SER_summary!R$26)</f>
        <v>26.175982108028464</v>
      </c>
      <c r="S31" s="133">
        <f>IF(SER_hh_tesh!S31=0,0,SER_hh_tesh!S31/SER_summary!S$26)</f>
        <v>25.961623545584992</v>
      </c>
      <c r="T31" s="133">
        <f>IF(SER_hh_tesh!T31=0,0,SER_hh_tesh!T31/SER_summary!T$26)</f>
        <v>23.896057616511179</v>
      </c>
      <c r="U31" s="133">
        <f>IF(SER_hh_tesh!U31=0,0,SER_hh_tesh!U31/SER_summary!U$26)</f>
        <v>25.981694711626162</v>
      </c>
      <c r="V31" s="133">
        <f>IF(SER_hh_tesh!V31=0,0,SER_hh_tesh!V31/SER_summary!V$26)</f>
        <v>23.00943451040359</v>
      </c>
      <c r="W31" s="133">
        <f>IF(SER_hh_tesh!W31=0,0,SER_hh_tesh!W31/SER_summary!W$26)</f>
        <v>23.663868688869126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21.481053766475888</v>
      </c>
      <c r="C33" s="68">
        <f>IF(SER_hh_tesh!C33=0,0,SER_hh_tesh!C33/SER_summary!C$26)</f>
        <v>20.453567624660646</v>
      </c>
      <c r="D33" s="68">
        <f>IF(SER_hh_tesh!D33=0,0,SER_hh_tesh!D33/SER_summary!D$26)</f>
        <v>20.337330059253979</v>
      </c>
      <c r="E33" s="68">
        <f>IF(SER_hh_tesh!E33=0,0,SER_hh_tesh!E33/SER_summary!E$26)</f>
        <v>23.869035447496064</v>
      </c>
      <c r="F33" s="68">
        <f>IF(SER_hh_tesh!F33=0,0,SER_hh_tesh!F33/SER_summary!F$26)</f>
        <v>24.479921059841807</v>
      </c>
      <c r="G33" s="68">
        <f>IF(SER_hh_tesh!G33=0,0,SER_hh_tesh!G33/SER_summary!G$26)</f>
        <v>23.086953234404405</v>
      </c>
      <c r="H33" s="68">
        <f>IF(SER_hh_tesh!H33=0,0,SER_hh_tesh!H33/SER_summary!H$26)</f>
        <v>24.885851288188441</v>
      </c>
      <c r="I33" s="68">
        <f>IF(SER_hh_tesh!I33=0,0,SER_hh_tesh!I33/SER_summary!I$26)</f>
        <v>22.743333944648839</v>
      </c>
      <c r="J33" s="68">
        <f>IF(SER_hh_tesh!J33=0,0,SER_hh_tesh!J33/SER_summary!J$26)</f>
        <v>25.951800562384737</v>
      </c>
      <c r="K33" s="68">
        <f>IF(SER_hh_tesh!K33=0,0,SER_hh_tesh!K33/SER_summary!K$26)</f>
        <v>24.257810902469391</v>
      </c>
      <c r="L33" s="68">
        <f>IF(SER_hh_tesh!L33=0,0,SER_hh_tesh!L33/SER_summary!L$26)</f>
        <v>24.590255844712594</v>
      </c>
      <c r="M33" s="68">
        <f>IF(SER_hh_tesh!M33=0,0,SER_hh_tesh!M33/SER_summary!M$26)</f>
        <v>24.725529877523293</v>
      </c>
      <c r="N33" s="68">
        <f>IF(SER_hh_tesh!N33=0,0,SER_hh_tesh!N33/SER_summary!N$26)</f>
        <v>25.682582437441727</v>
      </c>
      <c r="O33" s="68">
        <f>IF(SER_hh_tesh!O33=0,0,SER_hh_tesh!O33/SER_summary!O$26)</f>
        <v>26.015778412639971</v>
      </c>
      <c r="P33" s="68">
        <f>IF(SER_hh_tesh!P33=0,0,SER_hh_tesh!P33/SER_summary!P$26)</f>
        <v>23.981967478141691</v>
      </c>
      <c r="Q33" s="68">
        <f>IF(SER_hh_tesh!Q33=0,0,SER_hh_tesh!Q33/SER_summary!Q$26)</f>
        <v>25.356979027446432</v>
      </c>
      <c r="R33" s="68">
        <f>IF(SER_hh_tesh!R33=0,0,SER_hh_tesh!R33/SER_summary!R$26)</f>
        <v>24.769404132163434</v>
      </c>
      <c r="S33" s="68">
        <f>IF(SER_hh_tesh!S33=0,0,SER_hh_tesh!S33/SER_summary!S$26)</f>
        <v>24.87888962843671</v>
      </c>
      <c r="T33" s="68">
        <f>IF(SER_hh_tesh!T33=0,0,SER_hh_tesh!T33/SER_summary!T$26)</f>
        <v>29.097651419005661</v>
      </c>
      <c r="U33" s="68">
        <f>IF(SER_hh_tesh!U33=0,0,SER_hh_tesh!U33/SER_summary!U$26)</f>
        <v>24.362919217829322</v>
      </c>
      <c r="V33" s="68">
        <f>IF(SER_hh_tesh!V33=0,0,SER_hh_tesh!V33/SER_summary!V$26)</f>
        <v>21.3747414564317</v>
      </c>
      <c r="W33" s="68">
        <f>IF(SER_hh_tesh!W33=0,0,SER_hh_tesh!W33/SER_summary!W$26)</f>
        <v>27.598868422207484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32.233132291246541</v>
      </c>
      <c r="C3" s="126">
        <f>IF(SER_hh_emih!C3=0,0,SER_hh_emih!C3/SER_summary!C$26)</f>
        <v>32.120953853606402</v>
      </c>
      <c r="D3" s="126">
        <f>IF(SER_hh_emih!D3=0,0,SER_hh_emih!D3/SER_summary!D$26)</f>
        <v>30.121591236629822</v>
      </c>
      <c r="E3" s="126">
        <f>IF(SER_hh_emih!E3=0,0,SER_hh_emih!E3/SER_summary!E$26)</f>
        <v>34.018778527607992</v>
      </c>
      <c r="F3" s="126">
        <f>IF(SER_hh_emih!F3=0,0,SER_hh_emih!F3/SER_summary!F$26)</f>
        <v>33.731851097031885</v>
      </c>
      <c r="G3" s="126">
        <f>IF(SER_hh_emih!G3=0,0,SER_hh_emih!G3/SER_summary!G$26)</f>
        <v>39.177233762859316</v>
      </c>
      <c r="H3" s="126">
        <f>IF(SER_hh_emih!H3=0,0,SER_hh_emih!H3/SER_summary!H$26)</f>
        <v>38.76794431733358</v>
      </c>
      <c r="I3" s="126">
        <f>IF(SER_hh_emih!I3=0,0,SER_hh_emih!I3/SER_summary!I$26)</f>
        <v>35.616533582744843</v>
      </c>
      <c r="J3" s="126">
        <f>IF(SER_hh_emih!J3=0,0,SER_hh_emih!J3/SER_summary!J$26)</f>
        <v>42.212874123776743</v>
      </c>
      <c r="K3" s="126">
        <f>IF(SER_hh_emih!K3=0,0,SER_hh_emih!K3/SER_summary!K$26)</f>
        <v>41.020714872370235</v>
      </c>
      <c r="L3" s="126">
        <f>IF(SER_hh_emih!L3=0,0,SER_hh_emih!L3/SER_summary!L$26)</f>
        <v>40.881712158961356</v>
      </c>
      <c r="M3" s="126">
        <f>IF(SER_hh_emih!M3=0,0,SER_hh_emih!M3/SER_summary!M$26)</f>
        <v>34.456004394942703</v>
      </c>
      <c r="N3" s="126">
        <f>IF(SER_hh_emih!N3=0,0,SER_hh_emih!N3/SER_summary!N$26)</f>
        <v>33.879520362273347</v>
      </c>
      <c r="O3" s="126">
        <f>IF(SER_hh_emih!O3=0,0,SER_hh_emih!O3/SER_summary!O$26)</f>
        <v>33.666827325890985</v>
      </c>
      <c r="P3" s="126">
        <f>IF(SER_hh_emih!P3=0,0,SER_hh_emih!P3/SER_summary!P$26)</f>
        <v>28.022847280897</v>
      </c>
      <c r="Q3" s="126">
        <f>IF(SER_hh_emih!Q3=0,0,SER_hh_emih!Q3/SER_summary!Q$26)</f>
        <v>29.955839781973246</v>
      </c>
      <c r="R3" s="126">
        <f>IF(SER_hh_emih!R3=0,0,SER_hh_emih!R3/SER_summary!R$26)</f>
        <v>30.18016312392588</v>
      </c>
      <c r="S3" s="126">
        <f>IF(SER_hh_emih!S3=0,0,SER_hh_emih!S3/SER_summary!S$26)</f>
        <v>29.85145555124388</v>
      </c>
      <c r="T3" s="126">
        <f>IF(SER_hh_emih!T3=0,0,SER_hh_emih!T3/SER_summary!T$26)</f>
        <v>32.460411863697558</v>
      </c>
      <c r="U3" s="126">
        <f>IF(SER_hh_emih!U3=0,0,SER_hh_emih!U3/SER_summary!U$26)</f>
        <v>31.406498577174272</v>
      </c>
      <c r="V3" s="126">
        <f>IF(SER_hh_emih!V3=0,0,SER_hh_emih!V3/SER_summary!V$26)</f>
        <v>29.579748140072947</v>
      </c>
      <c r="W3" s="126">
        <f>IF(SER_hh_emih!W3=0,0,SER_hh_emih!W3/SER_summary!W$26)</f>
        <v>28.452437510487929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21.650652399628939</v>
      </c>
      <c r="C4" s="131">
        <f>IF(SER_hh_emih!C4=0,0,SER_hh_emih!C4/SER_summary!C$26)</f>
        <v>21.892196576088093</v>
      </c>
      <c r="D4" s="131">
        <f>IF(SER_hh_emih!D4=0,0,SER_hh_emih!D4/SER_summary!D$26)</f>
        <v>20.510678603872538</v>
      </c>
      <c r="E4" s="131">
        <f>IF(SER_hh_emih!E4=0,0,SER_hh_emih!E4/SER_summary!E$26)</f>
        <v>25.411845579779442</v>
      </c>
      <c r="F4" s="131">
        <f>IF(SER_hh_emih!F4=0,0,SER_hh_emih!F4/SER_summary!F$26)</f>
        <v>25.569912349235842</v>
      </c>
      <c r="G4" s="131">
        <f>IF(SER_hh_emih!G4=0,0,SER_hh_emih!G4/SER_summary!G$26)</f>
        <v>30.772829842273516</v>
      </c>
      <c r="H4" s="131">
        <f>IF(SER_hh_emih!H4=0,0,SER_hh_emih!H4/SER_summary!H$26)</f>
        <v>30.908045116008648</v>
      </c>
      <c r="I4" s="131">
        <f>IF(SER_hh_emih!I4=0,0,SER_hh_emih!I4/SER_summary!I$26)</f>
        <v>27.43648179904612</v>
      </c>
      <c r="J4" s="131">
        <f>IF(SER_hh_emih!J4=0,0,SER_hh_emih!J4/SER_summary!J$26)</f>
        <v>34.369198565806592</v>
      </c>
      <c r="K4" s="131">
        <f>IF(SER_hh_emih!K4=0,0,SER_hh_emih!K4/SER_summary!K$26)</f>
        <v>32.794471069949893</v>
      </c>
      <c r="L4" s="131">
        <f>IF(SER_hh_emih!L4=0,0,SER_hh_emih!L4/SER_summary!L$26)</f>
        <v>32.696120726208079</v>
      </c>
      <c r="M4" s="131">
        <f>IF(SER_hh_emih!M4=0,0,SER_hh_emih!M4/SER_summary!M$26)</f>
        <v>26.174428031231404</v>
      </c>
      <c r="N4" s="131">
        <f>IF(SER_hh_emih!N4=0,0,SER_hh_emih!N4/SER_summary!N$26)</f>
        <v>25.628447906716193</v>
      </c>
      <c r="O4" s="131">
        <f>IF(SER_hh_emih!O4=0,0,SER_hh_emih!O4/SER_summary!O$26)</f>
        <v>25.216649036465707</v>
      </c>
      <c r="P4" s="131">
        <f>IF(SER_hh_emih!P4=0,0,SER_hh_emih!P4/SER_summary!P$26)</f>
        <v>19.107781237394263</v>
      </c>
      <c r="Q4" s="131">
        <f>IF(SER_hh_emih!Q4=0,0,SER_hh_emih!Q4/SER_summary!Q$26)</f>
        <v>20.982515113987255</v>
      </c>
      <c r="R4" s="131">
        <f>IF(SER_hh_emih!R4=0,0,SER_hh_emih!R4/SER_summary!R$26)</f>
        <v>21.049993571418387</v>
      </c>
      <c r="S4" s="131">
        <f>IF(SER_hh_emih!S4=0,0,SER_hh_emih!S4/SER_summary!S$26)</f>
        <v>20.65163101952772</v>
      </c>
      <c r="T4" s="131">
        <f>IF(SER_hh_emih!T4=0,0,SER_hh_emih!T4/SER_summary!T$26)</f>
        <v>23.527480856332335</v>
      </c>
      <c r="U4" s="131">
        <f>IF(SER_hh_emih!U4=0,0,SER_hh_emih!U4/SER_summary!U$26)</f>
        <v>22.588012124757125</v>
      </c>
      <c r="V4" s="131">
        <f>IF(SER_hh_emih!V4=0,0,SER_hh_emih!V4/SER_summary!V$26)</f>
        <v>21.479087789832956</v>
      </c>
      <c r="W4" s="131">
        <f>IF(SER_hh_emih!W4=0,0,SER_hh_emih!W4/SER_summary!W$26)</f>
        <v>19.925430569042483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38.621082393024928</v>
      </c>
      <c r="C6" s="133">
        <f>IF(SER_hh_emih!C6=0,0,SER_hh_emih!C6/SER_summary!C$26)</f>
        <v>39.189795199624285</v>
      </c>
      <c r="D6" s="133">
        <f>IF(SER_hh_emih!D6=0,0,SER_hh_emih!D6/SER_summary!D$26)</f>
        <v>37.362782572334567</v>
      </c>
      <c r="E6" s="133">
        <f>IF(SER_hh_emih!E6=0,0,SER_hh_emih!E6/SER_summary!E$26)</f>
        <v>45.394749456672628</v>
      </c>
      <c r="F6" s="133">
        <f>IF(SER_hh_emih!F6=0,0,SER_hh_emih!F6/SER_summary!F$26)</f>
        <v>46.708410540294814</v>
      </c>
      <c r="G6" s="133">
        <f>IF(SER_hh_emih!G6=0,0,SER_hh_emih!G6/SER_summary!G$26)</f>
        <v>54.520680583092599</v>
      </c>
      <c r="H6" s="133">
        <f>IF(SER_hh_emih!H6=0,0,SER_hh_emih!H6/SER_summary!H$26)</f>
        <v>55.394637953051934</v>
      </c>
      <c r="I6" s="133">
        <f>IF(SER_hh_emih!I6=0,0,SER_hh_emih!I6/SER_summary!I$26)</f>
        <v>52.275688168833163</v>
      </c>
      <c r="J6" s="133">
        <f>IF(SER_hh_emih!J6=0,0,SER_hh_emih!J6/SER_summary!J$26)</f>
        <v>61.269212392395119</v>
      </c>
      <c r="K6" s="133">
        <f>IF(SER_hh_emih!K6=0,0,SER_hh_emih!K6/SER_summary!K$26)</f>
        <v>61.529415781066355</v>
      </c>
      <c r="L6" s="133">
        <f>IF(SER_hh_emih!L6=0,0,SER_hh_emih!L6/SER_summary!L$26)</f>
        <v>63.616575982768758</v>
      </c>
      <c r="M6" s="133">
        <f>IF(SER_hh_emih!M6=0,0,SER_hh_emih!M6/SER_summary!M$26)</f>
        <v>57.089179564709163</v>
      </c>
      <c r="N6" s="133">
        <f>IF(SER_hh_emih!N6=0,0,SER_hh_emih!N6/SER_summary!N$26)</f>
        <v>52.49778438060023</v>
      </c>
      <c r="O6" s="133">
        <f>IF(SER_hh_emih!O6=0,0,SER_hh_emih!O6/SER_summary!O$26)</f>
        <v>57.835515001442381</v>
      </c>
      <c r="P6" s="133">
        <f>IF(SER_hh_emih!P6=0,0,SER_hh_emih!P6/SER_summary!P$26)</f>
        <v>53.565663909883391</v>
      </c>
      <c r="Q6" s="133">
        <f>IF(SER_hh_emih!Q6=0,0,SER_hh_emih!Q6/SER_summary!Q$26)</f>
        <v>55.905355648425193</v>
      </c>
      <c r="R6" s="133">
        <f>IF(SER_hh_emih!R6=0,0,SER_hh_emih!R6/SER_summary!R$26)</f>
        <v>65.191344590016854</v>
      </c>
      <c r="S6" s="133">
        <f>IF(SER_hh_emih!S6=0,0,SER_hh_emih!S6/SER_summary!S$26)</f>
        <v>69.39108767265715</v>
      </c>
      <c r="T6" s="133">
        <f>IF(SER_hh_emih!T6=0,0,SER_hh_emih!T6/SER_summary!T$26)</f>
        <v>65.799764024332148</v>
      </c>
      <c r="U6" s="133">
        <f>IF(SER_hh_emih!U6=0,0,SER_hh_emih!U6/SER_summary!U$26)</f>
        <v>66.923689957220176</v>
      </c>
      <c r="V6" s="133">
        <f>IF(SER_hh_emih!V6=0,0,SER_hh_emih!V6/SER_summary!V$26)</f>
        <v>61.382980629504942</v>
      </c>
      <c r="W6" s="133">
        <f>IF(SER_hh_emih!W6=0,0,SER_hh_emih!W6/SER_summary!W$26)</f>
        <v>72.380413909632907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54.760510764188133</v>
      </c>
      <c r="C7" s="133">
        <f>IF(SER_hh_emih!C7=0,0,SER_hh_emih!C7/SER_summary!C$26)</f>
        <v>34.344987266374289</v>
      </c>
      <c r="D7" s="133">
        <f>IF(SER_hh_emih!D7=0,0,SER_hh_emih!D7/SER_summary!D$26)</f>
        <v>44.845114766911294</v>
      </c>
      <c r="E7" s="133">
        <f>IF(SER_hh_emih!E7=0,0,SER_hh_emih!E7/SER_summary!E$26)</f>
        <v>55.687724390512528</v>
      </c>
      <c r="F7" s="133">
        <f>IF(SER_hh_emih!F7=0,0,SER_hh_emih!F7/SER_summary!F$26)</f>
        <v>58.292539275946346</v>
      </c>
      <c r="G7" s="133">
        <f>IF(SER_hh_emih!G7=0,0,SER_hh_emih!G7/SER_summary!G$26)</f>
        <v>61.863596200640295</v>
      </c>
      <c r="H7" s="133">
        <f>IF(SER_hh_emih!H7=0,0,SER_hh_emih!H7/SER_summary!H$26)</f>
        <v>66.171244012309515</v>
      </c>
      <c r="I7" s="133">
        <f>IF(SER_hh_emih!I7=0,0,SER_hh_emih!I7/SER_summary!I$26)</f>
        <v>65.059848079463308</v>
      </c>
      <c r="J7" s="133">
        <f>IF(SER_hh_emih!J7=0,0,SER_hh_emih!J7/SER_summary!J$26)</f>
        <v>82.545309506722759</v>
      </c>
      <c r="K7" s="133">
        <f>IF(SER_hh_emih!K7=0,0,SER_hh_emih!K7/SER_summary!K$26)</f>
        <v>59.115008653248033</v>
      </c>
      <c r="L7" s="133">
        <f>IF(SER_hh_emih!L7=0,0,SER_hh_emih!L7/SER_summary!L$26)</f>
        <v>71.427805610301647</v>
      </c>
      <c r="M7" s="133">
        <f>IF(SER_hh_emih!M7=0,0,SER_hh_emih!M7/SER_summary!M$26)</f>
        <v>70.32819146123515</v>
      </c>
      <c r="N7" s="133">
        <f>IF(SER_hh_emih!N7=0,0,SER_hh_emih!N7/SER_summary!N$26)</f>
        <v>69.998341490478552</v>
      </c>
      <c r="O7" s="133">
        <f>IF(SER_hh_emih!O7=0,0,SER_hh_emih!O7/SER_summary!O$26)</f>
        <v>63.412590155124036</v>
      </c>
      <c r="P7" s="133">
        <f>IF(SER_hh_emih!P7=0,0,SER_hh_emih!P7/SER_summary!P$26)</f>
        <v>65.962620849216179</v>
      </c>
      <c r="Q7" s="133">
        <f>IF(SER_hh_emih!Q7=0,0,SER_hh_emih!Q7/SER_summary!Q$26)</f>
        <v>80.207984751745045</v>
      </c>
      <c r="R7" s="133">
        <f>IF(SER_hh_emih!R7=0,0,SER_hh_emih!R7/SER_summary!R$26)</f>
        <v>86.536909267633462</v>
      </c>
      <c r="S7" s="133">
        <f>IF(SER_hh_emih!S7=0,0,SER_hh_emih!S7/SER_summary!S$26)</f>
        <v>69.755028603280962</v>
      </c>
      <c r="T7" s="133">
        <f>IF(SER_hh_emih!T7=0,0,SER_hh_emih!T7/SER_summary!T$26)</f>
        <v>89.347270622384528</v>
      </c>
      <c r="U7" s="133">
        <f>IF(SER_hh_emih!U7=0,0,SER_hh_emih!U7/SER_summary!U$26)</f>
        <v>68.658581887431197</v>
      </c>
      <c r="V7" s="133">
        <f>IF(SER_hh_emih!V7=0,0,SER_hh_emih!V7/SER_summary!V$26)</f>
        <v>53.824966036931372</v>
      </c>
      <c r="W7" s="133">
        <f>IF(SER_hh_emih!W7=0,0,SER_hh_emih!W7/SER_summary!W$26)</f>
        <v>93.182180943443839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14.15936649444639</v>
      </c>
      <c r="C8" s="133">
        <f>IF(SER_hh_emih!C8=0,0,SER_hh_emih!C8/SER_summary!C$26)</f>
        <v>14.960453734610249</v>
      </c>
      <c r="D8" s="133">
        <f>IF(SER_hh_emih!D8=0,0,SER_hh_emih!D8/SER_summary!D$26)</f>
        <v>13.19084853439575</v>
      </c>
      <c r="E8" s="133">
        <f>IF(SER_hh_emih!E8=0,0,SER_hh_emih!E8/SER_summary!E$26)</f>
        <v>14.439315903500614</v>
      </c>
      <c r="F8" s="133">
        <f>IF(SER_hh_emih!F8=0,0,SER_hh_emih!F8/SER_summary!F$26)</f>
        <v>14.301319205143002</v>
      </c>
      <c r="G8" s="133">
        <f>IF(SER_hh_emih!G8=0,0,SER_hh_emih!G8/SER_summary!G$26)</f>
        <v>14.764134728115858</v>
      </c>
      <c r="H8" s="133">
        <f>IF(SER_hh_emih!H8=0,0,SER_hh_emih!H8/SER_summary!H$26)</f>
        <v>14.775020686919236</v>
      </c>
      <c r="I8" s="133">
        <f>IF(SER_hh_emih!I8=0,0,SER_hh_emih!I8/SER_summary!I$26)</f>
        <v>14.35318478453838</v>
      </c>
      <c r="J8" s="133">
        <f>IF(SER_hh_emih!J8=0,0,SER_hh_emih!J8/SER_summary!J$26)</f>
        <v>14.377791722863298</v>
      </c>
      <c r="K8" s="133">
        <f>IF(SER_hh_emih!K8=0,0,SER_hh_emih!K8/SER_summary!K$26)</f>
        <v>13.434986657490013</v>
      </c>
      <c r="L8" s="133">
        <f>IF(SER_hh_emih!L8=0,0,SER_hh_emih!L8/SER_summary!L$26)</f>
        <v>12.026173232824107</v>
      </c>
      <c r="M8" s="133">
        <f>IF(SER_hh_emih!M8=0,0,SER_hh_emih!M8/SER_summary!M$26)</f>
        <v>10.728716921752511</v>
      </c>
      <c r="N8" s="133">
        <f>IF(SER_hh_emih!N8=0,0,SER_hh_emih!N8/SER_summary!N$26)</f>
        <v>9.7760623327248055</v>
      </c>
      <c r="O8" s="133">
        <f>IF(SER_hh_emih!O8=0,0,SER_hh_emih!O8/SER_summary!O$26)</f>
        <v>9.5795364716186597</v>
      </c>
      <c r="P8" s="133">
        <f>IF(SER_hh_emih!P8=0,0,SER_hh_emih!P8/SER_summary!P$26)</f>
        <v>9.8468994083616721</v>
      </c>
      <c r="Q8" s="133">
        <f>IF(SER_hh_emih!Q8=0,0,SER_hh_emih!Q8/SER_summary!Q$26)</f>
        <v>11.49804123143381</v>
      </c>
      <c r="R8" s="133">
        <f>IF(SER_hh_emih!R8=0,0,SER_hh_emih!R8/SER_summary!R$26)</f>
        <v>10.947100437211379</v>
      </c>
      <c r="S8" s="133">
        <f>IF(SER_hh_emih!S8=0,0,SER_hh_emih!S8/SER_summary!S$26)</f>
        <v>10.989208848133609</v>
      </c>
      <c r="T8" s="133">
        <f>IF(SER_hh_emih!T8=0,0,SER_hh_emih!T8/SER_summary!T$26)</f>
        <v>10.950389652278066</v>
      </c>
      <c r="U8" s="133">
        <f>IF(SER_hh_emih!U8=0,0,SER_hh_emih!U8/SER_summary!U$26)</f>
        <v>10.225045346124482</v>
      </c>
      <c r="V8" s="133">
        <f>IF(SER_hh_emih!V8=0,0,SER_hh_emih!V8/SER_summary!V$26)</f>
        <v>9.7231239691438311</v>
      </c>
      <c r="W8" s="133">
        <f>IF(SER_hh_emih!W8=0,0,SER_hh_emih!W8/SER_summary!W$26)</f>
        <v>9.6526890571830073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31.93824999479007</v>
      </c>
      <c r="C9" s="133">
        <f>IF(SER_hh_emih!C9=0,0,SER_hh_emih!C9/SER_summary!C$26)</f>
        <v>33.482799753634609</v>
      </c>
      <c r="D9" s="133">
        <f>IF(SER_hh_emih!D9=0,0,SER_hh_emih!D9/SER_summary!D$26)</f>
        <v>30.16737264237911</v>
      </c>
      <c r="E9" s="133">
        <f>IF(SER_hh_emih!E9=0,0,SER_hh_emih!E9/SER_summary!E$26)</f>
        <v>36.321685487949665</v>
      </c>
      <c r="F9" s="133">
        <f>IF(SER_hh_emih!F9=0,0,SER_hh_emih!F9/SER_summary!F$26)</f>
        <v>36.518399473784392</v>
      </c>
      <c r="G9" s="133">
        <f>IF(SER_hh_emih!G9=0,0,SER_hh_emih!G9/SER_summary!G$26)</f>
        <v>44.769738363259549</v>
      </c>
      <c r="H9" s="133">
        <f>IF(SER_hh_emih!H9=0,0,SER_hh_emih!H9/SER_summary!H$26)</f>
        <v>44.891187787418936</v>
      </c>
      <c r="I9" s="133">
        <f>IF(SER_hh_emih!I9=0,0,SER_hh_emih!I9/SER_summary!I$26)</f>
        <v>39.384839102593972</v>
      </c>
      <c r="J9" s="133">
        <f>IF(SER_hh_emih!J9=0,0,SER_hh_emih!J9/SER_summary!J$26)</f>
        <v>49.371607520576759</v>
      </c>
      <c r="K9" s="133">
        <f>IF(SER_hh_emih!K9=0,0,SER_hh_emih!K9/SER_summary!K$26)</f>
        <v>49.053618994950085</v>
      </c>
      <c r="L9" s="133">
        <f>IF(SER_hh_emih!L9=0,0,SER_hh_emih!L9/SER_summary!L$26)</f>
        <v>49.727624927777633</v>
      </c>
      <c r="M9" s="133">
        <f>IF(SER_hh_emih!M9=0,0,SER_hh_emih!M9/SER_summary!M$26)</f>
        <v>41.708724325916172</v>
      </c>
      <c r="N9" s="133">
        <f>IF(SER_hh_emih!N9=0,0,SER_hh_emih!N9/SER_summary!N$26)</f>
        <v>44.116537413944442</v>
      </c>
      <c r="O9" s="133">
        <f>IF(SER_hh_emih!O9=0,0,SER_hh_emih!O9/SER_summary!O$26)</f>
        <v>47.79511030432699</v>
      </c>
      <c r="P9" s="133">
        <f>IF(SER_hh_emih!P9=0,0,SER_hh_emih!P9/SER_summary!P$26)</f>
        <v>39.502592443178436</v>
      </c>
      <c r="Q9" s="133">
        <f>IF(SER_hh_emih!Q9=0,0,SER_hh_emih!Q9/SER_summary!Q$26)</f>
        <v>48.171270236984689</v>
      </c>
      <c r="R9" s="133">
        <f>IF(SER_hh_emih!R9=0,0,SER_hh_emih!R9/SER_summary!R$26)</f>
        <v>51.008047141443754</v>
      </c>
      <c r="S9" s="133">
        <f>IF(SER_hh_emih!S9=0,0,SER_hh_emih!S9/SER_summary!S$26)</f>
        <v>49.927603724425637</v>
      </c>
      <c r="T9" s="133">
        <f>IF(SER_hh_emih!T9=0,0,SER_hh_emih!T9/SER_summary!T$26)</f>
        <v>55.931382371856131</v>
      </c>
      <c r="U9" s="133">
        <f>IF(SER_hh_emih!U9=0,0,SER_hh_emih!U9/SER_summary!U$26)</f>
        <v>53.019441722769272</v>
      </c>
      <c r="V9" s="133">
        <f>IF(SER_hh_emih!V9=0,0,SER_hh_emih!V9/SER_summary!V$26)</f>
        <v>49.493038789257128</v>
      </c>
      <c r="W9" s="133">
        <f>IF(SER_hh_emih!W9=0,0,SER_hh_emih!W9/SER_summary!W$26)</f>
        <v>43.572552953120287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8.0209414285288862E-3</v>
      </c>
      <c r="C16" s="131">
        <f>IF(SER_hh_emih!C16=0,0,SER_hh_emih!C16/SER_summary!C$26)</f>
        <v>1.2797188940324004E-2</v>
      </c>
      <c r="D16" s="131">
        <f>IF(SER_hh_emih!D16=0,0,SER_hh_emih!D16/SER_summary!D$26)</f>
        <v>1.098923481761961E-2</v>
      </c>
      <c r="E16" s="131">
        <f>IF(SER_hh_emih!E16=0,0,SER_hh_emih!E16/SER_summary!E$26)</f>
        <v>3.1730219331176916E-2</v>
      </c>
      <c r="F16" s="131">
        <f>IF(SER_hh_emih!F16=0,0,SER_hh_emih!F16/SER_summary!F$26)</f>
        <v>1.7622153625891101E-2</v>
      </c>
      <c r="G16" s="131">
        <f>IF(SER_hh_emih!G16=0,0,SER_hh_emih!G16/SER_summary!G$26)</f>
        <v>1.8894657431927947E-2</v>
      </c>
      <c r="H16" s="131">
        <f>IF(SER_hh_emih!H16=0,0,SER_hh_emih!H16/SER_summary!H$26)</f>
        <v>2.5095738702754569E-2</v>
      </c>
      <c r="I16" s="131">
        <f>IF(SER_hh_emih!I16=0,0,SER_hh_emih!I16/SER_summary!I$26)</f>
        <v>2.5282071813256674E-2</v>
      </c>
      <c r="J16" s="131">
        <f>IF(SER_hh_emih!J16=0,0,SER_hh_emih!J16/SER_summary!J$26)</f>
        <v>3.366604201716087E-2</v>
      </c>
      <c r="K16" s="131">
        <f>IF(SER_hh_emih!K16=0,0,SER_hh_emih!K16/SER_summary!K$26)</f>
        <v>4.0243769857841553E-2</v>
      </c>
      <c r="L16" s="131">
        <f>IF(SER_hh_emih!L16=0,0,SER_hh_emih!L16/SER_summary!L$26)</f>
        <v>3.6481660132567033E-2</v>
      </c>
      <c r="M16" s="131">
        <f>IF(SER_hh_emih!M16=0,0,SER_hh_emih!M16/SER_summary!M$26)</f>
        <v>4.2577128224458027E-2</v>
      </c>
      <c r="N16" s="131">
        <f>IF(SER_hh_emih!N16=0,0,SER_hh_emih!N16/SER_summary!N$26)</f>
        <v>7.1543988981730658E-2</v>
      </c>
      <c r="O16" s="131">
        <f>IF(SER_hh_emih!O16=0,0,SER_hh_emih!O16/SER_summary!O$26)</f>
        <v>4.7462394090514157E-2</v>
      </c>
      <c r="P16" s="131">
        <f>IF(SER_hh_emih!P16=0,0,SER_hh_emih!P16/SER_summary!P$26)</f>
        <v>4.4654930000400932E-2</v>
      </c>
      <c r="Q16" s="131">
        <f>IF(SER_hh_emih!Q16=0,0,SER_hh_emih!Q16/SER_summary!Q$26)</f>
        <v>8.5032746876229082E-2</v>
      </c>
      <c r="R16" s="131">
        <f>IF(SER_hh_emih!R16=0,0,SER_hh_emih!R16/SER_summary!R$26)</f>
        <v>6.0698111039763518E-2</v>
      </c>
      <c r="S16" s="131">
        <f>IF(SER_hh_emih!S16=0,0,SER_hh_emih!S16/SER_summary!S$26)</f>
        <v>9.5828998435935245E-2</v>
      </c>
      <c r="T16" s="131">
        <f>IF(SER_hh_emih!T16=0,0,SER_hh_emih!T16/SER_summary!T$26)</f>
        <v>7.4625631427345782E-2</v>
      </c>
      <c r="U16" s="131">
        <f>IF(SER_hh_emih!U16=0,0,SER_hh_emih!U16/SER_summary!U$26)</f>
        <v>0.10006974032509443</v>
      </c>
      <c r="V16" s="131">
        <f>IF(SER_hh_emih!V16=0,0,SER_hh_emih!V16/SER_summary!V$26)</f>
        <v>7.592967171219589E-2</v>
      </c>
      <c r="W16" s="131">
        <f>IF(SER_hh_emih!W16=0,0,SER_hh_emih!W16/SER_summary!W$26)</f>
        <v>9.1416247004696818E-2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4.0673500938294902</v>
      </c>
      <c r="C17" s="133">
        <f>IF(SER_hh_emih!C17=0,0,SER_hh_emih!C17/SER_summary!C$26)</f>
        <v>4.4167917441135822</v>
      </c>
      <c r="D17" s="133">
        <f>IF(SER_hh_emih!D17=0,0,SER_hh_emih!D17/SER_summary!D$26)</f>
        <v>3.8809760932340507</v>
      </c>
      <c r="E17" s="133">
        <f>IF(SER_hh_emih!E17=0,0,SER_hh_emih!E17/SER_summary!E$26)</f>
        <v>8.9959534468131874</v>
      </c>
      <c r="F17" s="133">
        <f>IF(SER_hh_emih!F17=0,0,SER_hh_emih!F17/SER_summary!F$26)</f>
        <v>4.0476609463282101</v>
      </c>
      <c r="G17" s="133">
        <f>IF(SER_hh_emih!G17=0,0,SER_hh_emih!G17/SER_summary!G$26)</f>
        <v>4.0644199236040643</v>
      </c>
      <c r="H17" s="133">
        <f>IF(SER_hh_emih!H17=0,0,SER_hh_emih!H17/SER_summary!H$26)</f>
        <v>4.7788146731823797</v>
      </c>
      <c r="I17" s="133">
        <f>IF(SER_hh_emih!I17=0,0,SER_hh_emih!I17/SER_summary!I$26)</f>
        <v>4.4044069213717174</v>
      </c>
      <c r="J17" s="133">
        <f>IF(SER_hh_emih!J17=0,0,SER_hh_emih!J17/SER_summary!J$26)</f>
        <v>5.1902859373236909</v>
      </c>
      <c r="K17" s="133">
        <f>IF(SER_hh_emih!K17=0,0,SER_hh_emih!K17/SER_summary!K$26)</f>
        <v>5.3333992283149287</v>
      </c>
      <c r="L17" s="133">
        <f>IF(SER_hh_emih!L17=0,0,SER_hh_emih!L17/SER_summary!L$26)</f>
        <v>4.3468897844056338</v>
      </c>
      <c r="M17" s="133">
        <f>IF(SER_hh_emih!M17=0,0,SER_hh_emih!M17/SER_summary!M$26)</f>
        <v>4.7218561161032504</v>
      </c>
      <c r="N17" s="133">
        <f>IF(SER_hh_emih!N17=0,0,SER_hh_emih!N17/SER_summary!N$26)</f>
        <v>7.4534956358356235</v>
      </c>
      <c r="O17" s="133">
        <f>IF(SER_hh_emih!O17=0,0,SER_hh_emih!O17/SER_summary!O$26)</f>
        <v>4.430820049587167</v>
      </c>
      <c r="P17" s="133">
        <f>IF(SER_hh_emih!P17=0,0,SER_hh_emih!P17/SER_summary!P$26)</f>
        <v>3.8144461681175956</v>
      </c>
      <c r="Q17" s="133">
        <f>IF(SER_hh_emih!Q17=0,0,SER_hh_emih!Q17/SER_summary!Q$26)</f>
        <v>6.7888377424020696</v>
      </c>
      <c r="R17" s="133">
        <f>IF(SER_hh_emih!R17=0,0,SER_hh_emih!R17/SER_summary!R$26)</f>
        <v>4.4036503700562237</v>
      </c>
      <c r="S17" s="133">
        <f>IF(SER_hh_emih!S17=0,0,SER_hh_emih!S17/SER_summary!S$26)</f>
        <v>6.6233396704642447</v>
      </c>
      <c r="T17" s="133">
        <f>IF(SER_hh_emih!T17=0,0,SER_hh_emih!T17/SER_summary!T$26)</f>
        <v>5.0084279356795145</v>
      </c>
      <c r="U17" s="133">
        <f>IF(SER_hh_emih!U17=0,0,SER_hh_emih!U17/SER_summary!U$26)</f>
        <v>6.5321324717002041</v>
      </c>
      <c r="V17" s="133">
        <f>IF(SER_hh_emih!V17=0,0,SER_hh_emih!V17/SER_summary!V$26)</f>
        <v>4.6610670233879388</v>
      </c>
      <c r="W17" s="133">
        <f>IF(SER_hh_emih!W17=0,0,SER_hh_emih!W17/SER_summary!W$26)</f>
        <v>5.6418640165276095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4.1411160484997342</v>
      </c>
      <c r="C19" s="131">
        <f>IF(SER_hh_emih!C19=0,0,SER_hh_emih!C19/SER_summary!C$26)</f>
        <v>4.0701157486932376</v>
      </c>
      <c r="D19" s="131">
        <f>IF(SER_hh_emih!D19=0,0,SER_hh_emih!D19/SER_summary!D$26)</f>
        <v>3.93262542884723</v>
      </c>
      <c r="E19" s="131">
        <f>IF(SER_hh_emih!E19=0,0,SER_hh_emih!E19/SER_summary!E$26)</f>
        <v>3.8216835460555192</v>
      </c>
      <c r="F19" s="131">
        <f>IF(SER_hh_emih!F19=0,0,SER_hh_emih!F19/SER_summary!F$26)</f>
        <v>3.732385761634704</v>
      </c>
      <c r="G19" s="131">
        <f>IF(SER_hh_emih!G19=0,0,SER_hh_emih!G19/SER_summary!G$26)</f>
        <v>3.7317846280159923</v>
      </c>
      <c r="H19" s="131">
        <f>IF(SER_hh_emih!H19=0,0,SER_hh_emih!H19/SER_summary!H$26)</f>
        <v>3.6356230460936931</v>
      </c>
      <c r="I19" s="131">
        <f>IF(SER_hh_emih!I19=0,0,SER_hh_emih!I19/SER_summary!I$26)</f>
        <v>3.5173081526143251</v>
      </c>
      <c r="J19" s="131">
        <f>IF(SER_hh_emih!J19=0,0,SER_hh_emih!J19/SER_summary!J$26)</f>
        <v>3.4951184769975452</v>
      </c>
      <c r="K19" s="131">
        <f>IF(SER_hh_emih!K19=0,0,SER_hh_emih!K19/SER_summary!K$26)</f>
        <v>3.413809389794777</v>
      </c>
      <c r="L19" s="131">
        <f>IF(SER_hh_emih!L19=0,0,SER_hh_emih!L19/SER_summary!L$26)</f>
        <v>3.3110102616128012</v>
      </c>
      <c r="M19" s="131">
        <f>IF(SER_hh_emih!M19=0,0,SER_hh_emih!M19/SER_summary!M$26)</f>
        <v>3.2875741311299875</v>
      </c>
      <c r="N19" s="131">
        <f>IF(SER_hh_emih!N19=0,0,SER_hh_emih!N19/SER_summary!N$26)</f>
        <v>3.2259957605062013</v>
      </c>
      <c r="O19" s="131">
        <f>IF(SER_hh_emih!O19=0,0,SER_hh_emih!O19/SER_summary!O$26)</f>
        <v>3.2247086471561959</v>
      </c>
      <c r="P19" s="131">
        <f>IF(SER_hh_emih!P19=0,0,SER_hh_emih!P19/SER_summary!P$26)</f>
        <v>3.1608528937459761</v>
      </c>
      <c r="Q19" s="131">
        <f>IF(SER_hh_emih!Q19=0,0,SER_hh_emih!Q19/SER_summary!Q$26)</f>
        <v>3.1516636102913056</v>
      </c>
      <c r="R19" s="131">
        <f>IF(SER_hh_emih!R19=0,0,SER_hh_emih!R19/SER_summary!R$26)</f>
        <v>3.1782522234509596</v>
      </c>
      <c r="S19" s="131">
        <f>IF(SER_hh_emih!S19=0,0,SER_hh_emih!S19/SER_summary!S$26)</f>
        <v>3.2813412702592339</v>
      </c>
      <c r="T19" s="131">
        <f>IF(SER_hh_emih!T19=0,0,SER_hh_emih!T19/SER_summary!T$26)</f>
        <v>3.4179791558701127</v>
      </c>
      <c r="U19" s="131">
        <f>IF(SER_hh_emih!U19=0,0,SER_hh_emih!U19/SER_summary!U$26)</f>
        <v>2.9387626587685838</v>
      </c>
      <c r="V19" s="131">
        <f>IF(SER_hh_emih!V19=0,0,SER_hh_emih!V19/SER_summary!V$26)</f>
        <v>2.7037360384673437</v>
      </c>
      <c r="W19" s="131">
        <f>IF(SER_hh_emih!W19=0,0,SER_hh_emih!W19/SER_summary!W$26)</f>
        <v>2.9997972831656723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8.3460682917490043</v>
      </c>
      <c r="C21" s="133">
        <f>IF(SER_hh_emih!C21=0,0,SER_hh_emih!C21/SER_summary!C$26)</f>
        <v>8.5083486944991069</v>
      </c>
      <c r="D21" s="133">
        <f>IF(SER_hh_emih!D21=0,0,SER_hh_emih!D21/SER_summary!D$26)</f>
        <v>8.4692978605154803</v>
      </c>
      <c r="E21" s="133">
        <f>IF(SER_hh_emih!E21=0,0,SER_hh_emih!E21/SER_summary!E$26)</f>
        <v>8.2629923985432843</v>
      </c>
      <c r="F21" s="133">
        <f>IF(SER_hh_emih!F21=0,0,SER_hh_emih!F21/SER_summary!F$26)</f>
        <v>8.4215700508135267</v>
      </c>
      <c r="G21" s="133">
        <f>IF(SER_hh_emih!G21=0,0,SER_hh_emih!G21/SER_summary!G$26)</f>
        <v>8.5629958936697808</v>
      </c>
      <c r="H21" s="133">
        <f>IF(SER_hh_emih!H21=0,0,SER_hh_emih!H21/SER_summary!H$26)</f>
        <v>8.7004974721414357</v>
      </c>
      <c r="I21" s="133">
        <f>IF(SER_hh_emih!I21=0,0,SER_hh_emih!I21/SER_summary!I$26)</f>
        <v>8.3647784030264347</v>
      </c>
      <c r="J21" s="133">
        <f>IF(SER_hh_emih!J21=0,0,SER_hh_emih!J21/SER_summary!J$26)</f>
        <v>8.6410214044068621</v>
      </c>
      <c r="K21" s="133">
        <f>IF(SER_hh_emih!K21=0,0,SER_hh_emih!K21/SER_summary!K$26)</f>
        <v>8.3540995782916685</v>
      </c>
      <c r="L21" s="133">
        <f>IF(SER_hh_emih!L21=0,0,SER_hh_emih!L21/SER_summary!L$26)</f>
        <v>8.4367532658515429</v>
      </c>
      <c r="M21" s="133">
        <f>IF(SER_hh_emih!M21=0,0,SER_hh_emih!M21/SER_summary!M$26)</f>
        <v>8.7664639375199389</v>
      </c>
      <c r="N21" s="133">
        <f>IF(SER_hh_emih!N21=0,0,SER_hh_emih!N21/SER_summary!N$26)</f>
        <v>8.0908104360173425</v>
      </c>
      <c r="O21" s="133">
        <f>IF(SER_hh_emih!O21=0,0,SER_hh_emih!O21/SER_summary!O$26)</f>
        <v>8.5983176523642992</v>
      </c>
      <c r="P21" s="133">
        <f>IF(SER_hh_emih!P21=0,0,SER_hh_emih!P21/SER_summary!P$26)</f>
        <v>7.9605896497919613</v>
      </c>
      <c r="Q21" s="133">
        <f>IF(SER_hh_emih!Q21=0,0,SER_hh_emih!Q21/SER_summary!Q$26)</f>
        <v>7.7615034192553516</v>
      </c>
      <c r="R21" s="133">
        <f>IF(SER_hh_emih!R21=0,0,SER_hh_emih!R21/SER_summary!R$26)</f>
        <v>8.7134868759940396</v>
      </c>
      <c r="S21" s="133">
        <f>IF(SER_hh_emih!S21=0,0,SER_hh_emih!S21/SER_summary!S$26)</f>
        <v>8.4752818412151836</v>
      </c>
      <c r="T21" s="133">
        <f>IF(SER_hh_emih!T21=0,0,SER_hh_emih!T21/SER_summary!T$26)</f>
        <v>7.7156743404917192</v>
      </c>
      <c r="U21" s="133">
        <f>IF(SER_hh_emih!U21=0,0,SER_hh_emih!U21/SER_summary!U$26)</f>
        <v>7.553504521201484</v>
      </c>
      <c r="V21" s="133">
        <f>IF(SER_hh_emih!V21=0,0,SER_hh_emih!V21/SER_summary!V$26)</f>
        <v>6.4242516304839592</v>
      </c>
      <c r="W21" s="133">
        <f>IF(SER_hh_emih!W21=0,0,SER_hh_emih!W21/SER_summary!W$26)</f>
        <v>6.8011915064141197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10.493254881333876</v>
      </c>
      <c r="C22" s="133">
        <f>IF(SER_hh_emih!C22=0,0,SER_hh_emih!C22/SER_summary!C$26)</f>
        <v>10.545862818384913</v>
      </c>
      <c r="D22" s="133">
        <f>IF(SER_hh_emih!D22=0,0,SER_hh_emih!D22/SER_summary!D$26)</f>
        <v>10.25412800200419</v>
      </c>
      <c r="E22" s="133">
        <f>IF(SER_hh_emih!E22=0,0,SER_hh_emih!E22/SER_summary!E$26)</f>
        <v>10.494817679667081</v>
      </c>
      <c r="F22" s="133">
        <f>IF(SER_hh_emih!F22=0,0,SER_hh_emih!F22/SER_summary!F$26)</f>
        <v>10.308500182856928</v>
      </c>
      <c r="G22" s="133">
        <f>IF(SER_hh_emih!G22=0,0,SER_hh_emih!G22/SER_summary!G$26)</f>
        <v>10.305827105729776</v>
      </c>
      <c r="H22" s="133">
        <f>IF(SER_hh_emih!H22=0,0,SER_hh_emih!H22/SER_summary!H$26)</f>
        <v>10.664541830848155</v>
      </c>
      <c r="I22" s="133">
        <f>IF(SER_hh_emih!I22=0,0,SER_hh_emih!I22/SER_summary!I$26)</f>
        <v>10.675075154207935</v>
      </c>
      <c r="J22" s="133">
        <f>IF(SER_hh_emih!J22=0,0,SER_hh_emih!J22/SER_summary!J$26)</f>
        <v>10.999713607759379</v>
      </c>
      <c r="K22" s="133">
        <f>IF(SER_hh_emih!K22=0,0,SER_hh_emih!K22/SER_summary!K$26)</f>
        <v>10.266855117124612</v>
      </c>
      <c r="L22" s="133">
        <f>IF(SER_hh_emih!L22=0,0,SER_hh_emih!L22/SER_summary!L$26)</f>
        <v>9.9451381412623654</v>
      </c>
      <c r="M22" s="133">
        <f>IF(SER_hh_emih!M22=0,0,SER_hh_emih!M22/SER_summary!M$26)</f>
        <v>10.18026821913644</v>
      </c>
      <c r="N22" s="133">
        <f>IF(SER_hh_emih!N22=0,0,SER_hh_emih!N22/SER_summary!N$26)</f>
        <v>10.014508627958813</v>
      </c>
      <c r="O22" s="133">
        <f>IF(SER_hh_emih!O22=0,0,SER_hh_emih!O22/SER_summary!O$26)</f>
        <v>10.223876850188779</v>
      </c>
      <c r="P22" s="133">
        <f>IF(SER_hh_emih!P22=0,0,SER_hh_emih!P22/SER_summary!P$26)</f>
        <v>10.197270211533485</v>
      </c>
      <c r="Q22" s="133">
        <f>IF(SER_hh_emih!Q22=0,0,SER_hh_emih!Q22/SER_summary!Q$26)</f>
        <v>10.169958652767452</v>
      </c>
      <c r="R22" s="133">
        <f>IF(SER_hh_emih!R22=0,0,SER_hh_emih!R22/SER_summary!R$26)</f>
        <v>10.033380952235106</v>
      </c>
      <c r="S22" s="133">
        <f>IF(SER_hh_emih!S22=0,0,SER_hh_emih!S22/SER_summary!S$26)</f>
        <v>10.347521919948145</v>
      </c>
      <c r="T22" s="133">
        <f>IF(SER_hh_emih!T22=0,0,SER_hh_emih!T22/SER_summary!T$26)</f>
        <v>10.517108429259274</v>
      </c>
      <c r="U22" s="133">
        <f>IF(SER_hh_emih!U22=0,0,SER_hh_emih!U22/SER_summary!U$26)</f>
        <v>9.7648436829113621</v>
      </c>
      <c r="V22" s="133">
        <f>IF(SER_hh_emih!V22=0,0,SER_hh_emih!V22/SER_summary!V$26)</f>
        <v>8.4943473225645345</v>
      </c>
      <c r="W22" s="133">
        <f>IF(SER_hh_emih!W22=0,0,SER_hh_emih!W22/SER_summary!W$26)</f>
        <v>9.2732518904051808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7.6217390703438479</v>
      </c>
      <c r="C23" s="133">
        <f>IF(SER_hh_emih!C23=0,0,SER_hh_emih!C23/SER_summary!C$26)</f>
        <v>7.7122068572463425</v>
      </c>
      <c r="D23" s="133">
        <f>IF(SER_hh_emih!D23=0,0,SER_hh_emih!D23/SER_summary!D$26)</f>
        <v>7.7348983779461209</v>
      </c>
      <c r="E23" s="133">
        <f>IF(SER_hh_emih!E23=0,0,SER_hh_emih!E23/SER_summary!E$26)</f>
        <v>7.6444858459007126</v>
      </c>
      <c r="F23" s="133">
        <f>IF(SER_hh_emih!F23=0,0,SER_hh_emih!F23/SER_summary!F$26)</f>
        <v>7.5639615324467178</v>
      </c>
      <c r="G23" s="133">
        <f>IF(SER_hh_emih!G23=0,0,SER_hh_emih!G23/SER_summary!G$26)</f>
        <v>7.5627128633461398</v>
      </c>
      <c r="H23" s="133">
        <f>IF(SER_hh_emih!H23=0,0,SER_hh_emih!H23/SER_summary!H$26)</f>
        <v>7.4767179046369519</v>
      </c>
      <c r="I23" s="133">
        <f>IF(SER_hh_emih!I23=0,0,SER_hh_emih!I23/SER_summary!I$26)</f>
        <v>7.4127984188337619</v>
      </c>
      <c r="J23" s="133">
        <f>IF(SER_hh_emih!J23=0,0,SER_hh_emih!J23/SER_summary!J$26)</f>
        <v>7.3779603127668949</v>
      </c>
      <c r="K23" s="133">
        <f>IF(SER_hh_emih!K23=0,0,SER_hh_emih!K23/SER_summary!K$26)</f>
        <v>7.2937721605056893</v>
      </c>
      <c r="L23" s="133">
        <f>IF(SER_hh_emih!L23=0,0,SER_hh_emih!L23/SER_summary!L$26)</f>
        <v>7.1254494888274893</v>
      </c>
      <c r="M23" s="133">
        <f>IF(SER_hh_emih!M23=0,0,SER_hh_emih!M23/SER_summary!M$26)</f>
        <v>7.1047509009085328</v>
      </c>
      <c r="N23" s="133">
        <f>IF(SER_hh_emih!N23=0,0,SER_hh_emih!N23/SER_summary!N$26)</f>
        <v>7.0167702482283492</v>
      </c>
      <c r="O23" s="133">
        <f>IF(SER_hh_emih!O23=0,0,SER_hh_emih!O23/SER_summary!O$26)</f>
        <v>6.9911981901743312</v>
      </c>
      <c r="P23" s="133">
        <f>IF(SER_hh_emih!P23=0,0,SER_hh_emih!P23/SER_summary!P$26)</f>
        <v>6.9920425694613266</v>
      </c>
      <c r="Q23" s="133">
        <f>IF(SER_hh_emih!Q23=0,0,SER_hh_emih!Q23/SER_summary!Q$26)</f>
        <v>6.942741366646743</v>
      </c>
      <c r="R23" s="133">
        <f>IF(SER_hh_emih!R23=0,0,SER_hh_emih!R23/SER_summary!R$26)</f>
        <v>6.7885921925726107</v>
      </c>
      <c r="S23" s="133">
        <f>IF(SER_hh_emih!S23=0,0,SER_hh_emih!S23/SER_summary!S$26)</f>
        <v>6.7821347749951437</v>
      </c>
      <c r="T23" s="133">
        <f>IF(SER_hh_emih!T23=0,0,SER_hh_emih!T23/SER_summary!T$26)</f>
        <v>7.0381097826673127</v>
      </c>
      <c r="U23" s="133">
        <f>IF(SER_hh_emih!U23=0,0,SER_hh_emih!U23/SER_summary!U$26)</f>
        <v>5.9248967198828408</v>
      </c>
      <c r="V23" s="133">
        <f>IF(SER_hh_emih!V23=0,0,SER_hh_emih!V23/SER_summary!V$26)</f>
        <v>5.4962444513490452</v>
      </c>
      <c r="W23" s="133">
        <f>IF(SER_hh_emih!W23=0,0,SER_hh_emih!W23/SER_summary!W$26)</f>
        <v>6.1493019265162374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6.4393596410554998</v>
      </c>
      <c r="C29" s="131">
        <f>IF(SER_hh_emih!C29=0,0,SER_hh_emih!C29/SER_summary!C$26)</f>
        <v>6.1552482688811878</v>
      </c>
      <c r="D29" s="131">
        <f>IF(SER_hh_emih!D29=0,0,SER_hh_emih!D29/SER_summary!D$26)</f>
        <v>5.6751685665636353</v>
      </c>
      <c r="E29" s="131">
        <f>IF(SER_hh_emih!E29=0,0,SER_hh_emih!E29/SER_summary!E$26)</f>
        <v>4.7758876885372246</v>
      </c>
      <c r="F29" s="131">
        <f>IF(SER_hh_emih!F29=0,0,SER_hh_emih!F29/SER_summary!F$26)</f>
        <v>4.4240020899027925</v>
      </c>
      <c r="G29" s="131">
        <f>IF(SER_hh_emih!G29=0,0,SER_hh_emih!G29/SER_summary!G$26)</f>
        <v>4.6664013835484219</v>
      </c>
      <c r="H29" s="131">
        <f>IF(SER_hh_emih!H29=0,0,SER_hh_emih!H29/SER_summary!H$26)</f>
        <v>4.2153614702829501</v>
      </c>
      <c r="I29" s="131">
        <f>IF(SER_hh_emih!I29=0,0,SER_hh_emih!I29/SER_summary!I$26)</f>
        <v>4.652998904250417</v>
      </c>
      <c r="J29" s="131">
        <f>IF(SER_hh_emih!J29=0,0,SER_hh_emih!J29/SER_summary!J$26)</f>
        <v>4.3349520788951841</v>
      </c>
      <c r="K29" s="131">
        <f>IF(SER_hh_emih!K29=0,0,SER_hh_emih!K29/SER_summary!K$26)</f>
        <v>4.7950865507353004</v>
      </c>
      <c r="L29" s="131">
        <f>IF(SER_hh_emih!L29=0,0,SER_hh_emih!L29/SER_summary!L$26)</f>
        <v>4.8579988850265137</v>
      </c>
      <c r="M29" s="131">
        <f>IF(SER_hh_emih!M29=0,0,SER_hh_emih!M29/SER_summary!M$26)</f>
        <v>4.973750450706544</v>
      </c>
      <c r="N29" s="131">
        <f>IF(SER_hh_emih!N29=0,0,SER_hh_emih!N29/SER_summary!N$26)</f>
        <v>4.9900237611433065</v>
      </c>
      <c r="O29" s="131">
        <f>IF(SER_hh_emih!O29=0,0,SER_hh_emih!O29/SER_summary!O$26)</f>
        <v>5.2017093735034008</v>
      </c>
      <c r="P29" s="131">
        <f>IF(SER_hh_emih!P29=0,0,SER_hh_emih!P29/SER_summary!P$26)</f>
        <v>5.731608546608558</v>
      </c>
      <c r="Q29" s="131">
        <f>IF(SER_hh_emih!Q29=0,0,SER_hh_emih!Q29/SER_summary!Q$26)</f>
        <v>5.7784327013720693</v>
      </c>
      <c r="R29" s="131">
        <f>IF(SER_hh_emih!R29=0,0,SER_hh_emih!R29/SER_summary!R$26)</f>
        <v>5.921560515605333</v>
      </c>
      <c r="S29" s="131">
        <f>IF(SER_hh_emih!S29=0,0,SER_hh_emih!S29/SER_summary!S$26)</f>
        <v>5.8702081221331452</v>
      </c>
      <c r="T29" s="131">
        <f>IF(SER_hh_emih!T29=0,0,SER_hh_emih!T29/SER_summary!T$26)</f>
        <v>5.477000143719966</v>
      </c>
      <c r="U29" s="131">
        <f>IF(SER_hh_emih!U29=0,0,SER_hh_emih!U29/SER_summary!U$26)</f>
        <v>5.8287759879183092</v>
      </c>
      <c r="V29" s="131">
        <f>IF(SER_hh_emih!V29=0,0,SER_hh_emih!V29/SER_summary!V$26)</f>
        <v>5.3596514366414612</v>
      </c>
      <c r="W29" s="131">
        <f>IF(SER_hh_emih!W29=0,0,SER_hh_emih!W29/SER_summary!W$26)</f>
        <v>5.4814993775722058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8.2741276497446652</v>
      </c>
      <c r="C30" s="133">
        <f>IF(SER_hh_emih!C30=0,0,SER_hh_emih!C30/SER_summary!C$26)</f>
        <v>7.9474279138435104</v>
      </c>
      <c r="D30" s="133">
        <f>IF(SER_hh_emih!D30=0,0,SER_hh_emih!D30/SER_summary!D$26)</f>
        <v>8.201416939531132</v>
      </c>
      <c r="E30" s="133">
        <f>IF(SER_hh_emih!E30=0,0,SER_hh_emih!E30/SER_summary!E$26)</f>
        <v>8.359759796199338</v>
      </c>
      <c r="F30" s="133">
        <f>IF(SER_hh_emih!F30=0,0,SER_hh_emih!F30/SER_summary!F$26)</f>
        <v>8.4987607877754137</v>
      </c>
      <c r="G30" s="133">
        <f>IF(SER_hh_emih!G30=0,0,SER_hh_emih!G30/SER_summary!G$26)</f>
        <v>8.6012190706637934</v>
      </c>
      <c r="H30" s="133">
        <f>IF(SER_hh_emih!H30=0,0,SER_hh_emih!H30/SER_summary!H$26)</f>
        <v>8.3297857326945781</v>
      </c>
      <c r="I30" s="133">
        <f>IF(SER_hh_emih!I30=0,0,SER_hh_emih!I30/SER_summary!I$26)</f>
        <v>9.3560256471617187</v>
      </c>
      <c r="J30" s="133">
        <f>IF(SER_hh_emih!J30=0,0,SER_hh_emih!J30/SER_summary!J$26)</f>
        <v>7.06347850080458</v>
      </c>
      <c r="K30" s="133">
        <f>IF(SER_hh_emih!K30=0,0,SER_hh_emih!K30/SER_summary!K$26)</f>
        <v>9.2402855164652742</v>
      </c>
      <c r="L30" s="133">
        <f>IF(SER_hh_emih!L30=0,0,SER_hh_emih!L30/SER_summary!L$26)</f>
        <v>9.2900200083773719</v>
      </c>
      <c r="M30" s="133">
        <f>IF(SER_hh_emih!M30=0,0,SER_hh_emih!M30/SER_summary!M$26)</f>
        <v>9.441819152262763</v>
      </c>
      <c r="N30" s="133">
        <f>IF(SER_hh_emih!N30=0,0,SER_hh_emih!N30/SER_summary!N$26)</f>
        <v>8.2929155623709416</v>
      </c>
      <c r="O30" s="133">
        <f>IF(SER_hh_emih!O30=0,0,SER_hh_emih!O30/SER_summary!O$26)</f>
        <v>8.8468327218996734</v>
      </c>
      <c r="P30" s="133">
        <f>IF(SER_hh_emih!P30=0,0,SER_hh_emih!P30/SER_summary!P$26)</f>
        <v>9.7118131790882511</v>
      </c>
      <c r="Q30" s="133">
        <f>IF(SER_hh_emih!Q30=0,0,SER_hh_emih!Q30/SER_summary!Q$26)</f>
        <v>9.3600889607649602</v>
      </c>
      <c r="R30" s="133">
        <f>IF(SER_hh_emih!R30=0,0,SER_hh_emih!R30/SER_summary!R$26)</f>
        <v>9.3111990709487156</v>
      </c>
      <c r="S30" s="133">
        <f>IF(SER_hh_emih!S30=0,0,SER_hh_emih!S30/SER_summary!S$26)</f>
        <v>9.4353262822684254</v>
      </c>
      <c r="T30" s="133">
        <f>IF(SER_hh_emih!T30=0,0,SER_hh_emih!T30/SER_summary!T$26)</f>
        <v>9.243828217611826</v>
      </c>
      <c r="U30" s="133">
        <f>IF(SER_hh_emih!U30=0,0,SER_hh_emih!U30/SER_summary!U$26)</f>
        <v>8.7947044859677774</v>
      </c>
      <c r="V30" s="133">
        <f>IF(SER_hh_emih!V30=0,0,SER_hh_emih!V30/SER_summary!V$26)</f>
        <v>8.8511669737194403</v>
      </c>
      <c r="W30" s="133">
        <f>IF(SER_hh_emih!W30=0,0,SER_hh_emih!W30/SER_summary!W$26)</f>
        <v>8.7854578264704983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7.1067688878318389</v>
      </c>
      <c r="C31" s="133">
        <f>IF(SER_hh_emih!C31=0,0,SER_hh_emih!C31/SER_summary!C$26)</f>
        <v>7.2101237602508768</v>
      </c>
      <c r="D31" s="133">
        <f>IF(SER_hh_emih!D31=0,0,SER_hh_emih!D31/SER_summary!D$26)</f>
        <v>7.3432794527214469</v>
      </c>
      <c r="E31" s="133">
        <f>IF(SER_hh_emih!E31=0,0,SER_hh_emih!E31/SER_summary!E$26)</f>
        <v>6.7030392777942858</v>
      </c>
      <c r="F31" s="133">
        <f>IF(SER_hh_emih!F31=0,0,SER_hh_emih!F31/SER_summary!F$26)</f>
        <v>6.8366192564513764</v>
      </c>
      <c r="G31" s="133">
        <f>IF(SER_hh_emih!G31=0,0,SER_hh_emih!G31/SER_summary!G$26)</f>
        <v>7.8184056244565836</v>
      </c>
      <c r="H31" s="133">
        <f>IF(SER_hh_emih!H31=0,0,SER_hh_emih!H31/SER_summary!H$26)</f>
        <v>7.1929668497330681</v>
      </c>
      <c r="I31" s="133">
        <f>IF(SER_hh_emih!I31=0,0,SER_hh_emih!I31/SER_summary!I$26)</f>
        <v>7.7749942189140624</v>
      </c>
      <c r="J31" s="133">
        <f>IF(SER_hh_emih!J31=0,0,SER_hh_emih!J31/SER_summary!J$26)</f>
        <v>7.6229723408634147</v>
      </c>
      <c r="K31" s="133">
        <f>IF(SER_hh_emih!K31=0,0,SER_hh_emih!K31/SER_summary!K$26)</f>
        <v>7.9557280599374867</v>
      </c>
      <c r="L31" s="133">
        <f>IF(SER_hh_emih!L31=0,0,SER_hh_emih!L31/SER_summary!L$26)</f>
        <v>7.9040374820410486</v>
      </c>
      <c r="M31" s="133">
        <f>IF(SER_hh_emih!M31=0,0,SER_hh_emih!M31/SER_summary!M$26)</f>
        <v>7.8670654243426181</v>
      </c>
      <c r="N31" s="133">
        <f>IF(SER_hh_emih!N31=0,0,SER_hh_emih!N31/SER_summary!N$26)</f>
        <v>7.8873592549584197</v>
      </c>
      <c r="O31" s="133">
        <f>IF(SER_hh_emih!O31=0,0,SER_hh_emih!O31/SER_summary!O$26)</f>
        <v>7.9163509458395707</v>
      </c>
      <c r="P31" s="133">
        <f>IF(SER_hh_emih!P31=0,0,SER_hh_emih!P31/SER_summary!P$26)</f>
        <v>8.2312310350952522</v>
      </c>
      <c r="Q31" s="133">
        <f>IF(SER_hh_emih!Q31=0,0,SER_hh_emih!Q31/SER_summary!Q$26)</f>
        <v>8.1419559161725825</v>
      </c>
      <c r="R31" s="133">
        <f>IF(SER_hh_emih!R31=0,0,SER_hh_emih!R31/SER_summary!R$26)</f>
        <v>8.3262086822551478</v>
      </c>
      <c r="S31" s="133">
        <f>IF(SER_hh_emih!S31=0,0,SER_hh_emih!S31/SER_summary!S$26)</f>
        <v>8.2574996730002717</v>
      </c>
      <c r="T31" s="133">
        <f>IF(SER_hh_emih!T31=0,0,SER_hh_emih!T31/SER_summary!T$26)</f>
        <v>7.598793639570939</v>
      </c>
      <c r="U31" s="133">
        <f>IF(SER_hh_emih!U31=0,0,SER_hh_emih!U31/SER_summary!U$26)</f>
        <v>8.2595928497481328</v>
      </c>
      <c r="V31" s="133">
        <f>IF(SER_hh_emih!V31=0,0,SER_hh_emih!V31/SER_summary!V$26)</f>
        <v>7.308028552810546</v>
      </c>
      <c r="W31" s="133">
        <f>IF(SER_hh_emih!W31=0,0,SER_hh_emih!W31/SER_summary!W$26)</f>
        <v>7.5093147583744493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11542.175670495013</v>
      </c>
      <c r="D3" s="125">
        <f t="shared" si="0"/>
        <v>11941.143536422667</v>
      </c>
      <c r="E3" s="125">
        <f t="shared" si="0"/>
        <v>8645.7716067630226</v>
      </c>
      <c r="F3" s="125">
        <f t="shared" si="0"/>
        <v>6502.1849830334904</v>
      </c>
      <c r="G3" s="125">
        <f t="shared" si="0"/>
        <v>5197.6763306377361</v>
      </c>
      <c r="H3" s="125">
        <f t="shared" si="0"/>
        <v>15400.237425842592</v>
      </c>
      <c r="I3" s="125">
        <f t="shared" si="0"/>
        <v>13088.180531144768</v>
      </c>
      <c r="J3" s="125">
        <f t="shared" si="0"/>
        <v>5727.1025187376608</v>
      </c>
      <c r="K3" s="125">
        <f t="shared" si="0"/>
        <v>2479.4624912962918</v>
      </c>
      <c r="L3" s="125">
        <f t="shared" si="0"/>
        <v>5838.8346664250985</v>
      </c>
      <c r="M3" s="125">
        <f t="shared" si="0"/>
        <v>7460.5843521810793</v>
      </c>
      <c r="N3" s="125">
        <f t="shared" si="0"/>
        <v>4790.393966499445</v>
      </c>
      <c r="O3" s="125">
        <f t="shared" si="0"/>
        <v>2521.2637937632694</v>
      </c>
      <c r="P3" s="125">
        <f t="shared" si="0"/>
        <v>10235.29791843455</v>
      </c>
      <c r="Q3" s="125">
        <f t="shared" si="0"/>
        <v>4662.0276590756739</v>
      </c>
      <c r="R3" s="125">
        <f t="shared" si="0"/>
        <v>3404.1400157654125</v>
      </c>
      <c r="S3" s="125">
        <f t="shared" si="0"/>
        <v>6178.7626671969529</v>
      </c>
      <c r="T3" s="125">
        <f t="shared" si="0"/>
        <v>5375.1144863018917</v>
      </c>
      <c r="U3" s="125">
        <f t="shared" si="0"/>
        <v>4930.403290328265</v>
      </c>
      <c r="V3" s="125">
        <f t="shared" si="0"/>
        <v>4425.2256706023463</v>
      </c>
      <c r="W3" s="125">
        <f t="shared" si="0"/>
        <v>4228.4815255905323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11542.175670495013</v>
      </c>
      <c r="D4" s="140">
        <f t="shared" si="1"/>
        <v>11941.143536422667</v>
      </c>
      <c r="E4" s="140">
        <f t="shared" si="1"/>
        <v>8645.7716067630226</v>
      </c>
      <c r="F4" s="140">
        <f t="shared" si="1"/>
        <v>6502.1849830334904</v>
      </c>
      <c r="G4" s="140">
        <f t="shared" si="1"/>
        <v>5197.6763306377361</v>
      </c>
      <c r="H4" s="140">
        <f t="shared" si="1"/>
        <v>15400.237425842592</v>
      </c>
      <c r="I4" s="140">
        <f t="shared" si="1"/>
        <v>13088.180531144768</v>
      </c>
      <c r="J4" s="140">
        <f t="shared" si="1"/>
        <v>5727.1025187376608</v>
      </c>
      <c r="K4" s="140">
        <f t="shared" si="1"/>
        <v>2479.4624912962918</v>
      </c>
      <c r="L4" s="140">
        <f t="shared" si="1"/>
        <v>5838.8346664250985</v>
      </c>
      <c r="M4" s="140">
        <f t="shared" si="1"/>
        <v>7460.5843521810793</v>
      </c>
      <c r="N4" s="140">
        <f t="shared" si="1"/>
        <v>4790.393966499445</v>
      </c>
      <c r="O4" s="140">
        <f t="shared" si="1"/>
        <v>2521.2637937632694</v>
      </c>
      <c r="P4" s="140">
        <f t="shared" si="1"/>
        <v>10235.29791843455</v>
      </c>
      <c r="Q4" s="140">
        <f t="shared" si="1"/>
        <v>4662.0276590756739</v>
      </c>
      <c r="R4" s="140">
        <f t="shared" ref="R4:W4" si="2">SUM(R5:R14)</f>
        <v>3404.1400157654125</v>
      </c>
      <c r="S4" s="140">
        <f t="shared" si="2"/>
        <v>6178.7626671969529</v>
      </c>
      <c r="T4" s="140">
        <f t="shared" si="2"/>
        <v>5375.1144863018917</v>
      </c>
      <c r="U4" s="140">
        <f t="shared" si="2"/>
        <v>4930.403290328265</v>
      </c>
      <c r="V4" s="140">
        <f t="shared" si="2"/>
        <v>4425.2256706023463</v>
      </c>
      <c r="W4" s="140">
        <f t="shared" si="2"/>
        <v>4228.4815255905323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256.88287718097337</v>
      </c>
      <c r="D6" s="141">
        <v>306.31949861218675</v>
      </c>
      <c r="E6" s="141">
        <v>246.47101825235006</v>
      </c>
      <c r="F6" s="141">
        <v>104.69646301523584</v>
      </c>
      <c r="G6" s="141">
        <v>57.339174087634859</v>
      </c>
      <c r="H6" s="141">
        <v>132.82561593688311</v>
      </c>
      <c r="I6" s="141">
        <v>221.76430515088018</v>
      </c>
      <c r="J6" s="141">
        <v>148.28179473528832</v>
      </c>
      <c r="K6" s="141">
        <v>76.433676155992231</v>
      </c>
      <c r="L6" s="141">
        <v>141.64534426907593</v>
      </c>
      <c r="M6" s="141">
        <v>116.50431864419777</v>
      </c>
      <c r="N6" s="141">
        <v>31.743242035291942</v>
      </c>
      <c r="O6" s="141">
        <v>19.450898564730853</v>
      </c>
      <c r="P6" s="141">
        <v>0</v>
      </c>
      <c r="Q6" s="141">
        <v>0</v>
      </c>
      <c r="R6" s="141">
        <v>0</v>
      </c>
      <c r="S6" s="141">
        <v>63.249299511619824</v>
      </c>
      <c r="T6" s="141">
        <v>79.172196224336346</v>
      </c>
      <c r="U6" s="141">
        <v>92.229013804813263</v>
      </c>
      <c r="V6" s="141">
        <v>105.63993814344634</v>
      </c>
      <c r="W6" s="141">
        <v>103.79270640709946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490.95624022441518</v>
      </c>
      <c r="D7" s="141">
        <v>628.8129851785468</v>
      </c>
      <c r="E7" s="141">
        <v>667.60676687095679</v>
      </c>
      <c r="F7" s="141">
        <v>369.31587880216728</v>
      </c>
      <c r="G7" s="141">
        <v>190.85766862994834</v>
      </c>
      <c r="H7" s="141">
        <v>331.18995136778062</v>
      </c>
      <c r="I7" s="141">
        <v>35.671143895040593</v>
      </c>
      <c r="J7" s="141">
        <v>0</v>
      </c>
      <c r="K7" s="141">
        <v>0</v>
      </c>
      <c r="L7" s="141">
        <v>0</v>
      </c>
      <c r="M7" s="141">
        <v>0</v>
      </c>
      <c r="N7" s="141">
        <v>59.909694186151491</v>
      </c>
      <c r="O7" s="141">
        <v>21.554720506939827</v>
      </c>
      <c r="P7" s="141">
        <v>50.186306022732133</v>
      </c>
      <c r="Q7" s="141">
        <v>28.736021410796614</v>
      </c>
      <c r="R7" s="141">
        <v>65.872210760927743</v>
      </c>
      <c r="S7" s="141">
        <v>24.038326639193102</v>
      </c>
      <c r="T7" s="141">
        <v>86.401375037509922</v>
      </c>
      <c r="U7" s="141">
        <v>79.056494974093312</v>
      </c>
      <c r="V7" s="141">
        <v>65.159916344408117</v>
      </c>
      <c r="W7" s="141">
        <v>44.083879082985881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30.754967573390068</v>
      </c>
      <c r="D8" s="141">
        <v>43.214561499540189</v>
      </c>
      <c r="E8" s="141">
        <v>30.018711682955807</v>
      </c>
      <c r="F8" s="141">
        <v>19.892143082947012</v>
      </c>
      <c r="G8" s="141">
        <v>15.268597369408212</v>
      </c>
      <c r="H8" s="141">
        <v>44.53204732761774</v>
      </c>
      <c r="I8" s="141">
        <v>48.3581264209392</v>
      </c>
      <c r="J8" s="141">
        <v>21.30091955502402</v>
      </c>
      <c r="K8" s="141">
        <v>15.606710529566397</v>
      </c>
      <c r="L8" s="141">
        <v>50.828189012157509</v>
      </c>
      <c r="M8" s="141">
        <v>101.35517202798447</v>
      </c>
      <c r="N8" s="141">
        <v>90.634460617442841</v>
      </c>
      <c r="O8" s="141">
        <v>72.934123594978814</v>
      </c>
      <c r="P8" s="141">
        <v>333.97181048683717</v>
      </c>
      <c r="Q8" s="141">
        <v>110.75325238926223</v>
      </c>
      <c r="R8" s="141">
        <v>67.906795612330072</v>
      </c>
      <c r="S8" s="141">
        <v>59.795441529501737</v>
      </c>
      <c r="T8" s="141">
        <v>82.704050584887426</v>
      </c>
      <c r="U8" s="141">
        <v>160.08776201934614</v>
      </c>
      <c r="V8" s="141">
        <v>199.71197131615838</v>
      </c>
      <c r="W8" s="141">
        <v>181.83860774345627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7235.4922085571379</v>
      </c>
      <c r="D9" s="141">
        <v>7351.3242492640402</v>
      </c>
      <c r="E9" s="141">
        <v>6242.0458709046352</v>
      </c>
      <c r="F9" s="141">
        <v>3419.1488023368111</v>
      </c>
      <c r="G9" s="141">
        <v>3073.7192044671442</v>
      </c>
      <c r="H9" s="141">
        <v>9193.9765871560739</v>
      </c>
      <c r="I9" s="141">
        <v>8278.4523673508302</v>
      </c>
      <c r="J9" s="141">
        <v>3841.1047580388945</v>
      </c>
      <c r="K9" s="141">
        <v>1280.2796890249617</v>
      </c>
      <c r="L9" s="141">
        <v>2568.5334334198528</v>
      </c>
      <c r="M9" s="141">
        <v>1908.6942212686977</v>
      </c>
      <c r="N9" s="141">
        <v>1125.6598664022615</v>
      </c>
      <c r="O9" s="141">
        <v>235.68980825359569</v>
      </c>
      <c r="P9" s="141">
        <v>0</v>
      </c>
      <c r="Q9" s="141">
        <v>0</v>
      </c>
      <c r="R9" s="141">
        <v>270.37654997712906</v>
      </c>
      <c r="S9" s="141">
        <v>4564.92910174384</v>
      </c>
      <c r="T9" s="141">
        <v>3973.7799534116348</v>
      </c>
      <c r="U9" s="141">
        <v>3390.6307842261244</v>
      </c>
      <c r="V9" s="141">
        <v>2838.9618748813227</v>
      </c>
      <c r="W9" s="141">
        <v>2468.4750278565562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10.931136067716762</v>
      </c>
      <c r="D10" s="141">
        <v>2.5453117620550083</v>
      </c>
      <c r="E10" s="141">
        <v>0.81171358036337826</v>
      </c>
      <c r="F10" s="141">
        <v>3.5404510848616018</v>
      </c>
      <c r="G10" s="141">
        <v>3.3136936832904667</v>
      </c>
      <c r="H10" s="141">
        <v>17.965621656670457</v>
      </c>
      <c r="I10" s="141">
        <v>12.056213812150675</v>
      </c>
      <c r="J10" s="141">
        <v>13.325642602191056</v>
      </c>
      <c r="K10" s="141">
        <v>11.606515818265017</v>
      </c>
      <c r="L10" s="141">
        <v>31.746448314680432</v>
      </c>
      <c r="M10" s="141">
        <v>38.175447776076233</v>
      </c>
      <c r="N10" s="141">
        <v>33.718202996182079</v>
      </c>
      <c r="O10" s="141">
        <v>27.591788969486359</v>
      </c>
      <c r="P10" s="141">
        <v>127.04456623965376</v>
      </c>
      <c r="Q10" s="141">
        <v>9.9482378242602181</v>
      </c>
      <c r="R10" s="141">
        <v>19.537226099044634</v>
      </c>
      <c r="S10" s="141">
        <v>4.8415987404715422</v>
      </c>
      <c r="T10" s="141">
        <v>16.043686138166176</v>
      </c>
      <c r="U10" s="141">
        <v>36.913195565695915</v>
      </c>
      <c r="V10" s="141">
        <v>44.925866123806522</v>
      </c>
      <c r="W10" s="141">
        <v>43.81232914194144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272.14781040294798</v>
      </c>
      <c r="D11" s="141">
        <v>135.48253571591277</v>
      </c>
      <c r="E11" s="141">
        <v>2.6699032465239241</v>
      </c>
      <c r="F11" s="141">
        <v>0</v>
      </c>
      <c r="G11" s="141">
        <v>0</v>
      </c>
      <c r="H11" s="141">
        <v>128.52872819870498</v>
      </c>
      <c r="I11" s="141">
        <v>205.87975045393702</v>
      </c>
      <c r="J11" s="141">
        <v>30.495103323769555</v>
      </c>
      <c r="K11" s="141">
        <v>12.676673905920676</v>
      </c>
      <c r="L11" s="141">
        <v>0</v>
      </c>
      <c r="M11" s="141">
        <v>59.686794279997549</v>
      </c>
      <c r="N11" s="141">
        <v>79.043127004103269</v>
      </c>
      <c r="O11" s="141">
        <v>50.758745128954779</v>
      </c>
      <c r="P11" s="141">
        <v>15.900024081902963</v>
      </c>
      <c r="Q11" s="141">
        <v>0</v>
      </c>
      <c r="R11" s="141">
        <v>10.974951200968908</v>
      </c>
      <c r="S11" s="141">
        <v>38.739741170645232</v>
      </c>
      <c r="T11" s="141">
        <v>20.472056815627461</v>
      </c>
      <c r="U11" s="141">
        <v>28.139400611574871</v>
      </c>
      <c r="V11" s="141">
        <v>31.660957668477074</v>
      </c>
      <c r="W11" s="141">
        <v>34.538441665190476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549.04512041127714</v>
      </c>
      <c r="G12" s="141">
        <v>143.13386522580288</v>
      </c>
      <c r="H12" s="141">
        <v>331.69718286614614</v>
      </c>
      <c r="I12" s="141">
        <v>64.693992849099658</v>
      </c>
      <c r="J12" s="141">
        <v>0</v>
      </c>
      <c r="K12" s="141">
        <v>0.27425768760519947</v>
      </c>
      <c r="L12" s="141">
        <v>45.937459248099984</v>
      </c>
      <c r="M12" s="141">
        <v>298.74246279554205</v>
      </c>
      <c r="N12" s="141">
        <v>120.86076864905041</v>
      </c>
      <c r="O12" s="141">
        <v>111.69700357628328</v>
      </c>
      <c r="P12" s="141">
        <v>272.68348888358645</v>
      </c>
      <c r="Q12" s="141">
        <v>120.27744456475827</v>
      </c>
      <c r="R12" s="141">
        <v>148.11465424522862</v>
      </c>
      <c r="S12" s="141">
        <v>251.1851796900082</v>
      </c>
      <c r="T12" s="141">
        <v>200.59891447916561</v>
      </c>
      <c r="U12" s="141">
        <v>179.07672899087285</v>
      </c>
      <c r="V12" s="141">
        <v>160.98837987060296</v>
      </c>
      <c r="W12" s="141">
        <v>71.969934820552766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205.58151240089822</v>
      </c>
      <c r="D13" s="141">
        <v>373.96298468658631</v>
      </c>
      <c r="E13" s="141">
        <v>326.37611733920636</v>
      </c>
      <c r="F13" s="141">
        <v>444.11381568165041</v>
      </c>
      <c r="G13" s="141">
        <v>438.98359612989861</v>
      </c>
      <c r="H13" s="141">
        <v>974.63085911642168</v>
      </c>
      <c r="I13" s="141">
        <v>757.79452155676665</v>
      </c>
      <c r="J13" s="141">
        <v>271.27929376210687</v>
      </c>
      <c r="K13" s="141">
        <v>257.64575206269348</v>
      </c>
      <c r="L13" s="141">
        <v>952.93056209232259</v>
      </c>
      <c r="M13" s="141">
        <v>2008.1983671829232</v>
      </c>
      <c r="N13" s="141">
        <v>1920.2461196306967</v>
      </c>
      <c r="O13" s="141">
        <v>1645.2863965333156</v>
      </c>
      <c r="P13" s="141">
        <v>9435.5117227198371</v>
      </c>
      <c r="Q13" s="141">
        <v>4392.3127028865965</v>
      </c>
      <c r="R13" s="141">
        <v>2821.3576278697838</v>
      </c>
      <c r="S13" s="141">
        <v>1171.9839781716737</v>
      </c>
      <c r="T13" s="141">
        <v>514.26351405951993</v>
      </c>
      <c r="U13" s="141">
        <v>654.62634886298576</v>
      </c>
      <c r="V13" s="141">
        <v>874.17160178999336</v>
      </c>
      <c r="W13" s="141">
        <v>902.09438397785595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3039.4289180875335</v>
      </c>
      <c r="D14" s="142">
        <v>3099.4814097037988</v>
      </c>
      <c r="E14" s="142">
        <v>1129.7715048860305</v>
      </c>
      <c r="F14" s="142">
        <v>1592.4323086185391</v>
      </c>
      <c r="G14" s="142">
        <v>1275.0605310446092</v>
      </c>
      <c r="H14" s="142">
        <v>4244.8908322162906</v>
      </c>
      <c r="I14" s="142">
        <v>3463.5101096551239</v>
      </c>
      <c r="J14" s="142">
        <v>1401.3150067203867</v>
      </c>
      <c r="K14" s="142">
        <v>824.93921611128701</v>
      </c>
      <c r="L14" s="142">
        <v>2047.2132300689091</v>
      </c>
      <c r="M14" s="142">
        <v>2929.2275682056597</v>
      </c>
      <c r="N14" s="142">
        <v>1328.5784849782654</v>
      </c>
      <c r="O14" s="142">
        <v>336.30030863498422</v>
      </c>
      <c r="P14" s="142">
        <v>0</v>
      </c>
      <c r="Q14" s="142">
        <v>0</v>
      </c>
      <c r="R14" s="142">
        <v>0</v>
      </c>
      <c r="S14" s="142">
        <v>0</v>
      </c>
      <c r="T14" s="142">
        <v>401.67873955104432</v>
      </c>
      <c r="U14" s="142">
        <v>309.64356127275931</v>
      </c>
      <c r="V14" s="142">
        <v>104.00516446413073</v>
      </c>
      <c r="W14" s="142">
        <v>377.87621489489322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8297.1652400065814</v>
      </c>
      <c r="D15" s="144">
        <f t="shared" si="3"/>
        <v>8467.6991420322811</v>
      </c>
      <c r="E15" s="144">
        <f t="shared" si="3"/>
        <v>7189.623984537785</v>
      </c>
      <c r="F15" s="144">
        <f t="shared" si="3"/>
        <v>4465.6388587333004</v>
      </c>
      <c r="G15" s="144">
        <f t="shared" si="3"/>
        <v>3483.6322034632285</v>
      </c>
      <c r="H15" s="144">
        <f t="shared" si="3"/>
        <v>10180.715734509879</v>
      </c>
      <c r="I15" s="144">
        <f t="shared" si="3"/>
        <v>8866.8758999328766</v>
      </c>
      <c r="J15" s="144">
        <f t="shared" si="3"/>
        <v>4054.5082182551673</v>
      </c>
      <c r="K15" s="144">
        <f t="shared" si="3"/>
        <v>1396.8775231223112</v>
      </c>
      <c r="L15" s="144">
        <f t="shared" si="3"/>
        <v>2838.6908742638666</v>
      </c>
      <c r="M15" s="144">
        <f t="shared" si="3"/>
        <v>2523.1584167924962</v>
      </c>
      <c r="N15" s="144">
        <f t="shared" si="3"/>
        <v>1541.5693618904836</v>
      </c>
      <c r="O15" s="144">
        <f t="shared" si="3"/>
        <v>539.67708859496952</v>
      </c>
      <c r="P15" s="144">
        <f t="shared" si="3"/>
        <v>799.78619571471245</v>
      </c>
      <c r="Q15" s="144">
        <f t="shared" si="3"/>
        <v>269.71495618907733</v>
      </c>
      <c r="R15" s="144">
        <f t="shared" ref="R15:W15" si="4">SUM(R5:R12)</f>
        <v>582.78238789562897</v>
      </c>
      <c r="S15" s="144">
        <f t="shared" si="4"/>
        <v>5006.7786890252792</v>
      </c>
      <c r="T15" s="144">
        <f t="shared" si="4"/>
        <v>4459.1722326913268</v>
      </c>
      <c r="U15" s="144">
        <f t="shared" si="4"/>
        <v>3966.1333801925202</v>
      </c>
      <c r="V15" s="144">
        <f t="shared" si="4"/>
        <v>3447.0489043482221</v>
      </c>
      <c r="W15" s="144">
        <f t="shared" si="4"/>
        <v>2948.5109267177827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11542.175670495015</v>
      </c>
      <c r="D16" s="140">
        <f t="shared" si="5"/>
        <v>11941.143536422667</v>
      </c>
      <c r="E16" s="140">
        <f t="shared" si="5"/>
        <v>8645.7716067630208</v>
      </c>
      <c r="F16" s="140">
        <f t="shared" si="5"/>
        <v>6502.1849830334904</v>
      </c>
      <c r="G16" s="140">
        <f t="shared" si="5"/>
        <v>5197.6763306377361</v>
      </c>
      <c r="H16" s="140">
        <f t="shared" si="5"/>
        <v>15400.23742584259</v>
      </c>
      <c r="I16" s="140">
        <f t="shared" si="5"/>
        <v>13088.18053114477</v>
      </c>
      <c r="J16" s="140">
        <f t="shared" si="5"/>
        <v>5727.1025187376617</v>
      </c>
      <c r="K16" s="140">
        <f t="shared" si="5"/>
        <v>2479.4624912962922</v>
      </c>
      <c r="L16" s="140">
        <f t="shared" si="5"/>
        <v>5838.8346664250976</v>
      </c>
      <c r="M16" s="140">
        <f t="shared" si="5"/>
        <v>7460.5843521810784</v>
      </c>
      <c r="N16" s="140">
        <f t="shared" si="5"/>
        <v>4790.3939664994459</v>
      </c>
      <c r="O16" s="140">
        <f t="shared" si="5"/>
        <v>2521.2637937632694</v>
      </c>
      <c r="P16" s="140">
        <f t="shared" si="5"/>
        <v>10235.297918434551</v>
      </c>
      <c r="Q16" s="140">
        <f t="shared" si="5"/>
        <v>4662.0276590756739</v>
      </c>
      <c r="R16" s="140">
        <f t="shared" ref="R16:W16" si="6">SUM(R17:R18)</f>
        <v>3404.1400157654125</v>
      </c>
      <c r="S16" s="140">
        <f t="shared" si="6"/>
        <v>6178.7626671969529</v>
      </c>
      <c r="T16" s="140">
        <f t="shared" si="6"/>
        <v>5375.1144863018926</v>
      </c>
      <c r="U16" s="140">
        <f t="shared" si="6"/>
        <v>4930.4032903282678</v>
      </c>
      <c r="V16" s="140">
        <f t="shared" si="6"/>
        <v>4425.2256706023463</v>
      </c>
      <c r="W16" s="140">
        <f t="shared" si="6"/>
        <v>4228.4815255905314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79.304391934323149</v>
      </c>
      <c r="D17" s="141">
        <v>24.196101191445191</v>
      </c>
      <c r="E17" s="141">
        <v>59.548474695746464</v>
      </c>
      <c r="F17" s="141">
        <v>49.520476963879439</v>
      </c>
      <c r="G17" s="141">
        <v>25.851184180772592</v>
      </c>
      <c r="H17" s="141">
        <v>103.49517029914335</v>
      </c>
      <c r="I17" s="141">
        <v>85.681055538798574</v>
      </c>
      <c r="J17" s="141">
        <v>49.667313819307438</v>
      </c>
      <c r="K17" s="141">
        <v>37.00679387423088</v>
      </c>
      <c r="L17" s="141">
        <v>74.511195301249657</v>
      </c>
      <c r="M17" s="141">
        <v>80.037273282750562</v>
      </c>
      <c r="N17" s="141">
        <v>51.792833065049955</v>
      </c>
      <c r="O17" s="141">
        <v>42.094052233475047</v>
      </c>
      <c r="P17" s="141">
        <v>159.39379638215843</v>
      </c>
      <c r="Q17" s="141">
        <v>68.942363300735764</v>
      </c>
      <c r="R17" s="141">
        <v>67.095806151800048</v>
      </c>
      <c r="S17" s="141">
        <v>95.210817036736131</v>
      </c>
      <c r="T17" s="141">
        <v>83.069412597470674</v>
      </c>
      <c r="U17" s="141">
        <v>83.002628700803058</v>
      </c>
      <c r="V17" s="141">
        <v>99.558472611127101</v>
      </c>
      <c r="W17" s="141">
        <v>55.937869353528832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11462.871278560691</v>
      </c>
      <c r="D18" s="141">
        <v>11916.947435231223</v>
      </c>
      <c r="E18" s="141">
        <v>8586.2231320672745</v>
      </c>
      <c r="F18" s="141">
        <v>6452.664506069611</v>
      </c>
      <c r="G18" s="141">
        <v>5171.8251464569639</v>
      </c>
      <c r="H18" s="141">
        <v>15296.742255543446</v>
      </c>
      <c r="I18" s="141">
        <v>13002.499475605971</v>
      </c>
      <c r="J18" s="141">
        <v>5677.4352049183544</v>
      </c>
      <c r="K18" s="141">
        <v>2442.4556974220613</v>
      </c>
      <c r="L18" s="141">
        <v>5764.3234711238483</v>
      </c>
      <c r="M18" s="141">
        <v>7380.5470788983275</v>
      </c>
      <c r="N18" s="141">
        <v>4738.6011334343957</v>
      </c>
      <c r="O18" s="141">
        <v>2479.1697415297945</v>
      </c>
      <c r="P18" s="141">
        <v>10075.904122052392</v>
      </c>
      <c r="Q18" s="141">
        <v>4593.0852957749385</v>
      </c>
      <c r="R18" s="141">
        <v>3337.0442096136126</v>
      </c>
      <c r="S18" s="141">
        <v>6083.5518501602164</v>
      </c>
      <c r="T18" s="141">
        <v>5292.0450737044221</v>
      </c>
      <c r="U18" s="141">
        <v>4847.4006616274646</v>
      </c>
      <c r="V18" s="141">
        <v>4325.6671979912189</v>
      </c>
      <c r="W18" s="141">
        <v>4172.5436562370023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11542.175670495013</v>
      </c>
      <c r="D19" s="140">
        <f t="shared" si="7"/>
        <v>11941.143536422667</v>
      </c>
      <c r="E19" s="140">
        <f t="shared" si="7"/>
        <v>8645.7716067630208</v>
      </c>
      <c r="F19" s="140">
        <f t="shared" si="7"/>
        <v>6502.1849830334895</v>
      </c>
      <c r="G19" s="140">
        <f t="shared" si="7"/>
        <v>5197.6763306377361</v>
      </c>
      <c r="H19" s="140">
        <f t="shared" si="7"/>
        <v>15400.237425842588</v>
      </c>
      <c r="I19" s="140">
        <f t="shared" si="7"/>
        <v>13088.180531144768</v>
      </c>
      <c r="J19" s="140">
        <f t="shared" si="7"/>
        <v>5727.1025187376608</v>
      </c>
      <c r="K19" s="140">
        <f t="shared" si="7"/>
        <v>2479.4624912962918</v>
      </c>
      <c r="L19" s="140">
        <f t="shared" si="7"/>
        <v>5838.8346664250985</v>
      </c>
      <c r="M19" s="140">
        <f t="shared" si="7"/>
        <v>7460.5843521810784</v>
      </c>
      <c r="N19" s="140">
        <f t="shared" si="7"/>
        <v>4790.393966499445</v>
      </c>
      <c r="O19" s="140">
        <f t="shared" si="7"/>
        <v>2521.2637937632699</v>
      </c>
      <c r="P19" s="140">
        <f t="shared" si="7"/>
        <v>10235.297918434551</v>
      </c>
      <c r="Q19" s="140">
        <f t="shared" si="7"/>
        <v>4662.0276590756739</v>
      </c>
      <c r="R19" s="140">
        <f t="shared" ref="R19:W19" si="8">SUM(R20:R26)</f>
        <v>3404.1400157654125</v>
      </c>
      <c r="S19" s="140">
        <f t="shared" si="8"/>
        <v>6178.7626671969529</v>
      </c>
      <c r="T19" s="140">
        <f t="shared" si="8"/>
        <v>5375.1144863018926</v>
      </c>
      <c r="U19" s="140">
        <f t="shared" si="8"/>
        <v>4930.4032903282659</v>
      </c>
      <c r="V19" s="140">
        <f t="shared" si="8"/>
        <v>4425.2256706023463</v>
      </c>
      <c r="W19" s="140">
        <f t="shared" si="8"/>
        <v>4228.4815255905314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312.95147110591722</v>
      </c>
      <c r="D21" s="141">
        <v>130.58142098093998</v>
      </c>
      <c r="E21" s="141">
        <v>163.36017586443469</v>
      </c>
      <c r="F21" s="141">
        <v>188.50894227226971</v>
      </c>
      <c r="G21" s="141">
        <v>185.3484227609012</v>
      </c>
      <c r="H21" s="141">
        <v>394.27864903597032</v>
      </c>
      <c r="I21" s="141">
        <v>196.187744420559</v>
      </c>
      <c r="J21" s="141">
        <v>119.408602352868</v>
      </c>
      <c r="K21" s="141">
        <v>45.43566499793922</v>
      </c>
      <c r="L21" s="141">
        <v>115.22542767451918</v>
      </c>
      <c r="M21" s="141">
        <v>132.56673199823979</v>
      </c>
      <c r="N21" s="141">
        <v>59.896528857696623</v>
      </c>
      <c r="O21" s="141">
        <v>28.684917823351039</v>
      </c>
      <c r="P21" s="141">
        <v>0</v>
      </c>
      <c r="Q21" s="141">
        <v>0</v>
      </c>
      <c r="R21" s="141">
        <v>46.284537816726761</v>
      </c>
      <c r="S21" s="141">
        <v>149.77176366985265</v>
      </c>
      <c r="T21" s="141">
        <v>114.7662784124215</v>
      </c>
      <c r="U21" s="141">
        <v>122.58232116463752</v>
      </c>
      <c r="V21" s="141">
        <v>97.974622820670419</v>
      </c>
      <c r="W21" s="141">
        <v>78.291236556028707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44.304368217666344</v>
      </c>
      <c r="D22" s="141">
        <v>0</v>
      </c>
      <c r="E22" s="141">
        <v>0</v>
      </c>
      <c r="F22" s="141">
        <v>0</v>
      </c>
      <c r="G22" s="141">
        <v>69.510119844239426</v>
      </c>
      <c r="H22" s="141">
        <v>407.83026766222457</v>
      </c>
      <c r="I22" s="141">
        <v>319.97444506099282</v>
      </c>
      <c r="J22" s="141">
        <v>140.64026184571185</v>
      </c>
      <c r="K22" s="141">
        <v>40.39478991589403</v>
      </c>
      <c r="L22" s="141">
        <v>121.96176477665263</v>
      </c>
      <c r="M22" s="141">
        <v>214.4843503320256</v>
      </c>
      <c r="N22" s="141">
        <v>169.58611569529424</v>
      </c>
      <c r="O22" s="141">
        <v>84.333310921935308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55.551154178691803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3947.4270599026358</v>
      </c>
      <c r="D23" s="141">
        <v>4282.50468253499</v>
      </c>
      <c r="E23" s="141">
        <v>3463.1657881778078</v>
      </c>
      <c r="F23" s="141">
        <v>2661.2287843862705</v>
      </c>
      <c r="G23" s="141">
        <v>2396.9606992654067</v>
      </c>
      <c r="H23" s="141">
        <v>5454.294979858877</v>
      </c>
      <c r="I23" s="141">
        <v>4720.280796235782</v>
      </c>
      <c r="J23" s="141">
        <v>2453.5683571204445</v>
      </c>
      <c r="K23" s="141">
        <v>1129.0484359584696</v>
      </c>
      <c r="L23" s="141">
        <v>2462.0542485334199</v>
      </c>
      <c r="M23" s="141">
        <v>3071.9883784874492</v>
      </c>
      <c r="N23" s="141">
        <v>2094.2736493947568</v>
      </c>
      <c r="O23" s="141">
        <v>1086.7921666784496</v>
      </c>
      <c r="P23" s="141">
        <v>3414.4239813406061</v>
      </c>
      <c r="Q23" s="141">
        <v>2182.4902337411813</v>
      </c>
      <c r="R23" s="141">
        <v>1960.1718447391627</v>
      </c>
      <c r="S23" s="141">
        <v>3552.0991395696933</v>
      </c>
      <c r="T23" s="141">
        <v>2526.5674505651659</v>
      </c>
      <c r="U23" s="141">
        <v>2405.9357317221879</v>
      </c>
      <c r="V23" s="141">
        <v>1896.3180063315335</v>
      </c>
      <c r="W23" s="141">
        <v>1674.5981459026459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0</v>
      </c>
      <c r="F25" s="141">
        <v>516.69363443726445</v>
      </c>
      <c r="G25" s="141">
        <v>127.92226446813473</v>
      </c>
      <c r="H25" s="141">
        <v>154.69430510400738</v>
      </c>
      <c r="I25" s="141">
        <v>40.566553943217798</v>
      </c>
      <c r="J25" s="141">
        <v>45.407888329780462</v>
      </c>
      <c r="K25" s="141">
        <v>41.479000867819025</v>
      </c>
      <c r="L25" s="141">
        <v>108.4941192078699</v>
      </c>
      <c r="M25" s="141">
        <v>196.24361863157995</v>
      </c>
      <c r="N25" s="141">
        <v>167.50008819937</v>
      </c>
      <c r="O25" s="141">
        <v>118.55282183434944</v>
      </c>
      <c r="P25" s="141">
        <v>638.86756699696286</v>
      </c>
      <c r="Q25" s="141">
        <v>225.79622208527994</v>
      </c>
      <c r="R25" s="141">
        <v>143.38727189751899</v>
      </c>
      <c r="S25" s="141">
        <v>185.56201749820082</v>
      </c>
      <c r="T25" s="141">
        <v>153.98791815048654</v>
      </c>
      <c r="U25" s="141">
        <v>117.12652461644875</v>
      </c>
      <c r="V25" s="141">
        <v>99.168622897970621</v>
      </c>
      <c r="W25" s="141">
        <v>73.90924663377055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7237.4927712687922</v>
      </c>
      <c r="D26" s="142">
        <v>7528.0574329067376</v>
      </c>
      <c r="E26" s="142">
        <v>5019.245642720779</v>
      </c>
      <c r="F26" s="142">
        <v>3135.7536219376848</v>
      </c>
      <c r="G26" s="142">
        <v>2417.9348242990541</v>
      </c>
      <c r="H26" s="142">
        <v>8989.1392241815101</v>
      </c>
      <c r="I26" s="142">
        <v>7811.1709914842168</v>
      </c>
      <c r="J26" s="142">
        <v>2968.0774090888563</v>
      </c>
      <c r="K26" s="142">
        <v>1223.1045995561701</v>
      </c>
      <c r="L26" s="142">
        <v>3031.099106232637</v>
      </c>
      <c r="M26" s="142">
        <v>3845.3012727317837</v>
      </c>
      <c r="N26" s="142">
        <v>2299.1375843523274</v>
      </c>
      <c r="O26" s="142">
        <v>1202.9005765051843</v>
      </c>
      <c r="P26" s="142">
        <v>6182.0063700969822</v>
      </c>
      <c r="Q26" s="142">
        <v>2253.7412032492125</v>
      </c>
      <c r="R26" s="142">
        <v>1254.2963613120041</v>
      </c>
      <c r="S26" s="142">
        <v>2291.329746459206</v>
      </c>
      <c r="T26" s="142">
        <v>2579.7928391738192</v>
      </c>
      <c r="U26" s="142">
        <v>2284.758712824992</v>
      </c>
      <c r="V26" s="142">
        <v>2331.7644185521717</v>
      </c>
      <c r="W26" s="142">
        <v>2346.1317423193946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232.05723277151139</v>
      </c>
      <c r="D27" s="151">
        <v>434.57582636763829</v>
      </c>
      <c r="E27" s="151">
        <v>378.21152470973715</v>
      </c>
      <c r="F27" s="151">
        <v>514.98294880858259</v>
      </c>
      <c r="G27" s="151">
        <v>1250.8299563794096</v>
      </c>
      <c r="H27" s="151">
        <v>1246.8577448377846</v>
      </c>
      <c r="I27" s="151">
        <v>2523.9782345056774</v>
      </c>
      <c r="J27" s="151">
        <v>2606.1809686265751</v>
      </c>
      <c r="K27" s="151">
        <v>1396.4691473328758</v>
      </c>
      <c r="L27" s="151">
        <v>3362.8964335822525</v>
      </c>
      <c r="M27" s="151">
        <v>1428.2565037363572</v>
      </c>
      <c r="N27" s="151">
        <v>1314.5488346996283</v>
      </c>
      <c r="O27" s="151">
        <v>966.2373182617672</v>
      </c>
      <c r="P27" s="151">
        <v>3974.9865065856861</v>
      </c>
      <c r="Q27" s="151">
        <v>66.40535747874651</v>
      </c>
      <c r="R27" s="151">
        <v>1241.0297277879783</v>
      </c>
      <c r="S27" s="151">
        <v>2680.6190937197298</v>
      </c>
      <c r="T27" s="151">
        <v>2001.8987695056044</v>
      </c>
      <c r="U27" s="151">
        <v>2441.1965931298118</v>
      </c>
      <c r="V27" s="151">
        <v>2179.1679591361726</v>
      </c>
      <c r="W27" s="151">
        <v>1865.8366602306905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11542.175670495013</v>
      </c>
      <c r="D29" s="140">
        <f t="shared" si="9"/>
        <v>11941.143536422667</v>
      </c>
      <c r="E29" s="140">
        <f t="shared" si="9"/>
        <v>8645.7716067630226</v>
      </c>
      <c r="F29" s="140">
        <f t="shared" si="9"/>
        <v>6502.1849830334886</v>
      </c>
      <c r="G29" s="140">
        <f t="shared" si="9"/>
        <v>5197.6763306377361</v>
      </c>
      <c r="H29" s="140">
        <f t="shared" si="9"/>
        <v>15400.237425842588</v>
      </c>
      <c r="I29" s="140">
        <f t="shared" si="9"/>
        <v>13088.180531144768</v>
      </c>
      <c r="J29" s="140">
        <f t="shared" si="9"/>
        <v>5727.1025187376617</v>
      </c>
      <c r="K29" s="140">
        <f t="shared" si="9"/>
        <v>2479.4624912962922</v>
      </c>
      <c r="L29" s="140">
        <f t="shared" si="9"/>
        <v>5838.8346664250985</v>
      </c>
      <c r="M29" s="140">
        <f t="shared" si="9"/>
        <v>7460.5843521810784</v>
      </c>
      <c r="N29" s="140">
        <f t="shared" si="9"/>
        <v>4790.3939664994459</v>
      </c>
      <c r="O29" s="140">
        <f t="shared" si="9"/>
        <v>2521.2637937632699</v>
      </c>
      <c r="P29" s="140">
        <f t="shared" si="9"/>
        <v>10235.29791843455</v>
      </c>
      <c r="Q29" s="140">
        <f t="shared" si="9"/>
        <v>4662.0276590756739</v>
      </c>
      <c r="R29" s="140">
        <f t="shared" ref="R29:W29" si="10">SUM(R30:R33)</f>
        <v>3404.1400157654125</v>
      </c>
      <c r="S29" s="140">
        <f t="shared" si="10"/>
        <v>6178.7626671969529</v>
      </c>
      <c r="T29" s="140">
        <f t="shared" si="10"/>
        <v>5375.1144863018926</v>
      </c>
      <c r="U29" s="140">
        <f t="shared" si="10"/>
        <v>4930.4032903282668</v>
      </c>
      <c r="V29" s="140">
        <f t="shared" si="10"/>
        <v>4425.2256706023463</v>
      </c>
      <c r="W29" s="140">
        <f t="shared" si="10"/>
        <v>4228.4815255905314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1385.9549754561172</v>
      </c>
      <c r="D30" s="141">
        <v>1494.633465938017</v>
      </c>
      <c r="E30" s="141">
        <v>923.5501583399365</v>
      </c>
      <c r="F30" s="141">
        <v>472.82519787502071</v>
      </c>
      <c r="G30" s="141">
        <v>318.92582135170363</v>
      </c>
      <c r="H30" s="141">
        <v>637.78587099465199</v>
      </c>
      <c r="I30" s="141">
        <v>1154.6224597474777</v>
      </c>
      <c r="J30" s="141">
        <v>665.09953798991671</v>
      </c>
      <c r="K30" s="141">
        <v>352.11905633547133</v>
      </c>
      <c r="L30" s="141">
        <v>817.72206402228983</v>
      </c>
      <c r="M30" s="141">
        <v>814.11549664918834</v>
      </c>
      <c r="N30" s="141">
        <v>438.95727249427392</v>
      </c>
      <c r="O30" s="141">
        <v>295.05816089188079</v>
      </c>
      <c r="P30" s="141">
        <v>1365.0273870787696</v>
      </c>
      <c r="Q30" s="141">
        <v>544.59674960955863</v>
      </c>
      <c r="R30" s="141">
        <v>349.50026668616755</v>
      </c>
      <c r="S30" s="141">
        <v>571.36058594426561</v>
      </c>
      <c r="T30" s="141">
        <v>601.41054396975971</v>
      </c>
      <c r="U30" s="141">
        <v>656.21038481379867</v>
      </c>
      <c r="V30" s="141">
        <v>740.45098346083705</v>
      </c>
      <c r="W30" s="141">
        <v>604.80924174096174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4776.5037428666465</v>
      </c>
      <c r="D31" s="141">
        <v>508.30690654823064</v>
      </c>
      <c r="E31" s="141">
        <v>322.38886485819177</v>
      </c>
      <c r="F31" s="141">
        <v>1349.5096534481386</v>
      </c>
      <c r="G31" s="141">
        <v>2710.214578543199</v>
      </c>
      <c r="H31" s="141">
        <v>9618.448302400262</v>
      </c>
      <c r="I31" s="141">
        <v>9947.4992009079142</v>
      </c>
      <c r="J31" s="141">
        <v>3739.7170835557044</v>
      </c>
      <c r="K31" s="141">
        <v>1698.402968327501</v>
      </c>
      <c r="L31" s="141">
        <v>3548.9966955954137</v>
      </c>
      <c r="M31" s="141">
        <v>3892.0488917141647</v>
      </c>
      <c r="N31" s="141">
        <v>2436.4199812094253</v>
      </c>
      <c r="O31" s="141">
        <v>1191.982373927468</v>
      </c>
      <c r="P31" s="141">
        <v>5907.998308981958</v>
      </c>
      <c r="Q31" s="141">
        <v>2540.4611623127612</v>
      </c>
      <c r="R31" s="141">
        <v>1912.995217368956</v>
      </c>
      <c r="S31" s="141">
        <v>3664.6569901435669</v>
      </c>
      <c r="T31" s="141">
        <v>3449.0993998249237</v>
      </c>
      <c r="U31" s="141">
        <v>3195.9571473266478</v>
      </c>
      <c r="V31" s="141">
        <v>2893.4692441248867</v>
      </c>
      <c r="W31" s="141">
        <v>2464.1760973756714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5379.716952172249</v>
      </c>
      <c r="D33" s="153">
        <v>9938.2031639364195</v>
      </c>
      <c r="E33" s="153">
        <v>7399.8325835648939</v>
      </c>
      <c r="F33" s="153">
        <v>4679.8501317103292</v>
      </c>
      <c r="G33" s="153">
        <v>2168.5359307428339</v>
      </c>
      <c r="H33" s="153">
        <v>5144.0032524476728</v>
      </c>
      <c r="I33" s="153">
        <v>1986.058870489376</v>
      </c>
      <c r="J33" s="153">
        <v>1322.2858971920407</v>
      </c>
      <c r="K33" s="153">
        <v>428.94046663331983</v>
      </c>
      <c r="L33" s="153">
        <v>1472.1159068073948</v>
      </c>
      <c r="M33" s="153">
        <v>2754.4199638177256</v>
      </c>
      <c r="N33" s="153">
        <v>1915.0167127957463</v>
      </c>
      <c r="O33" s="153">
        <v>1034.2232589439209</v>
      </c>
      <c r="P33" s="153">
        <v>2962.2722223738215</v>
      </c>
      <c r="Q33" s="153">
        <v>1576.9697471533541</v>
      </c>
      <c r="R33" s="153">
        <v>1141.6445317102889</v>
      </c>
      <c r="S33" s="153">
        <v>1942.7450911091198</v>
      </c>
      <c r="T33" s="153">
        <v>1324.6045425072095</v>
      </c>
      <c r="U33" s="153">
        <v>1078.2357581878205</v>
      </c>
      <c r="V33" s="153">
        <v>791.30544301662246</v>
      </c>
      <c r="W33" s="153">
        <v>1159.4961864738984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181.93225358150346</v>
      </c>
      <c r="D3" s="126">
        <f t="shared" si="0"/>
        <v>176.92972470256268</v>
      </c>
      <c r="E3" s="126">
        <f t="shared" si="0"/>
        <v>153.32581270940148</v>
      </c>
      <c r="F3" s="126">
        <f t="shared" si="0"/>
        <v>108.56738558460881</v>
      </c>
      <c r="G3" s="126">
        <f t="shared" si="0"/>
        <v>94.799324950185436</v>
      </c>
      <c r="H3" s="126">
        <f t="shared" si="0"/>
        <v>285.58110727621533</v>
      </c>
      <c r="I3" s="126">
        <f t="shared" si="0"/>
        <v>229.62200516035796</v>
      </c>
      <c r="J3" s="126">
        <f t="shared" si="0"/>
        <v>111.79276396848671</v>
      </c>
      <c r="K3" s="126">
        <f t="shared" si="0"/>
        <v>45.828804086951635</v>
      </c>
      <c r="L3" s="126">
        <f t="shared" si="0"/>
        <v>100.64296774243635</v>
      </c>
      <c r="M3" s="126">
        <f t="shared" si="0"/>
        <v>110.93658042967419</v>
      </c>
      <c r="N3" s="126">
        <f t="shared" si="0"/>
        <v>65.54642844449387</v>
      </c>
      <c r="O3" s="126">
        <f t="shared" si="0"/>
        <v>26.434190095046855</v>
      </c>
      <c r="P3" s="126">
        <f t="shared" si="0"/>
        <v>82.857204013303686</v>
      </c>
      <c r="Q3" s="126">
        <f t="shared" si="0"/>
        <v>40.83009559121038</v>
      </c>
      <c r="R3" s="126">
        <f t="shared" ref="R3:W3" si="1">SUM(R4,R16,R19,R29)</f>
        <v>30.712432579435571</v>
      </c>
      <c r="S3" s="126">
        <f t="shared" si="1"/>
        <v>87.114612984479237</v>
      </c>
      <c r="T3" s="126">
        <f t="shared" si="1"/>
        <v>80.723890187671202</v>
      </c>
      <c r="U3" s="126">
        <f t="shared" si="1"/>
        <v>65.879483799832585</v>
      </c>
      <c r="V3" s="126">
        <f t="shared" si="1"/>
        <v>48.952401859796318</v>
      </c>
      <c r="W3" s="126">
        <f t="shared" si="1"/>
        <v>40.21287832117433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116.14350306462393</v>
      </c>
      <c r="D4" s="131">
        <f t="shared" si="2"/>
        <v>114.15572570540964</v>
      </c>
      <c r="E4" s="131">
        <f t="shared" si="2"/>
        <v>97.725661603450789</v>
      </c>
      <c r="F4" s="131">
        <f t="shared" si="2"/>
        <v>72.230488418778577</v>
      </c>
      <c r="G4" s="131">
        <f t="shared" si="2"/>
        <v>65.432084586178533</v>
      </c>
      <c r="H4" s="131">
        <f t="shared" si="2"/>
        <v>196.69470652309818</v>
      </c>
      <c r="I4" s="131">
        <f t="shared" si="2"/>
        <v>152.3326959397769</v>
      </c>
      <c r="J4" s="131">
        <f t="shared" si="2"/>
        <v>78.96503669580099</v>
      </c>
      <c r="K4" s="131">
        <f t="shared" si="2"/>
        <v>31.429865937106133</v>
      </c>
      <c r="L4" s="131">
        <f t="shared" si="2"/>
        <v>68.355590105838928</v>
      </c>
      <c r="M4" s="131">
        <f t="shared" si="2"/>
        <v>68.737066846096269</v>
      </c>
      <c r="N4" s="131">
        <f t="shared" si="2"/>
        <v>37.571335259759628</v>
      </c>
      <c r="O4" s="131">
        <f t="shared" si="2"/>
        <v>12.828427774646595</v>
      </c>
      <c r="P4" s="131">
        <f t="shared" si="2"/>
        <v>27.885124026217877</v>
      </c>
      <c r="Q4" s="131">
        <f t="shared" si="2"/>
        <v>14.341723220326225</v>
      </c>
      <c r="R4" s="131">
        <f t="shared" ref="R4:W4" si="3">SUM(R5:R15)</f>
        <v>12.632749577785077</v>
      </c>
      <c r="S4" s="131">
        <f t="shared" si="3"/>
        <v>53.506666089231942</v>
      </c>
      <c r="T4" s="131">
        <f t="shared" si="3"/>
        <v>52.881859309669188</v>
      </c>
      <c r="U4" s="131">
        <f t="shared" si="3"/>
        <v>40.136588692262002</v>
      </c>
      <c r="V4" s="131">
        <f t="shared" si="3"/>
        <v>28.443419298082336</v>
      </c>
      <c r="W4" s="131">
        <f t="shared" si="3"/>
        <v>19.860456474558465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2.9986451913608096</v>
      </c>
      <c r="D6" s="133">
        <v>3.365963947206335</v>
      </c>
      <c r="E6" s="133">
        <v>3.2472639117630679</v>
      </c>
      <c r="F6" s="133">
        <v>1.3944257379447293</v>
      </c>
      <c r="G6" s="133">
        <v>0.87347874558989413</v>
      </c>
      <c r="H6" s="133">
        <v>2.0127926551660758</v>
      </c>
      <c r="I6" s="133">
        <v>3.114401366925319</v>
      </c>
      <c r="J6" s="133">
        <v>2.4008996233294253</v>
      </c>
      <c r="K6" s="133">
        <v>1.2228046951161919</v>
      </c>
      <c r="L6" s="133">
        <v>2.3003857351450163</v>
      </c>
      <c r="M6" s="133">
        <v>1.6521990374526894</v>
      </c>
      <c r="N6" s="133">
        <v>0.39875506419242784</v>
      </c>
      <c r="O6" s="133">
        <v>0.25687004281602827</v>
      </c>
      <c r="P6" s="133">
        <v>0</v>
      </c>
      <c r="Q6" s="133">
        <v>0</v>
      </c>
      <c r="R6" s="133">
        <v>0</v>
      </c>
      <c r="S6" s="133">
        <v>0.7414238498564909</v>
      </c>
      <c r="T6" s="133">
        <v>0.82773391450027511</v>
      </c>
      <c r="U6" s="133">
        <v>0.91494696977682333</v>
      </c>
      <c r="V6" s="133">
        <v>0.88341753020162073</v>
      </c>
      <c r="W6" s="133">
        <v>0.82438306579287735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4.338191949099774</v>
      </c>
      <c r="D7" s="133">
        <v>7.2090639261149168</v>
      </c>
      <c r="E7" s="133">
        <v>9.4900057508407336</v>
      </c>
      <c r="F7" s="133">
        <v>5.4435367540896813</v>
      </c>
      <c r="G7" s="133">
        <v>2.9417201082937185</v>
      </c>
      <c r="H7" s="133">
        <v>5.3520387175942741</v>
      </c>
      <c r="I7" s="133">
        <v>0.55261376611102464</v>
      </c>
      <c r="J7" s="133">
        <v>0</v>
      </c>
      <c r="K7" s="133">
        <v>0</v>
      </c>
      <c r="L7" s="133">
        <v>0</v>
      </c>
      <c r="M7" s="133">
        <v>0</v>
      </c>
      <c r="N7" s="133">
        <v>0.84650343286811791</v>
      </c>
      <c r="O7" s="133">
        <v>0.26153681919664906</v>
      </c>
      <c r="P7" s="133">
        <v>0.58534156553101135</v>
      </c>
      <c r="Q7" s="133">
        <v>0.37818553170487312</v>
      </c>
      <c r="R7" s="133">
        <v>0.88836407536795703</v>
      </c>
      <c r="S7" s="133">
        <v>0.24558058556008816</v>
      </c>
      <c r="T7" s="133">
        <v>1.0833162660966786</v>
      </c>
      <c r="U7" s="133">
        <v>0.72691652474968416</v>
      </c>
      <c r="V7" s="133">
        <v>0.43627260103831816</v>
      </c>
      <c r="W7" s="133">
        <v>0.4140570394586961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0.1171556337696328</v>
      </c>
      <c r="D8" s="133">
        <v>0.15073386047986259</v>
      </c>
      <c r="E8" s="133">
        <v>0.11547833792970323</v>
      </c>
      <c r="F8" s="133">
        <v>7.4980423125500295E-2</v>
      </c>
      <c r="G8" s="133">
        <v>5.8390723981946398E-2</v>
      </c>
      <c r="H8" s="133">
        <v>0.16845033368722373</v>
      </c>
      <c r="I8" s="133">
        <v>0.17640485874809755</v>
      </c>
      <c r="J8" s="133">
        <v>7.6419230293155768E-2</v>
      </c>
      <c r="K8" s="133">
        <v>5.2144713445198825E-2</v>
      </c>
      <c r="L8" s="133">
        <v>0.15275448298718877</v>
      </c>
      <c r="M8" s="133">
        <v>0.27451781990923668</v>
      </c>
      <c r="N8" s="133">
        <v>0.22334659921857297</v>
      </c>
      <c r="O8" s="133">
        <v>0.17197736250826942</v>
      </c>
      <c r="P8" s="133">
        <v>0.78086654843588621</v>
      </c>
      <c r="Q8" s="133">
        <v>0.2852043034102642</v>
      </c>
      <c r="R8" s="133">
        <v>0.1575990552485507</v>
      </c>
      <c r="S8" s="133">
        <v>0.13115157887298823</v>
      </c>
      <c r="T8" s="133">
        <v>0.16948489533196553</v>
      </c>
      <c r="U8" s="133">
        <v>0.28605301298085117</v>
      </c>
      <c r="V8" s="133">
        <v>0.31102356447581764</v>
      </c>
      <c r="W8" s="133">
        <v>0.22405293390800474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78.720964634641021</v>
      </c>
      <c r="D9" s="133">
        <v>71.503743035515768</v>
      </c>
      <c r="E9" s="133">
        <v>72.57012538187108</v>
      </c>
      <c r="F9" s="133">
        <v>39.460012508258977</v>
      </c>
      <c r="G9" s="133">
        <v>42.94765018918055</v>
      </c>
      <c r="H9" s="133">
        <v>127.53989965814965</v>
      </c>
      <c r="I9" s="133">
        <v>99.631704259332608</v>
      </c>
      <c r="J9" s="133">
        <v>57.106188313238434</v>
      </c>
      <c r="K9" s="133">
        <v>18.539504030982098</v>
      </c>
      <c r="L9" s="133">
        <v>36.899333080648134</v>
      </c>
      <c r="M9" s="133">
        <v>22.348647834821051</v>
      </c>
      <c r="N9" s="133">
        <v>13.5143020112346</v>
      </c>
      <c r="O9" s="133">
        <v>2.9280479258727055</v>
      </c>
      <c r="P9" s="133">
        <v>0</v>
      </c>
      <c r="Q9" s="133">
        <v>0</v>
      </c>
      <c r="R9" s="133">
        <v>2.9039262085041857</v>
      </c>
      <c r="S9" s="133">
        <v>45.890116419839224</v>
      </c>
      <c r="T9" s="133">
        <v>42.34303434100115</v>
      </c>
      <c r="U9" s="133">
        <v>31.900026652870274</v>
      </c>
      <c r="V9" s="133">
        <v>22.757374045108651</v>
      </c>
      <c r="W9" s="133">
        <v>13.924133420918432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0.11042837544216723</v>
      </c>
      <c r="D10" s="133">
        <v>2.4976484528412422E-2</v>
      </c>
      <c r="E10" s="133">
        <v>8.6643689576831554E-3</v>
      </c>
      <c r="F10" s="133">
        <v>4.0425687451014436E-2</v>
      </c>
      <c r="G10" s="133">
        <v>4.0113273120771654E-2</v>
      </c>
      <c r="H10" s="133">
        <v>0.27589250628274115</v>
      </c>
      <c r="I10" s="133">
        <v>0.14915836111974268</v>
      </c>
      <c r="J10" s="133">
        <v>0.15092556469136573</v>
      </c>
      <c r="K10" s="133">
        <v>0.1544335728109604</v>
      </c>
      <c r="L10" s="133">
        <v>0.51141300492962527</v>
      </c>
      <c r="M10" s="133">
        <v>0.50388154229645488</v>
      </c>
      <c r="N10" s="133">
        <v>0.33477224285641199</v>
      </c>
      <c r="O10" s="133">
        <v>0.33388342291587803</v>
      </c>
      <c r="P10" s="133">
        <v>1.9251175378797831</v>
      </c>
      <c r="Q10" s="133">
        <v>0.11852495634776021</v>
      </c>
      <c r="R10" s="133">
        <v>0.26593872436432026</v>
      </c>
      <c r="S10" s="133">
        <v>6.3487672923764393E-2</v>
      </c>
      <c r="T10" s="133">
        <v>0.18709772888754458</v>
      </c>
      <c r="U10" s="133">
        <v>0.39982065322157162</v>
      </c>
      <c r="V10" s="133">
        <v>0.40467701267032008</v>
      </c>
      <c r="W10" s="133">
        <v>0.31468772315572713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2.1539946068517142</v>
      </c>
      <c r="D11" s="133">
        <v>1.106573995320179</v>
      </c>
      <c r="E11" s="133">
        <v>2.3407181465936518E-2</v>
      </c>
      <c r="F11" s="133">
        <v>0</v>
      </c>
      <c r="G11" s="133">
        <v>0</v>
      </c>
      <c r="H11" s="133">
        <v>1.3767088486583854</v>
      </c>
      <c r="I11" s="133">
        <v>2.2538734049268743</v>
      </c>
      <c r="J11" s="133">
        <v>0.36278123046264255</v>
      </c>
      <c r="K11" s="133">
        <v>0.16614556998287111</v>
      </c>
      <c r="L11" s="133">
        <v>0</v>
      </c>
      <c r="M11" s="133">
        <v>0.59534926603362948</v>
      </c>
      <c r="N11" s="133">
        <v>0.83167160585268651</v>
      </c>
      <c r="O11" s="133">
        <v>0.5287137093071157</v>
      </c>
      <c r="P11" s="133">
        <v>0.15625308116596034</v>
      </c>
      <c r="Q11" s="133">
        <v>0</v>
      </c>
      <c r="R11" s="133">
        <v>0.11181894003345548</v>
      </c>
      <c r="S11" s="133">
        <v>0.40265237930463332</v>
      </c>
      <c r="T11" s="133">
        <v>0.1998840931822041</v>
      </c>
      <c r="U11" s="133">
        <v>0.24857098541469291</v>
      </c>
      <c r="V11" s="133">
        <v>0.23077962102900454</v>
      </c>
      <c r="W11" s="133">
        <v>0.1885400558118828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7.4706874459995563</v>
      </c>
      <c r="G12" s="133">
        <v>1.4704615985582166</v>
      </c>
      <c r="H12" s="133">
        <v>3.9734474477033932</v>
      </c>
      <c r="I12" s="133">
        <v>0.7581166613644722</v>
      </c>
      <c r="J12" s="133">
        <v>0</v>
      </c>
      <c r="K12" s="133">
        <v>2.8215185060697914E-3</v>
      </c>
      <c r="L12" s="133">
        <v>0.34865170300561094</v>
      </c>
      <c r="M12" s="133">
        <v>4.0163652252166937</v>
      </c>
      <c r="N12" s="133">
        <v>1.0319030965010096</v>
      </c>
      <c r="O12" s="133">
        <v>1.0419278047964087</v>
      </c>
      <c r="P12" s="133">
        <v>3.3720234151978583</v>
      </c>
      <c r="Q12" s="133">
        <v>1.1055754386958629</v>
      </c>
      <c r="R12" s="133">
        <v>1.3073773929547898</v>
      </c>
      <c r="S12" s="133">
        <v>2.52709991114234</v>
      </c>
      <c r="T12" s="133">
        <v>2.2377525339927327</v>
      </c>
      <c r="U12" s="133">
        <v>1.3467064378738915</v>
      </c>
      <c r="V12" s="133">
        <v>1.0715564348451148</v>
      </c>
      <c r="W12" s="133">
        <v>0.42676815367133331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0.64095714010306393</v>
      </c>
      <c r="D13" s="133">
        <v>1.6204224117615389</v>
      </c>
      <c r="E13" s="133">
        <v>0.95670074003455163</v>
      </c>
      <c r="F13" s="133">
        <v>1.6288538760899816</v>
      </c>
      <c r="G13" s="133">
        <v>1.9933015811994761</v>
      </c>
      <c r="H13" s="133">
        <v>4.2912265972900778</v>
      </c>
      <c r="I13" s="133">
        <v>2.9841735605463051</v>
      </c>
      <c r="J13" s="133">
        <v>1.0006888984623952</v>
      </c>
      <c r="K13" s="133">
        <v>0.9307897828643843</v>
      </c>
      <c r="L13" s="133">
        <v>2.7403064725526129</v>
      </c>
      <c r="M13" s="133">
        <v>5.5872847701615074</v>
      </c>
      <c r="N13" s="133">
        <v>5.3299124081082416</v>
      </c>
      <c r="O13" s="133">
        <v>3.5662220089718182</v>
      </c>
      <c r="P13" s="133">
        <v>21.025179339448538</v>
      </c>
      <c r="Q13" s="133">
        <v>12.441257690887769</v>
      </c>
      <c r="R13" s="133">
        <v>6.9429798321244585</v>
      </c>
      <c r="S13" s="133">
        <v>2.9099114337471006</v>
      </c>
      <c r="T13" s="133">
        <v>1.140052854314437</v>
      </c>
      <c r="U13" s="133">
        <v>1.2517487057999739</v>
      </c>
      <c r="V13" s="133">
        <v>1.4417940395514348</v>
      </c>
      <c r="W13" s="133">
        <v>0.90772891222037266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26.035181509257622</v>
      </c>
      <c r="D14" s="65">
        <v>28.209977308716404</v>
      </c>
      <c r="E14" s="65">
        <v>10.325168417631476</v>
      </c>
      <c r="F14" s="65">
        <v>16.155438500586623</v>
      </c>
      <c r="G14" s="65">
        <v>14.5596879728185</v>
      </c>
      <c r="H14" s="65">
        <v>50.120181641811776</v>
      </c>
      <c r="I14" s="65">
        <v>41.503246201984474</v>
      </c>
      <c r="J14" s="65">
        <v>17.17648295538002</v>
      </c>
      <c r="K14" s="65">
        <v>10.131486297814423</v>
      </c>
      <c r="L14" s="65">
        <v>24.944832623356753</v>
      </c>
      <c r="M14" s="65">
        <v>33.458712347116666</v>
      </c>
      <c r="N14" s="65">
        <v>14.876951797254383</v>
      </c>
      <c r="O14" s="65">
        <v>3.6890955929461109</v>
      </c>
      <c r="P14" s="65">
        <v>0</v>
      </c>
      <c r="Q14" s="65">
        <v>0</v>
      </c>
      <c r="R14" s="65">
        <v>0</v>
      </c>
      <c r="S14" s="65">
        <v>0</v>
      </c>
      <c r="T14" s="65">
        <v>4.1291647522913317</v>
      </c>
      <c r="U14" s="65">
        <v>2.6289442578202471</v>
      </c>
      <c r="V14" s="65">
        <v>0.59159646444148206</v>
      </c>
      <c r="W14" s="65">
        <v>2.4377472910386331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1.0279840240981108</v>
      </c>
      <c r="D15" s="135">
        <v>0.96427073576621547</v>
      </c>
      <c r="E15" s="135">
        <v>0.98884751295654894</v>
      </c>
      <c r="F15" s="135">
        <v>0.56212748523251055</v>
      </c>
      <c r="G15" s="135">
        <v>0.54728039343545043</v>
      </c>
      <c r="H15" s="135">
        <v>1.5840681167545969</v>
      </c>
      <c r="I15" s="135">
        <v>1.2090034987179801</v>
      </c>
      <c r="J15" s="135">
        <v>0.69065087994355634</v>
      </c>
      <c r="K15" s="135">
        <v>0.22973575558393697</v>
      </c>
      <c r="L15" s="135">
        <v>0.45791300321399858</v>
      </c>
      <c r="M15" s="135">
        <v>0.30010900308833671</v>
      </c>
      <c r="N15" s="135">
        <v>0.18321700167317739</v>
      </c>
      <c r="O15" s="135">
        <v>5.0153085315610205E-2</v>
      </c>
      <c r="P15" s="135">
        <v>4.0342538558839174E-2</v>
      </c>
      <c r="Q15" s="135">
        <v>1.297529927969495E-2</v>
      </c>
      <c r="R15" s="135">
        <v>5.4745349187359744E-2</v>
      </c>
      <c r="S15" s="135">
        <v>0.59524225798531671</v>
      </c>
      <c r="T15" s="135">
        <v>0.56433793007086452</v>
      </c>
      <c r="U15" s="135">
        <v>0.43285449175398477</v>
      </c>
      <c r="V15" s="135">
        <v>0.3149279847205711</v>
      </c>
      <c r="W15" s="135">
        <v>0.1983578785825092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10.529162852640285</v>
      </c>
      <c r="D16" s="131">
        <f t="shared" si="4"/>
        <v>9.1887068627351312</v>
      </c>
      <c r="E16" s="131">
        <f t="shared" si="4"/>
        <v>14.9526457046621</v>
      </c>
      <c r="F16" s="131">
        <f t="shared" si="4"/>
        <v>4.8812497655861602</v>
      </c>
      <c r="G16" s="131">
        <f t="shared" si="4"/>
        <v>3.7569375337899134</v>
      </c>
      <c r="H16" s="131">
        <f t="shared" si="4"/>
        <v>12.637274657165179</v>
      </c>
      <c r="I16" s="131">
        <f t="shared" si="4"/>
        <v>9.5156681302402149</v>
      </c>
      <c r="J16" s="131">
        <f t="shared" si="4"/>
        <v>4.7117189488207023</v>
      </c>
      <c r="K16" s="131">
        <f t="shared" si="4"/>
        <v>2.0158660825810806</v>
      </c>
      <c r="L16" s="131">
        <f t="shared" si="4"/>
        <v>3.6815041809496849</v>
      </c>
      <c r="M16" s="131">
        <f t="shared" si="4"/>
        <v>4.8367456032912255</v>
      </c>
      <c r="N16" s="131">
        <f t="shared" si="4"/>
        <v>4.6276144237570689</v>
      </c>
      <c r="O16" s="131">
        <f t="shared" si="4"/>
        <v>1.3662296806886942</v>
      </c>
      <c r="P16" s="131">
        <f t="shared" si="4"/>
        <v>4.4759493160473669</v>
      </c>
      <c r="Q16" s="131">
        <f t="shared" si="4"/>
        <v>3.4040530646733225</v>
      </c>
      <c r="R16" s="131">
        <f t="shared" ref="R16:W16" si="5">SUM(R17:R18)</f>
        <v>1.5462928194774872</v>
      </c>
      <c r="S16" s="131">
        <f t="shared" si="5"/>
        <v>3.9978403056976863</v>
      </c>
      <c r="T16" s="131">
        <f t="shared" si="5"/>
        <v>2.4772682676279962</v>
      </c>
      <c r="U16" s="131">
        <f t="shared" si="5"/>
        <v>2.8408285626772058</v>
      </c>
      <c r="V16" s="131">
        <f t="shared" si="5"/>
        <v>1.7948652702649472</v>
      </c>
      <c r="W16" s="131">
        <f t="shared" si="5"/>
        <v>1.7832341370262488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0.13187015836314966</v>
      </c>
      <c r="D17" s="133">
        <v>3.5050204517711861E-2</v>
      </c>
      <c r="E17" s="133">
        <v>0.19875917754503736</v>
      </c>
      <c r="F17" s="133">
        <v>7.3735987739678863E-2</v>
      </c>
      <c r="G17" s="133">
        <v>3.8197999465330479E-2</v>
      </c>
      <c r="H17" s="133">
        <v>0.17822024709377526</v>
      </c>
      <c r="I17" s="133">
        <v>0.13430059749529769</v>
      </c>
      <c r="J17" s="133">
        <v>9.0193637585065475E-2</v>
      </c>
      <c r="K17" s="133">
        <v>6.7619924363376424E-2</v>
      </c>
      <c r="L17" s="133">
        <v>0.10869540191490532</v>
      </c>
      <c r="M17" s="133">
        <v>0.12373773035929546</v>
      </c>
      <c r="N17" s="133">
        <v>0.12253031490751826</v>
      </c>
      <c r="O17" s="133">
        <v>5.6806127347084276E-2</v>
      </c>
      <c r="P17" s="133">
        <v>0.17789344186760245</v>
      </c>
      <c r="Q17" s="133">
        <v>0.1302125571576028</v>
      </c>
      <c r="R17" s="133">
        <v>7.8472824073265918E-2</v>
      </c>
      <c r="S17" s="133">
        <v>0.15942736289048559</v>
      </c>
      <c r="T17" s="133">
        <v>9.928187173675701E-2</v>
      </c>
      <c r="U17" s="133">
        <v>0.12140160046405117</v>
      </c>
      <c r="V17" s="133">
        <v>9.7198427335761131E-2</v>
      </c>
      <c r="W17" s="133">
        <v>5.7255196189662523E-2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10.397292694277136</v>
      </c>
      <c r="D18" s="133">
        <v>9.1536566582174199</v>
      </c>
      <c r="E18" s="133">
        <v>14.753886527117062</v>
      </c>
      <c r="F18" s="133">
        <v>4.8075137778464816</v>
      </c>
      <c r="G18" s="133">
        <v>3.718739534324583</v>
      </c>
      <c r="H18" s="133">
        <v>12.459054410071403</v>
      </c>
      <c r="I18" s="133">
        <v>9.3813675327449175</v>
      </c>
      <c r="J18" s="133">
        <v>4.6215253112356365</v>
      </c>
      <c r="K18" s="133">
        <v>1.948246158217704</v>
      </c>
      <c r="L18" s="133">
        <v>3.5728087790347796</v>
      </c>
      <c r="M18" s="133">
        <v>4.7130078729319305</v>
      </c>
      <c r="N18" s="133">
        <v>4.5050841088495508</v>
      </c>
      <c r="O18" s="133">
        <v>1.3094235533416099</v>
      </c>
      <c r="P18" s="133">
        <v>4.2980558741797648</v>
      </c>
      <c r="Q18" s="133">
        <v>3.2738405075157195</v>
      </c>
      <c r="R18" s="133">
        <v>1.4678199954042213</v>
      </c>
      <c r="S18" s="133">
        <v>3.8384129428072007</v>
      </c>
      <c r="T18" s="133">
        <v>2.3779863958912393</v>
      </c>
      <c r="U18" s="133">
        <v>2.7194269622131548</v>
      </c>
      <c r="V18" s="133">
        <v>1.6976668429291861</v>
      </c>
      <c r="W18" s="133">
        <v>1.7259789408365862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28.303756666772141</v>
      </c>
      <c r="D19" s="131">
        <f t="shared" si="6"/>
        <v>29.375696577527858</v>
      </c>
      <c r="E19" s="131">
        <f t="shared" si="6"/>
        <v>20.938780660169165</v>
      </c>
      <c r="F19" s="131">
        <f t="shared" si="6"/>
        <v>16.04921464972055</v>
      </c>
      <c r="G19" s="131">
        <f t="shared" si="6"/>
        <v>12.026566541453761</v>
      </c>
      <c r="H19" s="131">
        <f t="shared" si="6"/>
        <v>36.360371024587572</v>
      </c>
      <c r="I19" s="131">
        <f t="shared" si="6"/>
        <v>30.474428444425175</v>
      </c>
      <c r="J19" s="131">
        <f t="shared" si="6"/>
        <v>12.491204275755647</v>
      </c>
      <c r="K19" s="131">
        <f t="shared" si="6"/>
        <v>5.1565922524557397</v>
      </c>
      <c r="L19" s="131">
        <f t="shared" si="6"/>
        <v>11.975346054273707</v>
      </c>
      <c r="M19" s="131">
        <f t="shared" si="6"/>
        <v>16.8197684760454</v>
      </c>
      <c r="N19" s="131">
        <f t="shared" si="6"/>
        <v>10.262627921345322</v>
      </c>
      <c r="O19" s="131">
        <f t="shared" si="6"/>
        <v>5.2939699239684996</v>
      </c>
      <c r="P19" s="131">
        <f t="shared" si="6"/>
        <v>20.896481089438268</v>
      </c>
      <c r="Q19" s="131">
        <f t="shared" si="6"/>
        <v>9.8277759064745442</v>
      </c>
      <c r="R19" s="131">
        <f t="shared" ref="R19:W19" si="7">SUM(R20:R27)</f>
        <v>6.8068129801315678</v>
      </c>
      <c r="S19" s="131">
        <f t="shared" si="7"/>
        <v>11.941865454372017</v>
      </c>
      <c r="T19" s="131">
        <f t="shared" si="7"/>
        <v>10.104994190667654</v>
      </c>
      <c r="U19" s="131">
        <f t="shared" si="7"/>
        <v>8.5967824097915138</v>
      </c>
      <c r="V19" s="131">
        <f t="shared" si="7"/>
        <v>6.9700545178179798</v>
      </c>
      <c r="W19" s="131">
        <f t="shared" si="7"/>
        <v>7.0059420555225209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0.87396456587539806</v>
      </c>
      <c r="D21" s="133">
        <v>0.35791983709459363</v>
      </c>
      <c r="E21" s="133">
        <v>0.43563521999268101</v>
      </c>
      <c r="F21" s="133">
        <v>0.50830737531148795</v>
      </c>
      <c r="G21" s="133">
        <v>0.48972427939149044</v>
      </c>
      <c r="H21" s="133">
        <v>1.0865776023412139</v>
      </c>
      <c r="I21" s="133">
        <v>0.50291855304127864</v>
      </c>
      <c r="J21" s="133">
        <v>0.29548175706719637</v>
      </c>
      <c r="K21" s="133">
        <v>0.1058058671977237</v>
      </c>
      <c r="L21" s="133">
        <v>0.26209443246097902</v>
      </c>
      <c r="M21" s="133">
        <v>0.3610556637999931</v>
      </c>
      <c r="N21" s="133">
        <v>0.1471596439834516</v>
      </c>
      <c r="O21" s="133">
        <v>7.2413340238752427E-2</v>
      </c>
      <c r="P21" s="133">
        <v>0</v>
      </c>
      <c r="Q21" s="133">
        <v>0</v>
      </c>
      <c r="R21" s="133">
        <v>0.10392598382472479</v>
      </c>
      <c r="S21" s="133">
        <v>0.32598275999865167</v>
      </c>
      <c r="T21" s="133">
        <v>0.22659364694900427</v>
      </c>
      <c r="U21" s="133">
        <v>0.2102513103847421</v>
      </c>
      <c r="V21" s="133">
        <v>0.16366688203091823</v>
      </c>
      <c r="W21" s="133">
        <v>0.13885134362970264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0.13138783350814329</v>
      </c>
      <c r="D22" s="133">
        <v>0</v>
      </c>
      <c r="E22" s="133">
        <v>0</v>
      </c>
      <c r="F22" s="133">
        <v>0</v>
      </c>
      <c r="G22" s="133">
        <v>0.16781987181372554</v>
      </c>
      <c r="H22" s="133">
        <v>1.1723304523413429</v>
      </c>
      <c r="I22" s="133">
        <v>0.90385798522389482</v>
      </c>
      <c r="J22" s="133">
        <v>0.38788255187298787</v>
      </c>
      <c r="K22" s="133">
        <v>0.10429179177449742</v>
      </c>
      <c r="L22" s="133">
        <v>0.2968627788505423</v>
      </c>
      <c r="M22" s="133">
        <v>0.58524760743795323</v>
      </c>
      <c r="N22" s="133">
        <v>0.45030348598715919</v>
      </c>
      <c r="O22" s="133">
        <v>0.22312911143894568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7.2702188936366027E-2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10.595778374509699</v>
      </c>
      <c r="D23" s="133">
        <v>11.472853542470434</v>
      </c>
      <c r="E23" s="133">
        <v>9.1330684792329908</v>
      </c>
      <c r="F23" s="133">
        <v>6.9129734394023794</v>
      </c>
      <c r="G23" s="133">
        <v>6.0605020370426823</v>
      </c>
      <c r="H23" s="133">
        <v>13.929390450769947</v>
      </c>
      <c r="I23" s="133">
        <v>11.770273011856204</v>
      </c>
      <c r="J23" s="133">
        <v>5.861384510754756</v>
      </c>
      <c r="K23" s="133">
        <v>2.5227002992443159</v>
      </c>
      <c r="L23" s="133">
        <v>5.5035450482115138</v>
      </c>
      <c r="M23" s="133">
        <v>7.5077216838764071</v>
      </c>
      <c r="N23" s="133">
        <v>5.0192029707168642</v>
      </c>
      <c r="O23" s="133">
        <v>2.5451172954903645</v>
      </c>
      <c r="P23" s="133">
        <v>7.7132012621039312</v>
      </c>
      <c r="Q23" s="133">
        <v>4.7646338000278909</v>
      </c>
      <c r="R23" s="133">
        <v>4.1378806684085419</v>
      </c>
      <c r="S23" s="133">
        <v>6.7298318822770735</v>
      </c>
      <c r="T23" s="133">
        <v>4.5350661707346251</v>
      </c>
      <c r="U23" s="133">
        <v>4.2165050300806355</v>
      </c>
      <c r="V23" s="133">
        <v>3.2040794869591154</v>
      </c>
      <c r="W23" s="133">
        <v>3.1386626793120787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1.4333350507497085</v>
      </c>
      <c r="G25" s="133">
        <v>0.2777323887302991</v>
      </c>
      <c r="H25" s="133">
        <v>0.29952327439108989</v>
      </c>
      <c r="I25" s="133">
        <v>7.2114032824977595E-2</v>
      </c>
      <c r="J25" s="133">
        <v>7.6702600308324209E-2</v>
      </c>
      <c r="K25" s="133">
        <v>7.083854844846528E-2</v>
      </c>
      <c r="L25" s="133">
        <v>0.18729366525695657</v>
      </c>
      <c r="M25" s="133">
        <v>0.35971065043798789</v>
      </c>
      <c r="N25" s="133">
        <v>0.30557112574206685</v>
      </c>
      <c r="O25" s="133">
        <v>0.23014915025570754</v>
      </c>
      <c r="P25" s="133">
        <v>1.2391232089096436</v>
      </c>
      <c r="Q25" s="133">
        <v>0.42192047730568721</v>
      </c>
      <c r="R25" s="133">
        <v>0.24940179946892221</v>
      </c>
      <c r="S25" s="133">
        <v>0.30637044008423958</v>
      </c>
      <c r="T25" s="133">
        <v>0.2463517534454954</v>
      </c>
      <c r="U25" s="133">
        <v>0.1821663208670232</v>
      </c>
      <c r="V25" s="133">
        <v>0.15048258587206659</v>
      </c>
      <c r="W25" s="133">
        <v>0.12008301864684225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16.389379601161107</v>
      </c>
      <c r="D26" s="65">
        <v>16.970537180775832</v>
      </c>
      <c r="E26" s="65">
        <v>10.858327574528635</v>
      </c>
      <c r="F26" s="65">
        <v>6.5149756835198289</v>
      </c>
      <c r="G26" s="65">
        <v>3.3464147300643674</v>
      </c>
      <c r="H26" s="65">
        <v>18.196781153303199</v>
      </c>
      <c r="I26" s="65">
        <v>13.76262631293501</v>
      </c>
      <c r="J26" s="65">
        <v>2.4989313400498698</v>
      </c>
      <c r="K26" s="65">
        <v>0.48136555225778072</v>
      </c>
      <c r="L26" s="65">
        <v>1.1200177141917751</v>
      </c>
      <c r="M26" s="65">
        <v>6.0907042106012401</v>
      </c>
      <c r="N26" s="65">
        <v>2.5155979793861301</v>
      </c>
      <c r="O26" s="65">
        <v>0.83231247472369208</v>
      </c>
      <c r="P26" s="65">
        <v>6.6911351575419022</v>
      </c>
      <c r="Q26" s="65">
        <v>4.5467192151488911</v>
      </c>
      <c r="R26" s="65">
        <v>0.50263633592746704</v>
      </c>
      <c r="S26" s="65">
        <v>0.80414914059378106</v>
      </c>
      <c r="T26" s="65">
        <v>2.2022589426228834</v>
      </c>
      <c r="U26" s="65">
        <v>0.76222444796078337</v>
      </c>
      <c r="V26" s="65">
        <v>0.78718506696807822</v>
      </c>
      <c r="W26" s="65">
        <v>1.2525242365718015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0.3132462917177925</v>
      </c>
      <c r="D27" s="148">
        <v>0.57438601718699822</v>
      </c>
      <c r="E27" s="148">
        <v>0.51174938641485412</v>
      </c>
      <c r="F27" s="148">
        <v>0.67962310073714671</v>
      </c>
      <c r="G27" s="148">
        <v>1.684373234411197</v>
      </c>
      <c r="H27" s="148">
        <v>1.6757680914407795</v>
      </c>
      <c r="I27" s="148">
        <v>3.46263854854381</v>
      </c>
      <c r="J27" s="148">
        <v>3.3708215157025148</v>
      </c>
      <c r="K27" s="148">
        <v>1.8715901935329569</v>
      </c>
      <c r="L27" s="148">
        <v>4.6055324153019397</v>
      </c>
      <c r="M27" s="148">
        <v>1.9153286598918189</v>
      </c>
      <c r="N27" s="148">
        <v>1.8247927155296495</v>
      </c>
      <c r="O27" s="148">
        <v>1.3908485518210378</v>
      </c>
      <c r="P27" s="148">
        <v>5.2530214608827919</v>
      </c>
      <c r="Q27" s="148">
        <v>9.4502413992073833E-2</v>
      </c>
      <c r="R27" s="148">
        <v>1.8129681925019123</v>
      </c>
      <c r="S27" s="148">
        <v>3.775531231418273</v>
      </c>
      <c r="T27" s="148">
        <v>2.8947236769156452</v>
      </c>
      <c r="U27" s="148">
        <v>3.2256353004983289</v>
      </c>
      <c r="V27" s="148">
        <v>2.6646404959878018</v>
      </c>
      <c r="W27" s="148">
        <v>2.283118588425729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26.955830997467093</v>
      </c>
      <c r="D29" s="131">
        <f t="shared" si="8"/>
        <v>24.209595556890051</v>
      </c>
      <c r="E29" s="131">
        <f t="shared" si="8"/>
        <v>19.708724741119433</v>
      </c>
      <c r="F29" s="131">
        <f t="shared" si="8"/>
        <v>15.406432750523525</v>
      </c>
      <c r="G29" s="131">
        <f t="shared" si="8"/>
        <v>13.583736288763232</v>
      </c>
      <c r="H29" s="131">
        <f t="shared" si="8"/>
        <v>39.888755071364379</v>
      </c>
      <c r="I29" s="131">
        <f t="shared" si="8"/>
        <v>37.299212645915659</v>
      </c>
      <c r="J29" s="131">
        <f t="shared" si="8"/>
        <v>15.624804048109368</v>
      </c>
      <c r="K29" s="131">
        <f t="shared" si="8"/>
        <v>7.2264798148086848</v>
      </c>
      <c r="L29" s="131">
        <f t="shared" si="8"/>
        <v>16.630527401374032</v>
      </c>
      <c r="M29" s="131">
        <f t="shared" si="8"/>
        <v>20.542999504241315</v>
      </c>
      <c r="N29" s="131">
        <f t="shared" si="8"/>
        <v>13.084850839631855</v>
      </c>
      <c r="O29" s="131">
        <f t="shared" si="8"/>
        <v>6.9455627157430655</v>
      </c>
      <c r="P29" s="131">
        <f t="shared" si="8"/>
        <v>29.599649581600175</v>
      </c>
      <c r="Q29" s="131">
        <f t="shared" si="8"/>
        <v>13.256543399736287</v>
      </c>
      <c r="R29" s="131">
        <f t="shared" ref="R29:W29" si="9">SUM(R30:R33)</f>
        <v>9.726577202041442</v>
      </c>
      <c r="S29" s="131">
        <f t="shared" si="9"/>
        <v>17.668241135177588</v>
      </c>
      <c r="T29" s="131">
        <f t="shared" si="9"/>
        <v>15.259768419706363</v>
      </c>
      <c r="U29" s="131">
        <f t="shared" si="9"/>
        <v>14.305284135101866</v>
      </c>
      <c r="V29" s="131">
        <f t="shared" si="9"/>
        <v>11.744062773631057</v>
      </c>
      <c r="W29" s="131">
        <f t="shared" si="9"/>
        <v>11.563245654067099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3.7170938891668284</v>
      </c>
      <c r="D30" s="133">
        <v>4.1395763505401355</v>
      </c>
      <c r="E30" s="133">
        <v>2.608907121091383</v>
      </c>
      <c r="F30" s="133">
        <v>1.3585686917563873</v>
      </c>
      <c r="G30" s="133">
        <v>0.92793894815468003</v>
      </c>
      <c r="H30" s="133">
        <v>1.7982840171159318</v>
      </c>
      <c r="I30" s="133">
        <v>3.6608582980450985</v>
      </c>
      <c r="J30" s="133">
        <v>1.5944122768724458</v>
      </c>
      <c r="K30" s="133">
        <v>1.1062182450793636</v>
      </c>
      <c r="L30" s="133">
        <v>2.5856592140547474</v>
      </c>
      <c r="M30" s="133">
        <v>2.6163519016258672</v>
      </c>
      <c r="N30" s="133">
        <v>1.2392180018171297</v>
      </c>
      <c r="O30" s="133">
        <v>0.88878804921496479</v>
      </c>
      <c r="P30" s="133">
        <v>4.5145711318659263</v>
      </c>
      <c r="Q30" s="133">
        <v>1.7361041364781211</v>
      </c>
      <c r="R30" s="133">
        <v>1.1076756254049867</v>
      </c>
      <c r="S30" s="133">
        <v>1.8331611175050626</v>
      </c>
      <c r="T30" s="133">
        <v>1.8885242554840733</v>
      </c>
      <c r="U30" s="133">
        <v>1.9588691469978785</v>
      </c>
      <c r="V30" s="133">
        <v>2.2234624722948948</v>
      </c>
      <c r="W30" s="133">
        <v>1.8019419052319454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13.070777084369054</v>
      </c>
      <c r="D31" s="133">
        <v>1.4165342694548095</v>
      </c>
      <c r="E31" s="133">
        <v>0.82004736410294288</v>
      </c>
      <c r="F31" s="133">
        <v>3.5024220021761145</v>
      </c>
      <c r="G31" s="133">
        <v>8.053553810266358</v>
      </c>
      <c r="H31" s="133">
        <v>26.33911987338287</v>
      </c>
      <c r="I31" s="133">
        <v>29.49780068391777</v>
      </c>
      <c r="J31" s="133">
        <v>10.889537953811741</v>
      </c>
      <c r="K31" s="133">
        <v>5.169443452170805</v>
      </c>
      <c r="L31" s="133">
        <v>10.742726212941832</v>
      </c>
      <c r="M31" s="133">
        <v>11.728853999160394</v>
      </c>
      <c r="N31" s="133">
        <v>7.3838136011859925</v>
      </c>
      <c r="O31" s="133">
        <v>3.6261780456259483</v>
      </c>
      <c r="P31" s="133">
        <v>18.702709166652873</v>
      </c>
      <c r="Q31" s="133">
        <v>7.9531986557109366</v>
      </c>
      <c r="R31" s="133">
        <v>6.1201170245072793</v>
      </c>
      <c r="S31" s="133">
        <v>11.613937248793958</v>
      </c>
      <c r="T31" s="133">
        <v>10.046861612243369</v>
      </c>
      <c r="U31" s="133">
        <v>10.107179017721343</v>
      </c>
      <c r="V31" s="133">
        <v>8.092714079514403</v>
      </c>
      <c r="W31" s="133">
        <v>7.0791203620233549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10.167960023931212</v>
      </c>
      <c r="D33" s="68">
        <v>18.653484936895104</v>
      </c>
      <c r="E33" s="68">
        <v>16.279770255925108</v>
      </c>
      <c r="F33" s="68">
        <v>10.545442056591023</v>
      </c>
      <c r="G33" s="68">
        <v>4.6022435303421947</v>
      </c>
      <c r="H33" s="68">
        <v>11.751351180865578</v>
      </c>
      <c r="I33" s="68">
        <v>4.1405536639527902</v>
      </c>
      <c r="J33" s="68">
        <v>3.1408538174251825</v>
      </c>
      <c r="K33" s="68">
        <v>0.95081811755851697</v>
      </c>
      <c r="L33" s="68">
        <v>3.3021419743774509</v>
      </c>
      <c r="M33" s="68">
        <v>6.197793603455052</v>
      </c>
      <c r="N33" s="68">
        <v>4.4618192366287319</v>
      </c>
      <c r="O33" s="68">
        <v>2.4305966209021523</v>
      </c>
      <c r="P33" s="68">
        <v>6.3823692830813723</v>
      </c>
      <c r="Q33" s="68">
        <v>3.5672406075472298</v>
      </c>
      <c r="R33" s="68">
        <v>2.4987845521291763</v>
      </c>
      <c r="S33" s="68">
        <v>4.2211427688785683</v>
      </c>
      <c r="T33" s="68">
        <v>3.3243825519789207</v>
      </c>
      <c r="U33" s="68">
        <v>2.2392359703826448</v>
      </c>
      <c r="V33" s="68">
        <v>1.4278862218217609</v>
      </c>
      <c r="W33" s="68">
        <v>2.6821833868117979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137.86178078852657</v>
      </c>
      <c r="D3" s="126">
        <f t="shared" si="0"/>
        <v>136.9150177815834</v>
      </c>
      <c r="E3" s="126">
        <f t="shared" si="0"/>
        <v>130.23114879970686</v>
      </c>
      <c r="F3" s="126">
        <f t="shared" si="0"/>
        <v>86.3692796256272</v>
      </c>
      <c r="G3" s="126">
        <f t="shared" si="0"/>
        <v>74.672678442290533</v>
      </c>
      <c r="H3" s="126">
        <f t="shared" si="0"/>
        <v>228.1165329052892</v>
      </c>
      <c r="I3" s="126">
        <f t="shared" si="0"/>
        <v>183.27600558912553</v>
      </c>
      <c r="J3" s="126">
        <f t="shared" si="0"/>
        <v>89.914649179405856</v>
      </c>
      <c r="K3" s="126">
        <f t="shared" si="0"/>
        <v>38.816577684414057</v>
      </c>
      <c r="L3" s="126">
        <f t="shared" si="0"/>
        <v>86.858952596462615</v>
      </c>
      <c r="M3" s="126">
        <f t="shared" si="0"/>
        <v>105.79074361007733</v>
      </c>
      <c r="N3" s="126">
        <f t="shared" si="0"/>
        <v>73.085710399598042</v>
      </c>
      <c r="O3" s="126">
        <f t="shared" si="0"/>
        <v>32.89395672349869</v>
      </c>
      <c r="P3" s="126">
        <f t="shared" si="0"/>
        <v>132.97949829837637</v>
      </c>
      <c r="Q3" s="126">
        <f t="shared" si="0"/>
        <v>76.540046290429487</v>
      </c>
      <c r="R3" s="126">
        <f t="shared" ref="R3:W3" si="1">SUM(R4,R16,R19,R29)</f>
        <v>48.559670856438458</v>
      </c>
      <c r="S3" s="126">
        <f t="shared" si="1"/>
        <v>88.683793591830664</v>
      </c>
      <c r="T3" s="126">
        <f t="shared" si="1"/>
        <v>74.814083350685266</v>
      </c>
      <c r="U3" s="126">
        <f t="shared" si="1"/>
        <v>65.015057663567973</v>
      </c>
      <c r="V3" s="126">
        <f t="shared" si="1"/>
        <v>49.115605779741692</v>
      </c>
      <c r="W3" s="126">
        <f t="shared" si="1"/>
        <v>41.029382134124766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75.56596623444068</v>
      </c>
      <c r="D4" s="131">
        <f t="shared" si="2"/>
        <v>76.050246912725811</v>
      </c>
      <c r="E4" s="131">
        <f t="shared" si="2"/>
        <v>63.212345216554048</v>
      </c>
      <c r="F4" s="131">
        <f t="shared" si="2"/>
        <v>50.98120288998237</v>
      </c>
      <c r="G4" s="131">
        <f t="shared" si="2"/>
        <v>46.783239403543575</v>
      </c>
      <c r="H4" s="131">
        <f t="shared" si="2"/>
        <v>141.3184258648154</v>
      </c>
      <c r="I4" s="131">
        <f t="shared" si="2"/>
        <v>110.72847770911363</v>
      </c>
      <c r="J4" s="131">
        <f t="shared" si="2"/>
        <v>56.492504591085769</v>
      </c>
      <c r="K4" s="131">
        <f t="shared" si="2"/>
        <v>24.115943544894442</v>
      </c>
      <c r="L4" s="131">
        <f t="shared" si="2"/>
        <v>55.036566457585941</v>
      </c>
      <c r="M4" s="131">
        <f t="shared" si="2"/>
        <v>64.160165930267496</v>
      </c>
      <c r="N4" s="131">
        <f t="shared" si="2"/>
        <v>41.081402490544527</v>
      </c>
      <c r="O4" s="131">
        <f t="shared" si="2"/>
        <v>19.173568532001752</v>
      </c>
      <c r="P4" s="131">
        <f t="shared" si="2"/>
        <v>79.910602458924103</v>
      </c>
      <c r="Q4" s="131">
        <f t="shared" si="2"/>
        <v>47.174028106945215</v>
      </c>
      <c r="R4" s="131">
        <f t="shared" ref="R4:W4" si="3">SUM(R5:R15)</f>
        <v>30.352161578713854</v>
      </c>
      <c r="S4" s="131">
        <f t="shared" si="3"/>
        <v>50.960642087332346</v>
      </c>
      <c r="T4" s="131">
        <f t="shared" si="3"/>
        <v>45.911593080122394</v>
      </c>
      <c r="U4" s="131">
        <f t="shared" si="3"/>
        <v>36.595896282044826</v>
      </c>
      <c r="V4" s="131">
        <f t="shared" si="3"/>
        <v>27.956450876199078</v>
      </c>
      <c r="W4" s="131">
        <f t="shared" si="3"/>
        <v>19.446827017112273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1.6517468930686623</v>
      </c>
      <c r="D6" s="133">
        <v>1.8721446620734661</v>
      </c>
      <c r="E6" s="133">
        <v>1.8241570915283207</v>
      </c>
      <c r="F6" s="133">
        <v>0.79102653667869383</v>
      </c>
      <c r="G6" s="133">
        <v>0.50046965646493402</v>
      </c>
      <c r="H6" s="133">
        <v>1.1649545307324809</v>
      </c>
      <c r="I6" s="133">
        <v>1.8211748823204303</v>
      </c>
      <c r="J6" s="133">
        <v>1.4191503703271748</v>
      </c>
      <c r="K6" s="133">
        <v>0.73113336009678853</v>
      </c>
      <c r="L6" s="133">
        <v>1.392326285299371</v>
      </c>
      <c r="M6" s="133">
        <v>1.0193891920077551</v>
      </c>
      <c r="N6" s="133">
        <v>0.25290655899016456</v>
      </c>
      <c r="O6" s="133">
        <v>0.16893047006475778</v>
      </c>
      <c r="P6" s="133">
        <v>0</v>
      </c>
      <c r="Q6" s="133">
        <v>0</v>
      </c>
      <c r="R6" s="133">
        <v>0</v>
      </c>
      <c r="S6" s="133">
        <v>0.53771042815671366</v>
      </c>
      <c r="T6" s="133">
        <v>0.60497946002006864</v>
      </c>
      <c r="U6" s="133">
        <v>0.67275445011511315</v>
      </c>
      <c r="V6" s="133">
        <v>0.65298344668742236</v>
      </c>
      <c r="W6" s="133">
        <v>0.61145770956756396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2.3113527364321262</v>
      </c>
      <c r="D7" s="133">
        <v>3.8769191755226897</v>
      </c>
      <c r="E7" s="133">
        <v>5.1526316665398397</v>
      </c>
      <c r="F7" s="133">
        <v>2.9835934296245181</v>
      </c>
      <c r="G7" s="133">
        <v>1.6279309867744309</v>
      </c>
      <c r="H7" s="133">
        <v>2.9907964455710592</v>
      </c>
      <c r="I7" s="133">
        <v>0.31189345142149205</v>
      </c>
      <c r="J7" s="133">
        <v>0</v>
      </c>
      <c r="K7" s="133">
        <v>0</v>
      </c>
      <c r="L7" s="133">
        <v>0</v>
      </c>
      <c r="M7" s="133">
        <v>0</v>
      </c>
      <c r="N7" s="133">
        <v>0.51703183281007625</v>
      </c>
      <c r="O7" s="133">
        <v>0.16550372402470243</v>
      </c>
      <c r="P7" s="133">
        <v>0.38519181259383872</v>
      </c>
      <c r="Q7" s="133">
        <v>0.25677327595476079</v>
      </c>
      <c r="R7" s="133">
        <v>0.6122452845869798</v>
      </c>
      <c r="S7" s="133">
        <v>0.17104598475448182</v>
      </c>
      <c r="T7" s="133">
        <v>0.76033003813851996</v>
      </c>
      <c r="U7" s="133">
        <v>0.51322317772677895</v>
      </c>
      <c r="V7" s="133">
        <v>0.30960024351320886</v>
      </c>
      <c r="W7" s="133">
        <v>0.29480392651208542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0.20039047175101474</v>
      </c>
      <c r="D8" s="133">
        <v>0.27571148999977046</v>
      </c>
      <c r="E8" s="133">
        <v>0.22524741678196053</v>
      </c>
      <c r="F8" s="133">
        <v>0.15552705088594176</v>
      </c>
      <c r="G8" s="133">
        <v>0.1284942682352489</v>
      </c>
      <c r="H8" s="133">
        <v>0.39241413359208277</v>
      </c>
      <c r="I8" s="133">
        <v>0.43416669581615425</v>
      </c>
      <c r="J8" s="133">
        <v>0.19837699334567785</v>
      </c>
      <c r="K8" s="133">
        <v>0.14256225290554519</v>
      </c>
      <c r="L8" s="133">
        <v>0.43923185194644293</v>
      </c>
      <c r="M8" s="133">
        <v>0.83209122682515435</v>
      </c>
      <c r="N8" s="133">
        <v>0.71557239643594406</v>
      </c>
      <c r="O8" s="133">
        <v>0.58338368100652649</v>
      </c>
      <c r="P8" s="133">
        <v>2.7968802780865634</v>
      </c>
      <c r="Q8" s="133">
        <v>1.0658581819393098</v>
      </c>
      <c r="R8" s="133">
        <v>0.59889665569094719</v>
      </c>
      <c r="S8" s="133">
        <v>0.50370274940220017</v>
      </c>
      <c r="T8" s="133">
        <v>0.65542163649671425</v>
      </c>
      <c r="U8" s="133">
        <v>1.1122751005172402</v>
      </c>
      <c r="V8" s="133">
        <v>1.2170836813233736</v>
      </c>
      <c r="W8" s="133">
        <v>0.88289815402063687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48.064190091440963</v>
      </c>
      <c r="D9" s="133">
        <v>44.242804359052442</v>
      </c>
      <c r="E9" s="133">
        <v>45.496736990241189</v>
      </c>
      <c r="F9" s="133">
        <v>25.05791625107501</v>
      </c>
      <c r="G9" s="133">
        <v>27.619667044067587</v>
      </c>
      <c r="H9" s="133">
        <v>83.049512870514235</v>
      </c>
      <c r="I9" s="133">
        <v>65.680964826013238</v>
      </c>
      <c r="J9" s="133">
        <v>38.113642722024878</v>
      </c>
      <c r="K9" s="133">
        <v>12.528776985837435</v>
      </c>
      <c r="L9" s="133">
        <v>25.253011299571526</v>
      </c>
      <c r="M9" s="133">
        <v>15.540198394898528</v>
      </c>
      <c r="N9" s="133">
        <v>9.5875731391246894</v>
      </c>
      <c r="O9" s="133">
        <v>2.1288369162818532</v>
      </c>
      <c r="P9" s="133">
        <v>0</v>
      </c>
      <c r="Q9" s="133">
        <v>0</v>
      </c>
      <c r="R9" s="133">
        <v>2.2436308193715524</v>
      </c>
      <c r="S9" s="133">
        <v>35.789533694286497</v>
      </c>
      <c r="T9" s="133">
        <v>33.268708015813296</v>
      </c>
      <c r="U9" s="133">
        <v>25.217707703102938</v>
      </c>
      <c r="V9" s="133">
        <v>18.085616465267911</v>
      </c>
      <c r="W9" s="133">
        <v>11.106088691493769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7.2425478384563285E-2</v>
      </c>
      <c r="D10" s="133">
        <v>1.6389274056676062E-2</v>
      </c>
      <c r="E10" s="133">
        <v>5.688333107089754E-3</v>
      </c>
      <c r="F10" s="133">
        <v>2.6553814571470269E-2</v>
      </c>
      <c r="G10" s="133">
        <v>2.6362133729387446E-2</v>
      </c>
      <c r="H10" s="133">
        <v>0.18140806765780754</v>
      </c>
      <c r="I10" s="133">
        <v>9.812721673312727E-2</v>
      </c>
      <c r="J10" s="133">
        <v>9.9341362944040543E-2</v>
      </c>
      <c r="K10" s="133">
        <v>0.1017029984020678</v>
      </c>
      <c r="L10" s="133">
        <v>0.33696672517412801</v>
      </c>
      <c r="M10" s="133">
        <v>0.33216140365158214</v>
      </c>
      <c r="N10" s="133">
        <v>0.22077464827872581</v>
      </c>
      <c r="O10" s="133">
        <v>0.22026351153216089</v>
      </c>
      <c r="P10" s="133">
        <v>1.2703824751556658</v>
      </c>
      <c r="Q10" s="133">
        <v>7.8242230021386999E-2</v>
      </c>
      <c r="R10" s="133">
        <v>0.17564679094973493</v>
      </c>
      <c r="S10" s="133">
        <v>4.1956820557459293E-2</v>
      </c>
      <c r="T10" s="133">
        <v>0.123719251844157</v>
      </c>
      <c r="U10" s="133">
        <v>0.26452657544493802</v>
      </c>
      <c r="V10" s="133">
        <v>0.26786117556321509</v>
      </c>
      <c r="W10" s="133">
        <v>0.20837209116293942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1.7627301977605643</v>
      </c>
      <c r="D11" s="133">
        <v>0.90604302015538141</v>
      </c>
      <c r="E11" s="133">
        <v>1.9175404012306579E-2</v>
      </c>
      <c r="F11" s="133">
        <v>0</v>
      </c>
      <c r="G11" s="133">
        <v>0</v>
      </c>
      <c r="H11" s="133">
        <v>1.1295826814971544</v>
      </c>
      <c r="I11" s="133">
        <v>1.8502572241648287</v>
      </c>
      <c r="J11" s="133">
        <v>0.29797100874423388</v>
      </c>
      <c r="K11" s="133">
        <v>0.13653517372946378</v>
      </c>
      <c r="L11" s="133">
        <v>0</v>
      </c>
      <c r="M11" s="133">
        <v>0.48975966035622526</v>
      </c>
      <c r="N11" s="133">
        <v>0.68453409526347175</v>
      </c>
      <c r="O11" s="133">
        <v>0.43540950886443242</v>
      </c>
      <c r="P11" s="133">
        <v>0.12874704460907843</v>
      </c>
      <c r="Q11" s="133">
        <v>0</v>
      </c>
      <c r="R11" s="133">
        <v>9.2220285985771186E-2</v>
      </c>
      <c r="S11" s="133">
        <v>0.33221092716413331</v>
      </c>
      <c r="T11" s="133">
        <v>0.1649766826174581</v>
      </c>
      <c r="U11" s="133">
        <v>0.20523273366062775</v>
      </c>
      <c r="V11" s="133">
        <v>0.19060738439926286</v>
      </c>
      <c r="W11" s="133">
        <v>0.15576949961537304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6.0536327859841306</v>
      </c>
      <c r="G12" s="133">
        <v>1.1953249085085411</v>
      </c>
      <c r="H12" s="133">
        <v>3.240418410914609</v>
      </c>
      <c r="I12" s="133">
        <v>0.62030039071222409</v>
      </c>
      <c r="J12" s="133">
        <v>0</v>
      </c>
      <c r="K12" s="133">
        <v>2.3249379833719837E-3</v>
      </c>
      <c r="L12" s="133">
        <v>0.28838880087907448</v>
      </c>
      <c r="M12" s="133">
        <v>3.3396833079927051</v>
      </c>
      <c r="N12" s="133">
        <v>0.86413987650345803</v>
      </c>
      <c r="O12" s="133">
        <v>0.88059133401878387</v>
      </c>
      <c r="P12" s="133">
        <v>2.8802777053444442</v>
      </c>
      <c r="Q12" s="133">
        <v>0.9537496905506504</v>
      </c>
      <c r="R12" s="133">
        <v>1.1363577161963507</v>
      </c>
      <c r="S12" s="133">
        <v>2.212546275844776</v>
      </c>
      <c r="T12" s="133">
        <v>1.9729089613920401</v>
      </c>
      <c r="U12" s="133">
        <v>1.1952093392115266</v>
      </c>
      <c r="V12" s="133">
        <v>0.9569634925430528</v>
      </c>
      <c r="W12" s="133">
        <v>0.38331271541353423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0.99435946338487946</v>
      </c>
      <c r="D13" s="133">
        <v>2.7039033851724392</v>
      </c>
      <c r="E13" s="133">
        <v>1.7118001000504364</v>
      </c>
      <c r="F13" s="133">
        <v>3.1156146028110587</v>
      </c>
      <c r="G13" s="133">
        <v>4.0653972870916721</v>
      </c>
      <c r="H13" s="133">
        <v>9.3097700202679743</v>
      </c>
      <c r="I13" s="133">
        <v>6.8717109176339513</v>
      </c>
      <c r="J13" s="133">
        <v>2.4412637843032106</v>
      </c>
      <c r="K13" s="133">
        <v>2.401768447676067</v>
      </c>
      <c r="L13" s="133">
        <v>7.4674294294893189</v>
      </c>
      <c r="M13" s="133">
        <v>16.114401833323406</v>
      </c>
      <c r="N13" s="133">
        <v>16.311027963801386</v>
      </c>
      <c r="O13" s="133">
        <v>11.596409980401845</v>
      </c>
      <c r="P13" s="133">
        <v>72.408780604575682</v>
      </c>
      <c r="Q13" s="133">
        <v>44.806429429199412</v>
      </c>
      <c r="R13" s="133">
        <v>25.438418676745158</v>
      </c>
      <c r="S13" s="133">
        <v>10.776692949180768</v>
      </c>
      <c r="T13" s="133">
        <v>4.2510317501808217</v>
      </c>
      <c r="U13" s="133">
        <v>4.6927863679721202</v>
      </c>
      <c r="V13" s="133">
        <v>5.4403887566128457</v>
      </c>
      <c r="W13" s="133">
        <v>3.45045710542108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19.480786878119787</v>
      </c>
      <c r="D14" s="65">
        <v>21.192060810926723</v>
      </c>
      <c r="E14" s="65">
        <v>7.7880607013363541</v>
      </c>
      <c r="F14" s="65">
        <v>12.235210933119044</v>
      </c>
      <c r="G14" s="65">
        <v>11.072312725236323</v>
      </c>
      <c r="H14" s="65">
        <v>38.275500587313388</v>
      </c>
      <c r="I14" s="65">
        <v>31.830878605580196</v>
      </c>
      <c r="J14" s="65">
        <v>13.232107469453009</v>
      </c>
      <c r="K14" s="65">
        <v>7.8414036326797651</v>
      </c>
      <c r="L14" s="65">
        <v>19.401299062012079</v>
      </c>
      <c r="M14" s="65">
        <v>26.192371908123807</v>
      </c>
      <c r="N14" s="65">
        <v>11.744624977663435</v>
      </c>
      <c r="O14" s="65">
        <v>2.9440863204910817</v>
      </c>
      <c r="P14" s="65">
        <v>0</v>
      </c>
      <c r="Q14" s="65">
        <v>0</v>
      </c>
      <c r="R14" s="65">
        <v>0</v>
      </c>
      <c r="S14" s="65">
        <v>0</v>
      </c>
      <c r="T14" s="65">
        <v>3.5451793535484599</v>
      </c>
      <c r="U14" s="65">
        <v>2.2893263425395629</v>
      </c>
      <c r="V14" s="65">
        <v>0.52041824556821359</v>
      </c>
      <c r="W14" s="65">
        <v>2.155309245322782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1.0279840240981108</v>
      </c>
      <c r="D15" s="135">
        <v>0.96427073576621547</v>
      </c>
      <c r="E15" s="135">
        <v>0.98884751295654894</v>
      </c>
      <c r="F15" s="135">
        <v>0.56212748523251055</v>
      </c>
      <c r="G15" s="135">
        <v>0.54728039343545043</v>
      </c>
      <c r="H15" s="135">
        <v>1.5840681167545969</v>
      </c>
      <c r="I15" s="135">
        <v>1.2090034987179801</v>
      </c>
      <c r="J15" s="135">
        <v>0.69065087994355634</v>
      </c>
      <c r="K15" s="135">
        <v>0.22973575558393697</v>
      </c>
      <c r="L15" s="135">
        <v>0.45791300321399858</v>
      </c>
      <c r="M15" s="135">
        <v>0.30010900308833671</v>
      </c>
      <c r="N15" s="135">
        <v>0.18321700167317739</v>
      </c>
      <c r="O15" s="135">
        <v>5.0153085315610205E-2</v>
      </c>
      <c r="P15" s="135">
        <v>4.0342538558839174E-2</v>
      </c>
      <c r="Q15" s="135">
        <v>1.297529927969495E-2</v>
      </c>
      <c r="R15" s="135">
        <v>5.4745349187359744E-2</v>
      </c>
      <c r="S15" s="135">
        <v>0.59524225798531671</v>
      </c>
      <c r="T15" s="135">
        <v>0.56433793007086452</v>
      </c>
      <c r="U15" s="135">
        <v>0.43285449175398477</v>
      </c>
      <c r="V15" s="135">
        <v>0.3149279847205711</v>
      </c>
      <c r="W15" s="135">
        <v>0.1983578785825092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24.770931253867406</v>
      </c>
      <c r="D16" s="131">
        <f t="shared" si="4"/>
        <v>22.392648196349235</v>
      </c>
      <c r="E16" s="131">
        <f t="shared" si="4"/>
        <v>37.402709064280458</v>
      </c>
      <c r="F16" s="131">
        <f t="shared" si="4"/>
        <v>12.567195575600261</v>
      </c>
      <c r="G16" s="131">
        <f t="shared" si="4"/>
        <v>9.984386606647071</v>
      </c>
      <c r="H16" s="131">
        <f t="shared" si="4"/>
        <v>34.490397699067444</v>
      </c>
      <c r="I16" s="131">
        <f t="shared" si="4"/>
        <v>26.712407637730482</v>
      </c>
      <c r="J16" s="131">
        <f t="shared" si="4"/>
        <v>13.563291305761306</v>
      </c>
      <c r="K16" s="131">
        <f t="shared" si="4"/>
        <v>5.9176038451468118</v>
      </c>
      <c r="L16" s="131">
        <f t="shared" si="4"/>
        <v>11.135774292935368</v>
      </c>
      <c r="M16" s="131">
        <f t="shared" si="4"/>
        <v>15.143989592518402</v>
      </c>
      <c r="N16" s="131">
        <f t="shared" si="4"/>
        <v>15.038464958821237</v>
      </c>
      <c r="O16" s="131">
        <f t="shared" si="4"/>
        <v>4.5935438212388569</v>
      </c>
      <c r="P16" s="131">
        <f t="shared" si="4"/>
        <v>15.760227739340479</v>
      </c>
      <c r="Q16" s="131">
        <f t="shared" si="4"/>
        <v>12.452583594688807</v>
      </c>
      <c r="R16" s="131">
        <f t="shared" ref="R16:W16" si="5">SUM(R17:R18)</f>
        <v>5.7418001683197186</v>
      </c>
      <c r="S16" s="131">
        <f t="shared" si="5"/>
        <v>15.219801274289166</v>
      </c>
      <c r="T16" s="131">
        <f t="shared" si="5"/>
        <v>9.5709719645315481</v>
      </c>
      <c r="U16" s="131">
        <f t="shared" si="5"/>
        <v>11.104893808749711</v>
      </c>
      <c r="V16" s="131">
        <f t="shared" si="5"/>
        <v>7.0601988621968159</v>
      </c>
      <c r="W16" s="131">
        <f t="shared" si="5"/>
        <v>7.2049803182111516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0.1703395073844502</v>
      </c>
      <c r="D17" s="133">
        <v>4.5394085096322576E-2</v>
      </c>
      <c r="E17" s="133">
        <v>0.2579526456909057</v>
      </c>
      <c r="F17" s="133">
        <v>9.5853144914635549E-2</v>
      </c>
      <c r="G17" s="133">
        <v>4.9716286032801947E-2</v>
      </c>
      <c r="H17" s="133">
        <v>0.23218957635719004</v>
      </c>
      <c r="I17" s="133">
        <v>0.17510974066823659</v>
      </c>
      <c r="J17" s="133">
        <v>0.11769436008660815</v>
      </c>
      <c r="K17" s="133">
        <v>8.8332791798772112E-2</v>
      </c>
      <c r="L17" s="133">
        <v>0.14220716629726474</v>
      </c>
      <c r="M17" s="133">
        <v>0.16258824591292434</v>
      </c>
      <c r="N17" s="133">
        <v>0.16266577418993711</v>
      </c>
      <c r="O17" s="133">
        <v>7.6722268004353403E-2</v>
      </c>
      <c r="P17" s="133">
        <v>0.24596736823805104</v>
      </c>
      <c r="Q17" s="133">
        <v>0.18451316061340647</v>
      </c>
      <c r="R17" s="133">
        <v>0.11344024419049831</v>
      </c>
      <c r="S17" s="133">
        <v>0.23498230464418612</v>
      </c>
      <c r="T17" s="133">
        <v>0.14962177367145257</v>
      </c>
      <c r="U17" s="133">
        <v>0.18721822736165608</v>
      </c>
      <c r="V17" s="133">
        <v>0.15319543122884499</v>
      </c>
      <c r="W17" s="133">
        <v>9.1828858030778615E-2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24.600591746482955</v>
      </c>
      <c r="D18" s="133">
        <v>22.347254111252912</v>
      </c>
      <c r="E18" s="133">
        <v>37.144756418589552</v>
      </c>
      <c r="F18" s="133">
        <v>12.471342430685626</v>
      </c>
      <c r="G18" s="133">
        <v>9.9346703206142699</v>
      </c>
      <c r="H18" s="133">
        <v>34.258208122710251</v>
      </c>
      <c r="I18" s="133">
        <v>26.537297897062246</v>
      </c>
      <c r="J18" s="133">
        <v>13.445596945674698</v>
      </c>
      <c r="K18" s="133">
        <v>5.8292710533480401</v>
      </c>
      <c r="L18" s="133">
        <v>10.993567126638103</v>
      </c>
      <c r="M18" s="133">
        <v>14.981401346605477</v>
      </c>
      <c r="N18" s="133">
        <v>14.875799184631299</v>
      </c>
      <c r="O18" s="133">
        <v>4.5168215532345037</v>
      </c>
      <c r="P18" s="133">
        <v>15.514260371102427</v>
      </c>
      <c r="Q18" s="133">
        <v>12.268070434075401</v>
      </c>
      <c r="R18" s="133">
        <v>5.6283599241292199</v>
      </c>
      <c r="S18" s="133">
        <v>14.98481896964498</v>
      </c>
      <c r="T18" s="133">
        <v>9.4213501908600961</v>
      </c>
      <c r="U18" s="133">
        <v>10.917675581388055</v>
      </c>
      <c r="V18" s="133">
        <v>6.9070034309679711</v>
      </c>
      <c r="W18" s="133">
        <v>7.1131514601803731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18.448691546026506</v>
      </c>
      <c r="D19" s="131">
        <f t="shared" si="6"/>
        <v>19.363091898857682</v>
      </c>
      <c r="E19" s="131">
        <f t="shared" si="6"/>
        <v>13.807318807509898</v>
      </c>
      <c r="F19" s="131">
        <f t="shared" si="6"/>
        <v>10.897733128782004</v>
      </c>
      <c r="G19" s="131">
        <f t="shared" si="6"/>
        <v>8.3645171566362233</v>
      </c>
      <c r="H19" s="131">
        <f t="shared" si="6"/>
        <v>24.634915424624847</v>
      </c>
      <c r="I19" s="131">
        <f t="shared" si="6"/>
        <v>21.412565054171303</v>
      </c>
      <c r="J19" s="131">
        <f t="shared" si="6"/>
        <v>9.3246576142338036</v>
      </c>
      <c r="K19" s="131">
        <f t="shared" si="6"/>
        <v>4.019284996068051</v>
      </c>
      <c r="L19" s="131">
        <f t="shared" si="6"/>
        <v>9.4784931954072693</v>
      </c>
      <c r="M19" s="131">
        <f t="shared" si="6"/>
        <v>12.165449137596552</v>
      </c>
      <c r="N19" s="131">
        <f t="shared" si="6"/>
        <v>7.7160447224476751</v>
      </c>
      <c r="O19" s="131">
        <f t="shared" si="6"/>
        <v>4.1966979860637448</v>
      </c>
      <c r="P19" s="131">
        <f t="shared" si="6"/>
        <v>17.16534762302506</v>
      </c>
      <c r="Q19" s="131">
        <f t="shared" si="6"/>
        <v>7.7054239767295636</v>
      </c>
      <c r="R19" s="131">
        <f t="shared" ref="R19:W19" si="7">SUM(R20:R27)</f>
        <v>5.7117334552454064</v>
      </c>
      <c r="S19" s="131">
        <f t="shared" si="7"/>
        <v>10.256181365752528</v>
      </c>
      <c r="T19" s="131">
        <f t="shared" si="7"/>
        <v>8.7901577065656333</v>
      </c>
      <c r="U19" s="131">
        <f t="shared" si="7"/>
        <v>7.6292576502302634</v>
      </c>
      <c r="V19" s="131">
        <f t="shared" si="7"/>
        <v>6.244073560321759</v>
      </c>
      <c r="W19" s="131">
        <f t="shared" si="7"/>
        <v>6.2576058546800315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0.50478920651166503</v>
      </c>
      <c r="D21" s="133">
        <v>0.20744092184263754</v>
      </c>
      <c r="E21" s="133">
        <v>0.25349225387326141</v>
      </c>
      <c r="F21" s="133">
        <v>0.29698029907535783</v>
      </c>
      <c r="G21" s="133">
        <v>0.28742837560179196</v>
      </c>
      <c r="H21" s="133">
        <v>0.64092399077032247</v>
      </c>
      <c r="I21" s="133">
        <v>0.29829495790150024</v>
      </c>
      <c r="J21" s="133">
        <v>0.17640132363959174</v>
      </c>
      <c r="K21" s="133">
        <v>6.3661378743646163E-2</v>
      </c>
      <c r="L21" s="133">
        <v>0.15915502990910349</v>
      </c>
      <c r="M21" s="133">
        <v>0.22347231825377981</v>
      </c>
      <c r="N21" s="133">
        <v>9.3953411820505733E-2</v>
      </c>
      <c r="O21" s="133">
        <v>4.8310469053065706E-2</v>
      </c>
      <c r="P21" s="133">
        <v>0</v>
      </c>
      <c r="Q21" s="133">
        <v>0</v>
      </c>
      <c r="R21" s="133">
        <v>7.8496025595218566E-2</v>
      </c>
      <c r="S21" s="133">
        <v>0.25294894627279824</v>
      </c>
      <c r="T21" s="133">
        <v>0.18006510296818556</v>
      </c>
      <c r="U21" s="133">
        <v>0.17035539703526745</v>
      </c>
      <c r="V21" s="133">
        <v>0.13445989815985429</v>
      </c>
      <c r="W21" s="133">
        <v>0.1148108113648825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7.1537824401659011E-2</v>
      </c>
      <c r="D22" s="133">
        <v>0</v>
      </c>
      <c r="E22" s="133">
        <v>0</v>
      </c>
      <c r="F22" s="133">
        <v>0</v>
      </c>
      <c r="G22" s="133">
        <v>9.2982906241959803E-2</v>
      </c>
      <c r="H22" s="133">
        <v>0.65308183878400494</v>
      </c>
      <c r="I22" s="133">
        <v>0.50655856736882798</v>
      </c>
      <c r="J22" s="133">
        <v>0.21892587683465528</v>
      </c>
      <c r="K22" s="133">
        <v>5.9365463070334461E-2</v>
      </c>
      <c r="L22" s="133">
        <v>0.17067740098419634</v>
      </c>
      <c r="M22" s="133">
        <v>0.34351189037475277</v>
      </c>
      <c r="N22" s="133">
        <v>0.27332621804156199</v>
      </c>
      <c r="O22" s="133">
        <v>0.14201292972255586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5.8197184275669334E-2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6.2907924461023228</v>
      </c>
      <c r="D23" s="133">
        <v>6.8748153677078383</v>
      </c>
      <c r="E23" s="133">
        <v>5.5253253981954824</v>
      </c>
      <c r="F23" s="133">
        <v>4.2223221008329013</v>
      </c>
      <c r="G23" s="133">
        <v>3.738131215763683</v>
      </c>
      <c r="H23" s="133">
        <v>8.6782426999302977</v>
      </c>
      <c r="I23" s="133">
        <v>7.4089823431475423</v>
      </c>
      <c r="J23" s="133">
        <v>3.7297035500807483</v>
      </c>
      <c r="K23" s="133">
        <v>1.6238976288719555</v>
      </c>
      <c r="L23" s="133">
        <v>3.5865891402634582</v>
      </c>
      <c r="M23" s="133">
        <v>4.9832076148997242</v>
      </c>
      <c r="N23" s="133">
        <v>3.417903657739604</v>
      </c>
      <c r="O23" s="133">
        <v>1.7921380786751884</v>
      </c>
      <c r="P23" s="133">
        <v>5.6393037475367143</v>
      </c>
      <c r="Q23" s="133">
        <v>3.5977525051043959</v>
      </c>
      <c r="R23" s="133">
        <v>3.1897152992255471</v>
      </c>
      <c r="S23" s="133">
        <v>5.2845266188678748</v>
      </c>
      <c r="T23" s="133">
        <v>3.6183808420019576</v>
      </c>
      <c r="U23" s="133">
        <v>3.408310616387968</v>
      </c>
      <c r="V23" s="133">
        <v>2.6150374743894957</v>
      </c>
      <c r="W23" s="133">
        <v>2.5743353207862607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1.1726779282862836</v>
      </c>
      <c r="G25" s="133">
        <v>0.22794723866792654</v>
      </c>
      <c r="H25" s="133">
        <v>0.24662648665821782</v>
      </c>
      <c r="I25" s="133">
        <v>5.9574625428954267E-2</v>
      </c>
      <c r="J25" s="133">
        <v>6.3583192236239247E-2</v>
      </c>
      <c r="K25" s="133">
        <v>5.8935048735200758E-2</v>
      </c>
      <c r="L25" s="133">
        <v>0.15641745410005073</v>
      </c>
      <c r="M25" s="133">
        <v>0.3019958036810087</v>
      </c>
      <c r="N25" s="133">
        <v>0.25836457655224898</v>
      </c>
      <c r="O25" s="133">
        <v>0.19639104411835306</v>
      </c>
      <c r="P25" s="133">
        <v>1.0686458323592392</v>
      </c>
      <c r="Q25" s="133">
        <v>0.36749561020817656</v>
      </c>
      <c r="R25" s="133">
        <v>0.2188714932282009</v>
      </c>
      <c r="S25" s="133">
        <v>0.27082723422247623</v>
      </c>
      <c r="T25" s="133">
        <v>0.2192937072322706</v>
      </c>
      <c r="U25" s="133">
        <v>0.16323551462801159</v>
      </c>
      <c r="V25" s="133">
        <v>0.13568820295746878</v>
      </c>
      <c r="W25" s="133">
        <v>0.10889760857075891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11.268325777293068</v>
      </c>
      <c r="D26" s="65">
        <v>11.706449592120208</v>
      </c>
      <c r="E26" s="65">
        <v>7.5167517690262997</v>
      </c>
      <c r="F26" s="65">
        <v>4.5261296998503147</v>
      </c>
      <c r="G26" s="65">
        <v>2.3336541859496642</v>
      </c>
      <c r="H26" s="65">
        <v>12.740272317041223</v>
      </c>
      <c r="I26" s="65">
        <v>9.6765160117806666</v>
      </c>
      <c r="J26" s="65">
        <v>1.765222155740054</v>
      </c>
      <c r="K26" s="65">
        <v>0.34183528311395722</v>
      </c>
      <c r="L26" s="65">
        <v>0.80012175484852033</v>
      </c>
      <c r="M26" s="65">
        <v>4.3979328504954669</v>
      </c>
      <c r="N26" s="65">
        <v>1.8477041427641048</v>
      </c>
      <c r="O26" s="65">
        <v>0.62699691267354363</v>
      </c>
      <c r="P26" s="65">
        <v>5.2043765822463133</v>
      </c>
      <c r="Q26" s="65">
        <v>3.6456734474249171</v>
      </c>
      <c r="R26" s="65">
        <v>0.41168244469452747</v>
      </c>
      <c r="S26" s="65">
        <v>0.67234733497110655</v>
      </c>
      <c r="T26" s="65">
        <v>1.8776943774475749</v>
      </c>
      <c r="U26" s="65">
        <v>0.66172082168068702</v>
      </c>
      <c r="V26" s="65">
        <v>0.69424748882713883</v>
      </c>
      <c r="W26" s="65">
        <v>1.1182463412567305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0.3132462917177925</v>
      </c>
      <c r="D27" s="148">
        <v>0.57438601718699822</v>
      </c>
      <c r="E27" s="148">
        <v>0.51174938641485412</v>
      </c>
      <c r="F27" s="148">
        <v>0.67962310073714671</v>
      </c>
      <c r="G27" s="148">
        <v>1.684373234411197</v>
      </c>
      <c r="H27" s="148">
        <v>1.6757680914407795</v>
      </c>
      <c r="I27" s="148">
        <v>3.46263854854381</v>
      </c>
      <c r="J27" s="148">
        <v>3.3708215157025148</v>
      </c>
      <c r="K27" s="148">
        <v>1.8715901935329569</v>
      </c>
      <c r="L27" s="148">
        <v>4.6055324153019397</v>
      </c>
      <c r="M27" s="148">
        <v>1.9153286598918189</v>
      </c>
      <c r="N27" s="148">
        <v>1.8247927155296495</v>
      </c>
      <c r="O27" s="148">
        <v>1.3908485518210378</v>
      </c>
      <c r="P27" s="148">
        <v>5.2530214608827919</v>
      </c>
      <c r="Q27" s="148">
        <v>9.4502413992073833E-2</v>
      </c>
      <c r="R27" s="148">
        <v>1.8129681925019123</v>
      </c>
      <c r="S27" s="148">
        <v>3.775531231418273</v>
      </c>
      <c r="T27" s="148">
        <v>2.8947236769156452</v>
      </c>
      <c r="U27" s="148">
        <v>3.2256353004983289</v>
      </c>
      <c r="V27" s="148">
        <v>2.6646404959878018</v>
      </c>
      <c r="W27" s="148">
        <v>2.283118588425729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19.076191754191967</v>
      </c>
      <c r="D29" s="131">
        <f t="shared" si="8"/>
        <v>19.109030773650687</v>
      </c>
      <c r="E29" s="131">
        <f t="shared" si="8"/>
        <v>15.808775711362458</v>
      </c>
      <c r="F29" s="131">
        <f t="shared" si="8"/>
        <v>11.923148031262567</v>
      </c>
      <c r="G29" s="131">
        <f t="shared" si="8"/>
        <v>9.5405352754636645</v>
      </c>
      <c r="H29" s="131">
        <f t="shared" si="8"/>
        <v>27.672793916781544</v>
      </c>
      <c r="I29" s="131">
        <f t="shared" si="8"/>
        <v>24.42255518811012</v>
      </c>
      <c r="J29" s="131">
        <f t="shared" si="8"/>
        <v>10.534195668324978</v>
      </c>
      <c r="K29" s="131">
        <f t="shared" si="8"/>
        <v>4.7637452983047588</v>
      </c>
      <c r="L29" s="131">
        <f t="shared" si="8"/>
        <v>11.208118650534036</v>
      </c>
      <c r="M29" s="131">
        <f t="shared" si="8"/>
        <v>14.321138949694879</v>
      </c>
      <c r="N29" s="131">
        <f t="shared" si="8"/>
        <v>9.2497982277846091</v>
      </c>
      <c r="O29" s="131">
        <f t="shared" si="8"/>
        <v>4.93014638419434</v>
      </c>
      <c r="P29" s="131">
        <f t="shared" si="8"/>
        <v>20.143320477086728</v>
      </c>
      <c r="Q29" s="131">
        <f t="shared" si="8"/>
        <v>9.2080106120659089</v>
      </c>
      <c r="R29" s="131">
        <f t="shared" ref="R29:W29" si="9">SUM(R30:R33)</f>
        <v>6.753975654159472</v>
      </c>
      <c r="S29" s="131">
        <f t="shared" si="9"/>
        <v>12.247168864456633</v>
      </c>
      <c r="T29" s="131">
        <f t="shared" si="9"/>
        <v>10.54136059946569</v>
      </c>
      <c r="U29" s="131">
        <f t="shared" si="9"/>
        <v>9.6850099225431663</v>
      </c>
      <c r="V29" s="131">
        <f t="shared" si="9"/>
        <v>7.8548824810240419</v>
      </c>
      <c r="W29" s="131">
        <f t="shared" si="9"/>
        <v>8.1199689441213128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2.3103713160875086</v>
      </c>
      <c r="D30" s="133">
        <v>2.5736341814850601</v>
      </c>
      <c r="E30" s="133">
        <v>1.6224098906555315</v>
      </c>
      <c r="F30" s="133">
        <v>0.84507328436455298</v>
      </c>
      <c r="G30" s="133">
        <v>0.57735308006859265</v>
      </c>
      <c r="H30" s="133">
        <v>1.1191501159330142</v>
      </c>
      <c r="I30" s="133">
        <v>2.2788687464155095</v>
      </c>
      <c r="J30" s="133">
        <v>0.99275128836877846</v>
      </c>
      <c r="K30" s="133">
        <v>0.68893796725717715</v>
      </c>
      <c r="L30" s="133">
        <v>1.6106671947725943</v>
      </c>
      <c r="M30" s="133">
        <v>1.6299786672785301</v>
      </c>
      <c r="N30" s="133">
        <v>0.77202875722269315</v>
      </c>
      <c r="O30" s="133">
        <v>0.55371204425988363</v>
      </c>
      <c r="P30" s="133">
        <v>2.8125630318613082</v>
      </c>
      <c r="Q30" s="133">
        <v>1.081587192026743</v>
      </c>
      <c r="R30" s="133">
        <v>0.69059259075273027</v>
      </c>
      <c r="S30" s="133">
        <v>1.1442963528723507</v>
      </c>
      <c r="T30" s="133">
        <v>1.1805279849964614</v>
      </c>
      <c r="U30" s="133">
        <v>1.2262981229725107</v>
      </c>
      <c r="V30" s="133">
        <v>1.393838946690819</v>
      </c>
      <c r="W30" s="133">
        <v>1.1310222499697207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8.2506902545696743</v>
      </c>
      <c r="D31" s="133">
        <v>0.89439348409963859</v>
      </c>
      <c r="E31" s="133">
        <v>0.51790669616848128</v>
      </c>
      <c r="F31" s="133">
        <v>2.2125437394566361</v>
      </c>
      <c r="G31" s="133">
        <v>5.088857272078914</v>
      </c>
      <c r="H31" s="133">
        <v>16.647228498205937</v>
      </c>
      <c r="I31" s="133">
        <v>18.648188581613375</v>
      </c>
      <c r="J31" s="133">
        <v>6.885887208731468</v>
      </c>
      <c r="K31" s="133">
        <v>3.2695931388543538</v>
      </c>
      <c r="L31" s="133">
        <v>6.796098394427097</v>
      </c>
      <c r="M31" s="133">
        <v>7.4208211766932548</v>
      </c>
      <c r="N31" s="133">
        <v>4.6717232851870349</v>
      </c>
      <c r="O31" s="133">
        <v>2.2942751980174263</v>
      </c>
      <c r="P31" s="133">
        <v>11.833164625918942</v>
      </c>
      <c r="Q31" s="133">
        <v>5.0319720077488315</v>
      </c>
      <c r="R31" s="133">
        <v>3.8750709995128481</v>
      </c>
      <c r="S31" s="133">
        <v>7.3625452004835203</v>
      </c>
      <c r="T31" s="133">
        <v>6.3781504888186999</v>
      </c>
      <c r="U31" s="133">
        <v>6.425859382799004</v>
      </c>
      <c r="V31" s="133">
        <v>5.152139464531615</v>
      </c>
      <c r="W31" s="133">
        <v>4.5125318688815961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8.5151301835347848</v>
      </c>
      <c r="D33" s="68">
        <v>15.641003108065989</v>
      </c>
      <c r="E33" s="68">
        <v>13.668459124538444</v>
      </c>
      <c r="F33" s="68">
        <v>8.865531007441378</v>
      </c>
      <c r="G33" s="68">
        <v>3.874324923316157</v>
      </c>
      <c r="H33" s="68">
        <v>9.9064153026425945</v>
      </c>
      <c r="I33" s="68">
        <v>3.4954978600812354</v>
      </c>
      <c r="J33" s="68">
        <v>2.6555571712247308</v>
      </c>
      <c r="K33" s="68">
        <v>0.80521419219322832</v>
      </c>
      <c r="L33" s="68">
        <v>2.8013530613343454</v>
      </c>
      <c r="M33" s="68">
        <v>5.2703391057230942</v>
      </c>
      <c r="N33" s="68">
        <v>3.8060461853748819</v>
      </c>
      <c r="O33" s="68">
        <v>2.08215914191703</v>
      </c>
      <c r="P33" s="68">
        <v>5.4975928193064787</v>
      </c>
      <c r="Q33" s="68">
        <v>3.0944514122903342</v>
      </c>
      <c r="R33" s="68">
        <v>2.1883120638938935</v>
      </c>
      <c r="S33" s="68">
        <v>3.7403273111007627</v>
      </c>
      <c r="T33" s="68">
        <v>2.9826821256505283</v>
      </c>
      <c r="U33" s="68">
        <v>2.0328524167716524</v>
      </c>
      <c r="V33" s="68">
        <v>1.3089040698016086</v>
      </c>
      <c r="W33" s="68">
        <v>2.4764148252699965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0.75776437698423915</v>
      </c>
      <c r="D3" s="127">
        <f>IF(SER_hh_tes_in!D3=0,"",SER_hh_tes_in!D3/SER_hh_fec_in!D3)</f>
        <v>0.77383841529031838</v>
      </c>
      <c r="E3" s="127">
        <f>IF(SER_hh_tes_in!E3=0,"",SER_hh_tes_in!E3/SER_hh_fec_in!E3)</f>
        <v>0.8493752389007978</v>
      </c>
      <c r="F3" s="127">
        <f>IF(SER_hh_tes_in!F3=0,"",SER_hh_tes_in!F3/SER_hh_fec_in!F3)</f>
        <v>0.79553614707169884</v>
      </c>
      <c r="G3" s="127">
        <f>IF(SER_hh_tes_in!G3=0,"",SER_hh_tes_in!G3/SER_hh_fec_in!G3)</f>
        <v>0.78769209043976918</v>
      </c>
      <c r="H3" s="127">
        <f>IF(SER_hh_tes_in!H3=0,"",SER_hh_tes_in!H3/SER_hh_fec_in!H3)</f>
        <v>0.79878019621463914</v>
      </c>
      <c r="I3" s="127">
        <f>IF(SER_hh_tes_in!I3=0,"",SER_hh_tes_in!I3/SER_hh_fec_in!I3)</f>
        <v>0.79816394539858493</v>
      </c>
      <c r="J3" s="127">
        <f>IF(SER_hh_tes_in!J3=0,"",SER_hh_tes_in!J3/SER_hh_fec_in!J3)</f>
        <v>0.80429757694113291</v>
      </c>
      <c r="K3" s="127">
        <f>IF(SER_hh_tes_in!K3=0,"",SER_hh_tes_in!K3/SER_hh_fec_in!K3)</f>
        <v>0.8469908490469622</v>
      </c>
      <c r="L3" s="127">
        <f>IF(SER_hh_tes_in!L3=0,"",SER_hh_tes_in!L3/SER_hh_fec_in!L3)</f>
        <v>0.86304045423968878</v>
      </c>
      <c r="M3" s="127">
        <f>IF(SER_hh_tes_in!M3=0,"",SER_hh_tes_in!M3/SER_hh_fec_in!M3)</f>
        <v>0.95361460755626093</v>
      </c>
      <c r="N3" s="127">
        <f>IF(SER_hh_tes_in!N3=0,"",SER_hh_tes_in!N3/SER_hh_fec_in!N3)</f>
        <v>1.1150220101082793</v>
      </c>
      <c r="O3" s="127">
        <f>IF(SER_hh_tes_in!O3=0,"",SER_hh_tes_in!O3/SER_hh_fec_in!O3)</f>
        <v>1.2443716491870973</v>
      </c>
      <c r="P3" s="127">
        <f>IF(SER_hh_tes_in!P3=0,"",SER_hh_tes_in!P3/SER_hh_fec_in!P3)</f>
        <v>1.6049237948823976</v>
      </c>
      <c r="Q3" s="127">
        <f>IF(SER_hh_tes_in!Q3=0,"",SER_hh_tes_in!Q3/SER_hh_fec_in!Q3)</f>
        <v>1.8745987532516699</v>
      </c>
      <c r="R3" s="127">
        <f>IF(SER_hh_tes_in!R3=0,"",SER_hh_tes_in!R3/SER_hh_fec_in!R3)</f>
        <v>1.5811079350631783</v>
      </c>
      <c r="S3" s="127">
        <f>IF(SER_hh_tes_in!S3=0,"",SER_hh_tes_in!S3/SER_hh_fec_in!S3)</f>
        <v>1.0180128287734114</v>
      </c>
      <c r="T3" s="127">
        <f>IF(SER_hh_tes_in!T3=0,"",SER_hh_tes_in!T3/SER_hh_fec_in!T3)</f>
        <v>0.92678986576035294</v>
      </c>
      <c r="U3" s="127">
        <f>IF(SER_hh_tes_in!U3=0,"",SER_hh_tes_in!U3/SER_hh_fec_in!U3)</f>
        <v>0.98687867471926349</v>
      </c>
      <c r="V3" s="127">
        <f>IF(SER_hh_tes_in!V3=0,"",SER_hh_tes_in!V3/SER_hh_fec_in!V3)</f>
        <v>1.003333930792871</v>
      </c>
      <c r="W3" s="127">
        <f>IF(SER_hh_tes_in!W3=0,"",SER_hh_tes_in!W3/SER_hh_fec_in!W3)</f>
        <v>1.0203045354383524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0.65062585715530452</v>
      </c>
      <c r="D4" s="136">
        <f>IF(SER_hh_tes_in!D4=0,"",SER_hh_tes_in!D4/SER_hh_fec_in!D4)</f>
        <v>0.66619739345340545</v>
      </c>
      <c r="E4" s="136">
        <f>IF(SER_hh_tes_in!E4=0,"",SER_hh_tes_in!E4/SER_hh_fec_in!E4)</f>
        <v>0.64683466122803879</v>
      </c>
      <c r="F4" s="136">
        <f>IF(SER_hh_tes_in!F4=0,"",SER_hh_tes_in!F4/SER_hh_fec_in!F4)</f>
        <v>0.7058127946526277</v>
      </c>
      <c r="G4" s="136">
        <f>IF(SER_hh_tes_in!G4=0,"",SER_hh_tes_in!G4/SER_hh_fec_in!G4)</f>
        <v>0.71498928544645168</v>
      </c>
      <c r="H4" s="136">
        <f>IF(SER_hh_tes_in!H4=0,"",SER_hh_tes_in!H4/SER_hh_fec_in!H4)</f>
        <v>0.71846583145449394</v>
      </c>
      <c r="I4" s="136">
        <f>IF(SER_hh_tes_in!I4=0,"",SER_hh_tes_in!I4/SER_hh_fec_in!I4)</f>
        <v>0.7268858272743296</v>
      </c>
      <c r="J4" s="136">
        <f>IF(SER_hh_tes_in!J4=0,"",SER_hh_tes_in!J4/SER_hh_fec_in!J4)</f>
        <v>0.71541161702632106</v>
      </c>
      <c r="K4" s="136">
        <f>IF(SER_hh_tes_in!K4=0,"",SER_hh_tes_in!K4/SER_hh_fec_in!K4)</f>
        <v>0.76729387243179847</v>
      </c>
      <c r="L4" s="136">
        <f>IF(SER_hh_tes_in!L4=0,"",SER_hh_tes_in!L4/SER_hh_fec_in!L4)</f>
        <v>0.80515092287799184</v>
      </c>
      <c r="M4" s="136">
        <f>IF(SER_hh_tes_in!M4=0,"",SER_hh_tes_in!M4/SER_hh_fec_in!M4)</f>
        <v>0.93341436977407621</v>
      </c>
      <c r="N4" s="136">
        <f>IF(SER_hh_tes_in!N4=0,"",SER_hh_tes_in!N4/SER_hh_fec_in!N4)</f>
        <v>1.0934240746706789</v>
      </c>
      <c r="O4" s="136">
        <f>IF(SER_hh_tes_in!O4=0,"",SER_hh_tes_in!O4/SER_hh_fec_in!O4)</f>
        <v>1.4946156199979039</v>
      </c>
      <c r="P4" s="136">
        <f>IF(SER_hh_tes_in!P4=0,"",SER_hh_tes_in!P4/SER_hh_fec_in!P4)</f>
        <v>2.8657072632630696</v>
      </c>
      <c r="Q4" s="136">
        <f>IF(SER_hh_tes_in!Q4=0,"",SER_hh_tes_in!Q4/SER_hh_fec_in!Q4)</f>
        <v>3.289285909526301</v>
      </c>
      <c r="R4" s="136">
        <f>IF(SER_hh_tes_in!R4=0,"",SER_hh_tes_in!R4/SER_hh_fec_in!R4)</f>
        <v>2.4026567923176985</v>
      </c>
      <c r="S4" s="136">
        <f>IF(SER_hh_tes_in!S4=0,"",SER_hh_tes_in!S4/SER_hh_fec_in!S4)</f>
        <v>0.95241669518983585</v>
      </c>
      <c r="T4" s="136">
        <f>IF(SER_hh_tes_in!T4=0,"",SER_hh_tes_in!T4/SER_hh_fec_in!T4)</f>
        <v>0.86819173303401009</v>
      </c>
      <c r="U4" s="136">
        <f>IF(SER_hh_tes_in!U4=0,"",SER_hh_tes_in!U4/SER_hh_fec_in!U4)</f>
        <v>0.91178392271040731</v>
      </c>
      <c r="V4" s="136">
        <f>IF(SER_hh_tes_in!V4=0,"",SER_hh_tes_in!V4/SER_hh_fec_in!V4)</f>
        <v>0.98287939938655378</v>
      </c>
      <c r="W4" s="136">
        <f>IF(SER_hh_tes_in!W4=0,"",SER_hh_tes_in!W4/SER_hh_fec_in!W4)</f>
        <v>0.97917321497740717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>
        <f>IF(SER_hh_tes_in!C6=0,"",SER_hh_tes_in!C6/SER_hh_fec_in!C6)</f>
        <v>0.55083105458004722</v>
      </c>
      <c r="D6" s="137">
        <f>IF(SER_hh_tes_in!D6=0,"",SER_hh_tes_in!D6/SER_hh_fec_in!D6)</f>
        <v>0.55619866743590607</v>
      </c>
      <c r="E6" s="137">
        <f>IF(SER_hh_tes_in!E6=0,"",SER_hh_tes_in!E6/SER_hh_fec_in!E6)</f>
        <v>0.56175202912223843</v>
      </c>
      <c r="F6" s="137">
        <f>IF(SER_hh_tes_in!F6=0,"",SER_hh_tes_in!F6/SER_hh_fec_in!F6)</f>
        <v>0.56727763634412176</v>
      </c>
      <c r="G6" s="137">
        <f>IF(SER_hh_tes_in!G6=0,"",SER_hh_tes_in!G6/SER_hh_fec_in!G6)</f>
        <v>0.57296145898426798</v>
      </c>
      <c r="H6" s="137">
        <f>IF(SER_hh_tes_in!H6=0,"",SER_hh_tes_in!H6/SER_hh_fec_in!H6)</f>
        <v>0.57877522940203707</v>
      </c>
      <c r="I6" s="137">
        <f>IF(SER_hh_tes_in!I6=0,"",SER_hh_tes_in!I6/SER_hh_fec_in!I6)</f>
        <v>0.58475920979908202</v>
      </c>
      <c r="J6" s="137">
        <f>IF(SER_hh_tes_in!J6=0,"",SER_hh_tes_in!J6/SER_hh_fec_in!J6)</f>
        <v>0.59109108791444653</v>
      </c>
      <c r="K6" s="137">
        <f>IF(SER_hh_tes_in!K6=0,"",SER_hh_tes_in!K6/SER_hh_fec_in!K6)</f>
        <v>0.59791507426892532</v>
      </c>
      <c r="L6" s="137">
        <f>IF(SER_hh_tes_in!L6=0,"",SER_hh_tes_in!L6/SER_hh_fec_in!L6)</f>
        <v>0.60525774613690986</v>
      </c>
      <c r="M6" s="137">
        <f>IF(SER_hh_tes_in!M6=0,"",SER_hh_tes_in!M6/SER_hh_fec_in!M6)</f>
        <v>0.61698933899599573</v>
      </c>
      <c r="N6" s="137">
        <f>IF(SER_hh_tes_in!N6=0,"",SER_hh_tes_in!N6/SER_hh_fec_in!N6)</f>
        <v>0.63424036883985269</v>
      </c>
      <c r="O6" s="137">
        <f>IF(SER_hh_tes_in!O6=0,"",SER_hh_tes_in!O6/SER_hh_fec_in!O6)</f>
        <v>0.65764955777948275</v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>
        <f>IF(SER_hh_tes_in!S6=0,"",SER_hh_tes_in!S6/SER_hh_fec_in!S6)</f>
        <v>0.72524026339426795</v>
      </c>
      <c r="T6" s="137">
        <f>IF(SER_hh_tes_in!T6=0,"",SER_hh_tes_in!T6/SER_hh_fec_in!T6)</f>
        <v>0.7308863989043034</v>
      </c>
      <c r="U6" s="137">
        <f>IF(SER_hh_tes_in!U6=0,"",SER_hh_tes_in!U6/SER_hh_fec_in!U6)</f>
        <v>0.7352933802045527</v>
      </c>
      <c r="V6" s="137">
        <f>IF(SER_hh_tes_in!V6=0,"",SER_hh_tes_in!V6/SER_hh_fec_in!V6)</f>
        <v>0.73915608912401043</v>
      </c>
      <c r="W6" s="137">
        <f>IF(SER_hh_tes_in!W6=0,"",SER_hh_tes_in!W6/SER_hh_fec_in!W6)</f>
        <v>0.74171551423060167</v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0.53279171681459581</v>
      </c>
      <c r="D7" s="137">
        <f>IF(SER_hh_tes_in!D7=0,"",SER_hh_tes_in!D7/SER_hh_fec_in!D7)</f>
        <v>0.53778399182708114</v>
      </c>
      <c r="E7" s="137">
        <f>IF(SER_hh_tes_in!E7=0,"",SER_hh_tes_in!E7/SER_hh_fec_in!E7)</f>
        <v>0.54295348199165849</v>
      </c>
      <c r="F7" s="137">
        <f>IF(SER_hh_tes_in!F7=0,"",SER_hh_tes_in!F7/SER_hh_fec_in!F7)</f>
        <v>0.54809833466871893</v>
      </c>
      <c r="G7" s="137">
        <f>IF(SER_hh_tes_in!G7=0,"",SER_hh_tes_in!G7/SER_hh_fec_in!G7)</f>
        <v>0.55339424787039893</v>
      </c>
      <c r="H7" s="137">
        <f>IF(SER_hh_tes_in!H7=0,"",SER_hh_tes_in!H7/SER_hh_fec_in!H7)</f>
        <v>0.55881442631181366</v>
      </c>
      <c r="I7" s="137">
        <f>IF(SER_hh_tes_in!I7=0,"",SER_hh_tes_in!I7/SER_hh_fec_in!I7)</f>
        <v>0.56439681844413214</v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 t="str">
        <f>IF(SER_hh_tes_in!L7=0,"",SER_hh_tes_in!L7/SER_hh_fec_in!L7)</f>
        <v/>
      </c>
      <c r="M7" s="137" t="str">
        <f>IF(SER_hh_tes_in!M7=0,"",SER_hh_tes_in!M7/SER_hh_fec_in!M7)</f>
        <v/>
      </c>
      <c r="N7" s="137">
        <f>IF(SER_hh_tes_in!N7=0,"",SER_hh_tes_in!N7/SER_hh_fec_in!N7)</f>
        <v>0.61078527591822285</v>
      </c>
      <c r="O7" s="137">
        <f>IF(SER_hh_tes_in!O7=0,"",SER_hh_tes_in!O7/SER_hh_fec_in!O7)</f>
        <v>0.63281233033678697</v>
      </c>
      <c r="P7" s="137">
        <f>IF(SER_hh_tes_in!P7=0,"",SER_hh_tes_in!P7/SER_hh_fec_in!P7)</f>
        <v>0.65806331768768145</v>
      </c>
      <c r="Q7" s="137">
        <f>IF(SER_hh_tes_in!Q7=0,"",SER_hh_tes_in!Q7/SER_hh_fec_in!Q7)</f>
        <v>0.67896112999674585</v>
      </c>
      <c r="R7" s="137">
        <f>IF(SER_hh_tes_in!R7=0,"",SER_hh_tes_in!R7/SER_hh_fec_in!R7)</f>
        <v>0.68918284919771222</v>
      </c>
      <c r="S7" s="137">
        <f>IF(SER_hh_tes_in!S7=0,"",SER_hh_tes_in!S7/SER_hh_fec_in!S7)</f>
        <v>0.69649636336024878</v>
      </c>
      <c r="T7" s="137">
        <f>IF(SER_hh_tes_in!T7=0,"",SER_hh_tes_in!T7/SER_hh_fec_in!T7)</f>
        <v>0.70185416939974721</v>
      </c>
      <c r="U7" s="137">
        <f>IF(SER_hh_tes_in!U7=0,"",SER_hh_tes_in!U7/SER_hh_fec_in!U7)</f>
        <v>0.70602766652403293</v>
      </c>
      <c r="V7" s="137">
        <f>IF(SER_hh_tes_in!V7=0,"",SER_hh_tes_in!V7/SER_hh_fec_in!V7)</f>
        <v>0.70964860680310393</v>
      </c>
      <c r="W7" s="137">
        <f>IF(SER_hh_tes_in!W7=0,"",SER_hh_tes_in!W7/SER_hh_fec_in!W7)</f>
        <v>0.71198868372697555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1.7104638104305723</v>
      </c>
      <c r="D8" s="137">
        <f>IF(SER_hh_tes_in!D8=0,"",SER_hh_tes_in!D8/SER_hh_fec_in!D8)</f>
        <v>1.8291277694476906</v>
      </c>
      <c r="E8" s="137">
        <f>IF(SER_hh_tes_in!E8=0,"",SER_hh_tes_in!E8/SER_hh_fec_in!E8)</f>
        <v>1.9505599129689466</v>
      </c>
      <c r="F8" s="137">
        <f>IF(SER_hh_tes_in!F8=0,"",SER_hh_tes_in!F8/SER_hh_fec_in!F8)</f>
        <v>2.0742354391042128</v>
      </c>
      <c r="G8" s="137">
        <f>IF(SER_hh_tes_in!G8=0,"",SER_hh_tes_in!G8/SER_hh_fec_in!G8)</f>
        <v>2.2005938524580984</v>
      </c>
      <c r="H8" s="137">
        <f>IF(SER_hh_tes_in!H8=0,"",SER_hh_tes_in!H8/SER_hh_fec_in!H8)</f>
        <v>2.3295539106542344</v>
      </c>
      <c r="I8" s="137">
        <f>IF(SER_hh_tes_in!I8=0,"",SER_hh_tes_in!I8/SER_hh_fec_in!I8)</f>
        <v>2.4611946569801413</v>
      </c>
      <c r="J8" s="137">
        <f>IF(SER_hh_tes_in!J8=0,"",SER_hh_tes_in!J8/SER_hh_fec_in!J8)</f>
        <v>2.5959041014241255</v>
      </c>
      <c r="K8" s="137">
        <f>IF(SER_hh_tes_in!K8=0,"",SER_hh_tes_in!K8/SER_hh_fec_in!K8)</f>
        <v>2.7339732733476452</v>
      </c>
      <c r="L8" s="137">
        <f>IF(SER_hh_tes_in!L8=0,"",SER_hh_tes_in!L8/SER_hh_fec_in!L8)</f>
        <v>2.875410550034597</v>
      </c>
      <c r="M8" s="137">
        <f>IF(SER_hh_tes_in!M8=0,"",SER_hh_tes_in!M8/SER_hh_fec_in!M8)</f>
        <v>3.0311009576728649</v>
      </c>
      <c r="N8" s="137">
        <f>IF(SER_hh_tes_in!N8=0,"",SER_hh_tes_in!N8/SER_hh_fec_in!N8)</f>
        <v>3.2038651984831241</v>
      </c>
      <c r="O8" s="137">
        <f>IF(SER_hh_tes_in!O8=0,"",SER_hh_tes_in!O8/SER_hh_fec_in!O8)</f>
        <v>3.392212047550589</v>
      </c>
      <c r="P8" s="137">
        <f>IF(SER_hh_tes_in!P8=0,"",SER_hh_tes_in!P8/SER_hh_fec_in!P8)</f>
        <v>3.5817647505695449</v>
      </c>
      <c r="Q8" s="137">
        <f>IF(SER_hh_tes_in!Q8=0,"",SER_hh_tes_in!Q8/SER_hh_fec_in!Q8)</f>
        <v>3.7371742613788017</v>
      </c>
      <c r="R8" s="137">
        <f>IF(SER_hh_tes_in!R8=0,"",SER_hh_tes_in!R8/SER_hh_fec_in!R8)</f>
        <v>3.8001284636283041</v>
      </c>
      <c r="S8" s="137">
        <f>IF(SER_hh_tes_in!S8=0,"",SER_hh_tes_in!S8/SER_hh_fec_in!S8)</f>
        <v>3.8406152158488576</v>
      </c>
      <c r="T8" s="137">
        <f>IF(SER_hh_tes_in!T8=0,"",SER_hh_tes_in!T8/SER_hh_fec_in!T8)</f>
        <v>3.8671389282977544</v>
      </c>
      <c r="U8" s="137">
        <f>IF(SER_hh_tes_in!U8=0,"",SER_hh_tes_in!U8/SER_hh_fec_in!U8)</f>
        <v>3.888353032630695</v>
      </c>
      <c r="V8" s="137">
        <f>IF(SER_hh_tes_in!V8=0,"",SER_hh_tes_in!V8/SER_hh_fec_in!V8)</f>
        <v>3.9131558516300231</v>
      </c>
      <c r="W8" s="137">
        <f>IF(SER_hh_tes_in!W8=0,"",SER_hh_tes_in!W8/SER_hh_fec_in!W8)</f>
        <v>3.9405784098464491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0.61056403862066499</v>
      </c>
      <c r="D9" s="137">
        <f>IF(SER_hh_tes_in!D9=0,"",SER_hh_tes_in!D9/SER_hh_fec_in!D9)</f>
        <v>0.61874808899272771</v>
      </c>
      <c r="E9" s="137">
        <f>IF(SER_hh_tes_in!E9=0,"",SER_hh_tes_in!E9/SER_hh_fec_in!E9)</f>
        <v>0.62693479928321638</v>
      </c>
      <c r="F9" s="137">
        <f>IF(SER_hh_tes_in!F9=0,"",SER_hh_tes_in!F9/SER_hh_fec_in!F9)</f>
        <v>0.63502048423908608</v>
      </c>
      <c r="G9" s="137">
        <f>IF(SER_hh_tes_in!G9=0,"",SER_hh_tes_in!G9/SER_hh_fec_in!G9)</f>
        <v>0.64310077320657655</v>
      </c>
      <c r="H9" s="137">
        <f>IF(SER_hh_tes_in!H9=0,"",SER_hh_tes_in!H9/SER_hh_fec_in!H9)</f>
        <v>0.65116495381535666</v>
      </c>
      <c r="I9" s="137">
        <f>IF(SER_hh_tes_in!I9=0,"",SER_hh_tes_in!I9/SER_hh_fec_in!I9)</f>
        <v>0.65923759223320555</v>
      </c>
      <c r="J9" s="137">
        <f>IF(SER_hh_tes_in!J9=0,"",SER_hh_tes_in!J9/SER_hh_fec_in!J9)</f>
        <v>0.66741703216058146</v>
      </c>
      <c r="K9" s="137">
        <f>IF(SER_hh_tes_in!K9=0,"",SER_hh_tes_in!K9/SER_hh_fec_in!K9)</f>
        <v>0.67578814216928895</v>
      </c>
      <c r="L9" s="137">
        <f>IF(SER_hh_tes_in!L9=0,"",SER_hh_tes_in!L9/SER_hh_fec_in!L9)</f>
        <v>0.68437581905282385</v>
      </c>
      <c r="M9" s="137">
        <f>IF(SER_hh_tes_in!M9=0,"",SER_hh_tes_in!M9/SER_hh_fec_in!M9)</f>
        <v>0.69535295870050839</v>
      </c>
      <c r="N9" s="137">
        <f>IF(SER_hh_tes_in!N9=0,"",SER_hh_tes_in!N9/SER_hh_fec_in!N9)</f>
        <v>0.7094390173576427</v>
      </c>
      <c r="O9" s="137">
        <f>IF(SER_hh_tes_in!O9=0,"",SER_hh_tes_in!O9/SER_hh_fec_in!O9)</f>
        <v>0.72704988790350922</v>
      </c>
      <c r="P9" s="137" t="str">
        <f>IF(SER_hh_tes_in!P9=0,"",SER_hh_tes_in!P9/SER_hh_fec_in!P9)</f>
        <v/>
      </c>
      <c r="Q9" s="137" t="str">
        <f>IF(SER_hh_tes_in!Q9=0,"",SER_hh_tes_in!Q9/SER_hh_fec_in!Q9)</f>
        <v/>
      </c>
      <c r="R9" s="137">
        <f>IF(SER_hh_tes_in!R9=0,"",SER_hh_tes_in!R9/SER_hh_fec_in!R9)</f>
        <v>0.77261977690791539</v>
      </c>
      <c r="S9" s="137">
        <f>IF(SER_hh_tes_in!S9=0,"",SER_hh_tes_in!S9/SER_hh_fec_in!S9)</f>
        <v>0.77989633686817061</v>
      </c>
      <c r="T9" s="137">
        <f>IF(SER_hh_tes_in!T9=0,"",SER_hh_tes_in!T9/SER_hh_fec_in!T9)</f>
        <v>0.78569494448344013</v>
      </c>
      <c r="U9" s="137">
        <f>IF(SER_hh_tes_in!U9=0,"",SER_hh_tes_in!U9/SER_hh_fec_in!U9)</f>
        <v>0.79052309195590975</v>
      </c>
      <c r="V9" s="137">
        <f>IF(SER_hh_tes_in!V9=0,"",SER_hh_tes_in!V9/SER_hh_fec_in!V9)</f>
        <v>0.79471455842925498</v>
      </c>
      <c r="W9" s="137">
        <f>IF(SER_hh_tes_in!W9=0,"",SER_hh_tes_in!W9/SER_hh_fec_in!W9)</f>
        <v>0.79761435457153307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0.65585931237839723</v>
      </c>
      <c r="D10" s="137">
        <f>IF(SER_hh_tes_in!D10=0,"",SER_hh_tes_in!D10/SER_hh_fec_in!D10)</f>
        <v>0.65618818525209854</v>
      </c>
      <c r="E10" s="137">
        <f>IF(SER_hh_tes_in!E10=0,"",SER_hh_tes_in!E10/SER_hh_fec_in!E10)</f>
        <v>0.65652018454795924</v>
      </c>
      <c r="F10" s="137">
        <f>IF(SER_hh_tes_in!F10=0,"",SER_hh_tes_in!F10/SER_hh_fec_in!F10)</f>
        <v>0.65685499111540602</v>
      </c>
      <c r="G10" s="137">
        <f>IF(SER_hh_tes_in!G10=0,"",SER_hh_tes_in!G10/SER_hh_fec_in!G10)</f>
        <v>0.65719228770031424</v>
      </c>
      <c r="H10" s="137">
        <f>IF(SER_hh_tes_in!H10=0,"",SER_hh_tes_in!H10/SER_hh_fec_in!H10)</f>
        <v>0.65753169631905939</v>
      </c>
      <c r="I10" s="137">
        <f>IF(SER_hh_tes_in!I10=0,"",SER_hh_tes_in!I10/SER_hh_fec_in!I10)</f>
        <v>0.65787271994998542</v>
      </c>
      <c r="J10" s="137">
        <f>IF(SER_hh_tes_in!J10=0,"",SER_hh_tes_in!J10/SER_hh_fec_in!J10)</f>
        <v>0.65821428693798845</v>
      </c>
      <c r="K10" s="137">
        <f>IF(SER_hh_tes_in!K10=0,"",SER_hh_tes_in!K10/SER_hh_fec_in!K10)</f>
        <v>0.65855497966469223</v>
      </c>
      <c r="L10" s="137">
        <f>IF(SER_hh_tes_in!L10=0,"",SER_hh_tes_in!L10/SER_hh_fec_in!L10)</f>
        <v>0.65889353991007227</v>
      </c>
      <c r="M10" s="137">
        <f>IF(SER_hh_tes_in!M10=0,"",SER_hh_tes_in!M10/SER_hh_fec_in!M10)</f>
        <v>0.65920534048091306</v>
      </c>
      <c r="N10" s="137">
        <f>IF(SER_hh_tes_in!N10=0,"",SER_hh_tes_in!N10/SER_hh_fec_in!N10)</f>
        <v>0.65947716093481146</v>
      </c>
      <c r="O10" s="137">
        <f>IF(SER_hh_tes_in!O10=0,"",SER_hh_tes_in!O10/SER_hh_fec_in!O10)</f>
        <v>0.65970184925190589</v>
      </c>
      <c r="P10" s="137">
        <f>IF(SER_hh_tes_in!P10=0,"",SER_hh_tes_in!P10/SER_hh_fec_in!P10)</f>
        <v>0.65989865561912342</v>
      </c>
      <c r="Q10" s="137">
        <f>IF(SER_hh_tes_in!Q10=0,"",SER_hh_tes_in!Q10/SER_hh_fec_in!Q10)</f>
        <v>0.66013295792169724</v>
      </c>
      <c r="R10" s="137">
        <f>IF(SER_hh_tes_in!R10=0,"",SER_hh_tes_in!R10/SER_hh_fec_in!R10)</f>
        <v>0.66047842926819955</v>
      </c>
      <c r="S10" s="137">
        <f>IF(SER_hh_tes_in!S10=0,"",SER_hh_tes_in!S10/SER_hh_fec_in!S10)</f>
        <v>0.66086562359658052</v>
      </c>
      <c r="T10" s="137">
        <f>IF(SER_hh_tes_in!T10=0,"",SER_hh_tes_in!T10/SER_hh_fec_in!T10)</f>
        <v>0.66125469603385012</v>
      </c>
      <c r="U10" s="137">
        <f>IF(SER_hh_tes_in!U10=0,"",SER_hh_tes_in!U10/SER_hh_fec_in!U10)</f>
        <v>0.66161308405032127</v>
      </c>
      <c r="V10" s="137">
        <f>IF(SER_hh_tes_in!V10=0,"",SER_hh_tes_in!V10/SER_hh_fec_in!V10)</f>
        <v>0.66191349440803227</v>
      </c>
      <c r="W10" s="137">
        <f>IF(SER_hh_tes_in!W10=0,"",SER_hh_tes_in!W10/SER_hh_fec_in!W10)</f>
        <v>0.66215513294690531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0.81835404422714719</v>
      </c>
      <c r="D11" s="137">
        <f>IF(SER_hh_tes_in!D11=0,"",SER_hh_tes_in!D11/SER_hh_fec_in!D11)</f>
        <v>0.81878213656487076</v>
      </c>
      <c r="E11" s="137">
        <f>IF(SER_hh_tes_in!E11=0,"",SER_hh_tes_in!E11/SER_hh_fec_in!E11)</f>
        <v>0.8192102940805468</v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>
        <f>IF(SER_hh_tes_in!H11=0,"",SER_hh_tes_in!H11/SER_hh_fec_in!H11)</f>
        <v>0.82049496710792724</v>
      </c>
      <c r="I11" s="137">
        <f>IF(SER_hh_tes_in!I11=0,"",SER_hh_tes_in!I11/SER_hh_fec_in!I11)</f>
        <v>0.82092331366981075</v>
      </c>
      <c r="J11" s="137">
        <f>IF(SER_hh_tes_in!J11=0,"",SER_hh_tes_in!J11/SER_hh_fec_in!J11)</f>
        <v>0.82135177821697558</v>
      </c>
      <c r="K11" s="137">
        <f>IF(SER_hh_tes_in!K11=0,"",SER_hh_tes_in!K11/SER_hh_fec_in!K11)</f>
        <v>0.82178040463877533</v>
      </c>
      <c r="L11" s="137" t="str">
        <f>IF(SER_hh_tes_in!L11=0,"",SER_hh_tes_in!L11/SER_hh_fec_in!L11)</f>
        <v/>
      </c>
      <c r="M11" s="137">
        <f>IF(SER_hh_tes_in!M11=0,"",SER_hh_tes_in!M11/SER_hh_fec_in!M11)</f>
        <v>0.82264258696265902</v>
      </c>
      <c r="N11" s="137">
        <f>IF(SER_hh_tes_in!N11=0,"",SER_hh_tes_in!N11/SER_hh_fec_in!N11)</f>
        <v>0.82308220028942869</v>
      </c>
      <c r="O11" s="137">
        <f>IF(SER_hh_tes_in!O11=0,"",SER_hh_tes_in!O11/SER_hh_fec_in!O11)</f>
        <v>0.8235260429222474</v>
      </c>
      <c r="P11" s="137">
        <f>IF(SER_hh_tes_in!P11=0,"",SER_hh_tes_in!P11/SER_hh_fec_in!P11)</f>
        <v>0.82396483735468196</v>
      </c>
      <c r="Q11" s="137" t="str">
        <f>IF(SER_hh_tes_in!Q11=0,"",SER_hh_tes_in!Q11/SER_hh_fec_in!Q11)</f>
        <v/>
      </c>
      <c r="R11" s="137">
        <f>IF(SER_hh_tes_in!R11=0,"",SER_hh_tes_in!R11/SER_hh_fec_in!R11)</f>
        <v>0.82472867260393889</v>
      </c>
      <c r="S11" s="137">
        <f>IF(SER_hh_tes_in!S11=0,"",SER_hh_tes_in!S11/SER_hh_fec_in!S11)</f>
        <v>0.82505641153257314</v>
      </c>
      <c r="T11" s="137">
        <f>IF(SER_hh_tes_in!T11=0,"",SER_hh_tes_in!T11/SER_hh_fec_in!T11)</f>
        <v>0.82536173835040394</v>
      </c>
      <c r="U11" s="137">
        <f>IF(SER_hh_tes_in!U11=0,"",SER_hh_tes_in!U11/SER_hh_fec_in!U11)</f>
        <v>0.82565040050123462</v>
      </c>
      <c r="V11" s="137">
        <f>IF(SER_hh_tes_in!V11=0,"",SER_hh_tes_in!V11/SER_hh_fec_in!V11)</f>
        <v>0.82592814542886872</v>
      </c>
      <c r="W11" s="137">
        <f>IF(SER_hh_tes_in!W11=0,"",SER_hh_tes_in!W11/SER_hh_fec_in!W11)</f>
        <v>0.82618783019133701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>
        <f>IF(SER_hh_tes_in!F12=0,"",SER_hh_tes_in!F12/SER_hh_fec_in!F12)</f>
        <v>0.81031803696000726</v>
      </c>
      <c r="G12" s="137">
        <f>IF(SER_hh_tes_in!G12=0,"",SER_hh_tes_in!G12/SER_hh_fec_in!G12)</f>
        <v>0.81289093824725089</v>
      </c>
      <c r="H12" s="137">
        <f>IF(SER_hh_tes_in!H12=0,"",SER_hh_tes_in!H12/SER_hh_fec_in!H12)</f>
        <v>0.81551812464199913</v>
      </c>
      <c r="I12" s="137">
        <f>IF(SER_hh_tes_in!I12=0,"",SER_hh_tes_in!I12/SER_hh_fec_in!I12)</f>
        <v>0.81821231787175885</v>
      </c>
      <c r="J12" s="137" t="str">
        <f>IF(SER_hh_tes_in!J12=0,"",SER_hh_tes_in!J12/SER_hh_fec_in!J12)</f>
        <v/>
      </c>
      <c r="K12" s="137">
        <f>IF(SER_hh_tes_in!K12=0,"",SER_hh_tes_in!K12/SER_hh_fec_in!K12)</f>
        <v>0.82400238678940474</v>
      </c>
      <c r="L12" s="137">
        <f>IF(SER_hh_tes_in!L12=0,"",SER_hh_tes_in!L12/SER_hh_fec_in!L12)</f>
        <v>0.82715443060501381</v>
      </c>
      <c r="M12" s="137">
        <f>IF(SER_hh_tes_in!M12=0,"",SER_hh_tes_in!M12/SER_hh_fec_in!M12)</f>
        <v>0.83151882877198258</v>
      </c>
      <c r="N12" s="137">
        <f>IF(SER_hh_tes_in!N12=0,"",SER_hh_tes_in!N12/SER_hh_fec_in!N12)</f>
        <v>0.83742347458166821</v>
      </c>
      <c r="O12" s="137">
        <f>IF(SER_hh_tes_in!O12=0,"",SER_hh_tes_in!O12/SER_hh_fec_in!O12)</f>
        <v>0.84515580634768672</v>
      </c>
      <c r="P12" s="137">
        <f>IF(SER_hh_tes_in!P12=0,"",SER_hh_tes_in!P12/SER_hh_fec_in!P12)</f>
        <v>0.85416895160422235</v>
      </c>
      <c r="Q12" s="137">
        <f>IF(SER_hh_tes_in!Q12=0,"",SER_hh_tes_in!Q12/SER_hh_fec_in!Q12)</f>
        <v>0.86267264735520333</v>
      </c>
      <c r="R12" s="137">
        <f>IF(SER_hh_tes_in!R12=0,"",SER_hh_tes_in!R12/SER_hh_fec_in!R12)</f>
        <v>0.86918874559095805</v>
      </c>
      <c r="S12" s="137">
        <f>IF(SER_hh_tes_in!S12=0,"",SER_hh_tes_in!S12/SER_hh_fec_in!S12)</f>
        <v>0.87552781988925221</v>
      </c>
      <c r="T12" s="137">
        <f>IF(SER_hh_tes_in!T12=0,"",SER_hh_tes_in!T12/SER_hh_fec_in!T12)</f>
        <v>0.88164751527366492</v>
      </c>
      <c r="U12" s="137">
        <f>IF(SER_hh_tes_in!U12=0,"",SER_hh_tes_in!U12/SER_hh_fec_in!U12)</f>
        <v>0.88750547676779468</v>
      </c>
      <c r="V12" s="137">
        <f>IF(SER_hh_tes_in!V12=0,"",SER_hh_tes_in!V12/SER_hh_fec_in!V12)</f>
        <v>0.89305934939523224</v>
      </c>
      <c r="W12" s="137">
        <f>IF(SER_hh_tes_in!W12=0,"",SER_hh_tes_in!W12/SER_hh_fec_in!W12)</f>
        <v>0.8981755365671793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1.5513665441420772</v>
      </c>
      <c r="D13" s="137">
        <f>IF(SER_hh_tes_in!D13=0,"",SER_hh_tes_in!D13/SER_hh_fec_in!D13)</f>
        <v>1.6686410688636817</v>
      </c>
      <c r="E13" s="137">
        <f>IF(SER_hh_tes_in!E13=0,"",SER_hh_tes_in!E13/SER_hh_fec_in!E13)</f>
        <v>1.7892743555195891</v>
      </c>
      <c r="F13" s="137">
        <f>IF(SER_hh_tes_in!F13=0,"",SER_hh_tes_in!F13/SER_hh_fec_in!F13)</f>
        <v>1.9127649499720656</v>
      </c>
      <c r="G13" s="137">
        <f>IF(SER_hh_tes_in!G13=0,"",SER_hh_tes_in!G13/SER_hh_fec_in!G13)</f>
        <v>2.0395294547678557</v>
      </c>
      <c r="H13" s="137">
        <f>IF(SER_hh_tes_in!H13=0,"",SER_hh_tes_in!H13/SER_hh_fec_in!H13)</f>
        <v>2.169489261216623</v>
      </c>
      <c r="I13" s="137">
        <f>IF(SER_hh_tes_in!I13=0,"",SER_hh_tes_in!I13/SER_hh_fec_in!I13)</f>
        <v>2.3027182495296836</v>
      </c>
      <c r="J13" s="137">
        <f>IF(SER_hh_tes_in!J13=0,"",SER_hh_tes_in!J13/SER_hh_fec_in!J13)</f>
        <v>2.4395831592159416</v>
      </c>
      <c r="K13" s="137">
        <f>IF(SER_hh_tes_in!K13=0,"",SER_hh_tes_in!K13/SER_hh_fec_in!K13)</f>
        <v>2.5803554055835654</v>
      </c>
      <c r="L13" s="137">
        <f>IF(SER_hh_tes_in!L13=0,"",SER_hh_tes_in!L13/SER_hh_fec_in!L13)</f>
        <v>2.725034409210938</v>
      </c>
      <c r="M13" s="137">
        <f>IF(SER_hh_tes_in!M13=0,"",SER_hh_tes_in!M13/SER_hh_fec_in!M13)</f>
        <v>2.8841203726327338</v>
      </c>
      <c r="N13" s="137">
        <f>IF(SER_hh_tes_in!N13=0,"",SER_hh_tes_in!N13/SER_hh_fec_in!N13)</f>
        <v>3.0602806790948178</v>
      </c>
      <c r="O13" s="137">
        <f>IF(SER_hh_tes_in!O13=0,"",SER_hh_tes_in!O13/SER_hh_fec_in!O13)</f>
        <v>3.2517352961279098</v>
      </c>
      <c r="P13" s="137">
        <f>IF(SER_hh_tes_in!P13=0,"",SER_hh_tes_in!P13/SER_hh_fec_in!P13)</f>
        <v>3.4439078704417305</v>
      </c>
      <c r="Q13" s="137">
        <f>IF(SER_hh_tes_in!Q13=0,"",SER_hh_tes_in!Q13/SER_hh_fec_in!Q13)</f>
        <v>3.6014389013111234</v>
      </c>
      <c r="R13" s="137">
        <f>IF(SER_hh_tes_in!R13=0,"",SER_hh_tes_in!R13/SER_hh_fec_in!R13)</f>
        <v>3.663905022313934</v>
      </c>
      <c r="S13" s="137">
        <f>IF(SER_hh_tes_in!S13=0,"",SER_hh_tes_in!S13/SER_hh_fec_in!S13)</f>
        <v>3.7034436251908853</v>
      </c>
      <c r="T13" s="137">
        <f>IF(SER_hh_tes_in!T13=0,"",SER_hh_tes_in!T13/SER_hh_fec_in!T13)</f>
        <v>3.7288023393767569</v>
      </c>
      <c r="U13" s="137">
        <f>IF(SER_hh_tes_in!U13=0,"",SER_hh_tes_in!U13/SER_hh_fec_in!U13)</f>
        <v>3.7489843977693833</v>
      </c>
      <c r="V13" s="137">
        <f>IF(SER_hh_tes_in!V13=0,"",SER_hh_tes_in!V13/SER_hh_fec_in!V13)</f>
        <v>3.7733466829322153</v>
      </c>
      <c r="W13" s="137">
        <f>IF(SER_hh_tes_in!W13=0,"",SER_hh_tes_in!W13/SER_hh_fec_in!W13)</f>
        <v>3.8011977573579809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0.748248552490129</v>
      </c>
      <c r="D14" s="138">
        <f>IF(SER_hh_tes_in!D14=0,"",SER_hh_tes_in!D14/SER_hh_fec_in!D14)</f>
        <v>0.75122573049283292</v>
      </c>
      <c r="E14" s="138">
        <f>IF(SER_hh_tes_in!E14=0,"",SER_hh_tes_in!E14/SER_hh_fec_in!E14)</f>
        <v>0.75427928982129699</v>
      </c>
      <c r="F14" s="138">
        <f>IF(SER_hh_tes_in!F14=0,"",SER_hh_tes_in!F14/SER_hh_fec_in!F14)</f>
        <v>0.75734316544083713</v>
      </c>
      <c r="G14" s="138">
        <f>IF(SER_hh_tes_in!G14=0,"",SER_hh_tes_in!G14/SER_hh_fec_in!G14)</f>
        <v>0.76047733618379998</v>
      </c>
      <c r="H14" s="138">
        <f>IF(SER_hh_tes_in!H14=0,"",SER_hh_tes_in!H14/SER_hh_fec_in!H14)</f>
        <v>0.76367441883695819</v>
      </c>
      <c r="I14" s="138">
        <f>IF(SER_hh_tes_in!I14=0,"",SER_hh_tes_in!I14/SER_hh_fec_in!I14)</f>
        <v>0.76694913093468353</v>
      </c>
      <c r="J14" s="138">
        <f>IF(SER_hh_tes_in!J14=0,"",SER_hh_tes_in!J14/SER_hh_fec_in!J14)</f>
        <v>0.77036186650238814</v>
      </c>
      <c r="K14" s="138">
        <f>IF(SER_hh_tes_in!K14=0,"",SER_hh_tes_in!K14/SER_hh_fec_in!K14)</f>
        <v>0.77396379980016583</v>
      </c>
      <c r="L14" s="138">
        <f>IF(SER_hh_tes_in!L14=0,"",SER_hh_tes_in!L14/SER_hh_fec_in!L14)</f>
        <v>0.77776825986180154</v>
      </c>
      <c r="M14" s="138">
        <f>IF(SER_hh_tes_in!M14=0,"",SER_hh_tes_in!M14/SER_hh_fec_in!M14)</f>
        <v>0.78282665622010872</v>
      </c>
      <c r="N14" s="138">
        <f>IF(SER_hh_tes_in!N14=0,"",SER_hh_tes_in!N14/SER_hh_fec_in!N14)</f>
        <v>0.7894510339027222</v>
      </c>
      <c r="O14" s="138">
        <f>IF(SER_hh_tes_in!O14=0,"",SER_hh_tes_in!O14/SER_hh_fec_in!O14)</f>
        <v>0.79805097111618484</v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 t="str">
        <f>IF(SER_hh_tes_in!R14=0,"",SER_hh_tes_in!R14/SER_hh_fec_in!R14)</f>
        <v/>
      </c>
      <c r="S14" s="138" t="str">
        <f>IF(SER_hh_tes_in!S14=0,"",SER_hh_tes_in!S14/SER_hh_fec_in!S14)</f>
        <v/>
      </c>
      <c r="T14" s="138">
        <f>IF(SER_hh_tes_in!T14=0,"",SER_hh_tes_in!T14/SER_hh_fec_in!T14)</f>
        <v>0.85857057449238128</v>
      </c>
      <c r="U14" s="138">
        <f>IF(SER_hh_tes_in!U14=0,"",SER_hh_tes_in!U14/SER_hh_fec_in!U14)</f>
        <v>0.87081585534937367</v>
      </c>
      <c r="V14" s="138">
        <f>IF(SER_hh_tes_in!V14=0,"",SER_hh_tes_in!V14/SER_hh_fec_in!V14)</f>
        <v>0.87968450937165954</v>
      </c>
      <c r="W14" s="138">
        <f>IF(SER_hh_tes_in!W14=0,"",SER_hh_tes_in!W14/SER_hh_fec_in!W14)</f>
        <v>0.88413973558534253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2.3526021584570578</v>
      </c>
      <c r="D16" s="136">
        <f>IF(SER_hh_tes_in!D16=0,"",SER_hh_tes_in!D16/SER_hh_fec_in!D16)</f>
        <v>2.4369749226806641</v>
      </c>
      <c r="E16" s="136">
        <f>IF(SER_hh_tes_in!E16=0,"",SER_hh_tes_in!E16/SER_hh_fec_in!E16)</f>
        <v>2.5014107739220113</v>
      </c>
      <c r="F16" s="136">
        <f>IF(SER_hh_tes_in!F16=0,"",SER_hh_tes_in!F16/SER_hh_fec_in!F16)</f>
        <v>2.5745856448898885</v>
      </c>
      <c r="G16" s="136">
        <f>IF(SER_hh_tes_in!G16=0,"",SER_hh_tes_in!G16/SER_hh_fec_in!G16)</f>
        <v>2.6575865360675954</v>
      </c>
      <c r="H16" s="136">
        <f>IF(SER_hh_tes_in!H16=0,"",SER_hh_tes_in!H16/SER_hh_fec_in!H16)</f>
        <v>2.7292591666124637</v>
      </c>
      <c r="I16" s="136">
        <f>IF(SER_hh_tes_in!I16=0,"",SER_hh_tes_in!I16/SER_hh_fec_in!I16)</f>
        <v>2.8072025287262883</v>
      </c>
      <c r="J16" s="136">
        <f>IF(SER_hh_tes_in!J16=0,"",SER_hh_tes_in!J16/SER_hh_fec_in!J16)</f>
        <v>2.8786291060836864</v>
      </c>
      <c r="K16" s="136">
        <f>IF(SER_hh_tes_in!K16=0,"",SER_hh_tes_in!K16/SER_hh_fec_in!K16)</f>
        <v>2.9355143658997491</v>
      </c>
      <c r="L16" s="136">
        <f>IF(SER_hh_tes_in!L16=0,"",SER_hh_tes_in!L16/SER_hh_fec_in!L16)</f>
        <v>3.0247892561302949</v>
      </c>
      <c r="M16" s="136">
        <f>IF(SER_hh_tes_in!M16=0,"",SER_hh_tes_in!M16/SER_hh_fec_in!M16)</f>
        <v>3.1310287607877245</v>
      </c>
      <c r="N16" s="136">
        <f>IF(SER_hh_tes_in!N16=0,"",SER_hh_tes_in!N16/SER_hh_fec_in!N16)</f>
        <v>3.2497229850476184</v>
      </c>
      <c r="O16" s="136">
        <f>IF(SER_hh_tes_in!O16=0,"",SER_hh_tes_in!O16/SER_hh_fec_in!O16)</f>
        <v>3.3622046762469147</v>
      </c>
      <c r="P16" s="136">
        <f>IF(SER_hh_tes_in!P16=0,"",SER_hh_tes_in!P16/SER_hh_fec_in!P16)</f>
        <v>3.5210916448129179</v>
      </c>
      <c r="Q16" s="136">
        <f>IF(SER_hh_tes_in!Q16=0,"",SER_hh_tes_in!Q16/SER_hh_fec_in!Q16)</f>
        <v>3.6581637706884123</v>
      </c>
      <c r="R16" s="136">
        <f>IF(SER_hh_tes_in!R16=0,"",SER_hh_tes_in!R16/SER_hh_fec_in!R16)</f>
        <v>3.7132683383086191</v>
      </c>
      <c r="S16" s="136">
        <f>IF(SER_hh_tes_in!S16=0,"",SER_hh_tes_in!S16/SER_hh_fec_in!S16)</f>
        <v>3.8070058107618858</v>
      </c>
      <c r="T16" s="136">
        <f>IF(SER_hh_tes_in!T16=0,"",SER_hh_tes_in!T16/SER_hh_fec_in!T16)</f>
        <v>3.8635185739071485</v>
      </c>
      <c r="U16" s="136">
        <f>IF(SER_hh_tes_in!U16=0,"",SER_hh_tes_in!U16/SER_hh_fec_in!U16)</f>
        <v>3.9090334258975572</v>
      </c>
      <c r="V16" s="136">
        <f>IF(SER_hh_tes_in!V16=0,"",SER_hh_tes_in!V16/SER_hh_fec_in!V16)</f>
        <v>3.9335536650918828</v>
      </c>
      <c r="W16" s="136">
        <f>IF(SER_hh_tes_in!W16=0,"",SER_hh_tes_in!W16/SER_hh_fec_in!W16)</f>
        <v>4.0404006230086518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1.2917214136905941</v>
      </c>
      <c r="D17" s="137">
        <f>IF(SER_hh_tes_in!D17=0,"",SER_hh_tes_in!D17/SER_hh_fec_in!D17)</f>
        <v>1.295116126166501</v>
      </c>
      <c r="E17" s="137">
        <f>IF(SER_hh_tes_in!E17=0,"",SER_hh_tes_in!E17/SER_hh_fec_in!E17)</f>
        <v>1.2978150185414987</v>
      </c>
      <c r="F17" s="137">
        <f>IF(SER_hh_tes_in!F17=0,"",SER_hh_tes_in!F17/SER_hh_fec_in!F17)</f>
        <v>1.2999506462575667</v>
      </c>
      <c r="G17" s="137">
        <f>IF(SER_hh_tes_in!G17=0,"",SER_hh_tes_in!G17/SER_hh_fec_in!G17)</f>
        <v>1.3015416181134243</v>
      </c>
      <c r="H17" s="137">
        <f>IF(SER_hh_tes_in!H17=0,"",SER_hh_tes_in!H17/SER_hh_fec_in!H17)</f>
        <v>1.3028237820533231</v>
      </c>
      <c r="I17" s="137">
        <f>IF(SER_hh_tes_in!I17=0,"",SER_hh_tes_in!I17/SER_hh_fec_in!I17)</f>
        <v>1.3038641966903219</v>
      </c>
      <c r="J17" s="137">
        <f>IF(SER_hh_tes_in!J17=0,"",SER_hh_tes_in!J17/SER_hh_fec_in!J17)</f>
        <v>1.3049075659644569</v>
      </c>
      <c r="K17" s="137">
        <f>IF(SER_hh_tes_in!K17=0,"",SER_hh_tes_in!K17/SER_hh_fec_in!K17)</f>
        <v>1.3063130819858468</v>
      </c>
      <c r="L17" s="137">
        <f>IF(SER_hh_tes_in!L17=0,"",SER_hh_tes_in!L17/SER_hh_fec_in!L17)</f>
        <v>1.3083089421629341</v>
      </c>
      <c r="M17" s="137">
        <f>IF(SER_hh_tes_in!M17=0,"",SER_hh_tes_in!M17/SER_hh_fec_in!M17)</f>
        <v>1.3139746901839819</v>
      </c>
      <c r="N17" s="137">
        <f>IF(SER_hh_tes_in!N17=0,"",SER_hh_tes_in!N17/SER_hh_fec_in!N17)</f>
        <v>1.3275553426326516</v>
      </c>
      <c r="O17" s="137">
        <f>IF(SER_hh_tes_in!O17=0,"",SER_hh_tes_in!O17/SER_hh_fec_in!O17)</f>
        <v>1.3505984580779802</v>
      </c>
      <c r="P17" s="137">
        <f>IF(SER_hh_tes_in!P17=0,"",SER_hh_tes_in!P17/SER_hh_fec_in!P17)</f>
        <v>1.382666868748949</v>
      </c>
      <c r="Q17" s="137">
        <f>IF(SER_hh_tes_in!Q17=0,"",SER_hh_tes_in!Q17/SER_hh_fec_in!Q17)</f>
        <v>1.4170151069998642</v>
      </c>
      <c r="R17" s="137">
        <f>IF(SER_hh_tes_in!R17=0,"",SER_hh_tes_in!R17/SER_hh_fec_in!R17)</f>
        <v>1.4455991042782552</v>
      </c>
      <c r="S17" s="137">
        <f>IF(SER_hh_tes_in!S17=0,"",SER_hh_tes_in!S17/SER_hh_fec_in!S17)</f>
        <v>1.473914517457088</v>
      </c>
      <c r="T17" s="137">
        <f>IF(SER_hh_tes_in!T17=0,"",SER_hh_tes_in!T17/SER_hh_fec_in!T17)</f>
        <v>1.5070402184617384</v>
      </c>
      <c r="U17" s="137">
        <f>IF(SER_hh_tes_in!U17=0,"",SER_hh_tes_in!U17/SER_hh_fec_in!U17)</f>
        <v>1.5421396970552641</v>
      </c>
      <c r="V17" s="137">
        <f>IF(SER_hh_tes_in!V17=0,"",SER_hh_tes_in!V17/SER_hh_fec_in!V17)</f>
        <v>1.5761101843721037</v>
      </c>
      <c r="W17" s="137">
        <f>IF(SER_hh_tes_in!W17=0,"",SER_hh_tes_in!W17/SER_hh_fec_in!W17)</f>
        <v>1.6038519495521071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2.3660574410897928</v>
      </c>
      <c r="D18" s="137">
        <f>IF(SER_hh_tes_in!D18=0,"",SER_hh_tes_in!D18/SER_hh_fec_in!D18)</f>
        <v>2.4413472064403177</v>
      </c>
      <c r="E18" s="137">
        <f>IF(SER_hh_tes_in!E18=0,"",SER_hh_tes_in!E18/SER_hh_fec_in!E18)</f>
        <v>2.5176251932207117</v>
      </c>
      <c r="F18" s="137">
        <f>IF(SER_hh_tes_in!F18=0,"",SER_hh_tes_in!F18/SER_hh_fec_in!F18)</f>
        <v>2.5941355567517781</v>
      </c>
      <c r="G18" s="137">
        <f>IF(SER_hh_tes_in!G18=0,"",SER_hh_tes_in!G18/SER_hh_fec_in!G18)</f>
        <v>2.6715155038194029</v>
      </c>
      <c r="H18" s="137">
        <f>IF(SER_hh_tes_in!H18=0,"",SER_hh_tes_in!H18/SER_hh_fec_in!H18)</f>
        <v>2.7496635776000207</v>
      </c>
      <c r="I18" s="137">
        <f>IF(SER_hh_tes_in!I18=0,"",SER_hh_tes_in!I18/SER_hh_fec_in!I18)</f>
        <v>2.8287238299145532</v>
      </c>
      <c r="J18" s="137">
        <f>IF(SER_hh_tes_in!J18=0,"",SER_hh_tes_in!J18/SER_hh_fec_in!J18)</f>
        <v>2.9093418385021912</v>
      </c>
      <c r="K18" s="137">
        <f>IF(SER_hh_tes_in!K18=0,"",SER_hh_tes_in!K18/SER_hh_fec_in!K18)</f>
        <v>2.9920608485535412</v>
      </c>
      <c r="L18" s="137">
        <f>IF(SER_hh_tes_in!L18=0,"",SER_hh_tes_in!L18/SER_hh_fec_in!L18)</f>
        <v>3.0770096600602552</v>
      </c>
      <c r="M18" s="137">
        <f>IF(SER_hh_tes_in!M18=0,"",SER_hh_tes_in!M18/SER_hh_fec_in!M18)</f>
        <v>3.1787346320059608</v>
      </c>
      <c r="N18" s="137">
        <f>IF(SER_hh_tes_in!N18=0,"",SER_hh_tes_in!N18/SER_hh_fec_in!N18)</f>
        <v>3.3020025431734026</v>
      </c>
      <c r="O18" s="137">
        <f>IF(SER_hh_tes_in!O18=0,"",SER_hh_tes_in!O18/SER_hh_fec_in!O18)</f>
        <v>3.4494732752497921</v>
      </c>
      <c r="P18" s="137">
        <f>IF(SER_hh_tes_in!P18=0,"",SER_hh_tes_in!P18/SER_hh_fec_in!P18)</f>
        <v>3.6095995085366703</v>
      </c>
      <c r="Q18" s="137">
        <f>IF(SER_hh_tes_in!Q18=0,"",SER_hh_tes_in!Q18/SER_hh_fec_in!Q18)</f>
        <v>3.7473024131480219</v>
      </c>
      <c r="R18" s="137">
        <f>IF(SER_hh_tes_in!R18=0,"",SER_hh_tes_in!R18/SER_hh_fec_in!R18)</f>
        <v>3.8345028285155855</v>
      </c>
      <c r="S18" s="137">
        <f>IF(SER_hh_tes_in!S18=0,"",SER_hh_tes_in!S18/SER_hh_fec_in!S18)</f>
        <v>3.9039100776598366</v>
      </c>
      <c r="T18" s="137">
        <f>IF(SER_hh_tes_in!T18=0,"",SER_hh_tes_in!T18/SER_hh_fec_in!T18)</f>
        <v>3.9619024764559652</v>
      </c>
      <c r="U18" s="137">
        <f>IF(SER_hh_tes_in!U18=0,"",SER_hh_tes_in!U18/SER_hh_fec_in!U18)</f>
        <v>4.0146971156389908</v>
      </c>
      <c r="V18" s="137">
        <f>IF(SER_hh_tes_in!V18=0,"",SER_hh_tes_in!V18/SER_hh_fec_in!V18)</f>
        <v>4.0685270256268291</v>
      </c>
      <c r="W18" s="137">
        <f>IF(SER_hh_tes_in!W18=0,"",SER_hh_tes_in!W18/SER_hh_fec_in!W18)</f>
        <v>4.121227259431457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0.65181070354822479</v>
      </c>
      <c r="D19" s="136">
        <f>IF(SER_hh_tes_in!D19=0,"",SER_hh_tes_in!D19/SER_hh_fec_in!D19)</f>
        <v>0.65915345522973134</v>
      </c>
      <c r="E19" s="136">
        <f>IF(SER_hh_tes_in!E19=0,"",SER_hh_tes_in!E19/SER_hh_fec_in!E19)</f>
        <v>0.65941369899226732</v>
      </c>
      <c r="F19" s="136">
        <f>IF(SER_hh_tes_in!F19=0,"",SER_hh_tes_in!F19/SER_hh_fec_in!F19)</f>
        <v>0.67901971321517318</v>
      </c>
      <c r="G19" s="136">
        <f>IF(SER_hh_tes_in!G19=0,"",SER_hh_tes_in!G19/SER_hh_fec_in!G19)</f>
        <v>0.69550333653457908</v>
      </c>
      <c r="H19" s="136">
        <f>IF(SER_hh_tes_in!H19=0,"",SER_hh_tes_in!H19/SER_hh_fec_in!H19)</f>
        <v>0.67752101341227378</v>
      </c>
      <c r="I19" s="136">
        <f>IF(SER_hh_tes_in!I19=0,"",SER_hh_tes_in!I19/SER_hh_fec_in!I19)</f>
        <v>0.7026404151671104</v>
      </c>
      <c r="J19" s="136">
        <f>IF(SER_hh_tes_in!J19=0,"",SER_hh_tes_in!J19/SER_hh_fec_in!J19)</f>
        <v>0.74649788830466579</v>
      </c>
      <c r="K19" s="136">
        <f>IF(SER_hh_tes_in!K19=0,"",SER_hh_tes_in!K19/SER_hh_fec_in!K19)</f>
        <v>0.77944595951986206</v>
      </c>
      <c r="L19" s="136">
        <f>IF(SER_hh_tes_in!L19=0,"",SER_hh_tes_in!L19/SER_hh_fec_in!L19)</f>
        <v>0.79150056728628959</v>
      </c>
      <c r="M19" s="136">
        <f>IF(SER_hh_tes_in!M19=0,"",SER_hh_tes_in!M19/SER_hh_fec_in!M19)</f>
        <v>0.72328279398866291</v>
      </c>
      <c r="N19" s="136">
        <f>IF(SER_hh_tes_in!N19=0,"",SER_hh_tes_in!N19/SER_hh_fec_in!N19)</f>
        <v>0.75185856698546105</v>
      </c>
      <c r="O19" s="136">
        <f>IF(SER_hh_tes_in!O19=0,"",SER_hh_tes_in!O19/SER_hh_fec_in!O19)</f>
        <v>0.79273173938203811</v>
      </c>
      <c r="P19" s="136">
        <f>IF(SER_hh_tes_in!P19=0,"",SER_hh_tes_in!P19/SER_hh_fec_in!P19)</f>
        <v>0.82144680482595511</v>
      </c>
      <c r="Q19" s="136">
        <f>IF(SER_hh_tes_in!Q19=0,"",SER_hh_tes_in!Q19/SER_hh_fec_in!Q19)</f>
        <v>0.78404555110513108</v>
      </c>
      <c r="R19" s="136">
        <f>IF(SER_hh_tes_in!R19=0,"",SER_hh_tes_in!R19/SER_hh_fec_in!R19)</f>
        <v>0.83912008041316943</v>
      </c>
      <c r="S19" s="136">
        <f>IF(SER_hh_tes_in!S19=0,"",SER_hh_tes_in!S19/SER_hh_fec_in!S19)</f>
        <v>0.8588424819338133</v>
      </c>
      <c r="T19" s="136">
        <f>IF(SER_hh_tes_in!T19=0,"",SER_hh_tes_in!T19/SER_hh_fec_in!T19)</f>
        <v>0.8698825096489099</v>
      </c>
      <c r="U19" s="136">
        <f>IF(SER_hh_tes_in!U19=0,"",SER_hh_tes_in!U19/SER_hh_fec_in!U19)</f>
        <v>0.88745501358051537</v>
      </c>
      <c r="V19" s="136">
        <f>IF(SER_hh_tes_in!V19=0,"",SER_hh_tes_in!V19/SER_hh_fec_in!V19)</f>
        <v>0.89584285809524866</v>
      </c>
      <c r="W19" s="136">
        <f>IF(SER_hh_tes_in!W19=0,"",SER_hh_tes_in!W19/SER_hh_fec_in!W19)</f>
        <v>0.89318549954997073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0.57758543792453176</v>
      </c>
      <c r="D21" s="137">
        <f>IF(SER_hh_tes_in!D21=0,"",SER_hh_tes_in!D21/SER_hh_fec_in!D21)</f>
        <v>0.57957369316698015</v>
      </c>
      <c r="E21" s="137">
        <f>IF(SER_hh_tes_in!E21=0,"",SER_hh_tes_in!E21/SER_hh_fec_in!E21)</f>
        <v>0.58189109199554678</v>
      </c>
      <c r="F21" s="137">
        <f>IF(SER_hh_tes_in!F21=0,"",SER_hh_tes_in!F21/SER_hh_fec_in!F21)</f>
        <v>0.58425337404040212</v>
      </c>
      <c r="G21" s="137">
        <f>IF(SER_hh_tes_in!G21=0,"",SER_hh_tes_in!G21/SER_hh_fec_in!G21)</f>
        <v>0.58691877796816128</v>
      </c>
      <c r="H21" s="137">
        <f>IF(SER_hh_tes_in!H21=0,"",SER_hh_tes_in!H21/SER_hh_fec_in!H21)</f>
        <v>0.58985569865359277</v>
      </c>
      <c r="I21" s="137">
        <f>IF(SER_hh_tes_in!I21=0,"",SER_hh_tes_in!I21/SER_hh_fec_in!I21)</f>
        <v>0.59312776611169626</v>
      </c>
      <c r="J21" s="137">
        <f>IF(SER_hh_tes_in!J21=0,"",SER_hh_tes_in!J21/SER_hh_fec_in!J21)</f>
        <v>0.59699565005455069</v>
      </c>
      <c r="K21" s="137">
        <f>IF(SER_hh_tes_in!K21=0,"",SER_hh_tes_in!K21/SER_hh_fec_in!K21)</f>
        <v>0.60168098830171279</v>
      </c>
      <c r="L21" s="137">
        <f>IF(SER_hh_tes_in!L21=0,"",SER_hh_tes_in!L21/SER_hh_fec_in!L21)</f>
        <v>0.6072430780566036</v>
      </c>
      <c r="M21" s="137">
        <f>IF(SER_hh_tes_in!M21=0,"",SER_hh_tes_in!M21/SER_hh_fec_in!M21)</f>
        <v>0.61894145601209116</v>
      </c>
      <c r="N21" s="137">
        <f>IF(SER_hh_tes_in!N21=0,"",SER_hh_tes_in!N21/SER_hh_fec_in!N21)</f>
        <v>0.63844549549923468</v>
      </c>
      <c r="O21" s="137">
        <f>IF(SER_hh_tes_in!O21=0,"",SER_hh_tes_in!O21/SER_hh_fec_in!O21)</f>
        <v>0.66714874488295006</v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>
        <f>IF(SER_hh_tes_in!R21=0,"",SER_hh_tes_in!R21/SER_hh_fec_in!R21)</f>
        <v>0.75530702434922492</v>
      </c>
      <c r="S21" s="137">
        <f>IF(SER_hh_tes_in!S21=0,"",SER_hh_tes_in!S21/SER_hh_fec_in!S21)</f>
        <v>0.77595804843742189</v>
      </c>
      <c r="T21" s="137">
        <f>IF(SER_hh_tes_in!T21=0,"",SER_hh_tes_in!T21/SER_hh_fec_in!T21)</f>
        <v>0.79466086270596048</v>
      </c>
      <c r="U21" s="137">
        <f>IF(SER_hh_tes_in!U21=0,"",SER_hh_tes_in!U21/SER_hh_fec_in!U21)</f>
        <v>0.81024654126307938</v>
      </c>
      <c r="V21" s="137">
        <f>IF(SER_hh_tes_in!V21=0,"",SER_hh_tes_in!V21/SER_hh_fec_in!V21)</f>
        <v>0.82154615821699062</v>
      </c>
      <c r="W21" s="137">
        <f>IF(SER_hh_tes_in!W21=0,"",SER_hh_tes_in!W21/SER_hh_fec_in!W21)</f>
        <v>0.82686136384151299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0.54447830131261865</v>
      </c>
      <c r="D22" s="137" t="str">
        <f>IF(SER_hh_tes_in!D22=0,"",SER_hh_tes_in!D22/SER_hh_fec_in!D22)</f>
        <v/>
      </c>
      <c r="E22" s="137" t="str">
        <f>IF(SER_hh_tes_in!E22=0,"",SER_hh_tes_in!E22/SER_hh_fec_in!E22)</f>
        <v/>
      </c>
      <c r="F22" s="137" t="str">
        <f>IF(SER_hh_tes_in!F22=0,"",SER_hh_tes_in!F22/SER_hh_fec_in!F22)</f>
        <v/>
      </c>
      <c r="G22" s="137">
        <f>IF(SER_hh_tes_in!G22=0,"",SER_hh_tes_in!G22/SER_hh_fec_in!G22)</f>
        <v>0.55406374249390278</v>
      </c>
      <c r="H22" s="137">
        <f>IF(SER_hh_tes_in!H22=0,"",SER_hh_tes_in!H22/SER_hh_fec_in!H22)</f>
        <v>0.55707999180579981</v>
      </c>
      <c r="I22" s="137">
        <f>IF(SER_hh_tes_in!I22=0,"",SER_hh_tes_in!I22/SER_hh_fec_in!I22)</f>
        <v>0.56044044047843233</v>
      </c>
      <c r="J22" s="137">
        <f>IF(SER_hh_tes_in!J22=0,"",SER_hh_tes_in!J22/SER_hh_fec_in!J22)</f>
        <v>0.56441279912570685</v>
      </c>
      <c r="K22" s="137">
        <f>IF(SER_hh_tes_in!K22=0,"",SER_hh_tes_in!K22/SER_hh_fec_in!K22)</f>
        <v>0.56922469218571004</v>
      </c>
      <c r="L22" s="137">
        <f>IF(SER_hh_tes_in!L22=0,"",SER_hh_tes_in!L22/SER_hh_fec_in!L22)</f>
        <v>0.57493701852775925</v>
      </c>
      <c r="M22" s="137">
        <f>IF(SER_hh_tes_in!M22=0,"",SER_hh_tes_in!M22/SER_hh_fec_in!M22)</f>
        <v>0.58695137922656304</v>
      </c>
      <c r="N22" s="137">
        <f>IF(SER_hh_tes_in!N22=0,"",SER_hh_tes_in!N22/SER_hh_fec_in!N22)</f>
        <v>0.60698223875032609</v>
      </c>
      <c r="O22" s="137">
        <f>IF(SER_hh_tes_in!O22=0,"",SER_hh_tes_in!O22/SER_hh_fec_in!O22)</f>
        <v>0.63646078634349124</v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 t="str">
        <f>IF(SER_hh_tes_in!R22=0,"",SER_hh_tes_in!R22/SER_hh_fec_in!R22)</f>
        <v/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>
        <f>IF(SER_hh_tes_in!W22=0,"",SER_hh_tes_in!W22/SER_hh_fec_in!W22)</f>
        <v>0.8004873735866127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0.59370743929828729</v>
      </c>
      <c r="D23" s="137">
        <f>IF(SER_hh_tes_in!D23=0,"",SER_hh_tes_in!D23/SER_hh_fec_in!D23)</f>
        <v>0.5992245383642798</v>
      </c>
      <c r="E23" s="137">
        <f>IF(SER_hh_tes_in!E23=0,"",SER_hh_tes_in!E23/SER_hh_fec_in!E23)</f>
        <v>0.60498017843171892</v>
      </c>
      <c r="F23" s="137">
        <f>IF(SER_hh_tes_in!F23=0,"",SER_hh_tes_in!F23/SER_hh_fec_in!F23)</f>
        <v>0.61078234103528062</v>
      </c>
      <c r="G23" s="137">
        <f>IF(SER_hh_tes_in!G23=0,"",SER_hh_tes_in!G23/SER_hh_fec_in!G23)</f>
        <v>0.61680223732550099</v>
      </c>
      <c r="H23" s="137">
        <f>IF(SER_hh_tes_in!H23=0,"",SER_hh_tes_in!H23/SER_hh_fec_in!H23)</f>
        <v>0.62301668767211615</v>
      </c>
      <c r="I23" s="137">
        <f>IF(SER_hh_tes_in!I23=0,"",SER_hh_tes_in!I23/SER_hh_fec_in!I23)</f>
        <v>0.62946563224867169</v>
      </c>
      <c r="J23" s="137">
        <f>IF(SER_hh_tes_in!J23=0,"",SER_hh_tes_in!J23/SER_hh_fec_in!J23)</f>
        <v>0.63631784320535623</v>
      </c>
      <c r="K23" s="137">
        <f>IF(SER_hh_tes_in!K23=0,"",SER_hh_tes_in!K23/SER_hh_fec_in!K23)</f>
        <v>0.64371405091536238</v>
      </c>
      <c r="L23" s="137">
        <f>IF(SER_hh_tes_in!L23=0,"",SER_hh_tes_in!L23/SER_hh_fec_in!L23)</f>
        <v>0.65168706876106908</v>
      </c>
      <c r="M23" s="137">
        <f>IF(SER_hh_tes_in!M23=0,"",SER_hh_tes_in!M23/SER_hh_fec_in!M23)</f>
        <v>0.66374431881267881</v>
      </c>
      <c r="N23" s="137">
        <f>IF(SER_hh_tes_in!N23=0,"",SER_hh_tes_in!N23/SER_hh_fec_in!N23)</f>
        <v>0.68096541974500868</v>
      </c>
      <c r="O23" s="137">
        <f>IF(SER_hh_tes_in!O23=0,"",SER_hh_tes_in!O23/SER_hh_fec_in!O23)</f>
        <v>0.70414753844572786</v>
      </c>
      <c r="P23" s="137">
        <f>IF(SER_hh_tes_in!P23=0,"",SER_hh_tes_in!P23/SER_hh_fec_in!P23)</f>
        <v>0.73112363542792869</v>
      </c>
      <c r="Q23" s="137">
        <f>IF(SER_hh_tes_in!Q23=0,"",SER_hh_tes_in!Q23/SER_hh_fec_in!Q23)</f>
        <v>0.75509528247130675</v>
      </c>
      <c r="R23" s="137">
        <f>IF(SER_hh_tes_in!R23=0,"",SER_hh_tes_in!R23/SER_hh_fec_in!R23)</f>
        <v>0.77085724670072087</v>
      </c>
      <c r="S23" s="137">
        <f>IF(SER_hh_tes_in!S23=0,"",SER_hh_tes_in!S23/SER_hh_fec_in!S23)</f>
        <v>0.78523902399175949</v>
      </c>
      <c r="T23" s="137">
        <f>IF(SER_hh_tes_in!T23=0,"",SER_hh_tes_in!T23/SER_hh_fec_in!T23)</f>
        <v>0.7978672649479388</v>
      </c>
      <c r="U23" s="137">
        <f>IF(SER_hh_tes_in!U23=0,"",SER_hh_tes_in!U23/SER_hh_fec_in!U23)</f>
        <v>0.80832599322733123</v>
      </c>
      <c r="V23" s="137">
        <f>IF(SER_hh_tes_in!V23=0,"",SER_hh_tes_in!V23/SER_hh_fec_in!V23)</f>
        <v>0.8161587392051064</v>
      </c>
      <c r="W23" s="137">
        <f>IF(SER_hh_tes_in!W23=0,"",SER_hh_tes_in!W23/SER_hh_fec_in!W23)</f>
        <v>0.8202013353504094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 t="str">
        <f>IF(SER_hh_tes_in!E25=0,"",SER_hh_tes_in!E25/SER_hh_fec_in!E25)</f>
        <v/>
      </c>
      <c r="F25" s="137">
        <f>IF(SER_hh_tes_in!F25=0,"",SER_hh_tes_in!F25/SER_hh_fec_in!F25)</f>
        <v>0.81814641152667855</v>
      </c>
      <c r="G25" s="137">
        <f>IF(SER_hh_tes_in!G25=0,"",SER_hh_tes_in!G25/SER_hh_fec_in!G25)</f>
        <v>0.8207441692703763</v>
      </c>
      <c r="H25" s="137">
        <f>IF(SER_hh_tes_in!H25=0,"",SER_hh_tes_in!H25/SER_hh_fec_in!H25)</f>
        <v>0.82339673656276768</v>
      </c>
      <c r="I25" s="137">
        <f>IF(SER_hh_tes_in!I25=0,"",SER_hh_tes_in!I25/SER_hh_fec_in!I25)</f>
        <v>0.82611695803427387</v>
      </c>
      <c r="J25" s="137">
        <f>IF(SER_hh_tes_in!J25=0,"",SER_hh_tes_in!J25/SER_hh_fec_in!J25)</f>
        <v>0.82895745360198481</v>
      </c>
      <c r="K25" s="137">
        <f>IF(SER_hh_tes_in!K25=0,"",SER_hh_tes_in!K25/SER_hh_fec_in!K25)</f>
        <v>0.83196296403611003</v>
      </c>
      <c r="L25" s="137">
        <f>IF(SER_hh_tes_in!L25=0,"",SER_hh_tes_in!L25/SER_hh_fec_in!L25)</f>
        <v>0.83514545932695916</v>
      </c>
      <c r="M25" s="137">
        <f>IF(SER_hh_tes_in!M25=0,"",SER_hh_tes_in!M25/SER_hh_fec_in!M25)</f>
        <v>0.83955202136299023</v>
      </c>
      <c r="N25" s="137">
        <f>IF(SER_hh_tes_in!N25=0,"",SER_hh_tes_in!N25/SER_hh_fec_in!N25)</f>
        <v>0.84551371116895058</v>
      </c>
      <c r="O25" s="137">
        <f>IF(SER_hh_tes_in!O25=0,"",SER_hh_tes_in!O25/SER_hh_fec_in!O25)</f>
        <v>0.85332074396169844</v>
      </c>
      <c r="P25" s="137">
        <f>IF(SER_hh_tes_in!P25=0,"",SER_hh_tes_in!P25/SER_hh_fec_in!P25)</f>
        <v>0.8624209640134054</v>
      </c>
      <c r="Q25" s="137">
        <f>IF(SER_hh_tes_in!Q25=0,"",SER_hh_tes_in!Q25/SER_hh_fec_in!Q25)</f>
        <v>0.87100681283577741</v>
      </c>
      <c r="R25" s="137">
        <f>IF(SER_hh_tes_in!R25=0,"",SER_hh_tes_in!R25/SER_hh_fec_in!R25)</f>
        <v>0.87758586222820867</v>
      </c>
      <c r="S25" s="137">
        <f>IF(SER_hh_tes_in!S25=0,"",SER_hh_tes_in!S25/SER_hh_fec_in!S25)</f>
        <v>0.88398617747851138</v>
      </c>
      <c r="T25" s="137">
        <f>IF(SER_hh_tes_in!T25=0,"",SER_hh_tes_in!T25/SER_hh_fec_in!T25)</f>
        <v>0.89016499442448127</v>
      </c>
      <c r="U25" s="137">
        <f>IF(SER_hh_tes_in!U25=0,"",SER_hh_tes_in!U25/SER_hh_fec_in!U25)</f>
        <v>0.89607954890393482</v>
      </c>
      <c r="V25" s="137">
        <f>IF(SER_hh_tes_in!V25=0,"",SER_hh_tes_in!V25/SER_hh_fec_in!V25)</f>
        <v>0.90168707675467963</v>
      </c>
      <c r="W25" s="137">
        <f>IF(SER_hh_tes_in!W25=0,"",SER_hh_tes_in!W25/SER_hh_fec_in!W25)</f>
        <v>0.9068526907290777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0.68753827487739461</v>
      </c>
      <c r="D26" s="138">
        <f>IF(SER_hh_tes_in!D26=0,"",SER_hh_tes_in!D26/SER_hh_fec_in!D26)</f>
        <v>0.6898101967792295</v>
      </c>
      <c r="E26" s="138">
        <f>IF(SER_hh_tes_in!E26=0,"",SER_hh_tes_in!E26/SER_hh_fec_in!E26)</f>
        <v>0.69225686160537525</v>
      </c>
      <c r="F26" s="138">
        <f>IF(SER_hh_tes_in!F26=0,"",SER_hh_tes_in!F26/SER_hh_fec_in!F26)</f>
        <v>0.69472702888201643</v>
      </c>
      <c r="G26" s="138">
        <f>IF(SER_hh_tes_in!G26=0,"",SER_hh_tes_in!G26/SER_hh_fec_in!G26)</f>
        <v>0.69735952480246732</v>
      </c>
      <c r="H26" s="138">
        <f>IF(SER_hh_tes_in!H26=0,"",SER_hh_tes_in!H26/SER_hh_fec_in!H26)</f>
        <v>0.700138788816973</v>
      </c>
      <c r="I26" s="138">
        <f>IF(SER_hh_tes_in!I26=0,"",SER_hh_tes_in!I26/SER_hh_fec_in!I26)</f>
        <v>0.70310097736840016</v>
      </c>
      <c r="J26" s="138">
        <f>IF(SER_hh_tes_in!J26=0,"",SER_hh_tes_in!J26/SER_hh_fec_in!J26)</f>
        <v>0.70639081892695232</v>
      </c>
      <c r="K26" s="138">
        <f>IF(SER_hh_tes_in!K26=0,"",SER_hh_tes_in!K26/SER_hh_fec_in!K26)</f>
        <v>0.71013657190595503</v>
      </c>
      <c r="L26" s="138">
        <f>IF(SER_hh_tes_in!L26=0,"",SER_hh_tes_in!L26/SER_hh_fec_in!L26)</f>
        <v>0.71438312511503677</v>
      </c>
      <c r="M26" s="138">
        <f>IF(SER_hh_tes_in!M26=0,"",SER_hh_tes_in!M26/SER_hh_fec_in!M26)</f>
        <v>0.72207296536262555</v>
      </c>
      <c r="N26" s="138">
        <f>IF(SER_hh_tes_in!N26=0,"",SER_hh_tes_in!N26/SER_hh_fec_in!N26)</f>
        <v>0.73449897714379286</v>
      </c>
      <c r="O26" s="138">
        <f>IF(SER_hh_tes_in!O26=0,"",SER_hh_tes_in!O26/SER_hh_fec_in!O26)</f>
        <v>0.7533191339967501</v>
      </c>
      <c r="P26" s="138">
        <f>IF(SER_hh_tes_in!P26=0,"",SER_hh_tes_in!P26/SER_hh_fec_in!P26)</f>
        <v>0.77780174211250364</v>
      </c>
      <c r="Q26" s="138">
        <f>IF(SER_hh_tes_in!Q26=0,"",SER_hh_tes_in!Q26/SER_hh_fec_in!Q26)</f>
        <v>0.80182506878325721</v>
      </c>
      <c r="R26" s="138">
        <f>IF(SER_hh_tes_in!R26=0,"",SER_hh_tes_in!R26/SER_hh_fec_in!R26)</f>
        <v>0.81904632687346213</v>
      </c>
      <c r="S26" s="138">
        <f>IF(SER_hh_tes_in!S26=0,"",SER_hh_tes_in!S26/SER_hh_fec_in!S26)</f>
        <v>0.83609780951161305</v>
      </c>
      <c r="T26" s="138">
        <f>IF(SER_hh_tes_in!T26=0,"",SER_hh_tes_in!T26/SER_hh_fec_in!T26)</f>
        <v>0.85262197878113599</v>
      </c>
      <c r="U26" s="138">
        <f>IF(SER_hh_tes_in!U26=0,"",SER_hh_tes_in!U26/SER_hh_fec_in!U26)</f>
        <v>0.86814431556350802</v>
      </c>
      <c r="V26" s="138">
        <f>IF(SER_hh_tes_in!V26=0,"",SER_hh_tes_in!V26/SER_hh_fec_in!V26)</f>
        <v>0.88193681252250156</v>
      </c>
      <c r="W26" s="138">
        <f>IF(SER_hh_tes_in!W26=0,"",SER_hh_tes_in!W26/SER_hh_fec_in!W26)</f>
        <v>0.89279417404121952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0.70768331185873901</v>
      </c>
      <c r="D29" s="136">
        <f>IF(SER_hh_tes_in!D29=0,"",SER_hh_tes_in!D29/SER_hh_fec_in!D29)</f>
        <v>0.78931639848119051</v>
      </c>
      <c r="E29" s="136">
        <f>IF(SER_hh_tes_in!E29=0,"",SER_hh_tes_in!E29/SER_hh_fec_in!E29)</f>
        <v>0.80212068101898604</v>
      </c>
      <c r="F29" s="136">
        <f>IF(SER_hh_tes_in!F29=0,"",SER_hh_tes_in!F29/SER_hh_fec_in!F29)</f>
        <v>0.7739071220660998</v>
      </c>
      <c r="G29" s="136">
        <f>IF(SER_hh_tes_in!G29=0,"",SER_hh_tes_in!G29/SER_hh_fec_in!G29)</f>
        <v>0.70234985961526708</v>
      </c>
      <c r="H29" s="136">
        <f>IF(SER_hh_tes_in!H29=0,"",SER_hh_tes_in!H29/SER_hh_fec_in!H29)</f>
        <v>0.69374925006490074</v>
      </c>
      <c r="I29" s="136">
        <f>IF(SER_hh_tes_in!I29=0,"",SER_hh_tes_in!I29/SER_hh_fec_in!I29)</f>
        <v>0.65477401413148706</v>
      </c>
      <c r="J29" s="136">
        <f>IF(SER_hh_tes_in!J29=0,"",SER_hh_tes_in!J29/SER_hh_fec_in!J29)</f>
        <v>0.67419697782383625</v>
      </c>
      <c r="K29" s="136">
        <f>IF(SER_hh_tes_in!K29=0,"",SER_hh_tes_in!K29/SER_hh_fec_in!K29)</f>
        <v>0.65920689192859461</v>
      </c>
      <c r="L29" s="136">
        <f>IF(SER_hh_tes_in!L29=0,"",SER_hh_tes_in!L29/SER_hh_fec_in!L29)</f>
        <v>0.67394847920505574</v>
      </c>
      <c r="M29" s="136">
        <f>IF(SER_hh_tes_in!M29=0,"",SER_hh_tes_in!M29/SER_hh_fec_in!M29)</f>
        <v>0.69712988829786671</v>
      </c>
      <c r="N29" s="136">
        <f>IF(SER_hh_tes_in!N29=0,"",SER_hh_tes_in!N29/SER_hh_fec_in!N29)</f>
        <v>0.70690895457275649</v>
      </c>
      <c r="O29" s="136">
        <f>IF(SER_hh_tes_in!O29=0,"",SER_hh_tes_in!O29/SER_hh_fec_in!O29)</f>
        <v>0.70982677516099457</v>
      </c>
      <c r="P29" s="136">
        <f>IF(SER_hh_tes_in!P29=0,"",SER_hh_tes_in!P29/SER_hh_fec_in!P29)</f>
        <v>0.68052564006055938</v>
      </c>
      <c r="Q29" s="136">
        <f>IF(SER_hh_tes_in!Q29=0,"",SER_hh_tes_in!Q29/SER_hh_fec_in!Q29)</f>
        <v>0.69460117425852386</v>
      </c>
      <c r="R29" s="136">
        <f>IF(SER_hh_tes_in!R29=0,"",SER_hh_tes_in!R29/SER_hh_fec_in!R29)</f>
        <v>0.69438359598296595</v>
      </c>
      <c r="S29" s="136">
        <f>IF(SER_hh_tes_in!S29=0,"",SER_hh_tes_in!S29/SER_hh_fec_in!S29)</f>
        <v>0.69317419717984474</v>
      </c>
      <c r="T29" s="136">
        <f>IF(SER_hh_tes_in!T29=0,"",SER_hh_tes_in!T29/SER_hh_fec_in!T29)</f>
        <v>0.69079427089159806</v>
      </c>
      <c r="U29" s="136">
        <f>IF(SER_hh_tes_in!U29=0,"",SER_hh_tes_in!U29/SER_hh_fec_in!U29)</f>
        <v>0.67702324756894461</v>
      </c>
      <c r="V29" s="136">
        <f>IF(SER_hh_tes_in!V29=0,"",SER_hh_tes_in!V29/SER_hh_fec_in!V29)</f>
        <v>0.66883859805829793</v>
      </c>
      <c r="W29" s="136">
        <f>IF(SER_hh_tes_in!W29=0,"",SER_hh_tes_in!W29/SER_hh_fec_in!W29)</f>
        <v>0.70222229874233488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0.62155312321297562</v>
      </c>
      <c r="D30" s="137">
        <f>IF(SER_hh_tes_in!D30=0,"",SER_hh_tes_in!D30/SER_hh_fec_in!D30)</f>
        <v>0.62171438899762055</v>
      </c>
      <c r="E30" s="137">
        <f>IF(SER_hh_tes_in!E30=0,"",SER_hh_tes_in!E30/SER_hh_fec_in!E30)</f>
        <v>0.62187338044323692</v>
      </c>
      <c r="F30" s="137">
        <f>IF(SER_hh_tes_in!F30=0,"",SER_hh_tes_in!F30/SER_hh_fec_in!F30)</f>
        <v>0.62203206175171299</v>
      </c>
      <c r="G30" s="137">
        <f>IF(SER_hh_tes_in!G30=0,"",SER_hh_tes_in!G30/SER_hh_fec_in!G30)</f>
        <v>0.62218864852771816</v>
      </c>
      <c r="H30" s="137">
        <f>IF(SER_hh_tes_in!H30=0,"",SER_hh_tes_in!H30/SER_hh_fec_in!H30)</f>
        <v>0.62234335915852423</v>
      </c>
      <c r="I30" s="137">
        <f>IF(SER_hh_tes_in!I30=0,"",SER_hh_tes_in!I30/SER_hh_fec_in!I30)</f>
        <v>0.62249575396906986</v>
      </c>
      <c r="J30" s="137">
        <f>IF(SER_hh_tes_in!J30=0,"",SER_hh_tes_in!J30/SER_hh_fec_in!J30)</f>
        <v>0.62264403176581873</v>
      </c>
      <c r="K30" s="137">
        <f>IF(SER_hh_tes_in!K30=0,"",SER_hh_tes_in!K30/SER_hh_fec_in!K30)</f>
        <v>0.62278666106049496</v>
      </c>
      <c r="L30" s="137">
        <f>IF(SER_hh_tes_in!L30=0,"",SER_hh_tes_in!L30/SER_hh_fec_in!L30)</f>
        <v>0.62292323211719691</v>
      </c>
      <c r="M30" s="137">
        <f>IF(SER_hh_tes_in!M30=0,"",SER_hh_tes_in!M30/SER_hh_fec_in!M30)</f>
        <v>0.62299672542734796</v>
      </c>
      <c r="N30" s="137">
        <f>IF(SER_hh_tes_in!N30=0,"",SER_hh_tes_in!N30/SER_hh_fec_in!N30)</f>
        <v>0.62299672542734796</v>
      </c>
      <c r="O30" s="137">
        <f>IF(SER_hh_tes_in!O30=0,"",SER_hh_tes_in!O30/SER_hh_fec_in!O30)</f>
        <v>0.62299672542734796</v>
      </c>
      <c r="P30" s="137">
        <f>IF(SER_hh_tes_in!P30=0,"",SER_hh_tes_in!P30/SER_hh_fec_in!P30)</f>
        <v>0.62299672542734796</v>
      </c>
      <c r="Q30" s="137">
        <f>IF(SER_hh_tes_in!Q30=0,"",SER_hh_tes_in!Q30/SER_hh_fec_in!Q30)</f>
        <v>0.62299672542734796</v>
      </c>
      <c r="R30" s="137">
        <f>IF(SER_hh_tes_in!R30=0,"",SER_hh_tes_in!R30/SER_hh_fec_in!R30)</f>
        <v>0.6234610340010297</v>
      </c>
      <c r="S30" s="137">
        <f>IF(SER_hh_tes_in!S30=0,"",SER_hh_tes_in!S30/SER_hh_fec_in!S30)</f>
        <v>0.62422028371938265</v>
      </c>
      <c r="T30" s="137">
        <f>IF(SER_hh_tes_in!T30=0,"",SER_hh_tes_in!T30/SER_hh_fec_in!T30)</f>
        <v>0.6251060750574603</v>
      </c>
      <c r="U30" s="137">
        <f>IF(SER_hh_tes_in!U30=0,"",SER_hh_tes_in!U30/SER_hh_fec_in!U30)</f>
        <v>0.62602350180046962</v>
      </c>
      <c r="V30" s="137">
        <f>IF(SER_hh_tes_in!V30=0,"",SER_hh_tes_in!V30/SER_hh_fec_in!V30)</f>
        <v>0.62687765773361614</v>
      </c>
      <c r="W30" s="137">
        <f>IF(SER_hh_tes_in!W30=0,"",SER_hh_tes_in!W30/SER_hh_fec_in!W30)</f>
        <v>0.62766854285689966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0.63123180827836356</v>
      </c>
      <c r="D31" s="137">
        <f>IF(SER_hh_tes_in!D31=0,"",SER_hh_tes_in!D31/SER_hh_fec_in!D31)</f>
        <v>0.63139558525743922</v>
      </c>
      <c r="E31" s="137">
        <f>IF(SER_hh_tes_in!E31=0,"",SER_hh_tes_in!E31/SER_hh_fec_in!E31)</f>
        <v>0.63155705248199179</v>
      </c>
      <c r="F31" s="137">
        <f>IF(SER_hh_tes_in!F31=0,"",SER_hh_tes_in!F31/SER_hh_fec_in!F31)</f>
        <v>0.6317182047400185</v>
      </c>
      <c r="G31" s="137">
        <f>IF(SER_hh_tes_in!G31=0,"",SER_hh_tes_in!G31/SER_hh_fec_in!G31)</f>
        <v>0.63187722984998695</v>
      </c>
      <c r="H31" s="137">
        <f>IF(SER_hh_tes_in!H31=0,"",SER_hh_tes_in!H31/SER_hh_fec_in!H31)</f>
        <v>0.63203434959984661</v>
      </c>
      <c r="I31" s="137">
        <f>IF(SER_hh_tes_in!I31=0,"",SER_hh_tes_in!I31/SER_hh_fec_in!I31)</f>
        <v>0.63218911746801465</v>
      </c>
      <c r="J31" s="137">
        <f>IF(SER_hh_tes_in!J31=0,"",SER_hh_tes_in!J31/SER_hh_fec_in!J31)</f>
        <v>0.63233970421317576</v>
      </c>
      <c r="K31" s="137">
        <f>IF(SER_hh_tes_in!K31=0,"",SER_hh_tes_in!K31/SER_hh_fec_in!K31)</f>
        <v>0.63248455449906371</v>
      </c>
      <c r="L31" s="137">
        <f>IF(SER_hh_tes_in!L31=0,"",SER_hh_tes_in!L31/SER_hh_fec_in!L31)</f>
        <v>0.63262325220946181</v>
      </c>
      <c r="M31" s="137">
        <f>IF(SER_hh_tes_in!M31=0,"",SER_hh_tes_in!M31/SER_hh_fec_in!M31)</f>
        <v>0.63269788994086473</v>
      </c>
      <c r="N31" s="137">
        <f>IF(SER_hh_tes_in!N31=0,"",SER_hh_tes_in!N31/SER_hh_fec_in!N31)</f>
        <v>0.63269788994086473</v>
      </c>
      <c r="O31" s="137">
        <f>IF(SER_hh_tes_in!O31=0,"",SER_hh_tes_in!O31/SER_hh_fec_in!O31)</f>
        <v>0.63269788994086473</v>
      </c>
      <c r="P31" s="137">
        <f>IF(SER_hh_tes_in!P31=0,"",SER_hh_tes_in!P31/SER_hh_fec_in!P31)</f>
        <v>0.63269788994086473</v>
      </c>
      <c r="Q31" s="137">
        <f>IF(SER_hh_tes_in!Q31=0,"",SER_hh_tes_in!Q31/SER_hh_fec_in!Q31)</f>
        <v>0.63269788994086473</v>
      </c>
      <c r="R31" s="137">
        <f>IF(SER_hh_tes_in!R31=0,"",SER_hh_tes_in!R31/SER_hh_fec_in!R31)</f>
        <v>0.63316942862294756</v>
      </c>
      <c r="S31" s="137">
        <f>IF(SER_hh_tes_in!S31=0,"",SER_hh_tes_in!S31/SER_hh_fec_in!S31)</f>
        <v>0.63394050120669276</v>
      </c>
      <c r="T31" s="137">
        <f>IF(SER_hh_tes_in!T31=0,"",SER_hh_tes_in!T31/SER_hh_fec_in!T31)</f>
        <v>0.63484008588772822</v>
      </c>
      <c r="U31" s="137">
        <f>IF(SER_hh_tes_in!U31=0,"",SER_hh_tes_in!U31/SER_hh_fec_in!U31)</f>
        <v>0.63577179859308652</v>
      </c>
      <c r="V31" s="137">
        <f>IF(SER_hh_tes_in!V31=0,"",SER_hh_tes_in!V31/SER_hh_fec_in!V31)</f>
        <v>0.63663925524979936</v>
      </c>
      <c r="W31" s="137">
        <f>IF(SER_hh_tes_in!W31=0,"",SER_hh_tes_in!W31/SER_hh_fec_in!W31)</f>
        <v>0.63744245585786641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0.83744725229973938</v>
      </c>
      <c r="D33" s="150">
        <f>IF(SER_hh_tes_in!D33=0,"",SER_hh_tes_in!D33/SER_hh_fec_in!D33)</f>
        <v>0.83850300150238055</v>
      </c>
      <c r="E33" s="150">
        <f>IF(SER_hh_tes_in!E33=0,"",SER_hh_tes_in!E33/SER_hh_fec_in!E33)</f>
        <v>0.83959778975159283</v>
      </c>
      <c r="F33" s="150">
        <f>IF(SER_hh_tes_in!F33=0,"",SER_hh_tes_in!F33/SER_hh_fec_in!F33)</f>
        <v>0.84069790150715573</v>
      </c>
      <c r="G33" s="150">
        <f>IF(SER_hh_tes_in!G33=0,"",SER_hh_tes_in!G33/SER_hh_fec_in!G33)</f>
        <v>0.84183396592837101</v>
      </c>
      <c r="H33" s="150">
        <f>IF(SER_hh_tes_in!H33=0,"",SER_hh_tes_in!H33/SER_hh_fec_in!H33)</f>
        <v>0.84300223439607136</v>
      </c>
      <c r="I33" s="150">
        <f>IF(SER_hh_tes_in!I33=0,"",SER_hh_tes_in!I33/SER_hh_fec_in!I33)</f>
        <v>0.84421025393600369</v>
      </c>
      <c r="J33" s="150">
        <f>IF(SER_hh_tes_in!J33=0,"",SER_hh_tes_in!J33/SER_hh_fec_in!J33)</f>
        <v>0.8454889420487931</v>
      </c>
      <c r="K33" s="150">
        <f>IF(SER_hh_tes_in!K33=0,"",SER_hh_tes_in!K33/SER_hh_fec_in!K33)</f>
        <v>0.8468645867422403</v>
      </c>
      <c r="L33" s="150">
        <f>IF(SER_hh_tes_in!L33=0,"",SER_hh_tes_in!L33/SER_hh_fec_in!L33)</f>
        <v>0.84834422113618579</v>
      </c>
      <c r="M33" s="150">
        <f>IF(SER_hh_tes_in!M33=0,"",SER_hh_tes_in!M33/SER_hh_fec_in!M33)</f>
        <v>0.85035731147695293</v>
      </c>
      <c r="N33" s="150">
        <f>IF(SER_hh_tes_in!N33=0,"",SER_hh_tes_in!N33/SER_hh_fec_in!N33)</f>
        <v>0.85302563450568203</v>
      </c>
      <c r="O33" s="150">
        <f>IF(SER_hh_tes_in!O33=0,"",SER_hh_tes_in!O33/SER_hh_fec_in!O33)</f>
        <v>0.85664528783233695</v>
      </c>
      <c r="P33" s="150">
        <f>IF(SER_hh_tes_in!P33=0,"",SER_hh_tes_in!P33/SER_hh_fec_in!P33)</f>
        <v>0.86137178459411734</v>
      </c>
      <c r="Q33" s="150">
        <f>IF(SER_hh_tes_in!Q33=0,"",SER_hh_tes_in!Q33/SER_hh_fec_in!Q33)</f>
        <v>0.867463609195126</v>
      </c>
      <c r="R33" s="150">
        <f>IF(SER_hh_tes_in!R33=0,"",SER_hh_tes_in!R33/SER_hh_fec_in!R33)</f>
        <v>0.87575059723707116</v>
      </c>
      <c r="S33" s="150">
        <f>IF(SER_hh_tes_in!S33=0,"",SER_hh_tes_in!S33/SER_hh_fec_in!S33)</f>
        <v>0.88609353340930852</v>
      </c>
      <c r="T33" s="150">
        <f>IF(SER_hh_tes_in!T33=0,"",SER_hh_tes_in!T33/SER_hh_fec_in!T33)</f>
        <v>0.8972138672413057</v>
      </c>
      <c r="U33" s="150">
        <f>IF(SER_hh_tes_in!U33=0,"",SER_hh_tes_in!U33/SER_hh_fec_in!U33)</f>
        <v>0.90783304826256195</v>
      </c>
      <c r="V33" s="150">
        <f>IF(SER_hh_tes_in!V33=0,"",SER_hh_tes_in!V33/SER_hh_fec_in!V33)</f>
        <v>0.91667252600256222</v>
      </c>
      <c r="W33" s="150">
        <f>IF(SER_hh_tes_in!W33=0,"",SER_hh_tes_in!W33/SER_hh_fec_in!W33)</f>
        <v>0.92328318691646583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274.88999117729111</v>
      </c>
      <c r="D3" s="126">
        <f t="shared" si="0"/>
        <v>241.66276176591006</v>
      </c>
      <c r="E3" s="126">
        <f t="shared" si="0"/>
        <v>240.41363774339828</v>
      </c>
      <c r="F3" s="126">
        <f t="shared" si="0"/>
        <v>142.8661723121206</v>
      </c>
      <c r="G3" s="126">
        <f t="shared" si="0"/>
        <v>149.86843009718308</v>
      </c>
      <c r="H3" s="126">
        <f t="shared" si="0"/>
        <v>427.99807074273389</v>
      </c>
      <c r="I3" s="126">
        <f t="shared" si="0"/>
        <v>355.39138973738505</v>
      </c>
      <c r="J3" s="126">
        <f t="shared" si="0"/>
        <v>186.39963262901847</v>
      </c>
      <c r="K3" s="126">
        <f t="shared" si="0"/>
        <v>68.647119902699558</v>
      </c>
      <c r="L3" s="126">
        <f t="shared" si="0"/>
        <v>139.93693544250675</v>
      </c>
      <c r="M3" s="126">
        <f t="shared" si="0"/>
        <v>112.5924569808372</v>
      </c>
      <c r="N3" s="126">
        <f t="shared" si="0"/>
        <v>70.15979489369488</v>
      </c>
      <c r="O3" s="126">
        <f t="shared" si="0"/>
        <v>26.53677110869782</v>
      </c>
      <c r="P3" s="126">
        <f t="shared" si="0"/>
        <v>77.751466540913597</v>
      </c>
      <c r="Q3" s="126">
        <f t="shared" si="0"/>
        <v>36.474272102619537</v>
      </c>
      <c r="R3" s="126">
        <f t="shared" ref="R3:W3" si="1">SUM(R4,R16,R19,R29)</f>
        <v>37.265532141233763</v>
      </c>
      <c r="S3" s="126">
        <f t="shared" si="1"/>
        <v>159.44819955190783</v>
      </c>
      <c r="T3" s="126">
        <f t="shared" si="1"/>
        <v>144.99966874112789</v>
      </c>
      <c r="U3" s="126">
        <f t="shared" si="1"/>
        <v>119.59419882383335</v>
      </c>
      <c r="V3" s="126">
        <f t="shared" si="1"/>
        <v>90.685642502674824</v>
      </c>
      <c r="W3" s="126">
        <f t="shared" si="1"/>
        <v>65.978473581806099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206.45870081872431</v>
      </c>
      <c r="D4" s="131">
        <f t="shared" si="2"/>
        <v>199.42410510874302</v>
      </c>
      <c r="E4" s="131">
        <f t="shared" si="2"/>
        <v>208.52567897382951</v>
      </c>
      <c r="F4" s="131">
        <f t="shared" si="2"/>
        <v>113.29730958561603</v>
      </c>
      <c r="G4" s="131">
        <f t="shared" si="2"/>
        <v>112.3663289248242</v>
      </c>
      <c r="H4" s="131">
        <f t="shared" si="2"/>
        <v>321.76438383481252</v>
      </c>
      <c r="I4" s="131">
        <f t="shared" si="2"/>
        <v>244.35980279673575</v>
      </c>
      <c r="J4" s="131">
        <f t="shared" si="2"/>
        <v>140.6530778572928</v>
      </c>
      <c r="K4" s="131">
        <f t="shared" si="2"/>
        <v>46.898459912467736</v>
      </c>
      <c r="L4" s="131">
        <f t="shared" si="2"/>
        <v>93.093008486903045</v>
      </c>
      <c r="M4" s="131">
        <f t="shared" si="2"/>
        <v>57.48021080310577</v>
      </c>
      <c r="N4" s="131">
        <f t="shared" si="2"/>
        <v>35.799704045193714</v>
      </c>
      <c r="O4" s="131">
        <f t="shared" si="2"/>
        <v>8.7356747285891903</v>
      </c>
      <c r="P4" s="131">
        <f t="shared" si="2"/>
        <v>3.6174423843600154</v>
      </c>
      <c r="Q4" s="131">
        <f t="shared" si="2"/>
        <v>1.8248577329952487</v>
      </c>
      <c r="R4" s="131">
        <f t="shared" ref="R4:W4" si="3">SUM(R5:R15)</f>
        <v>9.8758491149748586</v>
      </c>
      <c r="S4" s="131">
        <f t="shared" si="3"/>
        <v>110.43308789903888</v>
      </c>
      <c r="T4" s="131">
        <f t="shared" si="3"/>
        <v>105.03770544086956</v>
      </c>
      <c r="U4" s="131">
        <f t="shared" si="3"/>
        <v>80.03047628327451</v>
      </c>
      <c r="V4" s="131">
        <f t="shared" si="3"/>
        <v>57.69681091525662</v>
      </c>
      <c r="W4" s="131">
        <f t="shared" si="3"/>
        <v>36.570052449005615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7.9220331706165368</v>
      </c>
      <c r="D6" s="133">
        <v>8.89244186597716</v>
      </c>
      <c r="E6" s="133">
        <v>8.5788517083806273</v>
      </c>
      <c r="F6" s="133">
        <v>3.683892639844633</v>
      </c>
      <c r="G6" s="133">
        <v>2.3076179923945705</v>
      </c>
      <c r="H6" s="133">
        <v>5.3175381421377255</v>
      </c>
      <c r="I6" s="133">
        <v>8.2278460307600874</v>
      </c>
      <c r="J6" s="133">
        <v>6.3428666086050081</v>
      </c>
      <c r="K6" s="133">
        <v>3.2304920181303705</v>
      </c>
      <c r="L6" s="133">
        <v>6.0773219024161529</v>
      </c>
      <c r="M6" s="133">
        <v>4.3648963928343667</v>
      </c>
      <c r="N6" s="133">
        <v>1.0534593604421008</v>
      </c>
      <c r="O6" s="133">
        <v>0.67861746551041491</v>
      </c>
      <c r="P6" s="133">
        <v>0</v>
      </c>
      <c r="Q6" s="133">
        <v>0</v>
      </c>
      <c r="R6" s="133">
        <v>0</v>
      </c>
      <c r="S6" s="133">
        <v>1.9587460193594477</v>
      </c>
      <c r="T6" s="133">
        <v>2.1867660588879736</v>
      </c>
      <c r="U6" s="133">
        <v>2.4171716830018726</v>
      </c>
      <c r="V6" s="133">
        <v>2.3338749772477803</v>
      </c>
      <c r="W6" s="133">
        <v>2.1779135495326818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13.36210071989021</v>
      </c>
      <c r="D7" s="133">
        <v>22.230000512731163</v>
      </c>
      <c r="E7" s="133">
        <v>29.223259213520119</v>
      </c>
      <c r="F7" s="133">
        <v>16.753831130498785</v>
      </c>
      <c r="G7" s="133">
        <v>9.0463456670062961</v>
      </c>
      <c r="H7" s="133">
        <v>16.486137315268309</v>
      </c>
      <c r="I7" s="133">
        <v>1.7031890715951221</v>
      </c>
      <c r="J7" s="133">
        <v>0</v>
      </c>
      <c r="K7" s="133">
        <v>0</v>
      </c>
      <c r="L7" s="133">
        <v>0</v>
      </c>
      <c r="M7" s="133">
        <v>0</v>
      </c>
      <c r="N7" s="133">
        <v>2.5882621588474013</v>
      </c>
      <c r="O7" s="133">
        <v>0.80049407878250156</v>
      </c>
      <c r="P7" s="133">
        <v>1.7908721085373418</v>
      </c>
      <c r="Q7" s="133">
        <v>1.1575145982994863</v>
      </c>
      <c r="R7" s="133">
        <v>2.7114513848562849</v>
      </c>
      <c r="S7" s="133">
        <v>0.75111513656033224</v>
      </c>
      <c r="T7" s="133">
        <v>3.3135434529360848</v>
      </c>
      <c r="U7" s="133">
        <v>2.2272761665974459</v>
      </c>
      <c r="V7" s="133">
        <v>1.3415774309540431</v>
      </c>
      <c r="W7" s="133">
        <v>1.2639308133757634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0.27517454338881797</v>
      </c>
      <c r="D8" s="133">
        <v>0.3540429076790268</v>
      </c>
      <c r="E8" s="133">
        <v>0.27123491964192975</v>
      </c>
      <c r="F8" s="133">
        <v>0.17611362793897486</v>
      </c>
      <c r="G8" s="133">
        <v>0.137147828857031</v>
      </c>
      <c r="H8" s="133">
        <v>0.39565526782281596</v>
      </c>
      <c r="I8" s="133">
        <v>0.41433881492226604</v>
      </c>
      <c r="J8" s="133">
        <v>0.17949309073256678</v>
      </c>
      <c r="K8" s="133">
        <v>0.1224772317875731</v>
      </c>
      <c r="L8" s="133">
        <v>0.35873919905754481</v>
      </c>
      <c r="M8" s="133">
        <v>0.64452077742942226</v>
      </c>
      <c r="N8" s="133">
        <v>0.52282426480364541</v>
      </c>
      <c r="O8" s="133">
        <v>0.40256594098999959</v>
      </c>
      <c r="P8" s="133">
        <v>1.8265702758226736</v>
      </c>
      <c r="Q8" s="133">
        <v>0.66734313469576223</v>
      </c>
      <c r="R8" s="133">
        <v>0.36880385311846975</v>
      </c>
      <c r="S8" s="133">
        <v>0.30699004792845602</v>
      </c>
      <c r="T8" s="133">
        <v>0.39682628631974254</v>
      </c>
      <c r="U8" s="133">
        <v>0.66999152409954299</v>
      </c>
      <c r="V8" s="133">
        <v>0.72835208431249465</v>
      </c>
      <c r="W8" s="133">
        <v>0.5246235828857948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184.89939238482876</v>
      </c>
      <c r="D9" s="133">
        <v>167.94761982235568</v>
      </c>
      <c r="E9" s="133">
        <v>170.45233313228684</v>
      </c>
      <c r="F9" s="133">
        <v>92.683472187333649</v>
      </c>
      <c r="G9" s="133">
        <v>100.8752174365663</v>
      </c>
      <c r="H9" s="133">
        <v>299.56505310958369</v>
      </c>
      <c r="I9" s="133">
        <v>234.01442887945828</v>
      </c>
      <c r="J9" s="133">
        <v>134.13071815795522</v>
      </c>
      <c r="K9" s="133">
        <v>43.545490662549796</v>
      </c>
      <c r="L9" s="133">
        <v>86.656947385429348</v>
      </c>
      <c r="M9" s="133">
        <v>52.470793632841982</v>
      </c>
      <c r="N9" s="133">
        <v>31.635158261100564</v>
      </c>
      <c r="O9" s="133">
        <v>6.8539972433062735</v>
      </c>
      <c r="P9" s="133">
        <v>0</v>
      </c>
      <c r="Q9" s="133">
        <v>0</v>
      </c>
      <c r="R9" s="133">
        <v>6.7955938770001048</v>
      </c>
      <c r="S9" s="133">
        <v>107.41623669519065</v>
      </c>
      <c r="T9" s="133">
        <v>99.140569642725751</v>
      </c>
      <c r="U9" s="133">
        <v>74.716036909575649</v>
      </c>
      <c r="V9" s="133">
        <v>53.293006422742302</v>
      </c>
      <c r="W9" s="133">
        <v>32.603584503211373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0.30973594223854251</v>
      </c>
      <c r="D16" s="131">
        <f t="shared" si="4"/>
        <v>8.2325738110138144E-2</v>
      </c>
      <c r="E16" s="131">
        <f t="shared" si="4"/>
        <v>0.46684452267006055</v>
      </c>
      <c r="F16" s="131">
        <f t="shared" si="4"/>
        <v>0.17319070457582147</v>
      </c>
      <c r="G16" s="131">
        <f t="shared" si="4"/>
        <v>8.9719262514571019E-2</v>
      </c>
      <c r="H16" s="131">
        <f t="shared" si="4"/>
        <v>0.4186027896285745</v>
      </c>
      <c r="I16" s="131">
        <f t="shared" si="4"/>
        <v>0.31544454503384822</v>
      </c>
      <c r="J16" s="131">
        <f t="shared" si="4"/>
        <v>0.21184634695288637</v>
      </c>
      <c r="K16" s="131">
        <f t="shared" si="4"/>
        <v>0.15882532672109187</v>
      </c>
      <c r="L16" s="131">
        <f t="shared" si="4"/>
        <v>0.25526780400586574</v>
      </c>
      <c r="M16" s="131">
        <f t="shared" si="4"/>
        <v>0.29051497711475865</v>
      </c>
      <c r="N16" s="131">
        <f t="shared" si="4"/>
        <v>0.28682694087045296</v>
      </c>
      <c r="O16" s="131">
        <f t="shared" si="4"/>
        <v>0.13297222248292784</v>
      </c>
      <c r="P16" s="131">
        <f t="shared" si="4"/>
        <v>0.41612087728692149</v>
      </c>
      <c r="Q16" s="131">
        <f t="shared" si="4"/>
        <v>0.30468143373456003</v>
      </c>
      <c r="R16" s="131">
        <f t="shared" ref="R16:W16" si="5">SUM(R17:R18)</f>
        <v>0.18363739451143965</v>
      </c>
      <c r="S16" s="131">
        <f t="shared" si="5"/>
        <v>0.37317594035413981</v>
      </c>
      <c r="T16" s="131">
        <f t="shared" si="5"/>
        <v>0.23245526619350446</v>
      </c>
      <c r="U16" s="131">
        <f t="shared" si="5"/>
        <v>0.28434604647383427</v>
      </c>
      <c r="V16" s="131">
        <f t="shared" si="5"/>
        <v>0.22761837117136674</v>
      </c>
      <c r="W16" s="131">
        <f t="shared" si="5"/>
        <v>0.13406397157996203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0.30973594223854251</v>
      </c>
      <c r="D17" s="133">
        <v>8.2325738110138144E-2</v>
      </c>
      <c r="E17" s="133">
        <v>0.46684452267006055</v>
      </c>
      <c r="F17" s="133">
        <v>0.17319070457582147</v>
      </c>
      <c r="G17" s="133">
        <v>8.9719262514571019E-2</v>
      </c>
      <c r="H17" s="133">
        <v>0.4186027896285745</v>
      </c>
      <c r="I17" s="133">
        <v>0.31544454503384822</v>
      </c>
      <c r="J17" s="133">
        <v>0.21184634695288637</v>
      </c>
      <c r="K17" s="133">
        <v>0.15882532672109187</v>
      </c>
      <c r="L17" s="133">
        <v>0.25526780400586574</v>
      </c>
      <c r="M17" s="133">
        <v>0.29051497711475865</v>
      </c>
      <c r="N17" s="133">
        <v>0.28682694087045296</v>
      </c>
      <c r="O17" s="133">
        <v>0.13297222248292784</v>
      </c>
      <c r="P17" s="133">
        <v>0.41612087728692149</v>
      </c>
      <c r="Q17" s="133">
        <v>0.30468143373456003</v>
      </c>
      <c r="R17" s="133">
        <v>0.18363739451143965</v>
      </c>
      <c r="S17" s="133">
        <v>0.37317594035413981</v>
      </c>
      <c r="T17" s="133">
        <v>0.23245526619350446</v>
      </c>
      <c r="U17" s="133">
        <v>0.28434604647383427</v>
      </c>
      <c r="V17" s="133">
        <v>0.22761837117136674</v>
      </c>
      <c r="W17" s="133">
        <v>0.13406397157996203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27.600899361954799</v>
      </c>
      <c r="D19" s="131">
        <f t="shared" si="6"/>
        <v>27.892956708077101</v>
      </c>
      <c r="E19" s="131">
        <f t="shared" si="6"/>
        <v>22.602595719216602</v>
      </c>
      <c r="F19" s="131">
        <f t="shared" si="6"/>
        <v>17.580038479266488</v>
      </c>
      <c r="G19" s="131">
        <f t="shared" si="6"/>
        <v>16.044741787457934</v>
      </c>
      <c r="H19" s="131">
        <f t="shared" si="6"/>
        <v>39.199062288189154</v>
      </c>
      <c r="I19" s="131">
        <f t="shared" si="6"/>
        <v>31.760346897249928</v>
      </c>
      <c r="J19" s="131">
        <f t="shared" si="6"/>
        <v>15.745187067026309</v>
      </c>
      <c r="K19" s="131">
        <f t="shared" si="6"/>
        <v>6.525387084055482</v>
      </c>
      <c r="L19" s="131">
        <f t="shared" si="6"/>
        <v>14.528719897898455</v>
      </c>
      <c r="M19" s="131">
        <f t="shared" si="6"/>
        <v>20.372329130226845</v>
      </c>
      <c r="N19" s="131">
        <f t="shared" si="6"/>
        <v>13.514898308401724</v>
      </c>
      <c r="O19" s="131">
        <f t="shared" si="6"/>
        <v>6.8318753329767974</v>
      </c>
      <c r="P19" s="131">
        <f t="shared" si="6"/>
        <v>18.042396853876419</v>
      </c>
      <c r="Q19" s="131">
        <f t="shared" si="6"/>
        <v>11.14865946189493</v>
      </c>
      <c r="R19" s="131">
        <f t="shared" ref="R19:W19" si="7">SUM(R20:R27)</f>
        <v>9.957779088586765</v>
      </c>
      <c r="S19" s="131">
        <f t="shared" si="7"/>
        <v>16.613903843742506</v>
      </c>
      <c r="T19" s="131">
        <f t="shared" si="7"/>
        <v>11.216883953090965</v>
      </c>
      <c r="U19" s="131">
        <f t="shared" si="7"/>
        <v>10.431327714075328</v>
      </c>
      <c r="V19" s="131">
        <f t="shared" si="7"/>
        <v>7.9356702346594084</v>
      </c>
      <c r="W19" s="131">
        <f t="shared" si="7"/>
        <v>7.9379841810479475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2.3089014668208909</v>
      </c>
      <c r="D21" s="133">
        <v>0.94557796636096392</v>
      </c>
      <c r="E21" s="133">
        <v>1.1508919671502404</v>
      </c>
      <c r="F21" s="133">
        <v>1.3428824122600611</v>
      </c>
      <c r="G21" s="133">
        <v>1.2937882737754205</v>
      </c>
      <c r="H21" s="133">
        <v>2.8705976395592652</v>
      </c>
      <c r="I21" s="133">
        <v>1.3286458400580055</v>
      </c>
      <c r="J21" s="133">
        <v>0.78062462592851978</v>
      </c>
      <c r="K21" s="133">
        <v>0.27952543101834409</v>
      </c>
      <c r="L21" s="133">
        <v>0.69241962796123269</v>
      </c>
      <c r="M21" s="133">
        <v>0.95386241536781891</v>
      </c>
      <c r="N21" s="133">
        <v>0.38877676637827652</v>
      </c>
      <c r="O21" s="133">
        <v>0.19130668910722509</v>
      </c>
      <c r="P21" s="133">
        <v>0</v>
      </c>
      <c r="Q21" s="133">
        <v>0</v>
      </c>
      <c r="R21" s="133">
        <v>0.27455902202781279</v>
      </c>
      <c r="S21" s="133">
        <v>0.86120433494384607</v>
      </c>
      <c r="T21" s="133">
        <v>0.59863113934008361</v>
      </c>
      <c r="U21" s="133">
        <v>0.55545679756718691</v>
      </c>
      <c r="V21" s="133">
        <v>0.43238675656452757</v>
      </c>
      <c r="W21" s="133">
        <v>0.36682731027607746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0.40468874713307407</v>
      </c>
      <c r="D22" s="133">
        <v>0</v>
      </c>
      <c r="E22" s="133">
        <v>0</v>
      </c>
      <c r="F22" s="133">
        <v>0</v>
      </c>
      <c r="G22" s="133">
        <v>0.51607784368725074</v>
      </c>
      <c r="H22" s="133">
        <v>3.6111847906917811</v>
      </c>
      <c r="I22" s="133">
        <v>2.7857450123637286</v>
      </c>
      <c r="J22" s="133">
        <v>1.1973729814364742</v>
      </c>
      <c r="K22" s="133">
        <v>0.32055630821364506</v>
      </c>
      <c r="L22" s="133">
        <v>0.91139421177525648</v>
      </c>
      <c r="M22" s="133">
        <v>1.7916233353814235</v>
      </c>
      <c r="N22" s="133">
        <v>1.3768443546988147</v>
      </c>
      <c r="O22" s="133">
        <v>0.68293838343494473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0.22192724199706787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24.887309148000835</v>
      </c>
      <c r="D23" s="133">
        <v>26.947378741716136</v>
      </c>
      <c r="E23" s="133">
        <v>21.451703752066361</v>
      </c>
      <c r="F23" s="133">
        <v>16.237156067006428</v>
      </c>
      <c r="G23" s="133">
        <v>14.234875669995262</v>
      </c>
      <c r="H23" s="133">
        <v>32.717279857938109</v>
      </c>
      <c r="I23" s="133">
        <v>27.645956044828193</v>
      </c>
      <c r="J23" s="133">
        <v>13.767189459661315</v>
      </c>
      <c r="K23" s="133">
        <v>5.9253053448234931</v>
      </c>
      <c r="L23" s="133">
        <v>12.924906058161966</v>
      </c>
      <c r="M23" s="133">
        <v>17.626843379477602</v>
      </c>
      <c r="N23" s="133">
        <v>11.749277187324633</v>
      </c>
      <c r="O23" s="133">
        <v>5.9576302604346276</v>
      </c>
      <c r="P23" s="133">
        <v>18.042396853876419</v>
      </c>
      <c r="Q23" s="133">
        <v>11.14865946189493</v>
      </c>
      <c r="R23" s="133">
        <v>9.6832200665589525</v>
      </c>
      <c r="S23" s="133">
        <v>15.752699508798658</v>
      </c>
      <c r="T23" s="133">
        <v>10.618252813750882</v>
      </c>
      <c r="U23" s="133">
        <v>9.8758709165081413</v>
      </c>
      <c r="V23" s="133">
        <v>7.5032834780948807</v>
      </c>
      <c r="W23" s="133">
        <v>7.3492296287748022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40.520655054373478</v>
      </c>
      <c r="D29" s="131">
        <f t="shared" si="8"/>
        <v>14.263374210979805</v>
      </c>
      <c r="E29" s="131">
        <f t="shared" si="8"/>
        <v>8.8185185276820892</v>
      </c>
      <c r="F29" s="131">
        <f t="shared" si="8"/>
        <v>11.815633542662249</v>
      </c>
      <c r="G29" s="131">
        <f t="shared" si="8"/>
        <v>21.367640122386376</v>
      </c>
      <c r="H29" s="131">
        <f t="shared" si="8"/>
        <v>66.616021830103634</v>
      </c>
      <c r="I29" s="131">
        <f t="shared" si="8"/>
        <v>78.955795498365546</v>
      </c>
      <c r="J29" s="131">
        <f t="shared" si="8"/>
        <v>29.789521357746494</v>
      </c>
      <c r="K29" s="131">
        <f t="shared" si="8"/>
        <v>15.064447579455253</v>
      </c>
      <c r="L29" s="131">
        <f t="shared" si="8"/>
        <v>32.059939253699397</v>
      </c>
      <c r="M29" s="131">
        <f t="shared" si="8"/>
        <v>34.449402070389823</v>
      </c>
      <c r="N29" s="131">
        <f t="shared" si="8"/>
        <v>20.558365599228988</v>
      </c>
      <c r="O29" s="131">
        <f t="shared" si="8"/>
        <v>10.836248824648905</v>
      </c>
      <c r="P29" s="131">
        <f t="shared" si="8"/>
        <v>55.675506425390239</v>
      </c>
      <c r="Q29" s="131">
        <f t="shared" si="8"/>
        <v>23.196073473994801</v>
      </c>
      <c r="R29" s="131">
        <f t="shared" ref="R29:W29" si="9">SUM(R30:R33)</f>
        <v>17.248266543160703</v>
      </c>
      <c r="S29" s="131">
        <f t="shared" si="9"/>
        <v>32.02803186877231</v>
      </c>
      <c r="T29" s="131">
        <f t="shared" si="9"/>
        <v>28.512624080973865</v>
      </c>
      <c r="U29" s="131">
        <f t="shared" si="9"/>
        <v>28.848048780009684</v>
      </c>
      <c r="V29" s="131">
        <f t="shared" si="9"/>
        <v>24.825542981587436</v>
      </c>
      <c r="W29" s="131">
        <f t="shared" si="9"/>
        <v>21.336372980172584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9.8200818066482825</v>
      </c>
      <c r="D30" s="133">
        <v>10.93622588486255</v>
      </c>
      <c r="E30" s="133">
        <v>6.8923955431233903</v>
      </c>
      <c r="F30" s="133">
        <v>3.5891629565454006</v>
      </c>
      <c r="G30" s="133">
        <v>2.4514948113125636</v>
      </c>
      <c r="H30" s="133">
        <v>4.7508340349252807</v>
      </c>
      <c r="I30" s="133">
        <v>9.6715146405430445</v>
      </c>
      <c r="J30" s="133">
        <v>4.2122312374308306</v>
      </c>
      <c r="K30" s="133">
        <v>2.9224856801024148</v>
      </c>
      <c r="L30" s="133">
        <v>6.8309775763621881</v>
      </c>
      <c r="M30" s="133">
        <v>6.9120636914298519</v>
      </c>
      <c r="N30" s="133">
        <v>3.2738538538350226</v>
      </c>
      <c r="O30" s="133">
        <v>2.3480631946099786</v>
      </c>
      <c r="P30" s="133">
        <v>11.926913647799543</v>
      </c>
      <c r="Q30" s="133">
        <v>4.5865628239207625</v>
      </c>
      <c r="R30" s="133">
        <v>2.926335890629173</v>
      </c>
      <c r="S30" s="133">
        <v>4.8429748280319949</v>
      </c>
      <c r="T30" s="133">
        <v>4.9892370856551143</v>
      </c>
      <c r="U30" s="133">
        <v>5.1750792004746033</v>
      </c>
      <c r="V30" s="133">
        <v>5.8741005804516924</v>
      </c>
      <c r="W30" s="133">
        <v>4.7604977027286441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30.700573247725199</v>
      </c>
      <c r="D31" s="133">
        <v>3.3271483261172561</v>
      </c>
      <c r="E31" s="133">
        <v>1.9261229845586991</v>
      </c>
      <c r="F31" s="133">
        <v>8.2264705861168483</v>
      </c>
      <c r="G31" s="133">
        <v>18.916145311073812</v>
      </c>
      <c r="H31" s="133">
        <v>61.86518779517835</v>
      </c>
      <c r="I31" s="133">
        <v>69.284280857822495</v>
      </c>
      <c r="J31" s="133">
        <v>25.577290120315663</v>
      </c>
      <c r="K31" s="133">
        <v>12.141961899352838</v>
      </c>
      <c r="L31" s="133">
        <v>25.22896167733721</v>
      </c>
      <c r="M31" s="133">
        <v>27.537338378959973</v>
      </c>
      <c r="N31" s="133">
        <v>17.284511745393967</v>
      </c>
      <c r="O31" s="133">
        <v>8.4881856300389256</v>
      </c>
      <c r="P31" s="133">
        <v>43.748592777590694</v>
      </c>
      <c r="Q31" s="133">
        <v>18.609510650074039</v>
      </c>
      <c r="R31" s="133">
        <v>14.321930652531531</v>
      </c>
      <c r="S31" s="133">
        <v>27.185057040740315</v>
      </c>
      <c r="T31" s="133">
        <v>23.523386995318749</v>
      </c>
      <c r="U31" s="133">
        <v>23.672969579535081</v>
      </c>
      <c r="V31" s="133">
        <v>18.951442401135743</v>
      </c>
      <c r="W31" s="133">
        <v>16.575875277443942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183316.574756494</v>
      </c>
      <c r="D3" s="126">
        <f>IF(SER_hh_fec_in!D3=0,0,11630*1000*SER_hh_fec_in!D3/SER_hh_num_in!D3)</f>
        <v>172319.5682234675</v>
      </c>
      <c r="E3" s="126">
        <f>IF(SER_hh_fec_in!E3=0,0,11630*1000*SER_hh_fec_in!E3/SER_hh_num_in!E3)</f>
        <v>206248.70548459486</v>
      </c>
      <c r="F3" s="126">
        <f>IF(SER_hh_fec_in!F3=0,0,11630*1000*SER_hh_fec_in!F3/SER_hh_num_in!F3)</f>
        <v>194186.83067979044</v>
      </c>
      <c r="G3" s="126">
        <f>IF(SER_hh_fec_in!G3=0,0,11630*1000*SER_hh_fec_in!G3/SER_hh_num_in!G3)</f>
        <v>212117.12292892658</v>
      </c>
      <c r="H3" s="126">
        <f>IF(SER_hh_fec_in!H3=0,0,11630*1000*SER_hh_fec_in!H3/SER_hh_num_in!H3)</f>
        <v>215666.04369676893</v>
      </c>
      <c r="I3" s="126">
        <f>IF(SER_hh_fec_in!I3=0,0,11630*1000*SER_hh_fec_in!I3/SER_hh_num_in!I3)</f>
        <v>204039.35548262074</v>
      </c>
      <c r="J3" s="126">
        <f>IF(SER_hh_fec_in!J3=0,0,11630*1000*SER_hh_fec_in!J3/SER_hh_num_in!J3)</f>
        <v>227017.03709680983</v>
      </c>
      <c r="K3" s="126">
        <f>IF(SER_hh_fec_in!K3=0,0,11630*1000*SER_hh_fec_in!K3/SER_hh_num_in!K3)</f>
        <v>214961.50613377284</v>
      </c>
      <c r="L3" s="126">
        <f>IF(SER_hh_fec_in!L3=0,0,11630*1000*SER_hh_fec_in!L3/SER_hh_num_in!L3)</f>
        <v>200464.26756611263</v>
      </c>
      <c r="M3" s="126">
        <f>IF(SER_hh_fec_in!M3=0,0,11630*1000*SER_hh_fec_in!M3/SER_hh_num_in!M3)</f>
        <v>172934.50077002708</v>
      </c>
      <c r="N3" s="126">
        <f>IF(SER_hh_fec_in!N3=0,0,11630*1000*SER_hh_fec_in!N3/SER_hh_num_in!N3)</f>
        <v>159131.99794014313</v>
      </c>
      <c r="O3" s="126">
        <f>IF(SER_hh_fec_in!O3=0,0,11630*1000*SER_hh_fec_in!O3/SER_hh_num_in!O3)</f>
        <v>121934.73430502157</v>
      </c>
      <c r="P3" s="126">
        <f>IF(SER_hh_fec_in!P3=0,0,11630*1000*SER_hh_fec_in!P3/SER_hh_num_in!P3)</f>
        <v>94147.653576272773</v>
      </c>
      <c r="Q3" s="126">
        <f>IF(SER_hh_fec_in!Q3=0,0,11630*1000*SER_hh_fec_in!Q3/SER_hh_num_in!Q3)</f>
        <v>101855.68307415933</v>
      </c>
      <c r="R3" s="126">
        <f>IF(SER_hh_fec_in!R3=0,0,11630*1000*SER_hh_fec_in!R3/SER_hh_num_in!R3)</f>
        <v>104926.82123667684</v>
      </c>
      <c r="S3" s="126">
        <f>IF(SER_hh_fec_in!S3=0,0,11630*1000*SER_hh_fec_in!S3/SER_hh_num_in!S3)</f>
        <v>163971.81823931655</v>
      </c>
      <c r="T3" s="126">
        <f>IF(SER_hh_fec_in!T3=0,0,11630*1000*SER_hh_fec_in!T3/SER_hh_num_in!T3)</f>
        <v>174660.25054445464</v>
      </c>
      <c r="U3" s="126">
        <f>IF(SER_hh_fec_in!U3=0,0,11630*1000*SER_hh_fec_in!U3/SER_hh_num_in!U3)</f>
        <v>155398.72734042432</v>
      </c>
      <c r="V3" s="126">
        <f>IF(SER_hh_fec_in!V3=0,0,11630*1000*SER_hh_fec_in!V3/SER_hh_num_in!V3)</f>
        <v>128652.5198955419</v>
      </c>
      <c r="W3" s="126">
        <f>IF(SER_hh_fec_in!W3=0,0,11630*1000*SER_hh_fec_in!W3/SER_hh_num_in!W3)</f>
        <v>110601.35229275803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117027.23812239866</v>
      </c>
      <c r="D4" s="131">
        <f>IF(SER_hh_fec_in!D4=0,0,11630*1000*SER_hh_fec_in!D4/SER_hh_num_in!D4)</f>
        <v>111181.23535693185</v>
      </c>
      <c r="E4" s="131">
        <f>IF(SER_hh_fec_in!E4=0,0,11630*1000*SER_hh_fec_in!E4/SER_hh_num_in!E4)</f>
        <v>131457.25981924901</v>
      </c>
      <c r="F4" s="131">
        <f>IF(SER_hh_fec_in!F4=0,0,11630*1000*SER_hh_fec_in!F4/SER_hh_num_in!F4)</f>
        <v>129193.58377258707</v>
      </c>
      <c r="G4" s="131">
        <f>IF(SER_hh_fec_in!G4=0,0,11630*1000*SER_hh_fec_in!G4/SER_hh_num_in!G4)</f>
        <v>146406.79706269578</v>
      </c>
      <c r="H4" s="131">
        <f>IF(SER_hh_fec_in!H4=0,0,11630*1000*SER_hh_fec_in!H4/SER_hh_num_in!H4)</f>
        <v>148540.53048720921</v>
      </c>
      <c r="I4" s="131">
        <f>IF(SER_hh_fec_in!I4=0,0,11630*1000*SER_hh_fec_in!I4/SER_hh_num_in!I4)</f>
        <v>135361.00373644897</v>
      </c>
      <c r="J4" s="131">
        <f>IF(SER_hh_fec_in!J4=0,0,11630*1000*SER_hh_fec_in!J4/SER_hh_num_in!J4)</f>
        <v>160353.92657412853</v>
      </c>
      <c r="K4" s="131">
        <f>IF(SER_hh_fec_in!K4=0,0,11630*1000*SER_hh_fec_in!K4/SER_hh_num_in!K4)</f>
        <v>147422.8152801946</v>
      </c>
      <c r="L4" s="131">
        <f>IF(SER_hh_fec_in!L4=0,0,11630*1000*SER_hh_fec_in!L4/SER_hh_num_in!L4)</f>
        <v>136153.11245276974</v>
      </c>
      <c r="M4" s="131">
        <f>IF(SER_hh_fec_in!M4=0,0,11630*1000*SER_hh_fec_in!M4/SER_hh_num_in!M4)</f>
        <v>107151.40392272275</v>
      </c>
      <c r="N4" s="131">
        <f>IF(SER_hh_fec_in!N4=0,0,11630*1000*SER_hh_fec_in!N4/SER_hh_num_in!N4)</f>
        <v>91214.758561978306</v>
      </c>
      <c r="O4" s="131">
        <f>IF(SER_hh_fec_in!O4=0,0,11630*1000*SER_hh_fec_in!O4/SER_hh_num_in!O4)</f>
        <v>59174.535956211941</v>
      </c>
      <c r="P4" s="131">
        <f>IF(SER_hh_fec_in!P4=0,0,11630*1000*SER_hh_fec_in!P4/SER_hh_num_in!P4)</f>
        <v>31684.861057226066</v>
      </c>
      <c r="Q4" s="131">
        <f>IF(SER_hh_fec_in!Q4=0,0,11630*1000*SER_hh_fec_in!Q4/SER_hh_num_in!Q4)</f>
        <v>35777.188221458084</v>
      </c>
      <c r="R4" s="131">
        <f>IF(SER_hh_fec_in!R4=0,0,11630*1000*SER_hh_fec_in!R4/SER_hh_num_in!R4)</f>
        <v>43158.882099215327</v>
      </c>
      <c r="S4" s="131">
        <f>IF(SER_hh_fec_in!S4=0,0,11630*1000*SER_hh_fec_in!S4/SER_hh_num_in!S4)</f>
        <v>100713.12981828304</v>
      </c>
      <c r="T4" s="131">
        <f>IF(SER_hh_fec_in!T4=0,0,11630*1000*SER_hh_fec_in!T4/SER_hh_num_in!T4)</f>
        <v>114419.14871558151</v>
      </c>
      <c r="U4" s="131">
        <f>IF(SER_hh_fec_in!U4=0,0,11630*1000*SER_hh_fec_in!U4/SER_hh_num_in!U4)</f>
        <v>94675.52632189008</v>
      </c>
      <c r="V4" s="131">
        <f>IF(SER_hh_fec_in!V4=0,0,11630*1000*SER_hh_fec_in!V4/SER_hh_num_in!V4)</f>
        <v>74752.564289375689</v>
      </c>
      <c r="W4" s="131">
        <f>IF(SER_hh_fec_in!W4=0,0,11630*1000*SER_hh_fec_in!W4/SER_hh_num_in!W4)</f>
        <v>54624.126273522648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135759.31552244877</v>
      </c>
      <c r="D6" s="133">
        <f>IF(SER_hh_fec_in!D6=0,0,11630*1000*SER_hh_fec_in!D6/SER_hh_num_in!D6)</f>
        <v>127795.19711727639</v>
      </c>
      <c r="E6" s="133">
        <f>IF(SER_hh_fec_in!E6=0,0,11630*1000*SER_hh_fec_in!E6/SER_hh_num_in!E6)</f>
        <v>153225.63910998241</v>
      </c>
      <c r="F6" s="133">
        <f>IF(SER_hh_fec_in!F6=0,0,11630*1000*SER_hh_fec_in!F6/SER_hh_num_in!F6)</f>
        <v>154897.0315256707</v>
      </c>
      <c r="G6" s="133">
        <f>IF(SER_hh_fec_in!G6=0,0,11630*1000*SER_hh_fec_in!G6/SER_hh_num_in!G6)</f>
        <v>177166.09931779871</v>
      </c>
      <c r="H6" s="133">
        <f>IF(SER_hh_fec_in!H6=0,0,11630*1000*SER_hh_fec_in!H6/SER_hh_num_in!H6)</f>
        <v>176236.92850560535</v>
      </c>
      <c r="I6" s="133">
        <f>IF(SER_hh_fec_in!I6=0,0,11630*1000*SER_hh_fec_in!I6/SER_hh_num_in!I6)</f>
        <v>163328.7551515488</v>
      </c>
      <c r="J6" s="133">
        <f>IF(SER_hh_fec_in!J6=0,0,11630*1000*SER_hh_fec_in!J6/SER_hh_num_in!J6)</f>
        <v>188306.74843913384</v>
      </c>
      <c r="K6" s="133">
        <f>IF(SER_hh_fec_in!K6=0,0,11630*1000*SER_hh_fec_in!K6/SER_hh_num_in!K6)</f>
        <v>186059.59204654061</v>
      </c>
      <c r="L6" s="133">
        <f>IF(SER_hh_fec_in!L6=0,0,11630*1000*SER_hh_fec_in!L6/SER_hh_num_in!L6)</f>
        <v>188876.56518321141</v>
      </c>
      <c r="M6" s="133">
        <f>IF(SER_hh_fec_in!M6=0,0,11630*1000*SER_hh_fec_in!M6/SER_hh_num_in!M6)</f>
        <v>164930.15048014911</v>
      </c>
      <c r="N6" s="133">
        <f>IF(SER_hh_fec_in!N6=0,0,11630*1000*SER_hh_fec_in!N6/SER_hh_num_in!N6)</f>
        <v>146094.7621985797</v>
      </c>
      <c r="O6" s="133">
        <f>IF(SER_hh_fec_in!O6=0,0,11630*1000*SER_hh_fec_in!O6/SER_hh_num_in!O6)</f>
        <v>153586.66274509698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136329.72128405725</v>
      </c>
      <c r="T6" s="133">
        <f>IF(SER_hh_fec_in!T6=0,0,11630*1000*SER_hh_fec_in!T6/SER_hh_num_in!T6)</f>
        <v>121589.97583395499</v>
      </c>
      <c r="U6" s="133">
        <f>IF(SER_hh_fec_in!U6=0,0,11630*1000*SER_hh_fec_in!U6/SER_hh_num_in!U6)</f>
        <v>115374.03274227714</v>
      </c>
      <c r="V6" s="133">
        <f>IF(SER_hh_fec_in!V6=0,0,11630*1000*SER_hh_fec_in!V6/SER_hh_num_in!V6)</f>
        <v>97256.265545080052</v>
      </c>
      <c r="W6" s="133">
        <f>IF(SER_hh_fec_in!W6=0,0,11630*1000*SER_hh_fec_in!W6/SER_hh_num_in!W6)</f>
        <v>92372.338934553205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102765.11068474925</v>
      </c>
      <c r="D7" s="133">
        <f>IF(SER_hh_fec_in!D7=0,0,11630*1000*SER_hh_fec_in!D7/SER_hh_num_in!D7)</f>
        <v>133332.82778330403</v>
      </c>
      <c r="E7" s="133">
        <f>IF(SER_hh_fec_in!E7=0,0,11630*1000*SER_hh_fec_in!E7/SER_hh_num_in!E7)</f>
        <v>165320.02424057387</v>
      </c>
      <c r="F7" s="133">
        <f>IF(SER_hh_fec_in!F7=0,0,11630*1000*SER_hh_fec_in!F7/SER_hh_num_in!F7)</f>
        <v>171420.55374222234</v>
      </c>
      <c r="G7" s="133">
        <f>IF(SER_hh_fec_in!G7=0,0,11630*1000*SER_hh_fec_in!G7/SER_hh_num_in!G7)</f>
        <v>179255.07057193274</v>
      </c>
      <c r="H7" s="133">
        <f>IF(SER_hh_fec_in!H7=0,0,11630*1000*SER_hh_fec_in!H7/SER_hh_num_in!H7)</f>
        <v>187941.11967636453</v>
      </c>
      <c r="I7" s="133">
        <f>IF(SER_hh_fec_in!I7=0,0,11630*1000*SER_hh_fec_in!I7/SER_hh_num_in!I7)</f>
        <v>180170.78787217577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0</v>
      </c>
      <c r="M7" s="133">
        <f>IF(SER_hh_fec_in!M7=0,0,11630*1000*SER_hh_fec_in!M7/SER_hh_num_in!M7)</f>
        <v>0</v>
      </c>
      <c r="N7" s="133">
        <f>IF(SER_hh_fec_in!N7=0,0,11630*1000*SER_hh_fec_in!N7/SER_hh_num_in!N7)</f>
        <v>164327.91150070514</v>
      </c>
      <c r="O7" s="133">
        <f>IF(SER_hh_fec_in!O7=0,0,11630*1000*SER_hh_fec_in!O7/SER_hh_num_in!O7)</f>
        <v>141114.01752009365</v>
      </c>
      <c r="P7" s="133">
        <f>IF(SER_hh_fec_in!P7=0,0,11630*1000*SER_hh_fec_in!P7/SER_hh_num_in!P7)</f>
        <v>135645.01846464176</v>
      </c>
      <c r="Q7" s="133">
        <f>IF(SER_hh_fec_in!Q7=0,0,11630*1000*SER_hh_fec_in!Q7/SER_hh_num_in!Q7)</f>
        <v>153058.6879391438</v>
      </c>
      <c r="R7" s="133">
        <f>IF(SER_hh_fec_in!R7=0,0,11630*1000*SER_hh_fec_in!R7/SER_hh_num_in!R7)</f>
        <v>156844.19996205132</v>
      </c>
      <c r="S7" s="133">
        <f>IF(SER_hh_fec_in!S7=0,0,11630*1000*SER_hh_fec_in!S7/SER_hh_num_in!S7)</f>
        <v>118814.51870310788</v>
      </c>
      <c r="T7" s="133">
        <f>IF(SER_hh_fec_in!T7=0,0,11630*1000*SER_hh_fec_in!T7/SER_hh_num_in!T7)</f>
        <v>145819.07023163358</v>
      </c>
      <c r="U7" s="133">
        <f>IF(SER_hh_fec_in!U7=0,0,11630*1000*SER_hh_fec_in!U7/SER_hh_num_in!U7)</f>
        <v>106936.68098502472</v>
      </c>
      <c r="V7" s="133">
        <f>IF(SER_hh_fec_in!V7=0,0,11630*1000*SER_hh_fec_in!V7/SER_hh_num_in!V7)</f>
        <v>77867.662126166411</v>
      </c>
      <c r="W7" s="133">
        <f>IF(SER_hh_fec_in!W7=0,0,11630*1000*SER_hh_fec_in!W7/SER_hh_num_in!W7)</f>
        <v>109234.56531217929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44302.437240080661</v>
      </c>
      <c r="D8" s="133">
        <f>IF(SER_hh_fec_in!D8=0,0,11630*1000*SER_hh_fec_in!D8/SER_hh_num_in!D8)</f>
        <v>40565.835601489431</v>
      </c>
      <c r="E8" s="133">
        <f>IF(SER_hh_fec_in!E8=0,0,11630*1000*SER_hh_fec_in!E8/SER_hh_num_in!E8)</f>
        <v>44739.197481449279</v>
      </c>
      <c r="F8" s="133">
        <f>IF(SER_hh_fec_in!F8=0,0,11630*1000*SER_hh_fec_in!F8/SER_hh_num_in!F8)</f>
        <v>43837.525062703236</v>
      </c>
      <c r="G8" s="133">
        <f>IF(SER_hh_fec_in!G8=0,0,11630*1000*SER_hh_fec_in!G8/SER_hh_num_in!G8)</f>
        <v>44475.867918989919</v>
      </c>
      <c r="H8" s="133">
        <f>IF(SER_hh_fec_in!H8=0,0,11630*1000*SER_hh_fec_in!H8/SER_hh_num_in!H8)</f>
        <v>43992.528939208183</v>
      </c>
      <c r="I8" s="133">
        <f>IF(SER_hh_fec_in!I8=0,0,11630*1000*SER_hh_fec_in!I8/SER_hh_num_in!I8)</f>
        <v>42424.896477214039</v>
      </c>
      <c r="J8" s="133">
        <f>IF(SER_hh_fec_in!J8=0,0,11630*1000*SER_hh_fec_in!J8/SER_hh_num_in!J8)</f>
        <v>41723.816007735702</v>
      </c>
      <c r="K8" s="133">
        <f>IF(SER_hh_fec_in!K8=0,0,11630*1000*SER_hh_fec_in!K8/SER_hh_num_in!K8)</f>
        <v>38857.837224492374</v>
      </c>
      <c r="L8" s="133">
        <f>IF(SER_hh_fec_in!L8=0,0,11630*1000*SER_hh_fec_in!L8/SER_hh_num_in!L8)</f>
        <v>34951.759479687127</v>
      </c>
      <c r="M8" s="133">
        <f>IF(SER_hh_fec_in!M8=0,0,11630*1000*SER_hh_fec_in!M8/SER_hh_num_in!M8)</f>
        <v>31499.549373394821</v>
      </c>
      <c r="N8" s="133">
        <f>IF(SER_hh_fec_in!N8=0,0,11630*1000*SER_hh_fec_in!N8/SER_hh_num_in!N8)</f>
        <v>28659.308294179926</v>
      </c>
      <c r="O8" s="133">
        <f>IF(SER_hh_fec_in!O8=0,0,11630*1000*SER_hh_fec_in!O8/SER_hh_num_in!O8)</f>
        <v>27423.332555254987</v>
      </c>
      <c r="P8" s="133">
        <f>IF(SER_hh_fec_in!P8=0,0,11630*1000*SER_hh_fec_in!P8/SER_hh_num_in!P8)</f>
        <v>27192.348794561763</v>
      </c>
      <c r="Q8" s="133">
        <f>IF(SER_hh_fec_in!Q8=0,0,11630*1000*SER_hh_fec_in!Q8/SER_hh_num_in!Q8)</f>
        <v>29948.791363737466</v>
      </c>
      <c r="R8" s="133">
        <f>IF(SER_hh_fec_in!R8=0,0,11630*1000*SER_hh_fec_in!R8/SER_hh_num_in!R8)</f>
        <v>26991.069097182415</v>
      </c>
      <c r="S8" s="133">
        <f>IF(SER_hh_fec_in!S8=0,0,11630*1000*SER_hh_fec_in!S8/SER_hh_num_in!S8)</f>
        <v>25508.514081969071</v>
      </c>
      <c r="T8" s="133">
        <f>IF(SER_hh_fec_in!T8=0,0,11630*1000*SER_hh_fec_in!T8/SER_hh_num_in!T8)</f>
        <v>23833.286504965232</v>
      </c>
      <c r="U8" s="133">
        <f>IF(SER_hh_fec_in!U8=0,0,11630*1000*SER_hh_fec_in!U8/SER_hh_num_in!U8)</f>
        <v>20781.079696555851</v>
      </c>
      <c r="V8" s="133">
        <f>IF(SER_hh_fec_in!V8=0,0,11630*1000*SER_hh_fec_in!V8/SER_hh_num_in!V8)</f>
        <v>18112.104302087457</v>
      </c>
      <c r="W8" s="133">
        <f>IF(SER_hh_fec_in!W8=0,0,11630*1000*SER_hh_fec_in!W8/SER_hh_num_in!W8)</f>
        <v>14329.93605530873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126532.48629279417</v>
      </c>
      <c r="D9" s="133">
        <f>IF(SER_hh_fec_in!D9=0,0,11630*1000*SER_hh_fec_in!D9/SER_hh_num_in!D9)</f>
        <v>113120.91581136567</v>
      </c>
      <c r="E9" s="133">
        <f>IF(SER_hh_fec_in!E9=0,0,11630*1000*SER_hh_fec_in!E9/SER_hh_num_in!E9)</f>
        <v>135210.56647871836</v>
      </c>
      <c r="F9" s="133">
        <f>IF(SER_hh_fec_in!F9=0,0,11630*1000*SER_hh_fec_in!F9/SER_hh_num_in!F9)</f>
        <v>134220.52446427717</v>
      </c>
      <c r="G9" s="133">
        <f>IF(SER_hh_fec_in!G9=0,0,11630*1000*SER_hh_fec_in!G9/SER_hh_num_in!G9)</f>
        <v>162500.58592673537</v>
      </c>
      <c r="H9" s="133">
        <f>IF(SER_hh_fec_in!H9=0,0,11630*1000*SER_hh_fec_in!H9/SER_hh_num_in!H9)</f>
        <v>161332.69635430939</v>
      </c>
      <c r="I9" s="133">
        <f>IF(SER_hh_fec_in!I9=0,0,11630*1000*SER_hh_fec_in!I9/SER_hh_num_in!I9)</f>
        <v>139967.79459719674</v>
      </c>
      <c r="J9" s="133">
        <f>IF(SER_hh_fec_in!J9=0,0,11630*1000*SER_hh_fec_in!J9/SER_hh_num_in!J9)</f>
        <v>172904.6750659431</v>
      </c>
      <c r="K9" s="133">
        <f>IF(SER_hh_fec_in!K9=0,0,11630*1000*SER_hh_fec_in!K9/SER_hh_num_in!K9)</f>
        <v>168411.97570237948</v>
      </c>
      <c r="L9" s="133">
        <f>IF(SER_hh_fec_in!L9=0,0,11630*1000*SER_hh_fec_in!L9/SER_hh_num_in!L9)</f>
        <v>167075.5919094905</v>
      </c>
      <c r="M9" s="133">
        <f>IF(SER_hh_fec_in!M9=0,0,11630*1000*SER_hh_fec_in!M9/SER_hh_num_in!M9)</f>
        <v>136174.12963413543</v>
      </c>
      <c r="N9" s="133">
        <f>IF(SER_hh_fec_in!N9=0,0,11630*1000*SER_hh_fec_in!N9/SER_hh_num_in!N9)</f>
        <v>139625.95370215701</v>
      </c>
      <c r="O9" s="133">
        <f>IF(SER_hh_fec_in!O9=0,0,11630*1000*SER_hh_fec_in!O9/SER_hh_num_in!O9)</f>
        <v>144483.11375967207</v>
      </c>
      <c r="P9" s="133">
        <f>IF(SER_hh_fec_in!P9=0,0,11630*1000*SER_hh_fec_in!P9/SER_hh_num_in!P9)</f>
        <v>0</v>
      </c>
      <c r="Q9" s="133">
        <f>IF(SER_hh_fec_in!Q9=0,0,11630*1000*SER_hh_fec_in!Q9/SER_hh_num_in!Q9)</f>
        <v>0</v>
      </c>
      <c r="R9" s="133">
        <f>IF(SER_hh_fec_in!R9=0,0,11630*1000*SER_hh_fec_in!R9/SER_hh_num_in!R9)</f>
        <v>124909.72981111151</v>
      </c>
      <c r="S9" s="133">
        <f>IF(SER_hh_fec_in!S9=0,0,11630*1000*SER_hh_fec_in!S9/SER_hh_num_in!S9)</f>
        <v>116913.54719153287</v>
      </c>
      <c r="T9" s="133">
        <f>IF(SER_hh_fec_in!T9=0,0,11630*1000*SER_hh_fec_in!T9/SER_hh_num_in!T9)</f>
        <v>123924.70019963173</v>
      </c>
      <c r="U9" s="133">
        <f>IF(SER_hh_fec_in!U9=0,0,11630*1000*SER_hh_fec_in!U9/SER_hh_num_in!U9)</f>
        <v>109418.37480472161</v>
      </c>
      <c r="V9" s="133">
        <f>IF(SER_hh_fec_in!V9=0,0,11630*1000*SER_hh_fec_in!V9/SER_hh_num_in!V9)</f>
        <v>93227.127312400975</v>
      </c>
      <c r="W9" s="133">
        <f>IF(SER_hh_fec_in!W9=0,0,11630*1000*SER_hh_fec_in!W9/SER_hh_num_in!W9)</f>
        <v>65602.313111466327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117488.42923887041</v>
      </c>
      <c r="D10" s="133">
        <f>IF(SER_hh_fec_in!D10=0,0,11630*1000*SER_hh_fec_in!D10/SER_hh_num_in!D10)</f>
        <v>114122.17528548033</v>
      </c>
      <c r="E10" s="133">
        <f>IF(SER_hh_fec_in!E10=0,0,11630*1000*SER_hh_fec_in!E10/SER_hh_num_in!E10)</f>
        <v>124140.60010274204</v>
      </c>
      <c r="F10" s="133">
        <f>IF(SER_hh_fec_in!F10=0,0,11630*1000*SER_hh_fec_in!F10/SER_hh_num_in!F10)</f>
        <v>132794.02363884836</v>
      </c>
      <c r="G10" s="133">
        <f>IF(SER_hh_fec_in!G10=0,0,11630*1000*SER_hh_fec_in!G10/SER_hh_num_in!G10)</f>
        <v>140784.6985818336</v>
      </c>
      <c r="H10" s="133">
        <f>IF(SER_hh_fec_in!H10=0,0,11630*1000*SER_hh_fec_in!H10/SER_hh_num_in!H10)</f>
        <v>178598.32013533177</v>
      </c>
      <c r="I10" s="133">
        <f>IF(SER_hh_fec_in!I10=0,0,11630*1000*SER_hh_fec_in!I10/SER_hh_num_in!I10)</f>
        <v>143885.28329468609</v>
      </c>
      <c r="J10" s="133">
        <f>IF(SER_hh_fec_in!J10=0,0,11630*1000*SER_hh_fec_in!J10/SER_hh_num_in!J10)</f>
        <v>131720.80099701727</v>
      </c>
      <c r="K10" s="133">
        <f>IF(SER_hh_fec_in!K10=0,0,11630*1000*SER_hh_fec_in!K10/SER_hh_num_in!K10)</f>
        <v>154746.04781609226</v>
      </c>
      <c r="L10" s="133">
        <f>IF(SER_hh_fec_in!L10=0,0,11630*1000*SER_hh_fec_in!L10/SER_hh_num_in!L10)</f>
        <v>187351.13888570477</v>
      </c>
      <c r="M10" s="133">
        <f>IF(SER_hh_fec_in!M10=0,0,11630*1000*SER_hh_fec_in!M10/SER_hh_num_in!M10)</f>
        <v>153505.5298180471</v>
      </c>
      <c r="N10" s="133">
        <f>IF(SER_hh_fec_in!N10=0,0,11630*1000*SER_hh_fec_in!N10/SER_hh_num_in!N10)</f>
        <v>115468.8221332828</v>
      </c>
      <c r="O10" s="133">
        <f>IF(SER_hh_fec_in!O10=0,0,11630*1000*SER_hh_fec_in!O10/SER_hh_num_in!O10)</f>
        <v>140732.60029662901</v>
      </c>
      <c r="P10" s="133">
        <f>IF(SER_hh_fec_in!P10=0,0,11630*1000*SER_hh_fec_in!P10/SER_hh_num_in!P10)</f>
        <v>176230.41762610764</v>
      </c>
      <c r="Q10" s="133">
        <f>IF(SER_hh_fec_in!Q10=0,0,11630*1000*SER_hh_fec_in!Q10/SER_hh_num_in!Q10)</f>
        <v>138561.74999786523</v>
      </c>
      <c r="R10" s="133">
        <f>IF(SER_hh_fec_in!R10=0,0,11630*1000*SER_hh_fec_in!R10/SER_hh_num_in!R10)</f>
        <v>158306.37106197409</v>
      </c>
      <c r="S10" s="133">
        <f>IF(SER_hh_fec_in!S10=0,0,11630*1000*SER_hh_fec_in!S10/SER_hh_num_in!S10)</f>
        <v>152503.68229223968</v>
      </c>
      <c r="T10" s="133">
        <f>IF(SER_hh_fec_in!T10=0,0,11630*1000*SER_hh_fec_in!T10/SER_hh_num_in!T10)</f>
        <v>135626.34971933314</v>
      </c>
      <c r="U10" s="133">
        <f>IF(SER_hh_fec_in!U10=0,0,11630*1000*SER_hh_fec_in!U10/SER_hh_num_in!U10)</f>
        <v>125968.88797371219</v>
      </c>
      <c r="V10" s="133">
        <f>IF(SER_hh_fec_in!V10=0,0,11630*1000*SER_hh_fec_in!V10/SER_hh_num_in!V10)</f>
        <v>104759.10791315546</v>
      </c>
      <c r="W10" s="133">
        <f>IF(SER_hh_fec_in!W10=0,0,11630*1000*SER_hh_fec_in!W10/SER_hh_num_in!W10)</f>
        <v>83533.979863160741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92049.086268944971</v>
      </c>
      <c r="D11" s="133">
        <f>IF(SER_hh_fec_in!D11=0,0,11630*1000*SER_hh_fec_in!D11/SER_hh_num_in!D11)</f>
        <v>94989.77486337474</v>
      </c>
      <c r="E11" s="133">
        <f>IF(SER_hh_fec_in!E11=0,0,11630*1000*SER_hh_fec_in!E11/SER_hh_num_in!E11)</f>
        <v>101960.81854399227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124572.33596168381</v>
      </c>
      <c r="I11" s="133">
        <f>IF(SER_hh_fec_in!I11=0,0,11630*1000*SER_hh_fec_in!I11/SER_hh_num_in!I11)</f>
        <v>127319.69822920625</v>
      </c>
      <c r="J11" s="133">
        <f>IF(SER_hh_fec_in!J11=0,0,11630*1000*SER_hh_fec_in!J11/SER_hh_num_in!J11)</f>
        <v>138354.85866322345</v>
      </c>
      <c r="K11" s="133">
        <f>IF(SER_hh_fec_in!K11=0,0,11630*1000*SER_hh_fec_in!K11/SER_hh_num_in!K11)</f>
        <v>152427.44218562864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116004.08511621937</v>
      </c>
      <c r="N11" s="133">
        <f>IF(SER_hh_fec_in!N11=0,0,11630*1000*SER_hh_fec_in!N11/SER_hh_num_in!N11)</f>
        <v>122367.89133563297</v>
      </c>
      <c r="O11" s="133">
        <f>IF(SER_hh_fec_in!O11=0,0,11630*1000*SER_hh_fec_in!O11/SER_hh_num_in!O11)</f>
        <v>121140.51329716895</v>
      </c>
      <c r="P11" s="133">
        <f>IF(SER_hh_fec_in!P11=0,0,11630*1000*SER_hh_fec_in!P11/SER_hh_num_in!P11)</f>
        <v>114290.6026179193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118492.94350158736</v>
      </c>
      <c r="S11" s="133">
        <f>IF(SER_hh_fec_in!S11=0,0,11630*1000*SER_hh_fec_in!S11/SER_hh_num_in!S11)</f>
        <v>120879.67110274037</v>
      </c>
      <c r="T11" s="133">
        <f>IF(SER_hh_fec_in!T11=0,0,11630*1000*SER_hh_fec_in!T11/SER_hh_num_in!T11)</f>
        <v>113552.44002324659</v>
      </c>
      <c r="U11" s="133">
        <f>IF(SER_hh_fec_in!U11=0,0,11630*1000*SER_hh_fec_in!U11/SER_hh_num_in!U11)</f>
        <v>102734.26219262619</v>
      </c>
      <c r="V11" s="133">
        <f>IF(SER_hh_fec_in!V11=0,0,11630*1000*SER_hh_fec_in!V11/SER_hh_num_in!V11)</f>
        <v>84772.135469534085</v>
      </c>
      <c r="W11" s="133">
        <f>IF(SER_hh_fec_in!W11=0,0,11630*1000*SER_hh_fec_in!W11/SER_hh_num_in!W11)</f>
        <v>63486.386280772131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158245.81945449574</v>
      </c>
      <c r="G12" s="133">
        <f>IF(SER_hh_fec_in!G12=0,0,11630*1000*SER_hh_fec_in!G12/SER_hh_num_in!G12)</f>
        <v>119478.84146252455</v>
      </c>
      <c r="H12" s="133">
        <f>IF(SER_hh_fec_in!H12=0,0,11630*1000*SER_hh_fec_in!H12/SER_hh_num_in!H12)</f>
        <v>139317.41420739962</v>
      </c>
      <c r="I12" s="133">
        <f>IF(SER_hh_fec_in!I12=0,0,11630*1000*SER_hh_fec_in!I12/SER_hh_num_in!I12)</f>
        <v>136286.17408473213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119647.54939824545</v>
      </c>
      <c r="L12" s="133">
        <f>IF(SER_hh_fec_in!L12=0,0,11630*1000*SER_hh_fec_in!L12/SER_hh_num_in!L12)</f>
        <v>88268.253671930419</v>
      </c>
      <c r="M12" s="133">
        <f>IF(SER_hh_fec_in!M12=0,0,11630*1000*SER_hh_fec_in!M12/SER_hh_num_in!M12)</f>
        <v>156356.50564090876</v>
      </c>
      <c r="N12" s="133">
        <f>IF(SER_hh_fec_in!N12=0,0,11630*1000*SER_hh_fec_in!N12/SER_hh_num_in!N12)</f>
        <v>99296.348570765374</v>
      </c>
      <c r="O12" s="133">
        <f>IF(SER_hh_fec_in!O12=0,0,11630*1000*SER_hh_fec_in!O12/SER_hh_num_in!O12)</f>
        <v>108486.53036163612</v>
      </c>
      <c r="P12" s="133">
        <f>IF(SER_hh_fec_in!P12=0,0,11630*1000*SER_hh_fec_in!P12/SER_hh_num_in!P12)</f>
        <v>143817.40705794396</v>
      </c>
      <c r="Q12" s="133">
        <f>IF(SER_hh_fec_in!Q12=0,0,11630*1000*SER_hh_fec_in!Q12/SER_hh_num_in!Q12)</f>
        <v>106901.52587262634</v>
      </c>
      <c r="R12" s="133">
        <f>IF(SER_hh_fec_in!R12=0,0,11630*1000*SER_hh_fec_in!R12/SER_hh_num_in!R12)</f>
        <v>102655.60256374169</v>
      </c>
      <c r="S12" s="133">
        <f>IF(SER_hh_fec_in!S12=0,0,11630*1000*SER_hh_fec_in!S12/SER_hh_num_in!S12)</f>
        <v>117005.99534915361</v>
      </c>
      <c r="T12" s="133">
        <f>IF(SER_hh_fec_in!T12=0,0,11630*1000*SER_hh_fec_in!T12/SER_hh_num_in!T12)</f>
        <v>129736.8036008912</v>
      </c>
      <c r="U12" s="133">
        <f>IF(SER_hh_fec_in!U12=0,0,11630*1000*SER_hh_fec_in!U12/SER_hh_num_in!U12)</f>
        <v>87460.810573950264</v>
      </c>
      <c r="V12" s="133">
        <f>IF(SER_hh_fec_in!V12=0,0,11630*1000*SER_hh_fec_in!V12/SER_hh_num_in!V12)</f>
        <v>77410.564335546354</v>
      </c>
      <c r="W12" s="133">
        <f>IF(SER_hh_fec_in!W12=0,0,11630*1000*SER_hh_fec_in!W12/SER_hh_num_in!W12)</f>
        <v>68963.708798305204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36259.736842786573</v>
      </c>
      <c r="D13" s="133">
        <f>IF(SER_hh_fec_in!D13=0,0,11630*1000*SER_hh_fec_in!D13/SER_hh_num_in!D13)</f>
        <v>50394.058825316322</v>
      </c>
      <c r="E13" s="133">
        <f>IF(SER_hh_fec_in!E13=0,0,11630*1000*SER_hh_fec_in!E13/SER_hh_num_in!E13)</f>
        <v>34090.820423107165</v>
      </c>
      <c r="F13" s="133">
        <f>IF(SER_hh_fec_in!F13=0,0,11630*1000*SER_hh_fec_in!F13/SER_hh_num_in!F13)</f>
        <v>42654.765310218616</v>
      </c>
      <c r="G13" s="133">
        <f>IF(SER_hh_fec_in!G13=0,0,11630*1000*SER_hh_fec_in!G13/SER_hh_num_in!G13)</f>
        <v>52808.573244477564</v>
      </c>
      <c r="H13" s="133">
        <f>IF(SER_hh_fec_in!H13=0,0,11630*1000*SER_hh_fec_in!H13/SER_hh_num_in!H13)</f>
        <v>51206.018011504515</v>
      </c>
      <c r="I13" s="133">
        <f>IF(SER_hh_fec_in!I13=0,0,11630*1000*SER_hh_fec_in!I13/SER_hh_num_in!I13)</f>
        <v>45798.613637184622</v>
      </c>
      <c r="J13" s="133">
        <f>IF(SER_hh_fec_in!J13=0,0,11630*1000*SER_hh_fec_in!J13/SER_hh_num_in!J13)</f>
        <v>42900.479899226608</v>
      </c>
      <c r="K13" s="133">
        <f>IF(SER_hh_fec_in!K13=0,0,11630*1000*SER_hh_fec_in!K13/SER_hh_num_in!K13)</f>
        <v>42015.383867375778</v>
      </c>
      <c r="L13" s="133">
        <f>IF(SER_hh_fec_in!L13=0,0,11630*1000*SER_hh_fec_in!L13/SER_hh_num_in!L13)</f>
        <v>33443.952312549773</v>
      </c>
      <c r="M13" s="133">
        <f>IF(SER_hh_fec_in!M13=0,0,11630*1000*SER_hh_fec_in!M13/SER_hh_num_in!M13)</f>
        <v>32357.421925470277</v>
      </c>
      <c r="N13" s="133">
        <f>IF(SER_hh_fec_in!N13=0,0,11630*1000*SER_hh_fec_in!N13/SER_hh_num_in!N13)</f>
        <v>32280.69603818297</v>
      </c>
      <c r="O13" s="133">
        <f>IF(SER_hh_fec_in!O13=0,0,11630*1000*SER_hh_fec_in!O13/SER_hh_num_in!O13)</f>
        <v>25208.475589254293</v>
      </c>
      <c r="P13" s="133">
        <f>IF(SER_hh_fec_in!P13=0,0,11630*1000*SER_hh_fec_in!P13/SER_hh_num_in!P13)</f>
        <v>25915.164211920608</v>
      </c>
      <c r="Q13" s="133">
        <f>IF(SER_hh_fec_in!Q13=0,0,11630*1000*SER_hh_fec_in!Q13/SER_hh_num_in!Q13)</f>
        <v>32942.059623836511</v>
      </c>
      <c r="R13" s="133">
        <f>IF(SER_hh_fec_in!R13=0,0,11630*1000*SER_hh_fec_in!R13/SER_hh_num_in!R13)</f>
        <v>28619.85827318671</v>
      </c>
      <c r="S13" s="133">
        <f>IF(SER_hh_fec_in!S13=0,0,11630*1000*SER_hh_fec_in!S13/SER_hh_num_in!S13)</f>
        <v>28876.05172493367</v>
      </c>
      <c r="T13" s="133">
        <f>IF(SER_hh_fec_in!T13=0,0,11630*1000*SER_hh_fec_in!T13/SER_hh_num_in!T13)</f>
        <v>25782.141515375621</v>
      </c>
      <c r="U13" s="133">
        <f>IF(SER_hh_fec_in!U13=0,0,11630*1000*SER_hh_fec_in!U13/SER_hh_num_in!U13)</f>
        <v>22238.392135817729</v>
      </c>
      <c r="V13" s="133">
        <f>IF(SER_hh_fec_in!V13=0,0,11630*1000*SER_hh_fec_in!V13/SER_hh_num_in!V13)</f>
        <v>19181.662554180595</v>
      </c>
      <c r="W13" s="133">
        <f>IF(SER_hh_fec_in!W13=0,0,11630*1000*SER_hh_fec_in!W13/SER_hh_num_in!W13)</f>
        <v>11702.64158232702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99620.4119631746</v>
      </c>
      <c r="D14" s="65">
        <f>IF(SER_hh_fec_in!D14=0,0,11630*1000*SER_hh_fec_in!D14/SER_hh_num_in!D14)</f>
        <v>105850.62232450198</v>
      </c>
      <c r="E14" s="65">
        <f>IF(SER_hh_fec_in!E14=0,0,11630*1000*SER_hh_fec_in!E14/SER_hh_num_in!E14)</f>
        <v>106288.49123714419</v>
      </c>
      <c r="F14" s="65">
        <f>IF(SER_hh_fec_in!F14=0,0,11630*1000*SER_hh_fec_in!F14/SER_hh_num_in!F14)</f>
        <v>117987.90362701075</v>
      </c>
      <c r="G14" s="65">
        <f>IF(SER_hh_fec_in!G14=0,0,11630*1000*SER_hh_fec_in!G14/SER_hh_num_in!G14)</f>
        <v>132800.8882724604</v>
      </c>
      <c r="H14" s="65">
        <f>IF(SER_hh_fec_in!H14=0,0,11630*1000*SER_hh_fec_in!H14/SER_hh_num_in!H14)</f>
        <v>137317.48012702967</v>
      </c>
      <c r="I14" s="65">
        <f>IF(SER_hh_fec_in!I14=0,0,11630*1000*SER_hh_fec_in!I14/SER_hh_num_in!I14)</f>
        <v>139362.30530510627</v>
      </c>
      <c r="J14" s="65">
        <f>IF(SER_hh_fec_in!J14=0,0,11630*1000*SER_hh_fec_in!J14/SER_hh_num_in!J14)</f>
        <v>142553.59845077968</v>
      </c>
      <c r="K14" s="65">
        <f>IF(SER_hh_fec_in!K14=0,0,11630*1000*SER_hh_fec_in!K14/SER_hh_num_in!K14)</f>
        <v>142833.77895285582</v>
      </c>
      <c r="L14" s="65">
        <f>IF(SER_hh_fec_in!L14=0,0,11630*1000*SER_hh_fec_in!L14/SER_hh_num_in!L14)</f>
        <v>141708.93346555505</v>
      </c>
      <c r="M14" s="65">
        <f>IF(SER_hh_fec_in!M14=0,0,11630*1000*SER_hh_fec_in!M14/SER_hh_num_in!M14)</f>
        <v>132842.12835513178</v>
      </c>
      <c r="N14" s="65">
        <f>IF(SER_hh_fec_in!N14=0,0,11630*1000*SER_hh_fec_in!N14/SER_hh_num_in!N14)</f>
        <v>130228.62507433946</v>
      </c>
      <c r="O14" s="65">
        <f>IF(SER_hh_fec_in!O14=0,0,11630*1000*SER_hh_fec_in!O14/SER_hh_num_in!O14)</f>
        <v>127576.99188593634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0</v>
      </c>
      <c r="T14" s="65">
        <f>IF(SER_hh_fec_in!T14=0,0,11630*1000*SER_hh_fec_in!T14/SER_hh_num_in!T14)</f>
        <v>119553.7162928327</v>
      </c>
      <c r="U14" s="65">
        <f>IF(SER_hh_fec_in!U14=0,0,11630*1000*SER_hh_fec_in!U14/SER_hh_num_in!U14)</f>
        <v>98741.345025149261</v>
      </c>
      <c r="V14" s="65">
        <f>IF(SER_hh_fec_in!V14=0,0,11630*1000*SER_hh_fec_in!V14/SER_hh_num_in!V14)</f>
        <v>66153.127269245364</v>
      </c>
      <c r="W14" s="65">
        <f>IF(SER_hh_fec_in!W14=0,0,11630*1000*SER_hh_fec_in!W14/SER_hh_num_in!W14)</f>
        <v>75027.217584110636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1440.9082927040206</v>
      </c>
      <c r="D15" s="135">
        <f>IF(SER_hh_fec_in!D15=0,0,11630*1000*SER_hh_fec_in!D15/SER_hh_num_in!D15)</f>
        <v>1324.3820391886961</v>
      </c>
      <c r="E15" s="135">
        <f>IF(SER_hh_fec_in!E15=0,0,11630*1000*SER_hh_fec_in!E15/SER_hh_num_in!E15)</f>
        <v>1599.5685727678579</v>
      </c>
      <c r="F15" s="135">
        <f>IF(SER_hh_fec_in!F15=0,0,11630*1000*SER_hh_fec_in!F15/SER_hh_num_in!F15)</f>
        <v>1463.9658199114879</v>
      </c>
      <c r="G15" s="135">
        <f>IF(SER_hh_fec_in!G15=0,0,11630*1000*SER_hh_fec_in!G15/SER_hh_num_in!G15)</f>
        <v>1827.0789233509486</v>
      </c>
      <c r="H15" s="135">
        <f>IF(SER_hh_fec_in!H15=0,0,11630*1000*SER_hh_fec_in!H15/SER_hh_num_in!H15)</f>
        <v>1809.5694525098995</v>
      </c>
      <c r="I15" s="135">
        <f>IF(SER_hh_fec_in!I15=0,0,11630*1000*SER_hh_fec_in!I15/SER_hh_num_in!I15)</f>
        <v>1585.7570184552319</v>
      </c>
      <c r="J15" s="135">
        <f>IF(SER_hh_fec_in!J15=0,0,11630*1000*SER_hh_fec_in!J15/SER_hh_num_in!J15)</f>
        <v>1981.0712671832241</v>
      </c>
      <c r="K15" s="135">
        <f>IF(SER_hh_fec_in!K15=0,0,11630*1000*SER_hh_fec_in!K15/SER_hh_num_in!K15)</f>
        <v>1912.7137442007795</v>
      </c>
      <c r="L15" s="135">
        <f>IF(SER_hh_fec_in!L15=0,0,11630*1000*SER_hh_fec_in!L15/SER_hh_num_in!L15)</f>
        <v>1876.0507794846901</v>
      </c>
      <c r="M15" s="135">
        <f>IF(SER_hh_fec_in!M15=0,0,11630*1000*SER_hh_fec_in!M15/SER_hh_num_in!M15)</f>
        <v>1383.2931308190605</v>
      </c>
      <c r="N15" s="135">
        <f>IF(SER_hh_fec_in!N15=0,0,11630*1000*SER_hh_fec_in!N15/SER_hh_num_in!N15)</f>
        <v>1382.2366882317622</v>
      </c>
      <c r="O15" s="135">
        <f>IF(SER_hh_fec_in!O15=0,0,11630*1000*SER_hh_fec_in!O15/SER_hh_num_in!O15)</f>
        <v>1080.7951542636299</v>
      </c>
      <c r="P15" s="135">
        <f>IF(SER_hh_fec_in!P15=0,0,11630*1000*SER_hh_fec_in!P15/SER_hh_num_in!P15)</f>
        <v>586.63643602903551</v>
      </c>
      <c r="Q15" s="135">
        <f>IF(SER_hh_fec_in!Q15=0,0,11630*1000*SER_hh_fec_in!Q15/SER_hh_num_in!Q15)</f>
        <v>559.48966551586216</v>
      </c>
      <c r="R15" s="135">
        <f>IF(SER_hh_fec_in!R15=0,0,11630*1000*SER_hh_fec_in!R15/SER_hh_num_in!R15)</f>
        <v>1092.4976874267156</v>
      </c>
      <c r="S15" s="135">
        <f>IF(SER_hh_fec_in!S15=0,0,11630*1000*SER_hh_fec_in!S15/SER_hh_num_in!S15)</f>
        <v>1382.6589690380222</v>
      </c>
      <c r="T15" s="135">
        <f>IF(SER_hh_fec_in!T15=0,0,11630*1000*SER_hh_fec_in!T15/SER_hh_num_in!T15)</f>
        <v>1471.8539191214229</v>
      </c>
      <c r="U15" s="135">
        <f>IF(SER_hh_fec_in!U15=0,0,11630*1000*SER_hh_fec_in!U15/SER_hh_num_in!U15)</f>
        <v>1269.2709136409535</v>
      </c>
      <c r="V15" s="135">
        <f>IF(SER_hh_fec_in!V15=0,0,11630*1000*SER_hh_fec_in!V15/SER_hh_num_in!V15)</f>
        <v>1062.5356831114582</v>
      </c>
      <c r="W15" s="135">
        <f>IF(SER_hh_fec_in!W15=0,0,11630*1000*SER_hh_fec_in!W15/SER_hh_num_in!W15)</f>
        <v>782.39565165273928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10609.279175089419</v>
      </c>
      <c r="D16" s="131">
        <f>IF(SER_hh_fec_in!D16=0,0,11630*1000*SER_hh_fec_in!D16/SER_hh_num_in!D16)</f>
        <v>8949.2819919342601</v>
      </c>
      <c r="E16" s="131">
        <f>IF(SER_hh_fec_in!E16=0,0,11630*1000*SER_hh_fec_in!E16/SER_hh_num_in!E16)</f>
        <v>20113.794055025723</v>
      </c>
      <c r="F16" s="131">
        <f>IF(SER_hh_fec_in!F16=0,0,11630*1000*SER_hh_fec_in!F16/SER_hh_num_in!F16)</f>
        <v>8730.7474213510322</v>
      </c>
      <c r="G16" s="131">
        <f>IF(SER_hh_fec_in!G16=0,0,11630*1000*SER_hh_fec_in!G16/SER_hh_num_in!G16)</f>
        <v>8406.2917231738629</v>
      </c>
      <c r="H16" s="131">
        <f>IF(SER_hh_fec_in!H16=0,0,11630*1000*SER_hh_fec_in!H16/SER_hh_num_in!H16)</f>
        <v>9543.4570389287237</v>
      </c>
      <c r="I16" s="131">
        <f>IF(SER_hh_fec_in!I16=0,0,11630*1000*SER_hh_fec_in!I16/SER_hh_num_in!I16)</f>
        <v>8455.5083948719093</v>
      </c>
      <c r="J16" s="131">
        <f>IF(SER_hh_fec_in!J16=0,0,11630*1000*SER_hh_fec_in!J16/SER_hh_num_in!J16)</f>
        <v>9568.0653865548229</v>
      </c>
      <c r="K16" s="131">
        <f>IF(SER_hh_fec_in!K16=0,0,11630*1000*SER_hh_fec_in!K16/SER_hh_num_in!K16)</f>
        <v>9455.4858654711461</v>
      </c>
      <c r="L16" s="131">
        <f>IF(SER_hh_fec_in!L16=0,0,11630*1000*SER_hh_fec_in!L16/SER_hh_num_in!L16)</f>
        <v>7332.9518766215424</v>
      </c>
      <c r="M16" s="131">
        <f>IF(SER_hh_fec_in!M16=0,0,11630*1000*SER_hh_fec_in!M16/SER_hh_num_in!M16)</f>
        <v>7539.8050220867808</v>
      </c>
      <c r="N16" s="131">
        <f>IF(SER_hh_fec_in!N16=0,0,11630*1000*SER_hh_fec_in!N16/SER_hh_num_in!N16)</f>
        <v>11234.807851852478</v>
      </c>
      <c r="O16" s="131">
        <f>IF(SER_hh_fec_in!O16=0,0,11630*1000*SER_hh_fec_in!O16/SER_hh_num_in!O16)</f>
        <v>6302.0978708035236</v>
      </c>
      <c r="P16" s="131">
        <f>IF(SER_hh_fec_in!P16=0,0,11630*1000*SER_hh_fec_in!P16/SER_hh_num_in!P16)</f>
        <v>5085.8598313855955</v>
      </c>
      <c r="Q16" s="131">
        <f>IF(SER_hh_fec_in!Q16=0,0,11630*1000*SER_hh_fec_in!Q16/SER_hh_num_in!Q16)</f>
        <v>8491.8280278929014</v>
      </c>
      <c r="R16" s="131">
        <f>IF(SER_hh_fec_in!R16=0,0,11630*1000*SER_hh_fec_in!R16/SER_hh_num_in!R16)</f>
        <v>5282.7984181724833</v>
      </c>
      <c r="S16" s="131">
        <f>IF(SER_hh_fec_in!S16=0,0,11630*1000*SER_hh_fec_in!S16/SER_hh_num_in!S16)</f>
        <v>7524.950424476634</v>
      </c>
      <c r="T16" s="131">
        <f>IF(SER_hh_fec_in!T16=0,0,11630*1000*SER_hh_fec_in!T16/SER_hh_num_in!T16)</f>
        <v>5360.0030335977954</v>
      </c>
      <c r="U16" s="131">
        <f>IF(SER_hh_fec_in!U16=0,0,11630*1000*SER_hh_fec_in!U16/SER_hh_num_in!U16)</f>
        <v>6701.0413222680145</v>
      </c>
      <c r="V16" s="131">
        <f>IF(SER_hh_fec_in!V16=0,0,11630*1000*SER_hh_fec_in!V16/SER_hh_num_in!V16)</f>
        <v>4717.1115434526537</v>
      </c>
      <c r="W16" s="131">
        <f>IF(SER_hh_fec_in!W16=0,0,11630*1000*SER_hh_fec_in!W16/SER_hh_num_in!W16)</f>
        <v>4904.6005967163237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19338.776886827913</v>
      </c>
      <c r="D17" s="133">
        <f>IF(SER_hh_fec_in!D17=0,0,11630*1000*SER_hh_fec_in!D17/SER_hh_num_in!D17)</f>
        <v>16847.089343679574</v>
      </c>
      <c r="E17" s="133">
        <f>IF(SER_hh_fec_in!E17=0,0,11630*1000*SER_hh_fec_in!E17/SER_hh_num_in!E17)</f>
        <v>38818.277825912126</v>
      </c>
      <c r="F17" s="133">
        <f>IF(SER_hh_fec_in!F17=0,0,11630*1000*SER_hh_fec_in!F17/SER_hh_num_in!F17)</f>
        <v>17317.069422371831</v>
      </c>
      <c r="G17" s="133">
        <f>IF(SER_hh_fec_in!G17=0,0,11630*1000*SER_hh_fec_in!G17/SER_hh_num_in!G17)</f>
        <v>17184.618339929246</v>
      </c>
      <c r="H17" s="133">
        <f>IF(SER_hh_fec_in!H17=0,0,11630*1000*SER_hh_fec_in!H17/SER_hh_num_in!H17)</f>
        <v>20027.035732292159</v>
      </c>
      <c r="I17" s="133">
        <f>IF(SER_hh_fec_in!I17=0,0,11630*1000*SER_hh_fec_in!I17/SER_hh_num_in!I17)</f>
        <v>18229.420016459026</v>
      </c>
      <c r="J17" s="133">
        <f>IF(SER_hh_fec_in!J17=0,0,11630*1000*SER_hh_fec_in!J17/SER_hh_num_in!J17)</f>
        <v>21119.563842942254</v>
      </c>
      <c r="K17" s="133">
        <f>IF(SER_hh_fec_in!K17=0,0,11630*1000*SER_hh_fec_in!K17/SER_hh_num_in!K17)</f>
        <v>21250.685023370243</v>
      </c>
      <c r="L17" s="133">
        <f>IF(SER_hh_fec_in!L17=0,0,11630*1000*SER_hh_fec_in!L17/SER_hh_num_in!L17)</f>
        <v>16965.605224281611</v>
      </c>
      <c r="M17" s="133">
        <f>IF(SER_hh_fec_in!M17=0,0,11630*1000*SER_hh_fec_in!M17/SER_hh_num_in!M17)</f>
        <v>17979.995382835601</v>
      </c>
      <c r="N17" s="133">
        <f>IF(SER_hh_fec_in!N17=0,0,11630*1000*SER_hh_fec_in!N17/SER_hh_num_in!N17)</f>
        <v>27513.991377622719</v>
      </c>
      <c r="O17" s="133">
        <f>IF(SER_hh_fec_in!O17=0,0,11630*1000*SER_hh_fec_in!O17/SER_hh_num_in!O17)</f>
        <v>15694.741323127071</v>
      </c>
      <c r="P17" s="133">
        <f>IF(SER_hh_fec_in!P17=0,0,11630*1000*SER_hh_fec_in!P17/SER_hh_num_in!P17)</f>
        <v>12979.807093369393</v>
      </c>
      <c r="Q17" s="133">
        <f>IF(SER_hh_fec_in!Q17=0,0,11630*1000*SER_hh_fec_in!Q17/SER_hh_num_in!Q17)</f>
        <v>21965.769190954888</v>
      </c>
      <c r="R17" s="133">
        <f>IF(SER_hh_fec_in!R17=0,0,11630*1000*SER_hh_fec_in!R17/SER_hh_num_in!R17)</f>
        <v>13602.026658824163</v>
      </c>
      <c r="S17" s="133">
        <f>IF(SER_hh_fec_in!S17=0,0,11630*1000*SER_hh_fec_in!S17/SER_hh_num_in!S17)</f>
        <v>19474.050198528872</v>
      </c>
      <c r="T17" s="133">
        <f>IF(SER_hh_fec_in!T17=0,0,11630*1000*SER_hh_fec_in!T17/SER_hh_num_in!T17)</f>
        <v>13899.799362896196</v>
      </c>
      <c r="U17" s="133">
        <f>IF(SER_hh_fec_in!U17=0,0,11630*1000*SER_hh_fec_in!U17/SER_hh_num_in!U17)</f>
        <v>17010.312028626809</v>
      </c>
      <c r="V17" s="133">
        <f>IF(SER_hh_fec_in!V17=0,0,11630*1000*SER_hh_fec_in!V17/SER_hh_num_in!V17)</f>
        <v>11354.309485344209</v>
      </c>
      <c r="W17" s="133">
        <f>IF(SER_hh_fec_in!W17=0,0,11630*1000*SER_hh_fec_in!W17/SER_hh_num_in!W17)</f>
        <v>11903.884423580899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10548.885274547563</v>
      </c>
      <c r="D18" s="133">
        <f>IF(SER_hh_fec_in!D18=0,0,11630*1000*SER_hh_fec_in!D18/SER_hh_num_in!D18)</f>
        <v>8933.2463295373273</v>
      </c>
      <c r="E18" s="133">
        <f>IF(SER_hh_fec_in!E18=0,0,11630*1000*SER_hh_fec_in!E18/SER_hh_num_in!E18)</f>
        <v>19984.071887153354</v>
      </c>
      <c r="F18" s="133">
        <f>IF(SER_hh_fec_in!F18=0,0,11630*1000*SER_hh_fec_in!F18/SER_hh_num_in!F18)</f>
        <v>8664.8523542115508</v>
      </c>
      <c r="G18" s="133">
        <f>IF(SER_hh_fec_in!G18=0,0,11630*1000*SER_hh_fec_in!G18/SER_hh_num_in!G18)</f>
        <v>8362.413569573835</v>
      </c>
      <c r="H18" s="133">
        <f>IF(SER_hh_fec_in!H18=0,0,11630*1000*SER_hh_fec_in!H18/SER_hh_num_in!H18)</f>
        <v>9472.526919032056</v>
      </c>
      <c r="I18" s="133">
        <f>IF(SER_hh_fec_in!I18=0,0,11630*1000*SER_hh_fec_in!I18/SER_hh_num_in!I18)</f>
        <v>8391.1023884689384</v>
      </c>
      <c r="J18" s="133">
        <f>IF(SER_hh_fec_in!J18=0,0,11630*1000*SER_hh_fec_in!J18/SER_hh_num_in!J18)</f>
        <v>9467.0106182996751</v>
      </c>
      <c r="K18" s="133">
        <f>IF(SER_hh_fec_in!K18=0,0,11630*1000*SER_hh_fec_in!K18/SER_hh_num_in!K18)</f>
        <v>9276.7712609841183</v>
      </c>
      <c r="L18" s="133">
        <f>IF(SER_hh_fec_in!L18=0,0,11630*1000*SER_hh_fec_in!L18/SER_hh_num_in!L18)</f>
        <v>7208.4376090839496</v>
      </c>
      <c r="M18" s="133">
        <f>IF(SER_hh_fec_in!M18=0,0,11630*1000*SER_hh_fec_in!M18/SER_hh_num_in!M18)</f>
        <v>7426.5878906066155</v>
      </c>
      <c r="N18" s="133">
        <f>IF(SER_hh_fec_in!N18=0,0,11630*1000*SER_hh_fec_in!N18/SER_hh_num_in!N18)</f>
        <v>11056.876641555729</v>
      </c>
      <c r="O18" s="133">
        <f>IF(SER_hh_fec_in!O18=0,0,11630*1000*SER_hh_fec_in!O18/SER_hh_num_in!O18)</f>
        <v>6142.6193093039192</v>
      </c>
      <c r="P18" s="133">
        <f>IF(SER_hh_fec_in!P18=0,0,11630*1000*SER_hh_fec_in!P18/SER_hh_num_in!P18)</f>
        <v>4960.9830751871805</v>
      </c>
      <c r="Q18" s="133">
        <f>IF(SER_hh_fec_in!Q18=0,0,11630*1000*SER_hh_fec_in!Q18/SER_hh_num_in!Q18)</f>
        <v>8289.5837221729416</v>
      </c>
      <c r="R18" s="133">
        <f>IF(SER_hh_fec_in!R18=0,0,11630*1000*SER_hh_fec_in!R18/SER_hh_num_in!R18)</f>
        <v>5115.5290353578112</v>
      </c>
      <c r="S18" s="133">
        <f>IF(SER_hh_fec_in!S18=0,0,11630*1000*SER_hh_fec_in!S18/SER_hh_num_in!S18)</f>
        <v>7337.9406676170747</v>
      </c>
      <c r="T18" s="133">
        <f>IF(SER_hh_fec_in!T18=0,0,11630*1000*SER_hh_fec_in!T18/SER_hh_num_in!T18)</f>
        <v>5225.9535584144169</v>
      </c>
      <c r="U18" s="133">
        <f>IF(SER_hh_fec_in!U18=0,0,11630*1000*SER_hh_fec_in!U18/SER_hh_num_in!U18)</f>
        <v>6524.5144311880695</v>
      </c>
      <c r="V18" s="133">
        <f>IF(SER_hh_fec_in!V18=0,0,11630*1000*SER_hh_fec_in!V18/SER_hh_num_in!V18)</f>
        <v>4564.3514582987837</v>
      </c>
      <c r="W18" s="133">
        <f>IF(SER_hh_fec_in!W18=0,0,11630*1000*SER_hh_fec_in!W18/SER_hh_num_in!W18)</f>
        <v>4810.7669411498509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28519.119742391053</v>
      </c>
      <c r="D19" s="131">
        <f>IF(SER_hh_fec_in!D19=0,0,11630*1000*SER_hh_fec_in!D19/SER_hh_num_in!D19)</f>
        <v>28610.270880220694</v>
      </c>
      <c r="E19" s="131">
        <f>IF(SER_hh_fec_in!E19=0,0,11630*1000*SER_hh_fec_in!E19/SER_hh_num_in!E19)</f>
        <v>28166.140646981607</v>
      </c>
      <c r="F19" s="131">
        <f>IF(SER_hh_fec_in!F19=0,0,11630*1000*SER_hh_fec_in!F19/SER_hh_num_in!F19)</f>
        <v>28706.099082584136</v>
      </c>
      <c r="G19" s="131">
        <f>IF(SER_hh_fec_in!G19=0,0,11630*1000*SER_hh_fec_in!G19/SER_hh_num_in!G19)</f>
        <v>26909.903576074699</v>
      </c>
      <c r="H19" s="131">
        <f>IF(SER_hh_fec_in!H19=0,0,11630*1000*SER_hh_fec_in!H19/SER_hh_num_in!H19)</f>
        <v>27458.739974121996</v>
      </c>
      <c r="I19" s="131">
        <f>IF(SER_hh_fec_in!I19=0,0,11630*1000*SER_hh_fec_in!I19/SER_hh_num_in!I19)</f>
        <v>27079.211045820241</v>
      </c>
      <c r="J19" s="131">
        <f>IF(SER_hh_fec_in!J19=0,0,11630*1000*SER_hh_fec_in!J19/SER_hh_num_in!J19)</f>
        <v>25365.829448965138</v>
      </c>
      <c r="K19" s="131">
        <f>IF(SER_hh_fec_in!K19=0,0,11630*1000*SER_hh_fec_in!K19/SER_hh_num_in!K19)</f>
        <v>24187.164801475432</v>
      </c>
      <c r="L19" s="131">
        <f>IF(SER_hh_fec_in!L19=0,0,11630*1000*SER_hh_fec_in!L19/SER_hh_num_in!L19)</f>
        <v>23852.923154694337</v>
      </c>
      <c r="M19" s="131">
        <f>IF(SER_hh_fec_in!M19=0,0,11630*1000*SER_hh_fec_in!M19/SER_hh_num_in!M19)</f>
        <v>26219.649580025311</v>
      </c>
      <c r="N19" s="131">
        <f>IF(SER_hh_fec_in!N19=0,0,11630*1000*SER_hh_fec_in!N19/SER_hh_num_in!N19)</f>
        <v>24915.354261032455</v>
      </c>
      <c r="O19" s="131">
        <f>IF(SER_hh_fec_in!O19=0,0,11630*1000*SER_hh_fec_in!O19/SER_hh_num_in!O19)</f>
        <v>24419.84466998401</v>
      </c>
      <c r="P19" s="131">
        <f>IF(SER_hh_fec_in!P19=0,0,11630*1000*SER_hh_fec_in!P19/SER_hh_num_in!P19)</f>
        <v>23743.918057573937</v>
      </c>
      <c r="Q19" s="131">
        <f>IF(SER_hh_fec_in!Q19=0,0,11630*1000*SER_hh_fec_in!Q19/SER_hh_num_in!Q19)</f>
        <v>24516.59281124048</v>
      </c>
      <c r="R19" s="131">
        <f>IF(SER_hh_fec_in!R19=0,0,11630*1000*SER_hh_fec_in!R19/SER_hh_num_in!R19)</f>
        <v>23254.987924205718</v>
      </c>
      <c r="S19" s="131">
        <f>IF(SER_hh_fec_in!S19=0,0,11630*1000*SER_hh_fec_in!S19/SER_hh_num_in!S19)</f>
        <v>22477.622578332888</v>
      </c>
      <c r="T19" s="131">
        <f>IF(SER_hh_fec_in!T19=0,0,11630*1000*SER_hh_fec_in!T19/SER_hh_num_in!T19)</f>
        <v>21863.921733566636</v>
      </c>
      <c r="U19" s="131">
        <f>IF(SER_hh_fec_in!U19=0,0,11630*1000*SER_hh_fec_in!U19/SER_hh_num_in!U19)</f>
        <v>20278.377556254349</v>
      </c>
      <c r="V19" s="131">
        <f>IF(SER_hh_fec_in!V19=0,0,11630*1000*SER_hh_fec_in!V19/SER_hh_num_in!V19)</f>
        <v>18318.101736761659</v>
      </c>
      <c r="W19" s="131">
        <f>IF(SER_hh_fec_in!W19=0,0,11630*1000*SER_hh_fec_in!W19/SER_hh_num_in!W19)</f>
        <v>19269.117202622256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32478.543287278051</v>
      </c>
      <c r="D21" s="133">
        <f>IF(SER_hh_fec_in!D21=0,0,11630*1000*SER_hh_fec_in!D21/SER_hh_num_in!D21)</f>
        <v>31877.488191966524</v>
      </c>
      <c r="E21" s="133">
        <f>IF(SER_hh_fec_in!E21=0,0,11630*1000*SER_hh_fec_in!E21/SER_hh_num_in!E21)</f>
        <v>31013.908877762777</v>
      </c>
      <c r="F21" s="133">
        <f>IF(SER_hh_fec_in!F21=0,0,11630*1000*SER_hh_fec_in!F21/SER_hh_num_in!F21)</f>
        <v>31359.863906796865</v>
      </c>
      <c r="G21" s="133">
        <f>IF(SER_hh_fec_in!G21=0,0,11630*1000*SER_hh_fec_in!G21/SER_hh_num_in!G21)</f>
        <v>30728.577478483319</v>
      </c>
      <c r="H21" s="133">
        <f>IF(SER_hh_fec_in!H21=0,0,11630*1000*SER_hh_fec_in!H21/SER_hh_num_in!H21)</f>
        <v>32050.67671335012</v>
      </c>
      <c r="I21" s="133">
        <f>IF(SER_hh_fec_in!I21=0,0,11630*1000*SER_hh_fec_in!I21/SER_hh_num_in!I21)</f>
        <v>29812.987499014973</v>
      </c>
      <c r="J21" s="133">
        <f>IF(SER_hh_fec_in!J21=0,0,11630*1000*SER_hh_fec_in!J21/SER_hh_num_in!J21)</f>
        <v>28778.938593857143</v>
      </c>
      <c r="K21" s="133">
        <f>IF(SER_hh_fec_in!K21=0,0,11630*1000*SER_hh_fec_in!K21/SER_hh_num_in!K21)</f>
        <v>27082.738539544611</v>
      </c>
      <c r="L21" s="133">
        <f>IF(SER_hh_fec_in!L21=0,0,11630*1000*SER_hh_fec_in!L21/SER_hh_num_in!L21)</f>
        <v>26453.867961604905</v>
      </c>
      <c r="M21" s="133">
        <f>IF(SER_hh_fec_in!M21=0,0,11630*1000*SER_hh_fec_in!M21/SER_hh_num_in!M21)</f>
        <v>31675.197138069863</v>
      </c>
      <c r="N21" s="133">
        <f>IF(SER_hh_fec_in!N21=0,0,11630*1000*SER_hh_fec_in!N21/SER_hh_num_in!N21)</f>
        <v>28573.720250027825</v>
      </c>
      <c r="O21" s="133">
        <f>IF(SER_hh_fec_in!O21=0,0,11630*1000*SER_hh_fec_in!O21/SER_hh_num_in!O21)</f>
        <v>29359.231640926027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26113.670977281578</v>
      </c>
      <c r="S21" s="133">
        <f>IF(SER_hh_fec_in!S21=0,0,11630*1000*SER_hh_fec_in!S21/SER_hh_num_in!S21)</f>
        <v>25313.045702936062</v>
      </c>
      <c r="T21" s="133">
        <f>IF(SER_hh_fec_in!T21=0,0,11630*1000*SER_hh_fec_in!T21/SER_hh_num_in!T21)</f>
        <v>22962.181491559939</v>
      </c>
      <c r="U21" s="133">
        <f>IF(SER_hh_fec_in!U21=0,0,11630*1000*SER_hh_fec_in!U21/SER_hh_num_in!U21)</f>
        <v>19947.596982524323</v>
      </c>
      <c r="V21" s="133">
        <f>IF(SER_hh_fec_in!V21=0,0,11630*1000*SER_hh_fec_in!V21/SER_hh_num_in!V21)</f>
        <v>19427.947597242448</v>
      </c>
      <c r="W21" s="133">
        <f>IF(SER_hh_fec_in!W21=0,0,11630*1000*SER_hh_fec_in!W21/SER_hh_num_in!W21)</f>
        <v>20626.077674195236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34489.612766679769</v>
      </c>
      <c r="D22" s="133">
        <f>IF(SER_hh_fec_in!D22=0,0,11630*1000*SER_hh_fec_in!D22/SER_hh_num_in!D22)</f>
        <v>0</v>
      </c>
      <c r="E22" s="133">
        <f>IF(SER_hh_fec_in!E22=0,0,11630*1000*SER_hh_fec_in!E22/SER_hh_num_in!E22)</f>
        <v>0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28078.57494084549</v>
      </c>
      <c r="H22" s="133">
        <f>IF(SER_hh_fec_in!H22=0,0,11630*1000*SER_hh_fec_in!H22/SER_hh_num_in!H22)</f>
        <v>33431.072291137578</v>
      </c>
      <c r="I22" s="133">
        <f>IF(SER_hh_fec_in!I22=0,0,11630*1000*SER_hh_fec_in!I22/SER_hh_num_in!I22)</f>
        <v>32852.212201352981</v>
      </c>
      <c r="J22" s="133">
        <f>IF(SER_hh_fec_in!J22=0,0,11630*1000*SER_hh_fec_in!J22/SER_hh_num_in!J22)</f>
        <v>32075.267914615251</v>
      </c>
      <c r="K22" s="133">
        <f>IF(SER_hh_fec_in!K22=0,0,11630*1000*SER_hh_fec_in!K22/SER_hh_num_in!K22)</f>
        <v>30026.484624943259</v>
      </c>
      <c r="L22" s="133">
        <f>IF(SER_hh_fec_in!L22=0,0,11630*1000*SER_hh_fec_in!L22/SER_hh_num_in!L22)</f>
        <v>28308.16792750057</v>
      </c>
      <c r="M22" s="133">
        <f>IF(SER_hh_fec_in!M22=0,0,11630*1000*SER_hh_fec_in!M22/SER_hh_num_in!M22)</f>
        <v>31733.922143815722</v>
      </c>
      <c r="N22" s="133">
        <f>IF(SER_hh_fec_in!N22=0,0,11630*1000*SER_hh_fec_in!N22/SER_hh_num_in!N22)</f>
        <v>30881.240015192947</v>
      </c>
      <c r="O22" s="133">
        <f>IF(SER_hh_fec_in!O22=0,0,11630*1000*SER_hh_fec_in!O22/SER_hh_num_in!O22)</f>
        <v>30770.659157886501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15220.682087182668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31217.524890399691</v>
      </c>
      <c r="D23" s="133">
        <f>IF(SER_hh_fec_in!D23=0,0,11630*1000*SER_hh_fec_in!D23/SER_hh_num_in!D23)</f>
        <v>31156.833813418943</v>
      </c>
      <c r="E23" s="133">
        <f>IF(SER_hh_fec_in!E23=0,0,11630*1000*SER_hh_fec_in!E23/SER_hh_num_in!E23)</f>
        <v>30670.661732705419</v>
      </c>
      <c r="F23" s="133">
        <f>IF(SER_hh_fec_in!F23=0,0,11630*1000*SER_hh_fec_in!F23/SER_hh_num_in!F23)</f>
        <v>30210.811476244777</v>
      </c>
      <c r="G23" s="133">
        <f>IF(SER_hh_fec_in!G23=0,0,11630*1000*SER_hh_fec_in!G23/SER_hh_num_in!G23)</f>
        <v>29405.421086965427</v>
      </c>
      <c r="H23" s="133">
        <f>IF(SER_hh_fec_in!H23=0,0,11630*1000*SER_hh_fec_in!H23/SER_hh_num_in!H23)</f>
        <v>29701.145893404908</v>
      </c>
      <c r="I23" s="133">
        <f>IF(SER_hh_fec_in!I23=0,0,11630*1000*SER_hh_fec_in!I23/SER_hh_num_in!I23)</f>
        <v>29000.027972287178</v>
      </c>
      <c r="J23" s="133">
        <f>IF(SER_hh_fec_in!J23=0,0,11630*1000*SER_hh_fec_in!J23/SER_hh_num_in!J23)</f>
        <v>27783.167997846609</v>
      </c>
      <c r="K23" s="133">
        <f>IF(SER_hh_fec_in!K23=0,0,11630*1000*SER_hh_fec_in!K23/SER_hh_num_in!K23)</f>
        <v>25985.603049265985</v>
      </c>
      <c r="L23" s="133">
        <f>IF(SER_hh_fec_in!L23=0,0,11630*1000*SER_hh_fec_in!L23/SER_hh_num_in!L23)</f>
        <v>25997.083106039077</v>
      </c>
      <c r="M23" s="133">
        <f>IF(SER_hh_fec_in!M23=0,0,11630*1000*SER_hh_fec_in!M23/SER_hh_num_in!M23)</f>
        <v>28422.89501969851</v>
      </c>
      <c r="N23" s="133">
        <f>IF(SER_hh_fec_in!N23=0,0,11630*1000*SER_hh_fec_in!N23/SER_hh_num_in!N23)</f>
        <v>27872.828637416591</v>
      </c>
      <c r="O23" s="133">
        <f>IF(SER_hh_fec_in!O23=0,0,11630*1000*SER_hh_fec_in!O23/SER_hh_num_in!O23)</f>
        <v>27235.85525742075</v>
      </c>
      <c r="P23" s="133">
        <f>IF(SER_hh_fec_in!P23=0,0,11630*1000*SER_hh_fec_in!P23/SER_hh_num_in!P23)</f>
        <v>26272.22956741535</v>
      </c>
      <c r="Q23" s="133">
        <f>IF(SER_hh_fec_in!Q23=0,0,11630*1000*SER_hh_fec_in!Q23/SER_hh_num_in!Q23)</f>
        <v>25389.662797866014</v>
      </c>
      <c r="R23" s="133">
        <f>IF(SER_hh_fec_in!R23=0,0,11630*1000*SER_hh_fec_in!R23/SER_hh_num_in!R23)</f>
        <v>24550.680238953781</v>
      </c>
      <c r="S23" s="133">
        <f>IF(SER_hh_fec_in!S23=0,0,11630*1000*SER_hh_fec_in!S23/SER_hh_num_in!S23)</f>
        <v>22034.279369906286</v>
      </c>
      <c r="T23" s="133">
        <f>IF(SER_hh_fec_in!T23=0,0,11630*1000*SER_hh_fec_in!T23/SER_hh_num_in!T23)</f>
        <v>20875.286568678661</v>
      </c>
      <c r="U23" s="133">
        <f>IF(SER_hh_fec_in!U23=0,0,11630*1000*SER_hh_fec_in!U23/SER_hh_num_in!U23)</f>
        <v>20382.071247071941</v>
      </c>
      <c r="V23" s="133">
        <f>IF(SER_hh_fec_in!V23=0,0,11630*1000*SER_hh_fec_in!V23/SER_hh_num_in!V23)</f>
        <v>19650.41955458801</v>
      </c>
      <c r="W23" s="133">
        <f>IF(SER_hh_fec_in!W23=0,0,11630*1000*SER_hh_fec_in!W23/SER_hh_num_in!W23)</f>
        <v>21797.854637372555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0</v>
      </c>
      <c r="F25" s="133">
        <f>IF(SER_hh_fec_in!F25=0,0,11630*1000*SER_hh_fec_in!F25/SER_hh_num_in!F25)</f>
        <v>32262.225677260783</v>
      </c>
      <c r="G25" s="133">
        <f>IF(SER_hh_fec_in!G25=0,0,11630*1000*SER_hh_fec_in!G25/SER_hh_num_in!G25)</f>
        <v>25249.925760483817</v>
      </c>
      <c r="H25" s="133">
        <f>IF(SER_hh_fec_in!H25=0,0,11630*1000*SER_hh_fec_in!H25/SER_hh_num_in!H25)</f>
        <v>22518.318814815477</v>
      </c>
      <c r="I25" s="133">
        <f>IF(SER_hh_fec_in!I25=0,0,11630*1000*SER_hh_fec_in!I25/SER_hh_num_in!I25)</f>
        <v>20674.327006637617</v>
      </c>
      <c r="J25" s="133">
        <f>IF(SER_hh_fec_in!J25=0,0,11630*1000*SER_hh_fec_in!J25/SER_hh_num_in!J25)</f>
        <v>19645.292357732582</v>
      </c>
      <c r="K25" s="133">
        <f>IF(SER_hh_fec_in!K25=0,0,11630*1000*SER_hh_fec_in!K25/SER_hh_num_in!K25)</f>
        <v>19861.913286701823</v>
      </c>
      <c r="L25" s="133">
        <f>IF(SER_hh_fec_in!L25=0,0,11630*1000*SER_hh_fec_in!L25/SER_hh_num_in!L25)</f>
        <v>20076.897649770508</v>
      </c>
      <c r="M25" s="133">
        <f>IF(SER_hh_fec_in!M25=0,0,11630*1000*SER_hh_fec_in!M25/SER_hh_num_in!M25)</f>
        <v>21317.558725043771</v>
      </c>
      <c r="N25" s="133">
        <f>IF(SER_hh_fec_in!N25=0,0,11630*1000*SER_hh_fec_in!N25/SER_hh_num_in!N25)</f>
        <v>21216.658633339179</v>
      </c>
      <c r="O25" s="133">
        <f>IF(SER_hh_fec_in!O25=0,0,11630*1000*SER_hh_fec_in!O25/SER_hh_num_in!O25)</f>
        <v>22577.569863447581</v>
      </c>
      <c r="P25" s="133">
        <f>IF(SER_hh_fec_in!P25=0,0,11630*1000*SER_hh_fec_in!P25/SER_hh_num_in!P25)</f>
        <v>22557.105203131501</v>
      </c>
      <c r="Q25" s="133">
        <f>IF(SER_hh_fec_in!Q25=0,0,11630*1000*SER_hh_fec_in!Q25/SER_hh_num_in!Q25)</f>
        <v>21731.697305421985</v>
      </c>
      <c r="R25" s="133">
        <f>IF(SER_hh_fec_in!R25=0,0,11630*1000*SER_hh_fec_in!R25/SER_hh_num_in!R25)</f>
        <v>20228.733620768144</v>
      </c>
      <c r="S25" s="133">
        <f>IF(SER_hh_fec_in!S25=0,0,11630*1000*SER_hh_fec_in!S25/SER_hh_num_in!S25)</f>
        <v>19201.603141732674</v>
      </c>
      <c r="T25" s="133">
        <f>IF(SER_hh_fec_in!T25=0,0,11630*1000*SER_hh_fec_in!T25/SER_hh_num_in!T25)</f>
        <v>18605.81613793354</v>
      </c>
      <c r="U25" s="133">
        <f>IF(SER_hh_fec_in!U25=0,0,11630*1000*SER_hh_fec_in!U25/SER_hh_num_in!U25)</f>
        <v>18088.083110304746</v>
      </c>
      <c r="V25" s="133">
        <f>IF(SER_hh_fec_in!V25=0,0,11630*1000*SER_hh_fec_in!V25/SER_hh_num_in!V25)</f>
        <v>17647.844878240703</v>
      </c>
      <c r="W25" s="133">
        <f>IF(SER_hh_fec_in!W25=0,0,11630*1000*SER_hh_fec_in!W25/SER_hh_num_in!W25)</f>
        <v>18895.680452311062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26336.259086596423</v>
      </c>
      <c r="D26" s="65">
        <f>IF(SER_hh_fec_in!D26=0,0,11630*1000*SER_hh_fec_in!D26/SER_hh_num_in!D26)</f>
        <v>26217.566639394692</v>
      </c>
      <c r="E26" s="65">
        <f>IF(SER_hh_fec_in!E26=0,0,11630*1000*SER_hh_fec_in!E26/SER_hh_num_in!E26)</f>
        <v>25159.627298757638</v>
      </c>
      <c r="F26" s="65">
        <f>IF(SER_hh_fec_in!F26=0,0,11630*1000*SER_hh_fec_in!F26/SER_hh_num_in!F26)</f>
        <v>24162.984830586069</v>
      </c>
      <c r="G26" s="65">
        <f>IF(SER_hh_fec_in!G26=0,0,11630*1000*SER_hh_fec_in!G26/SER_hh_num_in!G26)</f>
        <v>16095.88600963673</v>
      </c>
      <c r="H26" s="65">
        <f>IF(SER_hh_fec_in!H26=0,0,11630*1000*SER_hh_fec_in!H26/SER_hh_num_in!H26)</f>
        <v>23542.695194175911</v>
      </c>
      <c r="I26" s="65">
        <f>IF(SER_hh_fec_in!I26=0,0,11630*1000*SER_hh_fec_in!I26/SER_hh_num_in!I26)</f>
        <v>20491.08183573651</v>
      </c>
      <c r="J26" s="65">
        <f>IF(SER_hh_fec_in!J26=0,0,11630*1000*SER_hh_fec_in!J26/SER_hh_num_in!J26)</f>
        <v>9791.7161445265829</v>
      </c>
      <c r="K26" s="65">
        <f>IF(SER_hh_fec_in!K26=0,0,11630*1000*SER_hh_fec_in!K26/SER_hh_num_in!K26)</f>
        <v>4577.1076118832743</v>
      </c>
      <c r="L26" s="65">
        <f>IF(SER_hh_fec_in!L26=0,0,11630*1000*SER_hh_fec_in!L26/SER_hh_num_in!L26)</f>
        <v>4297.3870399903089</v>
      </c>
      <c r="M26" s="65">
        <f>IF(SER_hh_fec_in!M26=0,0,11630*1000*SER_hh_fec_in!M26/SER_hh_num_in!M26)</f>
        <v>18421.154792630801</v>
      </c>
      <c r="N26" s="65">
        <f>IF(SER_hh_fec_in!N26=0,0,11630*1000*SER_hh_fec_in!N26/SER_hh_num_in!N26)</f>
        <v>12724.947258213906</v>
      </c>
      <c r="O26" s="65">
        <f>IF(SER_hh_fec_in!O26=0,0,11630*1000*SER_hh_fec_in!O26/SER_hh_num_in!O26)</f>
        <v>8047.044178131061</v>
      </c>
      <c r="P26" s="65">
        <f>IF(SER_hh_fec_in!P26=0,0,11630*1000*SER_hh_fec_in!P26/SER_hh_num_in!P26)</f>
        <v>12587.806809553891</v>
      </c>
      <c r="Q26" s="65">
        <f>IF(SER_hh_fec_in!Q26=0,0,11630*1000*SER_hh_fec_in!Q26/SER_hh_num_in!Q26)</f>
        <v>23462.47403914302</v>
      </c>
      <c r="R26" s="65">
        <f>IF(SER_hh_fec_in!R26=0,0,11630*1000*SER_hh_fec_in!R26/SER_hh_num_in!R26)</f>
        <v>4660.5098819882032</v>
      </c>
      <c r="S26" s="65">
        <f>IF(SER_hh_fec_in!S26=0,0,11630*1000*SER_hh_fec_in!S26/SER_hh_num_in!S26)</f>
        <v>4081.5838573901124</v>
      </c>
      <c r="T26" s="65">
        <f>IF(SER_hh_fec_in!T26=0,0,11630*1000*SER_hh_fec_in!T26/SER_hh_num_in!T26)</f>
        <v>9928.0341870033571</v>
      </c>
      <c r="U26" s="65">
        <f>IF(SER_hh_fec_in!U26=0,0,11630*1000*SER_hh_fec_in!U26/SER_hh_num_in!U26)</f>
        <v>3879.915318857973</v>
      </c>
      <c r="V26" s="65">
        <f>IF(SER_hh_fec_in!V26=0,0,11630*1000*SER_hh_fec_in!V26/SER_hh_num_in!V26)</f>
        <v>3926.1952262412537</v>
      </c>
      <c r="W26" s="65">
        <f>IF(SER_hh_fec_in!W26=0,0,11630*1000*SER_hh_fec_in!W26/SER_hh_num_in!W26)</f>
        <v>6208.8827360262394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315.62978043997197</v>
      </c>
      <c r="D27" s="146">
        <f>IF(SER_hh_fec_in!D27=0,0,11630*1000*SER_hh_fec_in!D27/SER_hh_num_in!D19)</f>
        <v>559.41956978485666</v>
      </c>
      <c r="E27" s="146">
        <f>IF(SER_hh_fec_in!E27=0,0,11630*1000*SER_hh_fec_in!E27/SER_hh_num_in!E19)</f>
        <v>688.38799296400236</v>
      </c>
      <c r="F27" s="146">
        <f>IF(SER_hh_fec_in!F27=0,0,11630*1000*SER_hh_fec_in!F27/SER_hh_num_in!F19)</f>
        <v>1215.593939913645</v>
      </c>
      <c r="G27" s="146">
        <f>IF(SER_hh_fec_in!G27=0,0,11630*1000*SER_hh_fec_in!G27/SER_hh_num_in!G19)</f>
        <v>3768.8496685977157</v>
      </c>
      <c r="H27" s="146">
        <f>IF(SER_hh_fec_in!H27=0,0,11630*1000*SER_hh_fec_in!H27/SER_hh_num_in!H19)</f>
        <v>1265.5118466389463</v>
      </c>
      <c r="I27" s="146">
        <f>IF(SER_hh_fec_in!I27=0,0,11630*1000*SER_hh_fec_in!I27/SER_hh_num_in!I19)</f>
        <v>3076.8590197649287</v>
      </c>
      <c r="J27" s="146">
        <f>IF(SER_hh_fec_in!J27=0,0,11630*1000*SER_hh_fec_in!J27/SER_hh_num_in!J19)</f>
        <v>6845.1113105377226</v>
      </c>
      <c r="K27" s="146">
        <f>IF(SER_hh_fec_in!K27=0,0,11630*1000*SER_hh_fec_in!K27/SER_hh_num_in!K19)</f>
        <v>8778.7550838925818</v>
      </c>
      <c r="L27" s="146">
        <f>IF(SER_hh_fec_in!L27=0,0,11630*1000*SER_hh_fec_in!L27/SER_hh_num_in!L19)</f>
        <v>9173.4644068549715</v>
      </c>
      <c r="M27" s="146">
        <f>IF(SER_hh_fec_in!M27=0,0,11630*1000*SER_hh_fec_in!M27/SER_hh_num_in!M19)</f>
        <v>2985.7275600710482</v>
      </c>
      <c r="N27" s="146">
        <f>IF(SER_hh_fec_in!N27=0,0,11630*1000*SER_hh_fec_in!N27/SER_hh_num_in!N19)</f>
        <v>4430.1866255726636</v>
      </c>
      <c r="O27" s="146">
        <f>IF(SER_hh_fec_in!O27=0,0,11630*1000*SER_hh_fec_in!O27/SER_hh_num_in!O19)</f>
        <v>6415.6589634497595</v>
      </c>
      <c r="P27" s="146">
        <f>IF(SER_hh_fec_in!P27=0,0,11630*1000*SER_hh_fec_in!P27/SER_hh_num_in!P19)</f>
        <v>5968.8188929053422</v>
      </c>
      <c r="Q27" s="146">
        <f>IF(SER_hh_fec_in!Q27=0,0,11630*1000*SER_hh_fec_in!Q27/SER_hh_num_in!Q19)</f>
        <v>235.74786661512996</v>
      </c>
      <c r="R27" s="146">
        <f>IF(SER_hh_fec_in!R27=0,0,11630*1000*SER_hh_fec_in!R27/SER_hh_num_in!R19)</f>
        <v>6193.8756870011912</v>
      </c>
      <c r="S27" s="146">
        <f>IF(SER_hh_fec_in!S27=0,0,11630*1000*SER_hh_fec_in!S27/SER_hh_num_in!S19)</f>
        <v>7106.5083069964221</v>
      </c>
      <c r="T27" s="146">
        <f>IF(SER_hh_fec_in!T27=0,0,11630*1000*SER_hh_fec_in!T27/SER_hh_num_in!T19)</f>
        <v>6263.2408013491622</v>
      </c>
      <c r="U27" s="146">
        <f>IF(SER_hh_fec_in!U27=0,0,11630*1000*SER_hh_fec_in!U27/SER_hh_num_in!U19)</f>
        <v>7608.7363113652873</v>
      </c>
      <c r="V27" s="146">
        <f>IF(SER_hh_fec_in!V27=0,0,11630*1000*SER_hh_fec_in!V27/SER_hh_num_in!V19)</f>
        <v>7002.9804749189016</v>
      </c>
      <c r="W27" s="146">
        <f>IF(SER_hh_fec_in!W27=0,0,11630*1000*SER_hh_fec_in!W27/SER_hh_num_in!W19)</f>
        <v>6279.4809490584203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15698.947751673646</v>
      </c>
      <c r="D28" s="147">
        <f>IF(SER_hh_fec_in!D27=0,0,11630*1000*SER_hh_fec_in!D27/SER_hh_num_in!D27)</f>
        <v>15371.562278831439</v>
      </c>
      <c r="E28" s="147">
        <f>IF(SER_hh_fec_in!E27=0,0,11630*1000*SER_hh_fec_in!E27/SER_hh_num_in!E27)</f>
        <v>15736.287699250872</v>
      </c>
      <c r="F28" s="147">
        <f>IF(SER_hh_fec_in!F27=0,0,11630*1000*SER_hh_fec_in!F27/SER_hh_num_in!F27)</f>
        <v>15348.113330468563</v>
      </c>
      <c r="G28" s="147">
        <f>IF(SER_hh_fec_in!G27=0,0,11630*1000*SER_hh_fec_in!G27/SER_hh_num_in!G27)</f>
        <v>15661.010208697211</v>
      </c>
      <c r="H28" s="147">
        <f>IF(SER_hh_fec_in!H27=0,0,11630*1000*SER_hh_fec_in!H27/SER_hh_num_in!H27)</f>
        <v>15630.638686846989</v>
      </c>
      <c r="I28" s="147">
        <f>IF(SER_hh_fec_in!I27=0,0,11630*1000*SER_hh_fec_in!I27/SER_hh_num_in!I27)</f>
        <v>15955.163863547148</v>
      </c>
      <c r="J28" s="147">
        <f>IF(SER_hh_fec_in!J27=0,0,11630*1000*SER_hh_fec_in!J27/SER_hh_num_in!J27)</f>
        <v>15042.184214966297</v>
      </c>
      <c r="K28" s="147">
        <f>IF(SER_hh_fec_in!K27=0,0,11630*1000*SER_hh_fec_in!K27/SER_hh_num_in!K27)</f>
        <v>15586.877799885826</v>
      </c>
      <c r="L28" s="147">
        <f>IF(SER_hh_fec_in!L27=0,0,11630*1000*SER_hh_fec_in!L27/SER_hh_num_in!L27)</f>
        <v>15927.443216830034</v>
      </c>
      <c r="M28" s="147">
        <f>IF(SER_hh_fec_in!M27=0,0,11630*1000*SER_hh_fec_in!M27/SER_hh_num_in!M27)</f>
        <v>15596.128745970451</v>
      </c>
      <c r="N28" s="147">
        <f>IF(SER_hh_fec_in!N27=0,0,11630*1000*SER_hh_fec_in!N27/SER_hh_num_in!N27)</f>
        <v>16144.199988172431</v>
      </c>
      <c r="O28" s="147">
        <f>IF(SER_hh_fec_in!O27=0,0,11630*1000*SER_hh_fec_in!O27/SER_hh_num_in!O27)</f>
        <v>16740.782364707302</v>
      </c>
      <c r="P28" s="147">
        <f>IF(SER_hh_fec_in!P27=0,0,11630*1000*SER_hh_fec_in!P27/SER_hh_num_in!P27)</f>
        <v>15369.269678991284</v>
      </c>
      <c r="Q28" s="147">
        <f>IF(SER_hh_fec_in!Q27=0,0,11630*1000*SER_hh_fec_in!Q27/SER_hh_num_in!Q27)</f>
        <v>16550.819338327954</v>
      </c>
      <c r="R28" s="147">
        <f>IF(SER_hh_fec_in!R27=0,0,11630*1000*SER_hh_fec_in!R27/SER_hh_num_in!R27)</f>
        <v>16989.778412785483</v>
      </c>
      <c r="S28" s="147">
        <f>IF(SER_hh_fec_in!S27=0,0,11630*1000*SER_hh_fec_in!S27/SER_hh_num_in!S27)</f>
        <v>16380.331067650537</v>
      </c>
      <c r="T28" s="147">
        <f>IF(SER_hh_fec_in!T27=0,0,11630*1000*SER_hh_fec_in!T27/SER_hh_num_in!T27)</f>
        <v>16816.852517893869</v>
      </c>
      <c r="U28" s="147">
        <f>IF(SER_hh_fec_in!U27=0,0,11630*1000*SER_hh_fec_in!U27/SER_hh_num_in!U27)</f>
        <v>15367.110805565806</v>
      </c>
      <c r="V28" s="147">
        <f>IF(SER_hh_fec_in!V27=0,0,11630*1000*SER_hh_fec_in!V27/SER_hh_num_in!V27)</f>
        <v>14220.918051962619</v>
      </c>
      <c r="W28" s="147">
        <f>IF(SER_hh_fec_in!W27=0,0,11630*1000*SER_hh_fec_in!W27/SER_hh_num_in!W27)</f>
        <v>14230.971954484095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27160.937716614848</v>
      </c>
      <c r="D29" s="131">
        <f>IF(SER_hh_fec_in!D29=0,0,11630*1000*SER_hh_fec_in!D29/SER_hh_num_in!D29)</f>
        <v>23578.779994380711</v>
      </c>
      <c r="E29" s="131">
        <f>IF(SER_hh_fec_in!E29=0,0,11630*1000*SER_hh_fec_in!E29/SER_hh_num_in!E29)</f>
        <v>26511.510963338547</v>
      </c>
      <c r="F29" s="131">
        <f>IF(SER_hh_fec_in!F29=0,0,11630*1000*SER_hh_fec_in!F29/SER_hh_num_in!F29)</f>
        <v>27556.400403268224</v>
      </c>
      <c r="G29" s="131">
        <f>IF(SER_hh_fec_in!G29=0,0,11630*1000*SER_hh_fec_in!G29/SER_hh_num_in!G29)</f>
        <v>30394.130566982221</v>
      </c>
      <c r="H29" s="131">
        <f>IF(SER_hh_fec_in!H29=0,0,11630*1000*SER_hh_fec_in!H29/SER_hh_num_in!H29)</f>
        <v>30123.316196508975</v>
      </c>
      <c r="I29" s="131">
        <f>IF(SER_hh_fec_in!I29=0,0,11630*1000*SER_hh_fec_in!I29/SER_hh_num_in!I29)</f>
        <v>33143.632305479623</v>
      </c>
      <c r="J29" s="131">
        <f>IF(SER_hh_fec_in!J29=0,0,11630*1000*SER_hh_fec_in!J29/SER_hh_num_in!J29)</f>
        <v>31729.21568716129</v>
      </c>
      <c r="K29" s="131">
        <f>IF(SER_hh_fec_in!K29=0,0,11630*1000*SER_hh_fec_in!K29/SER_hh_num_in!K29)</f>
        <v>33896.040186631668</v>
      </c>
      <c r="L29" s="131">
        <f>IF(SER_hh_fec_in!L29=0,0,11630*1000*SER_hh_fec_in!L29/SER_hh_num_in!L29)</f>
        <v>33125.280082026984</v>
      </c>
      <c r="M29" s="131">
        <f>IF(SER_hh_fec_in!M29=0,0,11630*1000*SER_hh_fec_in!M29/SER_hh_num_in!M29)</f>
        <v>32023.642245192288</v>
      </c>
      <c r="N29" s="131">
        <f>IF(SER_hh_fec_in!N29=0,0,11630*1000*SER_hh_fec_in!N29/SER_hh_num_in!N29)</f>
        <v>31767.077265279884</v>
      </c>
      <c r="O29" s="131">
        <f>IF(SER_hh_fec_in!O29=0,0,11630*1000*SER_hh_fec_in!O29/SER_hh_num_in!O29)</f>
        <v>32038.255808022077</v>
      </c>
      <c r="P29" s="131">
        <f>IF(SER_hh_fec_in!P29=0,0,11630*1000*SER_hh_fec_in!P29/SER_hh_num_in!P29)</f>
        <v>33633.014630087178</v>
      </c>
      <c r="Q29" s="131">
        <f>IF(SER_hh_fec_in!Q29=0,0,11630*1000*SER_hh_fec_in!Q29/SER_hh_num_in!Q29)</f>
        <v>33070.074013567857</v>
      </c>
      <c r="R29" s="131">
        <f>IF(SER_hh_fec_in!R29=0,0,11630*1000*SER_hh_fec_in!R29/SER_hh_num_in!R29)</f>
        <v>33230.152795083312</v>
      </c>
      <c r="S29" s="131">
        <f>IF(SER_hh_fec_in!S29=0,0,11630*1000*SER_hh_fec_in!S29/SER_hh_num_in!S29)</f>
        <v>33256.115418223984</v>
      </c>
      <c r="T29" s="131">
        <f>IF(SER_hh_fec_in!T29=0,0,11630*1000*SER_hh_fec_in!T29/SER_hh_num_in!T29)</f>
        <v>33017.177061708702</v>
      </c>
      <c r="U29" s="131">
        <f>IF(SER_hh_fec_in!U29=0,0,11630*1000*SER_hh_fec_in!U29/SER_hh_num_in!U29)</f>
        <v>33743.782140011863</v>
      </c>
      <c r="V29" s="131">
        <f>IF(SER_hh_fec_in!V29=0,0,11630*1000*SER_hh_fec_in!V29/SER_hh_num_in!V29)</f>
        <v>30864.74232595192</v>
      </c>
      <c r="W29" s="131">
        <f>IF(SER_hh_fec_in!W29=0,0,11630*1000*SER_hh_fec_in!W29/SER_hh_num_in!W29)</f>
        <v>31803.508219896834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31191.346541963463</v>
      </c>
      <c r="D30" s="133">
        <f>IF(SER_hh_fec_in!D30=0,0,11630*1000*SER_hh_fec_in!D30/SER_hh_num_in!D30)</f>
        <v>32210.755381800271</v>
      </c>
      <c r="E30" s="133">
        <f>IF(SER_hh_fec_in!E30=0,0,11630*1000*SER_hh_fec_in!E30/SER_hh_num_in!E30)</f>
        <v>32853.212729486404</v>
      </c>
      <c r="F30" s="133">
        <f>IF(SER_hh_fec_in!F30=0,0,11630*1000*SER_hh_fec_in!F30/SER_hh_num_in!F30)</f>
        <v>33416.480247110587</v>
      </c>
      <c r="G30" s="133">
        <f>IF(SER_hh_fec_in!G30=0,0,11630*1000*SER_hh_fec_in!G30/SER_hh_num_in!G30)</f>
        <v>33838.370067683703</v>
      </c>
      <c r="H30" s="133">
        <f>IF(SER_hh_fec_in!H30=0,0,11630*1000*SER_hh_fec_in!H30/SER_hh_num_in!H30)</f>
        <v>32791.637554532237</v>
      </c>
      <c r="I30" s="133">
        <f>IF(SER_hh_fec_in!I30=0,0,11630*1000*SER_hh_fec_in!I30/SER_hh_num_in!I30)</f>
        <v>36874.202166114155</v>
      </c>
      <c r="J30" s="133">
        <f>IF(SER_hh_fec_in!J30=0,0,11630*1000*SER_hh_fec_in!J30/SER_hh_num_in!J30)</f>
        <v>27880.059631476794</v>
      </c>
      <c r="K30" s="133">
        <f>IF(SER_hh_fec_in!K30=0,0,11630*1000*SER_hh_fec_in!K30/SER_hh_num_in!K30)</f>
        <v>36536.841613070595</v>
      </c>
      <c r="L30" s="133">
        <f>IF(SER_hh_fec_in!L30=0,0,11630*1000*SER_hh_fec_in!L30/SER_hh_num_in!L30)</f>
        <v>36774.373570818818</v>
      </c>
      <c r="M30" s="133">
        <f>IF(SER_hh_fec_in!M30=0,0,11630*1000*SER_hh_fec_in!M30/SER_hh_num_in!M30)</f>
        <v>37375.744278481267</v>
      </c>
      <c r="N30" s="133">
        <f>IF(SER_hh_fec_in!N30=0,0,11630*1000*SER_hh_fec_in!N30/SER_hh_num_in!N30)</f>
        <v>32832.592746988194</v>
      </c>
      <c r="O30" s="133">
        <f>IF(SER_hh_fec_in!O30=0,0,11630*1000*SER_hh_fec_in!O30/SER_hh_num_in!O30)</f>
        <v>35032.432185997794</v>
      </c>
      <c r="P30" s="133">
        <f>IF(SER_hh_fec_in!P30=0,0,11630*1000*SER_hh_fec_in!P30/SER_hh_num_in!P30)</f>
        <v>38464.035784632157</v>
      </c>
      <c r="Q30" s="133">
        <f>IF(SER_hh_fec_in!Q30=0,0,11630*1000*SER_hh_fec_in!Q30/SER_hh_num_in!Q30)</f>
        <v>37074.938698617167</v>
      </c>
      <c r="R30" s="133">
        <f>IF(SER_hh_fec_in!R30=0,0,11630*1000*SER_hh_fec_in!R30/SER_hh_num_in!R30)</f>
        <v>36859.106419588454</v>
      </c>
      <c r="S30" s="133">
        <f>IF(SER_hh_fec_in!S30=0,0,11630*1000*SER_hh_fec_in!S30/SER_hh_num_in!S30)</f>
        <v>37313.851044432289</v>
      </c>
      <c r="T30" s="133">
        <f>IF(SER_hh_fec_in!T30=0,0,11630*1000*SER_hh_fec_in!T30/SER_hh_num_in!T30)</f>
        <v>36520.039948591504</v>
      </c>
      <c r="U30" s="133">
        <f>IF(SER_hh_fec_in!U30=0,0,11630*1000*SER_hh_fec_in!U30/SER_hh_num_in!U30)</f>
        <v>34716.988189770382</v>
      </c>
      <c r="V30" s="133">
        <f>IF(SER_hh_fec_in!V30=0,0,11630*1000*SER_hh_fec_in!V30/SER_hh_num_in!V30)</f>
        <v>34923.133509697494</v>
      </c>
      <c r="W30" s="133">
        <f>IF(SER_hh_fec_in!W30=0,0,11630*1000*SER_hh_fec_in!W30/SER_hh_num_in!W30)</f>
        <v>34649.907626284548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31825.189652207941</v>
      </c>
      <c r="D31" s="133">
        <f>IF(SER_hh_fec_in!D31=0,0,11630*1000*SER_hh_fec_in!D31/SER_hh_num_in!D31)</f>
        <v>32410.13124458948</v>
      </c>
      <c r="E31" s="133">
        <f>IF(SER_hh_fec_in!E31=0,0,11630*1000*SER_hh_fec_in!E31/SER_hh_num_in!E31)</f>
        <v>29582.755126211643</v>
      </c>
      <c r="F31" s="133">
        <f>IF(SER_hh_fec_in!F31=0,0,11630*1000*SER_hh_fec_in!F31/SER_hh_num_in!F31)</f>
        <v>30183.680258404009</v>
      </c>
      <c r="G31" s="133">
        <f>IF(SER_hh_fec_in!G31=0,0,11630*1000*SER_hh_fec_in!G31/SER_hh_num_in!G31)</f>
        <v>34559.193783004303</v>
      </c>
      <c r="H31" s="133">
        <f>IF(SER_hh_fec_in!H31=0,0,11630*1000*SER_hh_fec_in!H31/SER_hh_num_in!H31)</f>
        <v>31847.544894637562</v>
      </c>
      <c r="I31" s="133">
        <f>IF(SER_hh_fec_in!I31=0,0,11630*1000*SER_hh_fec_in!I31/SER_hh_num_in!I31)</f>
        <v>34487.001710203956</v>
      </c>
      <c r="J31" s="133">
        <f>IF(SER_hh_fec_in!J31=0,0,11630*1000*SER_hh_fec_in!J31/SER_hh_num_in!J31)</f>
        <v>33864.948490279057</v>
      </c>
      <c r="K31" s="133">
        <f>IF(SER_hh_fec_in!K31=0,0,11630*1000*SER_hh_fec_in!K31/SER_hh_num_in!K31)</f>
        <v>35398.329177409607</v>
      </c>
      <c r="L31" s="133">
        <f>IF(SER_hh_fec_in!L31=0,0,11630*1000*SER_hh_fec_in!L31/SER_hh_num_in!L31)</f>
        <v>35203.725608302586</v>
      </c>
      <c r="M31" s="133">
        <f>IF(SER_hh_fec_in!M31=0,0,11630*1000*SER_hh_fec_in!M31/SER_hh_num_in!M31)</f>
        <v>35047.49703957553</v>
      </c>
      <c r="N31" s="133">
        <f>IF(SER_hh_fec_in!N31=0,0,11630*1000*SER_hh_fec_in!N31/SER_hh_num_in!N31)</f>
        <v>35245.874210556198</v>
      </c>
      <c r="O31" s="133">
        <f>IF(SER_hh_fec_in!O31=0,0,11630*1000*SER_hh_fec_in!O31/SER_hh_num_in!O31)</f>
        <v>35380.09587480357</v>
      </c>
      <c r="P31" s="133">
        <f>IF(SER_hh_fec_in!P31=0,0,11630*1000*SER_hh_fec_in!P31/SER_hh_num_in!P31)</f>
        <v>36816.616429542242</v>
      </c>
      <c r="Q31" s="133">
        <f>IF(SER_hh_fec_in!Q31=0,0,11630*1000*SER_hh_fec_in!Q31/SER_hh_num_in!Q31)</f>
        <v>36409.019644965883</v>
      </c>
      <c r="R31" s="133">
        <f>IF(SER_hh_fec_in!R31=0,0,11630*1000*SER_hh_fec_in!R31/SER_hh_num_in!R31)</f>
        <v>37207.077335464077</v>
      </c>
      <c r="S31" s="133">
        <f>IF(SER_hh_fec_in!S31=0,0,11630*1000*SER_hh_fec_in!S31/SER_hh_num_in!S31)</f>
        <v>36857.498687259729</v>
      </c>
      <c r="T31" s="133">
        <f>IF(SER_hh_fec_in!T31=0,0,11630*1000*SER_hh_fec_in!T31/SER_hh_num_in!T31)</f>
        <v>33876.959462612598</v>
      </c>
      <c r="U31" s="133">
        <f>IF(SER_hh_fec_in!U31=0,0,11630*1000*SER_hh_fec_in!U31/SER_hh_num_in!U31)</f>
        <v>36779.745959492742</v>
      </c>
      <c r="V31" s="133">
        <f>IF(SER_hh_fec_in!V31=0,0,11630*1000*SER_hh_fec_in!V31/SER_hh_num_in!V31)</f>
        <v>32527.826219634848</v>
      </c>
      <c r="W31" s="133">
        <f>IF(SER_hh_fec_in!W31=0,0,11630*1000*SER_hh_fec_in!W31/SER_hh_num_in!W31)</f>
        <v>33410.830458915909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21981.33770412792</v>
      </c>
      <c r="D33" s="68">
        <f>IF(SER_hh_fec_in!D33=0,0,11630*1000*SER_hh_fec_in!D33/SER_hh_num_in!D33)</f>
        <v>21828.898668857801</v>
      </c>
      <c r="E33" s="68">
        <f>IF(SER_hh_fec_in!E33=0,0,11630*1000*SER_hh_fec_in!E33/SER_hh_num_in!E33)</f>
        <v>25586.21778780796</v>
      </c>
      <c r="F33" s="68">
        <f>IF(SER_hh_fec_in!F33=0,0,11630*1000*SER_hh_fec_in!F33/SER_hh_num_in!F33)</f>
        <v>26206.713391766563</v>
      </c>
      <c r="G33" s="68">
        <f>IF(SER_hh_fec_in!G33=0,0,11630*1000*SER_hh_fec_in!G33/SER_hh_num_in!G33)</f>
        <v>24682.133000002912</v>
      </c>
      <c r="H33" s="68">
        <f>IF(SER_hh_fec_in!H33=0,0,11630*1000*SER_hh_fec_in!H33/SER_hh_num_in!H33)</f>
        <v>26568.45408650078</v>
      </c>
      <c r="I33" s="68">
        <f>IF(SER_hh_fec_in!I33=0,0,11630*1000*SER_hh_fec_in!I33/SER_hh_num_in!I33)</f>
        <v>24246.330170417041</v>
      </c>
      <c r="J33" s="68">
        <f>IF(SER_hh_fec_in!J33=0,0,11630*1000*SER_hh_fec_in!J33/SER_hh_num_in!J33)</f>
        <v>27624.98637717056</v>
      </c>
      <c r="K33" s="68">
        <f>IF(SER_hh_fec_in!K33=0,0,11630*1000*SER_hh_fec_in!K33/SER_hh_num_in!K33)</f>
        <v>25779.835588835937</v>
      </c>
      <c r="L33" s="68">
        <f>IF(SER_hh_fec_in!L33=0,0,11630*1000*SER_hh_fec_in!L33/SER_hh_num_in!L33)</f>
        <v>26087.559399651505</v>
      </c>
      <c r="M33" s="68">
        <f>IF(SER_hh_fec_in!M33=0,0,11630*1000*SER_hh_fec_in!M33/SER_hh_num_in!M33)</f>
        <v>26168.972253699576</v>
      </c>
      <c r="N33" s="68">
        <f>IF(SER_hh_fec_in!N33=0,0,11630*1000*SER_hh_fec_in!N33/SER_hh_num_in!N33)</f>
        <v>27096.869377310122</v>
      </c>
      <c r="O33" s="68">
        <f>IF(SER_hh_fec_in!O33=0,0,11630*1000*SER_hh_fec_in!O33/SER_hh_num_in!O33)</f>
        <v>27332.433743519985</v>
      </c>
      <c r="P33" s="68">
        <f>IF(SER_hh_fec_in!P33=0,0,11630*1000*SER_hh_fec_in!P33/SER_hh_num_in!P33)</f>
        <v>25057.438746380463</v>
      </c>
      <c r="Q33" s="68">
        <f>IF(SER_hh_fec_in!Q33=0,0,11630*1000*SER_hh_fec_in!Q33/SER_hh_num_in!Q33)</f>
        <v>26308.055903205499</v>
      </c>
      <c r="R33" s="68">
        <f>IF(SER_hh_fec_in!R33=0,0,11630*1000*SER_hh_fec_in!R33/SER_hh_num_in!R33)</f>
        <v>25455.26521966208</v>
      </c>
      <c r="S33" s="68">
        <f>IF(SER_hh_fec_in!S33=0,0,11630*1000*SER_hh_fec_in!S33/SER_hh_num_in!S33)</f>
        <v>25269.342142067144</v>
      </c>
      <c r="T33" s="68">
        <f>IF(SER_hh_fec_in!T33=0,0,11630*1000*SER_hh_fec_in!T33/SER_hh_num_in!T33)</f>
        <v>29188.008827400208</v>
      </c>
      <c r="U33" s="68">
        <f>IF(SER_hh_fec_in!U33=0,0,11630*1000*SER_hh_fec_in!U33/SER_hh_num_in!U33)</f>
        <v>24152.708846643338</v>
      </c>
      <c r="V33" s="68">
        <f>IF(SER_hh_fec_in!V33=0,0,11630*1000*SER_hh_fec_in!V33/SER_hh_num_in!V33)</f>
        <v>20985.975651172463</v>
      </c>
      <c r="W33" s="68">
        <f>IF(SER_hh_fec_in!W33=0,0,11630*1000*SER_hh_fec_in!W33/SER_hh_num_in!W33)</f>
        <v>26902.885194890994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138910.77006123937</v>
      </c>
      <c r="D3" s="126">
        <f>IF(SER_hh_tes_in!D3=0,0,11630*1000*SER_hh_tes_in!D3/SER_hh_num_in!D3)</f>
        <v>133347.50159756001</v>
      </c>
      <c r="E3" s="126">
        <f>IF(SER_hh_tes_in!E3=0,0,11630*1000*SER_hh_tes_in!E3/SER_hh_num_in!E3)</f>
        <v>175182.54349395804</v>
      </c>
      <c r="F3" s="126">
        <f>IF(SER_hh_tes_in!F3=0,0,11630*1000*SER_hh_tes_in!F3/SER_hh_num_in!F3)</f>
        <v>154482.64309106488</v>
      </c>
      <c r="G3" s="126">
        <f>IF(SER_hh_tes_in!G3=0,0,11630*1000*SER_hh_tes_in!G3/SER_hh_num_in!G3)</f>
        <v>167082.97997795566</v>
      </c>
      <c r="H3" s="126">
        <f>IF(SER_hh_tes_in!H3=0,0,11630*1000*SER_hh_tes_in!H3/SER_hh_num_in!H3)</f>
        <v>172269.76470094</v>
      </c>
      <c r="I3" s="126">
        <f>IF(SER_hh_tes_in!I3=0,0,11630*1000*SER_hh_tes_in!I3/SER_hh_num_in!I3)</f>
        <v>162856.85698859295</v>
      </c>
      <c r="J3" s="126">
        <f>IF(SER_hh_tes_in!J3=0,0,11630*1000*SER_hh_tes_in!J3/SER_hh_num_in!J3)</f>
        <v>182589.25286131943</v>
      </c>
      <c r="K3" s="126">
        <f>IF(SER_hh_tes_in!K3=0,0,11630*1000*SER_hh_tes_in!K3/SER_hh_num_in!K3)</f>
        <v>182070.42859265805</v>
      </c>
      <c r="L3" s="126">
        <f>IF(SER_hh_tes_in!L3=0,0,11630*1000*SER_hh_tes_in!L3/SER_hh_num_in!L3)</f>
        <v>173008.77253908434</v>
      </c>
      <c r="M3" s="126">
        <f>IF(SER_hh_tes_in!M3=0,0,11630*1000*SER_hh_tes_in!M3/SER_hh_num_in!M3)</f>
        <v>164912.86608474728</v>
      </c>
      <c r="N3" s="126">
        <f>IF(SER_hh_tes_in!N3=0,0,11630*1000*SER_hh_tes_in!N3/SER_hh_num_in!N3)</f>
        <v>177435.68021576494</v>
      </c>
      <c r="O3" s="126">
        <f>IF(SER_hh_tes_in!O3=0,0,11630*1000*SER_hh_tes_in!O3/SER_hh_num_in!O3)</f>
        <v>151732.1264203302</v>
      </c>
      <c r="P3" s="126">
        <f>IF(SER_hh_tes_in!P3=0,0,11630*1000*SER_hh_tes_in!P3/SER_hh_num_in!P3)</f>
        <v>151099.80945690503</v>
      </c>
      <c r="Q3" s="126">
        <f>IF(SER_hh_tes_in!Q3=0,0,11630*1000*SER_hh_tes_in!Q3/SER_hh_num_in!Q3)</f>
        <v>190938.5365024163</v>
      </c>
      <c r="R3" s="126">
        <f>IF(SER_hh_tes_in!R3=0,0,11630*1000*SER_hh_tes_in!R3/SER_hh_num_in!R3)</f>
        <v>165900.62965826536</v>
      </c>
      <c r="S3" s="126">
        <f>IF(SER_hh_tes_in!S3=0,0,11630*1000*SER_hh_tes_in!S3/SER_hh_num_in!S3)</f>
        <v>166925.41452492631</v>
      </c>
      <c r="T3" s="126">
        <f>IF(SER_hh_tes_in!T3=0,0,11630*1000*SER_hh_tes_in!T3/SER_hh_num_in!T3)</f>
        <v>161873.35015576473</v>
      </c>
      <c r="U3" s="126">
        <f>IF(SER_hh_tes_in!U3=0,0,11630*1000*SER_hh_tes_in!U3/SER_hh_num_in!U3)</f>
        <v>153359.69009077814</v>
      </c>
      <c r="V3" s="126">
        <f>IF(SER_hh_tes_in!V3=0,0,11630*1000*SER_hh_tes_in!V3/SER_hh_num_in!V3)</f>
        <v>129081.43849320211</v>
      </c>
      <c r="W3" s="126">
        <f>IF(SER_hh_tes_in!W3=0,0,11630*1000*SER_hh_tes_in!W3/SER_hh_num_in!W3)</f>
        <v>112847.06136991605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76140.94711390356</v>
      </c>
      <c r="D4" s="131">
        <f>IF(SER_hh_tes_in!D4=0,0,11630*1000*SER_hh_tes_in!D4/SER_hh_num_in!D4)</f>
        <v>74068.649195717604</v>
      </c>
      <c r="E4" s="131">
        <f>IF(SER_hh_tes_in!E4=0,0,11630*1000*SER_hh_tes_in!E4/SER_hh_num_in!E4)</f>
        <v>85031.112121150218</v>
      </c>
      <c r="F4" s="131">
        <f>IF(SER_hh_tes_in!F4=0,0,11630*1000*SER_hh_tes_in!F4/SER_hh_num_in!F4)</f>
        <v>91186.484413718048</v>
      </c>
      <c r="G4" s="131">
        <f>IF(SER_hh_tes_in!G4=0,0,11630*1000*SER_hh_tes_in!G4/SER_hh_num_in!G4)</f>
        <v>104679.29121636052</v>
      </c>
      <c r="H4" s="131">
        <f>IF(SER_hh_tes_in!H4=0,0,11630*1000*SER_hh_tes_in!H4/SER_hh_num_in!H4)</f>
        <v>106721.29574118437</v>
      </c>
      <c r="I4" s="131">
        <f>IF(SER_hh_tes_in!I4=0,0,11630*1000*SER_hh_tes_in!I4/SER_hh_num_in!I4)</f>
        <v>98391.99518165231</v>
      </c>
      <c r="J4" s="131">
        <f>IF(SER_hh_tes_in!J4=0,0,11630*1000*SER_hh_tes_in!J4/SER_hh_num_in!J4)</f>
        <v>114719.06190691727</v>
      </c>
      <c r="K4" s="131">
        <f>IF(SER_hh_tes_in!K4=0,0,11630*1000*SER_hh_tes_in!K4/SER_hh_num_in!K4)</f>
        <v>113116.62282113823</v>
      </c>
      <c r="L4" s="131">
        <f>IF(SER_hh_tes_in!L4=0,0,11630*1000*SER_hh_tes_in!L4/SER_hh_num_in!L4)</f>
        <v>109623.80414405855</v>
      </c>
      <c r="M4" s="131">
        <f>IF(SER_hh_tes_in!M4=0,0,11630*1000*SER_hh_tes_in!M4/SER_hh_num_in!M4)</f>
        <v>100016.66016293573</v>
      </c>
      <c r="N4" s="131">
        <f>IF(SER_hh_tes_in!N4=0,0,11630*1000*SER_hh_tes_in!N4/SER_hh_num_in!N4)</f>
        <v>99736.412976940526</v>
      </c>
      <c r="O4" s="131">
        <f>IF(SER_hh_tes_in!O4=0,0,11630*1000*SER_hh_tes_in!O4/SER_hh_num_in!O4)</f>
        <v>88443.185746281961</v>
      </c>
      <c r="P4" s="131">
        <f>IF(SER_hh_tes_in!P4=0,0,11630*1000*SER_hh_tes_in!P4/SER_hh_num_in!P4)</f>
        <v>90799.536467173937</v>
      </c>
      <c r="Q4" s="131">
        <f>IF(SER_hh_tes_in!Q4=0,0,11630*1000*SER_hh_tes_in!Q4/SER_hh_num_in!Q4)</f>
        <v>117681.40109931241</v>
      </c>
      <c r="R4" s="131">
        <f>IF(SER_hh_tes_in!R4=0,0,11630*1000*SER_hh_tes_in!R4/SER_hh_num_in!R4)</f>
        <v>103695.98122451844</v>
      </c>
      <c r="S4" s="131">
        <f>IF(SER_hh_tes_in!S4=0,0,11630*1000*SER_hh_tes_in!S4/SER_hh_num_in!S4)</f>
        <v>95920.866263754055</v>
      </c>
      <c r="T4" s="131">
        <f>IF(SER_hh_tes_in!T4=0,0,11630*1000*SER_hh_tes_in!T4/SER_hh_num_in!T4)</f>
        <v>99337.759015656848</v>
      </c>
      <c r="U4" s="131">
        <f>IF(SER_hh_tes_in!U4=0,0,11630*1000*SER_hh_tes_in!U4/SER_hh_num_in!U4)</f>
        <v>86323.62277444535</v>
      </c>
      <c r="V4" s="131">
        <f>IF(SER_hh_tes_in!V4=0,0,11630*1000*SER_hh_tes_in!V4/SER_hh_num_in!V4)</f>
        <v>73472.755491346325</v>
      </c>
      <c r="W4" s="131">
        <f>IF(SER_hh_tes_in!W4=0,0,11630*1000*SER_hh_tes_in!W4/SER_hh_num_in!W4)</f>
        <v>53486.481338577025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74780.44693829582</v>
      </c>
      <c r="D6" s="133">
        <f>IF(SER_hh_tes_in!D6=0,0,11630*1000*SER_hh_tes_in!D6/SER_hh_num_in!D6)</f>
        <v>71079.518341338073</v>
      </c>
      <c r="E6" s="133">
        <f>IF(SER_hh_tes_in!E6=0,0,11630*1000*SER_hh_tes_in!E6/SER_hh_num_in!E6)</f>
        <v>86074.813683584434</v>
      </c>
      <c r="F6" s="133">
        <f>IF(SER_hh_tes_in!F6=0,0,11630*1000*SER_hh_tes_in!F6/SER_hh_num_in!F6)</f>
        <v>87869.6219206034</v>
      </c>
      <c r="G6" s="133">
        <f>IF(SER_hh_tes_in!G6=0,0,11630*1000*SER_hh_tes_in!G6/SER_hh_num_in!G6)</f>
        <v>101509.34674767769</v>
      </c>
      <c r="H6" s="133">
        <f>IF(SER_hh_tes_in!H6=0,0,11630*1000*SER_hh_tes_in!H6/SER_hh_num_in!H6)</f>
        <v>102001.56872494213</v>
      </c>
      <c r="I6" s="133">
        <f>IF(SER_hh_tes_in!I6=0,0,11630*1000*SER_hh_tes_in!I6/SER_hh_num_in!I6)</f>
        <v>95507.993799887408</v>
      </c>
      <c r="J6" s="133">
        <f>IF(SER_hh_tes_in!J6=0,0,11630*1000*SER_hh_tes_in!J6/SER_hh_num_in!J6)</f>
        <v>111306.44079651963</v>
      </c>
      <c r="K6" s="133">
        <f>IF(SER_hh_tes_in!K6=0,0,11630*1000*SER_hh_tes_in!K6/SER_hh_num_in!K6)</f>
        <v>111247.83479695328</v>
      </c>
      <c r="L6" s="133">
        <f>IF(SER_hh_tes_in!L6=0,0,11630*1000*SER_hh_tes_in!L6/SER_hh_num_in!L6)</f>
        <v>114319.00414087166</v>
      </c>
      <c r="M6" s="133">
        <f>IF(SER_hh_tes_in!M6=0,0,11630*1000*SER_hh_tes_in!M6/SER_hh_num_in!M6)</f>
        <v>101760.14452525729</v>
      </c>
      <c r="N6" s="133">
        <f>IF(SER_hh_tes_in!N6=0,0,11630*1000*SER_hh_tes_in!N6/SER_hh_num_in!N6)</f>
        <v>92659.19586239777</v>
      </c>
      <c r="O6" s="133">
        <f>IF(SER_hh_tes_in!O6=0,0,11630*1000*SER_hh_tes_in!O6/SER_hh_num_in!O6)</f>
        <v>101006.20083513959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98871.802972516816</v>
      </c>
      <c r="T6" s="133">
        <f>IF(SER_hh_tes_in!T6=0,0,11630*1000*SER_hh_tes_in!T6/SER_hh_num_in!T6)</f>
        <v>88868.459580140639</v>
      </c>
      <c r="U6" s="133">
        <f>IF(SER_hh_tes_in!U6=0,0,11630*1000*SER_hh_tes_in!U6/SER_hh_num_in!U6)</f>
        <v>84833.762522899691</v>
      </c>
      <c r="V6" s="133">
        <f>IF(SER_hh_tes_in!V6=0,0,11630*1000*SER_hh_tes_in!V6/SER_hh_num_in!V6)</f>
        <v>71887.560883107624</v>
      </c>
      <c r="W6" s="133">
        <f>IF(SER_hh_tes_in!W6=0,0,11630*1000*SER_hh_tes_in!W6/SER_hh_num_in!W6)</f>
        <v>68513.996873525553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54752.399750369521</v>
      </c>
      <c r="D7" s="133">
        <f>IF(SER_hh_tes_in!D7=0,0,11630*1000*SER_hh_tes_in!D7/SER_hh_num_in!D7)</f>
        <v>71704.260366897986</v>
      </c>
      <c r="E7" s="133">
        <f>IF(SER_hh_tes_in!E7=0,0,11630*1000*SER_hh_tes_in!E7/SER_hh_num_in!E7)</f>
        <v>89761.082804364967</v>
      </c>
      <c r="F7" s="133">
        <f>IF(SER_hh_tes_in!F7=0,0,11630*1000*SER_hh_tes_in!F7/SER_hh_num_in!F7)</f>
        <v>93955.320034101707</v>
      </c>
      <c r="G7" s="133">
        <f>IF(SER_hh_tes_in!G7=0,0,11630*1000*SER_hh_tes_in!G7/SER_hh_num_in!G7)</f>
        <v>99198.724956110018</v>
      </c>
      <c r="H7" s="133">
        <f>IF(SER_hh_tes_in!H7=0,0,11630*1000*SER_hh_tes_in!H7/SER_hh_num_in!H7)</f>
        <v>105024.20897234757</v>
      </c>
      <c r="I7" s="133">
        <f>IF(SER_hh_tes_in!I7=0,0,11630*1000*SER_hh_tes_in!I7/SER_hh_num_in!I7)</f>
        <v>101687.81945162863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0</v>
      </c>
      <c r="M7" s="133">
        <f>IF(SER_hh_tes_in!M7=0,0,11630*1000*SER_hh_tes_in!M7/SER_hh_num_in!M7)</f>
        <v>0</v>
      </c>
      <c r="N7" s="133">
        <f>IF(SER_hh_tes_in!N7=0,0,11630*1000*SER_hh_tes_in!N7/SER_hh_num_in!N7)</f>
        <v>100369.06876702351</v>
      </c>
      <c r="O7" s="133">
        <f>IF(SER_hh_tes_in!O7=0,0,11630*1000*SER_hh_tes_in!O7/SER_hh_num_in!O7)</f>
        <v>89298.690270076651</v>
      </c>
      <c r="P7" s="133">
        <f>IF(SER_hh_tes_in!P7=0,0,11630*1000*SER_hh_tes_in!P7/SER_hh_num_in!P7)</f>
        <v>89263.010878648958</v>
      </c>
      <c r="Q7" s="133">
        <f>IF(SER_hh_tes_in!Q7=0,0,11630*1000*SER_hh_tes_in!Q7/SER_hh_num_in!Q7)</f>
        <v>103920.89971898039</v>
      </c>
      <c r="R7" s="133">
        <f>IF(SER_hh_tes_in!R7=0,0,11630*1000*SER_hh_tes_in!R7/SER_hh_num_in!R7)</f>
        <v>108094.33260998224</v>
      </c>
      <c r="S7" s="133">
        <f>IF(SER_hh_tes_in!S7=0,0,11630*1000*SER_hh_tes_in!S7/SER_hh_num_in!S7)</f>
        <v>82753.880191112898</v>
      </c>
      <c r="T7" s="133">
        <f>IF(SER_hh_tes_in!T7=0,0,11630*1000*SER_hh_tes_in!T7/SER_hh_num_in!T7)</f>
        <v>102343.72242006661</v>
      </c>
      <c r="U7" s="133">
        <f>IF(SER_hh_tes_in!U7=0,0,11630*1000*SER_hh_tes_in!U7/SER_hh_num_in!U7)</f>
        <v>75500.255341681928</v>
      </c>
      <c r="V7" s="133">
        <f>IF(SER_hh_tes_in!V7=0,0,11630*1000*SER_hh_tes_in!V7/SER_hh_num_in!V7)</f>
        <v>55258.677942848823</v>
      </c>
      <c r="W7" s="133">
        <f>IF(SER_hh_tes_in!W7=0,0,11630*1000*SER_hh_tes_in!W7/SER_hh_num_in!W7)</f>
        <v>77773.774374106884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75777.71561302965</v>
      </c>
      <c r="D8" s="133">
        <f>IF(SER_hh_tes_in!D8=0,0,11630*1000*SER_hh_tes_in!D8/SER_hh_num_in!D8)</f>
        <v>74200.096389534083</v>
      </c>
      <c r="E8" s="133">
        <f>IF(SER_hh_tes_in!E8=0,0,11630*1000*SER_hh_tes_in!E8/SER_hh_num_in!E8)</f>
        <v>87266.485145716229</v>
      </c>
      <c r="F8" s="133">
        <f>IF(SER_hh_tes_in!F8=0,0,11630*1000*SER_hh_tes_in!F8/SER_hh_num_in!F8)</f>
        <v>90929.34804767817</v>
      </c>
      <c r="G8" s="133">
        <f>IF(SER_hh_tes_in!G8=0,0,11630*1000*SER_hh_tes_in!G8/SER_hh_num_in!G8)</f>
        <v>97873.321525267573</v>
      </c>
      <c r="H8" s="133">
        <f>IF(SER_hh_tes_in!H8=0,0,11630*1000*SER_hh_tes_in!H8/SER_hh_num_in!H8)</f>
        <v>102482.96782990202</v>
      </c>
      <c r="I8" s="133">
        <f>IF(SER_hh_tes_in!I8=0,0,11630*1000*SER_hh_tes_in!I8/SER_hh_num_in!I8)</f>
        <v>104415.92853265481</v>
      </c>
      <c r="J8" s="133">
        <f>IF(SER_hh_tes_in!J8=0,0,11630*1000*SER_hh_tes_in!J8/SER_hh_num_in!J8)</f>
        <v>108311.02510154669</v>
      </c>
      <c r="K8" s="133">
        <f>IF(SER_hh_tes_in!K8=0,0,11630*1000*SER_hh_tes_in!K8/SER_hh_num_in!K8)</f>
        <v>106236.2884318554</v>
      </c>
      <c r="L8" s="133">
        <f>IF(SER_hh_tes_in!L8=0,0,11630*1000*SER_hh_tes_in!L8/SER_hh_num_in!L8)</f>
        <v>100500.65795016411</v>
      </c>
      <c r="M8" s="133">
        <f>IF(SER_hh_tes_in!M8=0,0,11630*1000*SER_hh_tes_in!M8/SER_hh_num_in!M8)</f>
        <v>95478.314271960742</v>
      </c>
      <c r="N8" s="133">
        <f>IF(SER_hh_tes_in!N8=0,0,11630*1000*SER_hh_tes_in!N8/SER_hh_num_in!N8)</f>
        <v>91820.560456321822</v>
      </c>
      <c r="O8" s="133">
        <f>IF(SER_hh_tes_in!O8=0,0,11630*1000*SER_hh_tes_in!O8/SER_hh_num_in!O8)</f>
        <v>93025.759077922252</v>
      </c>
      <c r="P8" s="133">
        <f>IF(SER_hh_tes_in!P8=0,0,11630*1000*SER_hh_tes_in!P8/SER_hh_num_in!P8)</f>
        <v>97396.596397553571</v>
      </c>
      <c r="Q8" s="133">
        <f>IF(SER_hh_tes_in!Q8=0,0,11630*1000*SER_hh_tes_in!Q8/SER_hh_num_in!Q8)</f>
        <v>111923.85224396341</v>
      </c>
      <c r="R8" s="133">
        <f>IF(SER_hh_tes_in!R8=0,0,11630*1000*SER_hh_tes_in!R8/SER_hh_num_in!R8)</f>
        <v>102569.52993996121</v>
      </c>
      <c r="S8" s="133">
        <f>IF(SER_hh_tes_in!S8=0,0,11630*1000*SER_hh_tes_in!S8/SER_hh_num_in!S8)</f>
        <v>97968.387316905253</v>
      </c>
      <c r="T8" s="133">
        <f>IF(SER_hh_tes_in!T8=0,0,11630*1000*SER_hh_tes_in!T8/SER_hh_num_in!T8)</f>
        <v>92166.630032624569</v>
      </c>
      <c r="U8" s="133">
        <f>IF(SER_hh_tes_in!U8=0,0,11630*1000*SER_hh_tes_in!U8/SER_hh_num_in!U8)</f>
        <v>80804.174259443113</v>
      </c>
      <c r="V8" s="133">
        <f>IF(SER_hh_tes_in!V8=0,0,11630*1000*SER_hh_tes_in!V8/SER_hh_num_in!V8)</f>
        <v>70875.486935046851</v>
      </c>
      <c r="W8" s="133">
        <f>IF(SER_hh_tes_in!W8=0,0,11630*1000*SER_hh_tes_in!W8/SER_hh_num_in!W8)</f>
        <v>56468.236634029767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77256.185847642337</v>
      </c>
      <c r="D9" s="133">
        <f>IF(SER_hh_tes_in!D9=0,0,11630*1000*SER_hh_tes_in!D9/SER_hh_num_in!D9)</f>
        <v>69993.350483389746</v>
      </c>
      <c r="E9" s="133">
        <f>IF(SER_hh_tes_in!E9=0,0,11630*1000*SER_hh_tes_in!E9/SER_hh_num_in!E9)</f>
        <v>84768.209356305277</v>
      </c>
      <c r="F9" s="133">
        <f>IF(SER_hh_tes_in!F9=0,0,11630*1000*SER_hh_tes_in!F9/SER_hh_num_in!F9)</f>
        <v>85232.782440129391</v>
      </c>
      <c r="G9" s="133">
        <f>IF(SER_hh_tes_in!G9=0,0,11630*1000*SER_hh_tes_in!G9/SER_hh_num_in!G9)</f>
        <v>104504.25245600524</v>
      </c>
      <c r="H9" s="133">
        <f>IF(SER_hh_tes_in!H9=0,0,11630*1000*SER_hh_tes_in!H9/SER_hh_num_in!H9)</f>
        <v>105054.19777046081</v>
      </c>
      <c r="I9" s="133">
        <f>IF(SER_hh_tes_in!I9=0,0,11630*1000*SER_hh_tes_in!I9/SER_hh_num_in!I9)</f>
        <v>92272.031900447866</v>
      </c>
      <c r="J9" s="133">
        <f>IF(SER_hh_tes_in!J9=0,0,11630*1000*SER_hh_tes_in!J9/SER_hh_num_in!J9)</f>
        <v>115399.52507920141</v>
      </c>
      <c r="K9" s="133">
        <f>IF(SER_hh_tes_in!K9=0,0,11630*1000*SER_hh_tes_in!K9/SER_hh_num_in!K9)</f>
        <v>113810.81617897046</v>
      </c>
      <c r="L9" s="133">
        <f>IF(SER_hh_tes_in!L9=0,0,11630*1000*SER_hh_tes_in!L9/SER_hh_num_in!L9)</f>
        <v>114342.4950567929</v>
      </c>
      <c r="M9" s="133">
        <f>IF(SER_hh_tes_in!M9=0,0,11630*1000*SER_hh_tes_in!M9/SER_hh_num_in!M9)</f>
        <v>94689.083939562654</v>
      </c>
      <c r="N9" s="133">
        <f>IF(SER_hh_tes_in!N9=0,0,11630*1000*SER_hh_tes_in!N9/SER_hh_num_in!N9)</f>
        <v>99056.099392081975</v>
      </c>
      <c r="O9" s="133">
        <f>IF(SER_hh_tes_in!O9=0,0,11630*1000*SER_hh_tes_in!O9/SER_hh_num_in!O9)</f>
        <v>105046.43166291957</v>
      </c>
      <c r="P9" s="133">
        <f>IF(SER_hh_tes_in!P9=0,0,11630*1000*SER_hh_tes_in!P9/SER_hh_num_in!P9)</f>
        <v>0</v>
      </c>
      <c r="Q9" s="133">
        <f>IF(SER_hh_tes_in!Q9=0,0,11630*1000*SER_hh_tes_in!Q9/SER_hh_num_in!Q9)</f>
        <v>0</v>
      </c>
      <c r="R9" s="133">
        <f>IF(SER_hh_tes_in!R9=0,0,11630*1000*SER_hh_tes_in!R9/SER_hh_num_in!R9)</f>
        <v>96507.727580288964</v>
      </c>
      <c r="S9" s="133">
        <f>IF(SER_hh_tes_in!S9=0,0,11630*1000*SER_hh_tes_in!S9/SER_hh_num_in!S9)</f>
        <v>91180.44718494048</v>
      </c>
      <c r="T9" s="133">
        <f>IF(SER_hh_tes_in!T9=0,0,11630*1000*SER_hh_tes_in!T9/SER_hh_num_in!T9)</f>
        <v>97367.010443476596</v>
      </c>
      <c r="U9" s="133">
        <f>IF(SER_hh_tes_in!U9=0,0,11630*1000*SER_hh_tes_in!U9/SER_hh_num_in!U9)</f>
        <v>86497.751967419143</v>
      </c>
      <c r="V9" s="133">
        <f>IF(SER_hh_tes_in!V9=0,0,11630*1000*SER_hh_tes_in!V9/SER_hh_num_in!V9)</f>
        <v>74088.955315702668</v>
      </c>
      <c r="W9" s="133">
        <f>IF(SER_hh_tes_in!W9=0,0,11630*1000*SER_hh_tes_in!W9/SER_hh_num_in!W9)</f>
        <v>52325.34663080184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77055.880413023522</v>
      </c>
      <c r="D10" s="133">
        <f>IF(SER_hh_tes_in!D10=0,0,11630*1000*SER_hh_tes_in!D10/SER_hh_num_in!D10)</f>
        <v>74885.623097601216</v>
      </c>
      <c r="E10" s="133">
        <f>IF(SER_hh_tes_in!E10=0,0,11630*1000*SER_hh_tes_in!E10/SER_hh_num_in!E10)</f>
        <v>81500.809689346599</v>
      </c>
      <c r="F10" s="133">
        <f>IF(SER_hh_tes_in!F10=0,0,11630*1000*SER_hh_tes_in!F10/SER_hh_num_in!F10)</f>
        <v>87226.417217474765</v>
      </c>
      <c r="G10" s="133">
        <f>IF(SER_hh_tes_in!G10=0,0,11630*1000*SER_hh_tes_in!G10/SER_hh_num_in!G10)</f>
        <v>92522.618134194403</v>
      </c>
      <c r="H10" s="133">
        <f>IF(SER_hh_tes_in!H10=0,0,11630*1000*SER_hh_tes_in!H10/SER_hh_num_in!H10)</f>
        <v>117434.05639831911</v>
      </c>
      <c r="I10" s="133">
        <f>IF(SER_hh_tes_in!I10=0,0,11630*1000*SER_hh_tes_in!I10/SER_hh_num_in!I10)</f>
        <v>94658.202681849332</v>
      </c>
      <c r="J10" s="133">
        <f>IF(SER_hh_tes_in!J10=0,0,11630*1000*SER_hh_tes_in!J10/SER_hh_num_in!J10)</f>
        <v>86700.513103152392</v>
      </c>
      <c r="K10" s="133">
        <f>IF(SER_hh_tes_in!K10=0,0,11630*1000*SER_hh_tes_in!K10/SER_hh_num_in!K10)</f>
        <v>101908.78037271815</v>
      </c>
      <c r="L10" s="133">
        <f>IF(SER_hh_tes_in!L10=0,0,11630*1000*SER_hh_tes_in!L10/SER_hh_num_in!L10)</f>
        <v>123444.45510658561</v>
      </c>
      <c r="M10" s="133">
        <f>IF(SER_hh_tes_in!M10=0,0,11630*1000*SER_hh_tes_in!M10/SER_hh_num_in!M10)</f>
        <v>101191.66504940871</v>
      </c>
      <c r="N10" s="133">
        <f>IF(SER_hh_tes_in!N10=0,0,11630*1000*SER_hh_tes_in!N10/SER_hh_num_in!N10)</f>
        <v>76149.050996944061</v>
      </c>
      <c r="O10" s="133">
        <f>IF(SER_hh_tes_in!O10=0,0,11630*1000*SER_hh_tes_in!O10/SER_hh_num_in!O10)</f>
        <v>92841.556665715485</v>
      </c>
      <c r="P10" s="133">
        <f>IF(SER_hh_tes_in!P10=0,0,11630*1000*SER_hh_tes_in!P10/SER_hh_num_in!P10)</f>
        <v>116294.2156706651</v>
      </c>
      <c r="Q10" s="133">
        <f>IF(SER_hh_tes_in!Q10=0,0,11630*1000*SER_hh_tes_in!Q10/SER_hh_num_in!Q10)</f>
        <v>91469.177880897521</v>
      </c>
      <c r="R10" s="133">
        <f>IF(SER_hh_tes_in!R10=0,0,11630*1000*SER_hh_tes_in!R10/SER_hh_num_in!R10)</f>
        <v>104557.94330216142</v>
      </c>
      <c r="S10" s="133">
        <f>IF(SER_hh_tes_in!S10=0,0,11630*1000*SER_hh_tes_in!S10/SER_hh_num_in!S10)</f>
        <v>100784.44109883577</v>
      </c>
      <c r="T10" s="133">
        <f>IF(SER_hh_tes_in!T10=0,0,11630*1000*SER_hh_tes_in!T10/SER_hh_num_in!T10)</f>
        <v>89683.560657838301</v>
      </c>
      <c r="U10" s="133">
        <f>IF(SER_hh_tes_in!U10=0,0,11630*1000*SER_hh_tes_in!U10/SER_hh_num_in!U10)</f>
        <v>83342.664466677146</v>
      </c>
      <c r="V10" s="133">
        <f>IF(SER_hh_tes_in!V10=0,0,11630*1000*SER_hh_tes_in!V10/SER_hh_num_in!V10)</f>
        <v>69341.467189864867</v>
      </c>
      <c r="W10" s="133">
        <f>IF(SER_hh_tes_in!W10=0,0,11630*1000*SER_hh_tes_in!W10/SER_hh_num_in!W10)</f>
        <v>55312.453541875308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75328.742015604672</v>
      </c>
      <c r="D11" s="133">
        <f>IF(SER_hh_tes_in!D11=0,0,11630*1000*SER_hh_tes_in!D11/SER_hh_num_in!D11)</f>
        <v>77775.930814450025</v>
      </c>
      <c r="E11" s="133">
        <f>IF(SER_hh_tes_in!E11=0,0,11630*1000*SER_hh_tes_in!E11/SER_hh_num_in!E11)</f>
        <v>83527.352144117176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102210.97469743944</v>
      </c>
      <c r="I11" s="133">
        <f>IF(SER_hh_tes_in!I11=0,0,11630*1000*SER_hh_tes_in!I11/SER_hh_num_in!I11)</f>
        <v>104519.70856576033</v>
      </c>
      <c r="J11" s="133">
        <f>IF(SER_hh_tes_in!J11=0,0,11630*1000*SER_hh_tes_in!J11/SER_hh_num_in!J11)</f>
        <v>113638.00918799693</v>
      </c>
      <c r="K11" s="133">
        <f>IF(SER_hh_tes_in!K11=0,0,11630*1000*SER_hh_tes_in!K11/SER_hh_num_in!K11)</f>
        <v>125261.88511735943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95429.900678243182</v>
      </c>
      <c r="N11" s="133">
        <f>IF(SER_hh_tes_in!N11=0,0,11630*1000*SER_hh_tes_in!N11/SER_hh_num_in!N11)</f>
        <v>100718.8332453105</v>
      </c>
      <c r="O11" s="133">
        <f>IF(SER_hh_tes_in!O11=0,0,11630*1000*SER_hh_tes_in!O11/SER_hh_num_in!O11)</f>
        <v>99762.367553187432</v>
      </c>
      <c r="P11" s="133">
        <f>IF(SER_hh_tes_in!P11=0,0,11630*1000*SER_hh_tes_in!P11/SER_hh_num_in!P11)</f>
        <v>94171.43779724247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97724.528006997672</v>
      </c>
      <c r="S11" s="133">
        <f>IF(SER_hh_tes_in!S11=0,0,11630*1000*SER_hh_tes_in!S11/SER_hh_num_in!S11)</f>
        <v>99732.547667264647</v>
      </c>
      <c r="T11" s="133">
        <f>IF(SER_hh_tes_in!T11=0,0,11630*1000*SER_hh_tes_in!T11/SER_hh_num_in!T11)</f>
        <v>93721.839291516779</v>
      </c>
      <c r="U11" s="133">
        <f>IF(SER_hh_tes_in!U11=0,0,11630*1000*SER_hh_tes_in!U11/SER_hh_num_in!U11)</f>
        <v>84822.584724540648</v>
      </c>
      <c r="V11" s="133">
        <f>IF(SER_hh_tes_in!V11=0,0,11630*1000*SER_hh_tes_in!V11/SER_hh_num_in!V11)</f>
        <v>70015.692632397113</v>
      </c>
      <c r="W11" s="133">
        <f>IF(SER_hh_tes_in!W11=0,0,11630*1000*SER_hh_tes_in!W11/SER_hh_num_in!W11)</f>
        <v>52451.679728000192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128229.44177749472</v>
      </c>
      <c r="G12" s="133">
        <f>IF(SER_hh_tes_in!G12=0,0,11630*1000*SER_hh_tes_in!G12/SER_hh_num_in!G12)</f>
        <v>97123.267537166132</v>
      </c>
      <c r="H12" s="133">
        <f>IF(SER_hh_tes_in!H12=0,0,11630*1000*SER_hh_tes_in!H12/SER_hh_num_in!H12)</f>
        <v>113615.87636439115</v>
      </c>
      <c r="I12" s="133">
        <f>IF(SER_hh_tes_in!I12=0,0,11630*1000*SER_hh_tes_in!I12/SER_hh_num_in!I12)</f>
        <v>111511.02639174271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98589.866277657464</v>
      </c>
      <c r="L12" s="133">
        <f>IF(SER_hh_tes_in!L12=0,0,11630*1000*SER_hh_tes_in!L12/SER_hh_num_in!L12)</f>
        <v>73011.477106504521</v>
      </c>
      <c r="M12" s="133">
        <f>IF(SER_hh_tes_in!M12=0,0,11630*1000*SER_hh_tes_in!M12/SER_hh_num_in!M12)</f>
        <v>130013.37844140832</v>
      </c>
      <c r="N12" s="133">
        <f>IF(SER_hh_tes_in!N12=0,0,11630*1000*SER_hh_tes_in!N12/SER_hh_num_in!N12)</f>
        <v>83153.093233402804</v>
      </c>
      <c r="O12" s="133">
        <f>IF(SER_hh_tes_in!O12=0,0,11630*1000*SER_hh_tes_in!O12/SER_hh_num_in!O12)</f>
        <v>91688.02104565136</v>
      </c>
      <c r="P12" s="133">
        <f>IF(SER_hh_tes_in!P12=0,0,11630*1000*SER_hh_tes_in!P12/SER_hh_num_in!P12)</f>
        <v>122844.36380912169</v>
      </c>
      <c r="Q12" s="133">
        <f>IF(SER_hh_tes_in!Q12=0,0,11630*1000*SER_hh_tes_in!Q12/SER_hh_num_in!Q12)</f>
        <v>92221.02233084933</v>
      </c>
      <c r="R12" s="133">
        <f>IF(SER_hh_tes_in!R12=0,0,11630*1000*SER_hh_tes_in!R12/SER_hh_num_in!R12)</f>
        <v>89227.094420262569</v>
      </c>
      <c r="S12" s="133">
        <f>IF(SER_hh_tes_in!S12=0,0,11630*1000*SER_hh_tes_in!S12/SER_hh_num_in!S12)</f>
        <v>102442.00402201645</v>
      </c>
      <c r="T12" s="133">
        <f>IF(SER_hh_tes_in!T12=0,0,11630*1000*SER_hh_tes_in!T12/SER_hh_num_in!T12)</f>
        <v>114382.13053427318</v>
      </c>
      <c r="U12" s="133">
        <f>IF(SER_hh_tes_in!U12=0,0,11630*1000*SER_hh_tes_in!U12/SER_hh_num_in!U12)</f>
        <v>77621.948386931515</v>
      </c>
      <c r="V12" s="133">
        <f>IF(SER_hh_tes_in!V12=0,0,11630*1000*SER_hh_tes_in!V12/SER_hh_num_in!V12)</f>
        <v>69132.228221820798</v>
      </c>
      <c r="W12" s="133">
        <f>IF(SER_hh_tes_in!W12=0,0,11630*1000*SER_hh_tes_in!W12/SER_hh_num_in!W12)</f>
        <v>61941.516153580473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56252.142637294957</v>
      </c>
      <c r="D13" s="133">
        <f>IF(SER_hh_tes_in!D13=0,0,11630*1000*SER_hh_tes_in!D13/SER_hh_num_in!D13)</f>
        <v>84089.596182655077</v>
      </c>
      <c r="E13" s="133">
        <f>IF(SER_hh_tes_in!E13=0,0,11630*1000*SER_hh_tes_in!E13/SER_hh_num_in!E13)</f>
        <v>60997.830741689118</v>
      </c>
      <c r="F13" s="133">
        <f>IF(SER_hh_tes_in!F13=0,0,11630*1000*SER_hh_tes_in!F13/SER_hh_num_in!F13)</f>
        <v>81588.540034670499</v>
      </c>
      <c r="G13" s="133">
        <f>IF(SER_hh_tes_in!G13=0,0,11630*1000*SER_hh_tes_in!G13/SER_hh_num_in!G13)</f>
        <v>107704.64059637769</v>
      </c>
      <c r="H13" s="133">
        <f>IF(SER_hh_tes_in!H13=0,0,11630*1000*SER_hh_tes_in!H13/SER_hh_num_in!H13)</f>
        <v>111090.90618562403</v>
      </c>
      <c r="I13" s="133">
        <f>IF(SER_hh_tes_in!I13=0,0,11630*1000*SER_hh_tes_in!I13/SER_hh_num_in!I13)</f>
        <v>105461.30342550407</v>
      </c>
      <c r="J13" s="133">
        <f>IF(SER_hh_tes_in!J13=0,0,11630*1000*SER_hh_tes_in!J13/SER_hh_num_in!J13)</f>
        <v>104659.28828443524</v>
      </c>
      <c r="K13" s="133">
        <f>IF(SER_hh_tes_in!K13=0,0,11630*1000*SER_hh_tes_in!K13/SER_hh_num_in!K13)</f>
        <v>108414.62287985159</v>
      </c>
      <c r="L13" s="133">
        <f>IF(SER_hh_tes_in!L13=0,0,11630*1000*SER_hh_tes_in!L13/SER_hh_num_in!L13)</f>
        <v>91135.920831707859</v>
      </c>
      <c r="M13" s="133">
        <f>IF(SER_hh_tes_in!M13=0,0,11630*1000*SER_hh_tes_in!M13/SER_hh_num_in!M13)</f>
        <v>93322.699781121933</v>
      </c>
      <c r="N13" s="133">
        <f>IF(SER_hh_tes_in!N13=0,0,11630*1000*SER_hh_tes_in!N13/SER_hh_num_in!N13)</f>
        <v>98787.990393383967</v>
      </c>
      <c r="O13" s="133">
        <f>IF(SER_hh_tes_in!O13=0,0,11630*1000*SER_hh_tes_in!O13/SER_hh_num_in!O13)</f>
        <v>81971.289835157004</v>
      </c>
      <c r="P13" s="133">
        <f>IF(SER_hh_tes_in!P13=0,0,11630*1000*SER_hh_tes_in!P13/SER_hh_num_in!P13)</f>
        <v>89249.437993223255</v>
      </c>
      <c r="Q13" s="133">
        <f>IF(SER_hh_tes_in!Q13=0,0,11630*1000*SER_hh_tes_in!Q13/SER_hh_num_in!Q13)</f>
        <v>118638.81501859528</v>
      </c>
      <c r="R13" s="133">
        <f>IF(SER_hh_tes_in!R13=0,0,11630*1000*SER_hh_tes_in!R13/SER_hh_num_in!R13)</f>
        <v>104860.44246504178</v>
      </c>
      <c r="S13" s="133">
        <f>IF(SER_hh_tes_in!S13=0,0,11630*1000*SER_hh_tes_in!S13/SER_hh_num_in!S13)</f>
        <v>106940.82968138786</v>
      </c>
      <c r="T13" s="133">
        <f>IF(SER_hh_tes_in!T13=0,0,11630*1000*SER_hh_tes_in!T13/SER_hh_num_in!T13)</f>
        <v>96136.509596675212</v>
      </c>
      <c r="U13" s="133">
        <f>IF(SER_hh_tes_in!U13=0,0,11630*1000*SER_hh_tes_in!U13/SER_hh_num_in!U13)</f>
        <v>83371.385148658024</v>
      </c>
      <c r="V13" s="133">
        <f>IF(SER_hh_tes_in!V13=0,0,11630*1000*SER_hh_tes_in!V13/SER_hh_num_in!V13)</f>
        <v>72379.062771942437</v>
      </c>
      <c r="W13" s="133">
        <f>IF(SER_hh_tes_in!W13=0,0,11630*1000*SER_hh_tes_in!W13/SER_hh_num_in!W13)</f>
        <v>44484.054937905719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74540.829049915716</v>
      </c>
      <c r="D14" s="65">
        <f>IF(SER_hh_tes_in!D14=0,0,11630*1000*SER_hh_tes_in!D14/SER_hh_num_in!D14)</f>
        <v>79517.711078844965</v>
      </c>
      <c r="E14" s="65">
        <f>IF(SER_hh_tes_in!E14=0,0,11630*1000*SER_hh_tes_in!E14/SER_hh_num_in!E14)</f>
        <v>80171.207686530266</v>
      </c>
      <c r="F14" s="65">
        <f>IF(SER_hh_tes_in!F14=0,0,11630*1000*SER_hh_tes_in!F14/SER_hh_num_in!F14)</f>
        <v>89357.33241660874</v>
      </c>
      <c r="G14" s="65">
        <f>IF(SER_hh_tes_in!G14=0,0,11630*1000*SER_hh_tes_in!G14/SER_hh_num_in!G14)</f>
        <v>100992.0657562831</v>
      </c>
      <c r="H14" s="65">
        <f>IF(SER_hh_tes_in!H14=0,0,11630*1000*SER_hh_tes_in!H14/SER_hh_num_in!H14)</f>
        <v>104865.84683216494</v>
      </c>
      <c r="I14" s="65">
        <f>IF(SER_hh_tes_in!I14=0,0,11630*1000*SER_hh_tes_in!I14/SER_hh_num_in!I14)</f>
        <v>106883.79893880528</v>
      </c>
      <c r="J14" s="65">
        <f>IF(SER_hh_tes_in!J14=0,0,11630*1000*SER_hh_tes_in!J14/SER_hh_num_in!J14)</f>
        <v>109817.85617917459</v>
      </c>
      <c r="K14" s="65">
        <f>IF(SER_hh_tes_in!K14=0,0,11630*1000*SER_hh_tes_in!K14/SER_hh_num_in!K14)</f>
        <v>110548.17429816925</v>
      </c>
      <c r="L14" s="65">
        <f>IF(SER_hh_tes_in!L14=0,0,11630*1000*SER_hh_tes_in!L14/SER_hh_num_in!L14)</f>
        <v>110216.71058837655</v>
      </c>
      <c r="M14" s="65">
        <f>IF(SER_hh_tes_in!M14=0,0,11630*1000*SER_hh_tes_in!M14/SER_hh_num_in!M14)</f>
        <v>103992.35914541033</v>
      </c>
      <c r="N14" s="65">
        <f>IF(SER_hh_tes_in!N14=0,0,11630*1000*SER_hh_tes_in!N14/SER_hh_num_in!N14)</f>
        <v>102809.12270866726</v>
      </c>
      <c r="O14" s="65">
        <f>IF(SER_hh_tes_in!O14=0,0,11630*1000*SER_hh_tes_in!O14/SER_hh_num_in!O14)</f>
        <v>101812.94226665315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0</v>
      </c>
      <c r="T14" s="65">
        <f>IF(SER_hh_tes_in!T14=0,0,11630*1000*SER_hh_tes_in!T14/SER_hh_num_in!T14)</f>
        <v>102645.30288023654</v>
      </c>
      <c r="U14" s="65">
        <f>IF(SER_hh_tes_in!U14=0,0,11630*1000*SER_hh_tes_in!U14/SER_hh_num_in!U14)</f>
        <v>85985.528826422989</v>
      </c>
      <c r="V14" s="65">
        <f>IF(SER_hh_tes_in!V14=0,0,11630*1000*SER_hh_tes_in!V14/SER_hh_num_in!V14)</f>
        <v>58193.881305247065</v>
      </c>
      <c r="W14" s="65">
        <f>IF(SER_hh_tes_in!W14=0,0,11630*1000*SER_hh_tes_in!W14/SER_hh_num_in!W14)</f>
        <v>66334.544316519547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1440.9082927040206</v>
      </c>
      <c r="D15" s="135">
        <f>IF(SER_hh_tes_in!D15=0,0,11630*1000*SER_hh_tes_in!D15/SER_hh_num_in!D15)</f>
        <v>1324.3820391886961</v>
      </c>
      <c r="E15" s="135">
        <f>IF(SER_hh_tes_in!E15=0,0,11630*1000*SER_hh_tes_in!E15/SER_hh_num_in!E15)</f>
        <v>1599.5685727678579</v>
      </c>
      <c r="F15" s="135">
        <f>IF(SER_hh_tes_in!F15=0,0,11630*1000*SER_hh_tes_in!F15/SER_hh_num_in!F15)</f>
        <v>1463.9658199114879</v>
      </c>
      <c r="G15" s="135">
        <f>IF(SER_hh_tes_in!G15=0,0,11630*1000*SER_hh_tes_in!G15/SER_hh_num_in!G15)</f>
        <v>1827.0789233509486</v>
      </c>
      <c r="H15" s="135">
        <f>IF(SER_hh_tes_in!H15=0,0,11630*1000*SER_hh_tes_in!H15/SER_hh_num_in!H15)</f>
        <v>1809.5694525098995</v>
      </c>
      <c r="I15" s="135">
        <f>IF(SER_hh_tes_in!I15=0,0,11630*1000*SER_hh_tes_in!I15/SER_hh_num_in!I15)</f>
        <v>1585.7570184552319</v>
      </c>
      <c r="J15" s="135">
        <f>IF(SER_hh_tes_in!J15=0,0,11630*1000*SER_hh_tes_in!J15/SER_hh_num_in!J15)</f>
        <v>1981.0712671832241</v>
      </c>
      <c r="K15" s="135">
        <f>IF(SER_hh_tes_in!K15=0,0,11630*1000*SER_hh_tes_in!K15/SER_hh_num_in!K15)</f>
        <v>1912.7137442007795</v>
      </c>
      <c r="L15" s="135">
        <f>IF(SER_hh_tes_in!L15=0,0,11630*1000*SER_hh_tes_in!L15/SER_hh_num_in!L15)</f>
        <v>1876.0507794846901</v>
      </c>
      <c r="M15" s="135">
        <f>IF(SER_hh_tes_in!M15=0,0,11630*1000*SER_hh_tes_in!M15/SER_hh_num_in!M15)</f>
        <v>1383.2931308190605</v>
      </c>
      <c r="N15" s="135">
        <f>IF(SER_hh_tes_in!N15=0,0,11630*1000*SER_hh_tes_in!N15/SER_hh_num_in!N15)</f>
        <v>1382.2366882317622</v>
      </c>
      <c r="O15" s="135">
        <f>IF(SER_hh_tes_in!O15=0,0,11630*1000*SER_hh_tes_in!O15/SER_hh_num_in!O15)</f>
        <v>1080.7951542636299</v>
      </c>
      <c r="P15" s="135">
        <f>IF(SER_hh_tes_in!P15=0,0,11630*1000*SER_hh_tes_in!P15/SER_hh_num_in!P15)</f>
        <v>586.63643602903551</v>
      </c>
      <c r="Q15" s="135">
        <f>IF(SER_hh_tes_in!Q15=0,0,11630*1000*SER_hh_tes_in!Q15/SER_hh_num_in!Q15)</f>
        <v>559.48966551586216</v>
      </c>
      <c r="R15" s="135">
        <f>IF(SER_hh_tes_in!R15=0,0,11630*1000*SER_hh_tes_in!R15/SER_hh_num_in!R15)</f>
        <v>1092.4976874267156</v>
      </c>
      <c r="S15" s="135">
        <f>IF(SER_hh_tes_in!S15=0,0,11630*1000*SER_hh_tes_in!S15/SER_hh_num_in!S15)</f>
        <v>1382.6589690380222</v>
      </c>
      <c r="T15" s="135">
        <f>IF(SER_hh_tes_in!T15=0,0,11630*1000*SER_hh_tes_in!T15/SER_hh_num_in!T15)</f>
        <v>1471.8539191214229</v>
      </c>
      <c r="U15" s="135">
        <f>IF(SER_hh_tes_in!U15=0,0,11630*1000*SER_hh_tes_in!U15/SER_hh_num_in!U15)</f>
        <v>1269.2709136409535</v>
      </c>
      <c r="V15" s="135">
        <f>IF(SER_hh_tes_in!V15=0,0,11630*1000*SER_hh_tes_in!V15/SER_hh_num_in!V15)</f>
        <v>1062.5356831114582</v>
      </c>
      <c r="W15" s="135">
        <f>IF(SER_hh_tes_in!W15=0,0,11630*1000*SER_hh_tes_in!W15/SER_hh_num_in!W15)</f>
        <v>782.39565165273928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24959.413086988883</v>
      </c>
      <c r="D16" s="131">
        <f>IF(SER_hh_tes_in!D16=0,0,11630*1000*SER_hh_tes_in!D16/SER_hh_num_in!D16)</f>
        <v>21809.175790341458</v>
      </c>
      <c r="E16" s="131">
        <f>IF(SER_hh_tes_in!E16=0,0,11630*1000*SER_hh_tes_in!E16/SER_hh_num_in!E16)</f>
        <v>50312.861153689832</v>
      </c>
      <c r="F16" s="131">
        <f>IF(SER_hh_tes_in!F16=0,0,11630*1000*SER_hh_tes_in!F16/SER_hh_num_in!F16)</f>
        <v>22478.056980169775</v>
      </c>
      <c r="G16" s="131">
        <f>IF(SER_hh_tes_in!G16=0,0,11630*1000*SER_hh_tes_in!G16/SER_hh_num_in!G16)</f>
        <v>22340.447701763322</v>
      </c>
      <c r="H16" s="131">
        <f>IF(SER_hh_tes_in!H16=0,0,11630*1000*SER_hh_tes_in!H16/SER_hh_num_in!H16)</f>
        <v>26046.56760466846</v>
      </c>
      <c r="I16" s="131">
        <f>IF(SER_hh_tes_in!I16=0,0,11630*1000*SER_hh_tes_in!I16/SER_hh_num_in!I16)</f>
        <v>23736.324547750788</v>
      </c>
      <c r="J16" s="131">
        <f>IF(SER_hh_tes_in!J16=0,0,11630*1000*SER_hh_tes_in!J16/SER_hh_num_in!J16)</f>
        <v>27542.911510648573</v>
      </c>
      <c r="K16" s="131">
        <f>IF(SER_hh_tes_in!K16=0,0,11630*1000*SER_hh_tes_in!K16/SER_hh_num_in!K16)</f>
        <v>27756.714594652574</v>
      </c>
      <c r="L16" s="131">
        <f>IF(SER_hh_tes_in!L16=0,0,11630*1000*SER_hh_tes_in!L16/SER_hh_num_in!L16)</f>
        <v>22180.634052125326</v>
      </c>
      <c r="M16" s="131">
        <f>IF(SER_hh_tes_in!M16=0,0,11630*1000*SER_hh_tes_in!M16/SER_hh_num_in!M16)</f>
        <v>23607.346374885437</v>
      </c>
      <c r="N16" s="131">
        <f>IF(SER_hh_tes_in!N16=0,0,11630*1000*SER_hh_tes_in!N16/SER_hh_num_in!N16)</f>
        <v>36510.013308758455</v>
      </c>
      <c r="O16" s="131">
        <f>IF(SER_hh_tes_in!O16=0,0,11630*1000*SER_hh_tes_in!O16/SER_hh_num_in!O16)</f>
        <v>21188.942931381331</v>
      </c>
      <c r="P16" s="131">
        <f>IF(SER_hh_tes_in!P16=0,0,11630*1000*SER_hh_tes_in!P16/SER_hh_num_in!P16)</f>
        <v>17907.778558981456</v>
      </c>
      <c r="Q16" s="131">
        <f>IF(SER_hh_tes_in!Q16=0,0,11630*1000*SER_hh_tes_in!Q16/SER_hh_num_in!Q16)</f>
        <v>31064.49763855424</v>
      </c>
      <c r="R16" s="131">
        <f>IF(SER_hh_tes_in!R16=0,0,11630*1000*SER_hh_tes_in!R16/SER_hh_num_in!R16)</f>
        <v>19616.44810386674</v>
      </c>
      <c r="S16" s="131">
        <f>IF(SER_hh_tes_in!S16=0,0,11630*1000*SER_hh_tes_in!S16/SER_hh_num_in!S16)</f>
        <v>28647.529991677668</v>
      </c>
      <c r="T16" s="131">
        <f>IF(SER_hh_tes_in!T16=0,0,11630*1000*SER_hh_tes_in!T16/SER_hh_num_in!T16)</f>
        <v>20708.47127650374</v>
      </c>
      <c r="U16" s="131">
        <f>IF(SER_hh_tes_in!U16=0,0,11630*1000*SER_hh_tes_in!U16/SER_hh_num_in!U16)</f>
        <v>26194.594517066434</v>
      </c>
      <c r="V16" s="131">
        <f>IF(SER_hh_tes_in!V16=0,0,11630*1000*SER_hh_tes_in!V16/SER_hh_num_in!V16)</f>
        <v>18555.011400395415</v>
      </c>
      <c r="W16" s="131">
        <f>IF(SER_hh_tes_in!W16=0,0,11630*1000*SER_hh_tes_in!W16/SER_hh_num_in!W16)</f>
        <v>19816.551306581241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24980.312219300336</v>
      </c>
      <c r="D17" s="133">
        <f>IF(SER_hh_tes_in!D17=0,0,11630*1000*SER_hh_tes_in!D17/SER_hh_num_in!D17)</f>
        <v>21818.937087967231</v>
      </c>
      <c r="E17" s="133">
        <f>IF(SER_hh_tes_in!E17=0,0,11630*1000*SER_hh_tes_in!E17/SER_hh_num_in!E17)</f>
        <v>50378.943956385207</v>
      </c>
      <c r="F17" s="133">
        <f>IF(SER_hh_tes_in!F17=0,0,11630*1000*SER_hh_tes_in!F17/SER_hh_num_in!F17)</f>
        <v>22511.335586899408</v>
      </c>
      <c r="G17" s="133">
        <f>IF(SER_hh_tes_in!G17=0,0,11630*1000*SER_hh_tes_in!G17/SER_hh_num_in!G17)</f>
        <v>22366.495960813139</v>
      </c>
      <c r="H17" s="133">
        <f>IF(SER_hh_tes_in!H17=0,0,11630*1000*SER_hh_tes_in!H17/SER_hh_num_in!H17)</f>
        <v>26091.698436061914</v>
      </c>
      <c r="I17" s="133">
        <f>IF(SER_hh_tes_in!I17=0,0,11630*1000*SER_hh_tes_in!I17/SER_hh_num_in!I17)</f>
        <v>23768.688085890823</v>
      </c>
      <c r="J17" s="133">
        <f>IF(SER_hh_tes_in!J17=0,0,11630*1000*SER_hh_tes_in!J17/SER_hh_num_in!J17)</f>
        <v>27559.07864852473</v>
      </c>
      <c r="K17" s="133">
        <f>IF(SER_hh_tes_in!K17=0,0,11630*1000*SER_hh_tes_in!K17/SER_hh_num_in!K17)</f>
        <v>27760.04784718926</v>
      </c>
      <c r="L17" s="133">
        <f>IF(SER_hh_tes_in!L17=0,0,11630*1000*SER_hh_tes_in!L17/SER_hh_num_in!L17)</f>
        <v>22196.253024133828</v>
      </c>
      <c r="M17" s="133">
        <f>IF(SER_hh_tes_in!M17=0,0,11630*1000*SER_hh_tes_in!M17/SER_hh_num_in!M17)</f>
        <v>23625.258862670831</v>
      </c>
      <c r="N17" s="133">
        <f>IF(SER_hh_tes_in!N17=0,0,11630*1000*SER_hh_tes_in!N17/SER_hh_num_in!N17)</f>
        <v>36526.346250511757</v>
      </c>
      <c r="O17" s="133">
        <f>IF(SER_hh_tes_in!O17=0,0,11630*1000*SER_hh_tes_in!O17/SER_hh_num_in!O17)</f>
        <v>21197.293430948179</v>
      </c>
      <c r="P17" s="133">
        <f>IF(SER_hh_tes_in!P17=0,0,11630*1000*SER_hh_tes_in!P17/SER_hh_num_in!P17)</f>
        <v>17946.749230754453</v>
      </c>
      <c r="Q17" s="133">
        <f>IF(SER_hh_tes_in!Q17=0,0,11630*1000*SER_hh_tes_in!Q17/SER_hh_num_in!Q17)</f>
        <v>31125.826780455263</v>
      </c>
      <c r="R17" s="133">
        <f>IF(SER_hh_tes_in!R17=0,0,11630*1000*SER_hh_tes_in!R17/SER_hh_num_in!R17)</f>
        <v>19663.077554365158</v>
      </c>
      <c r="S17" s="133">
        <f>IF(SER_hh_tes_in!S17=0,0,11630*1000*SER_hh_tes_in!S17/SER_hh_num_in!S17)</f>
        <v>28703.085301299794</v>
      </c>
      <c r="T17" s="133">
        <f>IF(SER_hh_tes_in!T17=0,0,11630*1000*SER_hh_tes_in!T17/SER_hh_num_in!T17)</f>
        <v>20947.556668433415</v>
      </c>
      <c r="U17" s="133">
        <f>IF(SER_hh_tes_in!U17=0,0,11630*1000*SER_hh_tes_in!U17/SER_hh_num_in!U17)</f>
        <v>26232.277438642061</v>
      </c>
      <c r="V17" s="133">
        <f>IF(SER_hh_tes_in!V17=0,0,11630*1000*SER_hh_tes_in!V17/SER_hh_num_in!V17)</f>
        <v>17895.642816363787</v>
      </c>
      <c r="W17" s="133">
        <f>IF(SER_hh_tes_in!W17=0,0,11630*1000*SER_hh_tes_in!W17/SER_hh_num_in!W17)</f>
        <v>19092.068240003187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24959.268499045804</v>
      </c>
      <c r="D18" s="133">
        <f>IF(SER_hh_tes_in!D18=0,0,11630*1000*SER_hh_tes_in!D18/SER_hh_num_in!D18)</f>
        <v>21809.155971059175</v>
      </c>
      <c r="E18" s="133">
        <f>IF(SER_hh_tes_in!E18=0,0,11630*1000*SER_hh_tes_in!E18/SER_hh_num_in!E18)</f>
        <v>50312.402846231053</v>
      </c>
      <c r="F18" s="133">
        <f>IF(SER_hh_tes_in!F18=0,0,11630*1000*SER_hh_tes_in!F18/SER_hh_num_in!F18)</f>
        <v>22477.801586064536</v>
      </c>
      <c r="G18" s="133">
        <f>IF(SER_hh_tes_in!G18=0,0,11630*1000*SER_hh_tes_in!G18/SER_hh_num_in!G18)</f>
        <v>22340.317500466255</v>
      </c>
      <c r="H18" s="133">
        <f>IF(SER_hh_tes_in!H18=0,0,11630*1000*SER_hh_tes_in!H18/SER_hh_num_in!H18)</f>
        <v>26046.262257098188</v>
      </c>
      <c r="I18" s="133">
        <f>IF(SER_hh_tes_in!I18=0,0,11630*1000*SER_hh_tes_in!I18/SER_hh_num_in!I18)</f>
        <v>23736.111285515013</v>
      </c>
      <c r="J18" s="133">
        <f>IF(SER_hh_tes_in!J18=0,0,11630*1000*SER_hh_tes_in!J18/SER_hh_num_in!J18)</f>
        <v>27542.770077363741</v>
      </c>
      <c r="K18" s="133">
        <f>IF(SER_hh_tes_in!K18=0,0,11630*1000*SER_hh_tes_in!K18/SER_hh_num_in!K18)</f>
        <v>27756.66409097724</v>
      </c>
      <c r="L18" s="133">
        <f>IF(SER_hh_tes_in!L18=0,0,11630*1000*SER_hh_tes_in!L18/SER_hh_num_in!L18)</f>
        <v>22180.432157092964</v>
      </c>
      <c r="M18" s="133">
        <f>IF(SER_hh_tes_in!M18=0,0,11630*1000*SER_hh_tes_in!M18/SER_hh_num_in!M18)</f>
        <v>23607.152125507346</v>
      </c>
      <c r="N18" s="133">
        <f>IF(SER_hh_tes_in!N18=0,0,11630*1000*SER_hh_tes_in!N18/SER_hh_num_in!N18)</f>
        <v>36509.83478997161</v>
      </c>
      <c r="O18" s="133">
        <f>IF(SER_hh_tes_in!O18=0,0,11630*1000*SER_hh_tes_in!O18/SER_hh_num_in!O18)</f>
        <v>21188.801147477207</v>
      </c>
      <c r="P18" s="133">
        <f>IF(SER_hh_tes_in!P18=0,0,11630*1000*SER_hh_tes_in!P18/SER_hh_num_in!P18)</f>
        <v>17907.162070054386</v>
      </c>
      <c r="Q18" s="133">
        <f>IF(SER_hh_tes_in!Q18=0,0,11630*1000*SER_hh_tes_in!Q18/SER_hh_num_in!Q18)</f>
        <v>31063.577086091227</v>
      </c>
      <c r="R18" s="133">
        <f>IF(SER_hh_tes_in!R18=0,0,11630*1000*SER_hh_tes_in!R18/SER_hh_num_in!R18)</f>
        <v>19615.510555433131</v>
      </c>
      <c r="S18" s="133">
        <f>IF(SER_hh_tes_in!S18=0,0,11630*1000*SER_hh_tes_in!S18/SER_hh_num_in!S18)</f>
        <v>28646.660521580241</v>
      </c>
      <c r="T18" s="133">
        <f>IF(SER_hh_tes_in!T18=0,0,11630*1000*SER_hh_tes_in!T18/SER_hh_num_in!T18)</f>
        <v>20704.718344925943</v>
      </c>
      <c r="U18" s="133">
        <f>IF(SER_hh_tes_in!U18=0,0,11630*1000*SER_hh_tes_in!U18/SER_hh_num_in!U18)</f>
        <v>26193.949267835713</v>
      </c>
      <c r="V18" s="133">
        <f>IF(SER_hh_tes_in!V18=0,0,11630*1000*SER_hh_tes_in!V18/SER_hh_num_in!V18)</f>
        <v>18570.187262547832</v>
      </c>
      <c r="W18" s="133">
        <f>IF(SER_hh_tes_in!W18=0,0,11630*1000*SER_hh_tes_in!W18/SER_hh_num_in!W18)</f>
        <v>19826.263856638452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18589.067503863978</v>
      </c>
      <c r="D19" s="131">
        <f>IF(SER_hh_tes_in!D19=0,0,11630*1000*SER_hh_tes_in!D19/SER_hh_num_in!D19)</f>
        <v>18858.558905756036</v>
      </c>
      <c r="E19" s="131">
        <f>IF(SER_hh_tes_in!E19=0,0,11630*1000*SER_hh_tes_in!E19/SER_hh_num_in!E19)</f>
        <v>18573.138990362593</v>
      </c>
      <c r="F19" s="131">
        <f>IF(SER_hh_tes_in!F19=0,0,11630*1000*SER_hh_tes_in!F19/SER_hh_num_in!F19)</f>
        <v>19492.007166582629</v>
      </c>
      <c r="G19" s="131">
        <f>IF(SER_hh_tes_in!G19=0,0,11630*1000*SER_hh_tes_in!G19/SER_hh_num_in!G19)</f>
        <v>18715.927722983753</v>
      </c>
      <c r="H19" s="131">
        <f>IF(SER_hh_tes_in!H19=0,0,11630*1000*SER_hh_tes_in!H19/SER_hh_num_in!H19)</f>
        <v>18603.873334291246</v>
      </c>
      <c r="I19" s="131">
        <f>IF(SER_hh_tes_in!I19=0,0,11630*1000*SER_hh_tes_in!I19/SER_hh_num_in!I19)</f>
        <v>19026.948091632934</v>
      </c>
      <c r="J19" s="131">
        <f>IF(SER_hh_tes_in!J19=0,0,11630*1000*SER_hh_tes_in!J19/SER_hh_num_in!J19)</f>
        <v>18935.538118748784</v>
      </c>
      <c r="K19" s="131">
        <f>IF(SER_hh_tes_in!K19=0,0,11630*1000*SER_hh_tes_in!K19/SER_hh_num_in!K19)</f>
        <v>18852.587876751051</v>
      </c>
      <c r="L19" s="131">
        <f>IF(SER_hh_tes_in!L19=0,0,11630*1000*SER_hh_tes_in!L19/SER_hh_num_in!L19)</f>
        <v>18879.60220837684</v>
      </c>
      <c r="M19" s="131">
        <f>IF(SER_hh_tes_in!M19=0,0,11630*1000*SER_hh_tes_in!M19/SER_hh_num_in!M19)</f>
        <v>18964.221405644377</v>
      </c>
      <c r="N19" s="131">
        <f>IF(SER_hh_tes_in!N19=0,0,11630*1000*SER_hh_tes_in!N19/SER_hh_num_in!N19)</f>
        <v>18732.822550634963</v>
      </c>
      <c r="O19" s="131">
        <f>IF(SER_hh_tes_in!O19=0,0,11630*1000*SER_hh_tes_in!O19/SER_hh_num_in!O19)</f>
        <v>19358.385940675616</v>
      </c>
      <c r="P19" s="131">
        <f>IF(SER_hh_tes_in!P19=0,0,11630*1000*SER_hh_tes_in!P19/SER_hh_num_in!P19)</f>
        <v>19504.365622443409</v>
      </c>
      <c r="Q19" s="131">
        <f>IF(SER_hh_tes_in!Q19=0,0,11630*1000*SER_hh_tes_in!Q19/SER_hh_num_in!Q19)</f>
        <v>19222.125521909136</v>
      </c>
      <c r="R19" s="131">
        <f>IF(SER_hh_tes_in!R19=0,0,11630*1000*SER_hh_tes_in!R19/SER_hh_num_in!R19)</f>
        <v>19513.727336966786</v>
      </c>
      <c r="S19" s="131">
        <f>IF(SER_hh_tes_in!S19=0,0,11630*1000*SER_hh_tes_in!S19/SER_hh_num_in!S19)</f>
        <v>19304.73716314694</v>
      </c>
      <c r="T19" s="131">
        <f>IF(SER_hh_tes_in!T19=0,0,11630*1000*SER_hh_tes_in!T19/SER_hh_num_in!T19)</f>
        <v>19019.04310836229</v>
      </c>
      <c r="U19" s="131">
        <f>IF(SER_hh_tes_in!U19=0,0,11630*1000*SER_hh_tes_in!U19/SER_hh_num_in!U19)</f>
        <v>17996.147829576523</v>
      </c>
      <c r="V19" s="131">
        <f>IF(SER_hh_tes_in!V19=0,0,11630*1000*SER_hh_tes_in!V19/SER_hh_num_in!V19)</f>
        <v>16410.140614740099</v>
      </c>
      <c r="W19" s="131">
        <f>IF(SER_hh_tes_in!W19=0,0,11630*1000*SER_hh_tes_in!W19/SER_hh_num_in!W19)</f>
        <v>17210.896074511096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18759.133647733353</v>
      </c>
      <c r="D21" s="133">
        <f>IF(SER_hh_tes_in!D21=0,0,11630*1000*SER_hh_tes_in!D21/SER_hh_num_in!D21)</f>
        <v>18475.35356030484</v>
      </c>
      <c r="E21" s="133">
        <f>IF(SER_hh_tes_in!E21=0,0,11630*1000*SER_hh_tes_in!E21/SER_hh_num_in!E21)</f>
        <v>18046.717303931768</v>
      </c>
      <c r="F21" s="133">
        <f>IF(SER_hh_tes_in!F21=0,0,11630*1000*SER_hh_tes_in!F21/SER_hh_num_in!F21)</f>
        <v>18322.106296993898</v>
      </c>
      <c r="G21" s="133">
        <f>IF(SER_hh_tes_in!G21=0,0,11630*1000*SER_hh_tes_in!G21/SER_hh_num_in!G21)</f>
        <v>18035.179142371391</v>
      </c>
      <c r="H21" s="133">
        <f>IF(SER_hh_tes_in!H21=0,0,11630*1000*SER_hh_tes_in!H21/SER_hh_num_in!H21)</f>
        <v>18905.27430507357</v>
      </c>
      <c r="I21" s="133">
        <f>IF(SER_hh_tes_in!I21=0,0,11630*1000*SER_hh_tes_in!I21/SER_hh_num_in!I21)</f>
        <v>17682.910676406678</v>
      </c>
      <c r="J21" s="133">
        <f>IF(SER_hh_tes_in!J21=0,0,11630*1000*SER_hh_tes_in!J21/SER_hh_num_in!J21)</f>
        <v>17180.901153719744</v>
      </c>
      <c r="K21" s="133">
        <f>IF(SER_hh_tes_in!K21=0,0,11630*1000*SER_hh_tes_in!K21/SER_hh_num_in!K21)</f>
        <v>16295.168890390085</v>
      </c>
      <c r="L21" s="133">
        <f>IF(SER_hh_tes_in!L21=0,0,11630*1000*SER_hh_tes_in!L21/SER_hh_num_in!L21)</f>
        <v>16063.928207507932</v>
      </c>
      <c r="M21" s="133">
        <f>IF(SER_hh_tes_in!M21=0,0,11630*1000*SER_hh_tes_in!M21/SER_hh_num_in!M21)</f>
        <v>19605.092636106983</v>
      </c>
      <c r="N21" s="133">
        <f>IF(SER_hh_tes_in!N21=0,0,11630*1000*SER_hh_tes_in!N21/SER_hh_num_in!N21)</f>
        <v>18242.762983285531</v>
      </c>
      <c r="O21" s="133">
        <f>IF(SER_hh_tes_in!O21=0,0,11630*1000*SER_hh_tes_in!O21/SER_hh_num_in!O21)</f>
        <v>19586.974539971594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19723.839120685268</v>
      </c>
      <c r="S21" s="133">
        <f>IF(SER_hh_tes_in!S21=0,0,11630*1000*SER_hh_tes_in!S21/SER_hh_num_in!S21)</f>
        <v>19641.861543657535</v>
      </c>
      <c r="T21" s="133">
        <f>IF(SER_hh_tes_in!T21=0,0,11630*1000*SER_hh_tes_in!T21/SER_hh_num_in!T21)</f>
        <v>18247.146953693857</v>
      </c>
      <c r="U21" s="133">
        <f>IF(SER_hh_tes_in!U21=0,0,11630*1000*SER_hh_tes_in!U21/SER_hh_num_in!U21)</f>
        <v>16162.471461600169</v>
      </c>
      <c r="V21" s="133">
        <f>IF(SER_hh_tes_in!V21=0,0,11630*1000*SER_hh_tes_in!V21/SER_hh_num_in!V21)</f>
        <v>15960.955710555547</v>
      </c>
      <c r="W21" s="133">
        <f>IF(SER_hh_tes_in!W21=0,0,11630*1000*SER_hh_tes_in!W21/SER_hh_num_in!W21)</f>
        <v>17054.906716386056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18778.845772131805</v>
      </c>
      <c r="D22" s="133">
        <f>IF(SER_hh_tes_in!D22=0,0,11630*1000*SER_hh_tes_in!D22/SER_hh_num_in!D22)</f>
        <v>0</v>
      </c>
      <c r="E22" s="133">
        <f>IF(SER_hh_tes_in!E22=0,0,11630*1000*SER_hh_tes_in!E22/SER_hh_num_in!E22)</f>
        <v>0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15557.320315620367</v>
      </c>
      <c r="H22" s="133">
        <f>IF(SER_hh_tes_in!H22=0,0,11630*1000*SER_hh_tes_in!H22/SER_hh_num_in!H22)</f>
        <v>18623.781478006025</v>
      </c>
      <c r="I22" s="133">
        <f>IF(SER_hh_tes_in!I22=0,0,11630*1000*SER_hh_tes_in!I22/SER_hh_num_in!I22)</f>
        <v>18411.708276817193</v>
      </c>
      <c r="J22" s="133">
        <f>IF(SER_hh_tes_in!J22=0,0,11630*1000*SER_hh_tes_in!J22/SER_hh_num_in!J22)</f>
        <v>18103.691746394969</v>
      </c>
      <c r="K22" s="133">
        <f>IF(SER_hh_tes_in!K22=0,0,11630*1000*SER_hh_tes_in!K22/SER_hh_num_in!K22)</f>
        <v>17091.816468052279</v>
      </c>
      <c r="L22" s="133">
        <f>IF(SER_hh_tes_in!L22=0,0,11630*1000*SER_hh_tes_in!L22/SER_hh_num_in!L22)</f>
        <v>16275.413668220317</v>
      </c>
      <c r="M22" s="133">
        <f>IF(SER_hh_tes_in!M22=0,0,11630*1000*SER_hh_tes_in!M22/SER_hh_num_in!M22)</f>
        <v>18626.269370581005</v>
      </c>
      <c r="N22" s="133">
        <f>IF(SER_hh_tes_in!N22=0,0,11630*1000*SER_hh_tes_in!N22/SER_hh_num_in!N22)</f>
        <v>18744.364199807973</v>
      </c>
      <c r="O22" s="133">
        <f>IF(SER_hh_tes_in!O22=0,0,11630*1000*SER_hh_tes_in!O22/SER_hh_num_in!O22)</f>
        <v>19584.317923935992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12183.963828165657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18534.076763909747</v>
      </c>
      <c r="D23" s="133">
        <f>IF(SER_hh_tes_in!D23=0,0,11630*1000*SER_hh_tes_in!D23/SER_hh_num_in!D23)</f>
        <v>18669.939358738553</v>
      </c>
      <c r="E23" s="133">
        <f>IF(SER_hh_tes_in!E23=0,0,11630*1000*SER_hh_tes_in!E23/SER_hh_num_in!E23)</f>
        <v>18555.142407671017</v>
      </c>
      <c r="F23" s="133">
        <f>IF(SER_hh_tes_in!F23=0,0,11630*1000*SER_hh_tes_in!F23/SER_hh_num_in!F23)</f>
        <v>18452.230158036309</v>
      </c>
      <c r="G23" s="133">
        <f>IF(SER_hh_tes_in!G23=0,0,11630*1000*SER_hh_tes_in!G23/SER_hh_num_in!G23)</f>
        <v>18137.329515938742</v>
      </c>
      <c r="H23" s="133">
        <f>IF(SER_hh_tes_in!H23=0,0,11630*1000*SER_hh_tes_in!H23/SER_hh_num_in!H23)</f>
        <v>18504.309534575401</v>
      </c>
      <c r="I23" s="133">
        <f>IF(SER_hh_tes_in!I23=0,0,11630*1000*SER_hh_tes_in!I23/SER_hh_num_in!I23)</f>
        <v>18254.520942804909</v>
      </c>
      <c r="J23" s="133">
        <f>IF(SER_hh_tes_in!J23=0,0,11630*1000*SER_hh_tes_in!J23/SER_hh_num_in!J23)</f>
        <v>17678.925537801828</v>
      </c>
      <c r="K23" s="133">
        <f>IF(SER_hh_tes_in!K23=0,0,11630*1000*SER_hh_tes_in!K23/SER_hh_num_in!K23)</f>
        <v>16727.297804321599</v>
      </c>
      <c r="L23" s="133">
        <f>IF(SER_hh_tes_in!L23=0,0,11630*1000*SER_hh_tes_in!L23/SER_hh_num_in!L23)</f>
        <v>16941.962885712514</v>
      </c>
      <c r="M23" s="133">
        <f>IF(SER_hh_tes_in!M23=0,0,11630*1000*SER_hh_tes_in!M23/SER_hh_num_in!M23)</f>
        <v>18865.535093534068</v>
      </c>
      <c r="N23" s="133">
        <f>IF(SER_hh_tes_in!N23=0,0,11630*1000*SER_hh_tes_in!N23/SER_hh_num_in!N23)</f>
        <v>18980.432452559086</v>
      </c>
      <c r="O23" s="133">
        <f>IF(SER_hh_tes_in!O23=0,0,11630*1000*SER_hh_tes_in!O23/SER_hh_num_in!O23)</f>
        <v>19178.060436976957</v>
      </c>
      <c r="P23" s="133">
        <f>IF(SER_hh_tes_in!P23=0,0,11630*1000*SER_hh_tes_in!P23/SER_hh_num_in!P23)</f>
        <v>19208.247992125831</v>
      </c>
      <c r="Q23" s="133">
        <f>IF(SER_hh_tes_in!Q23=0,0,11630*1000*SER_hh_tes_in!Q23/SER_hh_num_in!Q23)</f>
        <v>19171.614602205867</v>
      </c>
      <c r="R23" s="133">
        <f>IF(SER_hh_tes_in!R23=0,0,11630*1000*SER_hh_tes_in!R23/SER_hh_num_in!R23)</f>
        <v>18925.069773629708</v>
      </c>
      <c r="S23" s="133">
        <f>IF(SER_hh_tes_in!S23=0,0,11630*1000*SER_hh_tes_in!S23/SER_hh_num_in!S23)</f>
        <v>17302.176026786972</v>
      </c>
      <c r="T23" s="133">
        <f>IF(SER_hh_tes_in!T23=0,0,11630*1000*SER_hh_tes_in!T23/SER_hh_num_in!T23)</f>
        <v>16655.707799556087</v>
      </c>
      <c r="U23" s="133">
        <f>IF(SER_hh_tes_in!U23=0,0,11630*1000*SER_hh_tes_in!U23/SER_hh_num_in!U23)</f>
        <v>16475.357984819657</v>
      </c>
      <c r="V23" s="133">
        <f>IF(SER_hh_tes_in!V23=0,0,11630*1000*SER_hh_tes_in!V23/SER_hh_num_in!V23)</f>
        <v>16037.861648523916</v>
      </c>
      <c r="W23" s="133">
        <f>IF(SER_hh_tes_in!W23=0,0,11630*1000*SER_hh_tes_in!W23/SER_hh_num_in!W23)</f>
        <v>17878.629481347085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0</v>
      </c>
      <c r="F25" s="133">
        <f>IF(SER_hh_tes_in!F25=0,0,11630*1000*SER_hh_tes_in!F25/SER_hh_num_in!F25)</f>
        <v>26395.224165714775</v>
      </c>
      <c r="G25" s="133">
        <f>IF(SER_hh_tes_in!G25=0,0,11630*1000*SER_hh_tes_in!G25/SER_hh_num_in!G25)</f>
        <v>20723.729342426963</v>
      </c>
      <c r="H25" s="133">
        <f>IF(SER_hh_tes_in!H25=0,0,11630*1000*SER_hh_tes_in!H25/SER_hh_num_in!H25)</f>
        <v>18541.510224999034</v>
      </c>
      <c r="I25" s="133">
        <f>IF(SER_hh_tes_in!I25=0,0,11630*1000*SER_hh_tes_in!I25/SER_hh_num_in!I25)</f>
        <v>17079.412136129304</v>
      </c>
      <c r="J25" s="133">
        <f>IF(SER_hh_tes_in!J25=0,0,11630*1000*SER_hh_tes_in!J25/SER_hh_num_in!J25)</f>
        <v>16285.111528132531</v>
      </c>
      <c r="K25" s="133">
        <f>IF(SER_hh_tes_in!K25=0,0,11630*1000*SER_hh_tes_in!K25/SER_hh_num_in!K25)</f>
        <v>16524.376249432647</v>
      </c>
      <c r="L25" s="133">
        <f>IF(SER_hh_tes_in!L25=0,0,11630*1000*SER_hh_tes_in!L25/SER_hh_num_in!L25)</f>
        <v>16767.12990957794</v>
      </c>
      <c r="M25" s="133">
        <f>IF(SER_hh_tes_in!M25=0,0,11630*1000*SER_hh_tes_in!M25/SER_hh_num_in!M25)</f>
        <v>17897.199518134745</v>
      </c>
      <c r="N25" s="133">
        <f>IF(SER_hh_tes_in!N25=0,0,11630*1000*SER_hh_tes_in!N25/SER_hh_num_in!N25)</f>
        <v>17938.975779679364</v>
      </c>
      <c r="O25" s="133">
        <f>IF(SER_hh_tes_in!O25=0,0,11630*1000*SER_hh_tes_in!O25/SER_hh_num_in!O25)</f>
        <v>19265.908712724315</v>
      </c>
      <c r="P25" s="133">
        <f>IF(SER_hh_tes_in!P25=0,0,11630*1000*SER_hh_tes_in!P25/SER_hh_num_in!P25)</f>
        <v>19453.720414636475</v>
      </c>
      <c r="Q25" s="133">
        <f>IF(SER_hh_tes_in!Q25=0,0,11630*1000*SER_hh_tes_in!Q25/SER_hh_num_in!Q25)</f>
        <v>18928.456407507456</v>
      </c>
      <c r="R25" s="133">
        <f>IF(SER_hh_tes_in!R25=0,0,11630*1000*SER_hh_tes_in!R25/SER_hh_num_in!R25)</f>
        <v>17752.450636366564</v>
      </c>
      <c r="S25" s="133">
        <f>IF(SER_hh_tes_in!S25=0,0,11630*1000*SER_hh_tes_in!S25/SER_hh_num_in!S25)</f>
        <v>16973.95176271964</v>
      </c>
      <c r="T25" s="133">
        <f>IF(SER_hh_tes_in!T25=0,0,11630*1000*SER_hh_tes_in!T25/SER_hh_num_in!T25)</f>
        <v>16562.246218686534</v>
      </c>
      <c r="U25" s="133">
        <f>IF(SER_hh_tes_in!U25=0,0,11630*1000*SER_hh_tes_in!U25/SER_hh_num_in!U25)</f>
        <v>16208.36135401876</v>
      </c>
      <c r="V25" s="133">
        <f>IF(SER_hh_tes_in!V25=0,0,11630*1000*SER_hh_tes_in!V25/SER_hh_num_in!V25)</f>
        <v>15912.833659280903</v>
      </c>
      <c r="W25" s="133">
        <f>IF(SER_hh_tes_in!W25=0,0,11630*1000*SER_hh_tes_in!W25/SER_hh_num_in!W25)</f>
        <v>17135.598661335123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18107.186139122612</v>
      </c>
      <c r="D26" s="65">
        <f>IF(SER_hh_tes_in!D26=0,0,11630*1000*SER_hh_tes_in!D26/SER_hh_num_in!D26)</f>
        <v>18085.144802593419</v>
      </c>
      <c r="E26" s="65">
        <f>IF(SER_hh_tes_in!E26=0,0,11630*1000*SER_hh_tes_in!E26/SER_hh_num_in!E26)</f>
        <v>17416.924632998889</v>
      </c>
      <c r="F26" s="65">
        <f>IF(SER_hh_tes_in!F26=0,0,11630*1000*SER_hh_tes_in!F26/SER_hh_num_in!F26)</f>
        <v>16786.678660274294</v>
      </c>
      <c r="G26" s="65">
        <f>IF(SER_hh_tes_in!G26=0,0,11630*1000*SER_hh_tes_in!G26/SER_hh_num_in!G26)</f>
        <v>11224.619418954953</v>
      </c>
      <c r="H26" s="65">
        <f>IF(SER_hh_tes_in!H26=0,0,11630*1000*SER_hh_tes_in!H26/SER_hh_num_in!H26)</f>
        <v>16483.15409873749</v>
      </c>
      <c r="I26" s="65">
        <f>IF(SER_hh_tes_in!I26=0,0,11630*1000*SER_hh_tes_in!I26/SER_hh_num_in!I26)</f>
        <v>14407.29966604221</v>
      </c>
      <c r="J26" s="65">
        <f>IF(SER_hh_tes_in!J26=0,0,11630*1000*SER_hh_tes_in!J26/SER_hh_num_in!J26)</f>
        <v>6916.7783860323943</v>
      </c>
      <c r="K26" s="65">
        <f>IF(SER_hh_tes_in!K26=0,0,11630*1000*SER_hh_tes_in!K26/SER_hh_num_in!K26)</f>
        <v>3250.3715087474407</v>
      </c>
      <c r="L26" s="65">
        <f>IF(SER_hh_tes_in!L26=0,0,11630*1000*SER_hh_tes_in!L26/SER_hh_num_in!L26)</f>
        <v>3069.9807834571343</v>
      </c>
      <c r="M26" s="65">
        <f>IF(SER_hh_tes_in!M26=0,0,11630*1000*SER_hh_tes_in!M26/SER_hh_num_in!M26)</f>
        <v>13301.417866518867</v>
      </c>
      <c r="N26" s="65">
        <f>IF(SER_hh_tes_in!N26=0,0,11630*1000*SER_hh_tes_in!N26/SER_hh_num_in!N26)</f>
        <v>9346.460745366825</v>
      </c>
      <c r="O26" s="65">
        <f>IF(SER_hh_tes_in!O26=0,0,11630*1000*SER_hh_tes_in!O26/SER_hh_num_in!O26)</f>
        <v>6061.9923515032788</v>
      </c>
      <c r="P26" s="65">
        <f>IF(SER_hh_tes_in!P26=0,0,11630*1000*SER_hh_tes_in!P26/SER_hh_num_in!P26)</f>
        <v>9790.8180658466536</v>
      </c>
      <c r="Q26" s="65">
        <f>IF(SER_hh_tes_in!Q26=0,0,11630*1000*SER_hh_tes_in!Q26/SER_hh_num_in!Q26)</f>
        <v>18812.799860261242</v>
      </c>
      <c r="R26" s="65">
        <f>IF(SER_hh_tes_in!R26=0,0,11630*1000*SER_hh_tes_in!R26/SER_hh_num_in!R26)</f>
        <v>3817.1735001999109</v>
      </c>
      <c r="S26" s="65">
        <f>IF(SER_hh_tes_in!S26=0,0,11630*1000*SER_hh_tes_in!S26/SER_hh_num_in!S26)</f>
        <v>3412.6033225018332</v>
      </c>
      <c r="T26" s="65">
        <f>IF(SER_hh_tes_in!T26=0,0,11630*1000*SER_hh_tes_in!T26/SER_hh_num_in!T26)</f>
        <v>8464.8601539295705</v>
      </c>
      <c r="U26" s="65">
        <f>IF(SER_hh_tes_in!U26=0,0,11630*1000*SER_hh_tes_in!U26/SER_hh_num_in!U26)</f>
        <v>3368.3264289343251</v>
      </c>
      <c r="V26" s="65">
        <f>IF(SER_hh_tes_in!V26=0,0,11630*1000*SER_hh_tes_in!V26/SER_hh_num_in!V26)</f>
        <v>3462.6561031722731</v>
      </c>
      <c r="W26" s="65">
        <f>IF(SER_hh_tes_in!W26=0,0,11630*1000*SER_hh_tes_in!W26/SER_hh_num_in!W26)</f>
        <v>5543.2543340293341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315.62978043997197</v>
      </c>
      <c r="D27" s="146">
        <f>IF(SER_hh_tes_in!D27=0,0,11630*1000*SER_hh_tes_in!D27/SER_hh_num_in!D19)</f>
        <v>559.41956978485666</v>
      </c>
      <c r="E27" s="146">
        <f>IF(SER_hh_tes_in!E27=0,0,11630*1000*SER_hh_tes_in!E27/SER_hh_num_in!E19)</f>
        <v>688.38799296400236</v>
      </c>
      <c r="F27" s="146">
        <f>IF(SER_hh_tes_in!F27=0,0,11630*1000*SER_hh_tes_in!F27/SER_hh_num_in!F19)</f>
        <v>1215.593939913645</v>
      </c>
      <c r="G27" s="146">
        <f>IF(SER_hh_tes_in!G27=0,0,11630*1000*SER_hh_tes_in!G27/SER_hh_num_in!G19)</f>
        <v>3768.8496685977157</v>
      </c>
      <c r="H27" s="146">
        <f>IF(SER_hh_tes_in!H27=0,0,11630*1000*SER_hh_tes_in!H27/SER_hh_num_in!H19)</f>
        <v>1265.5118466389463</v>
      </c>
      <c r="I27" s="146">
        <f>IF(SER_hh_tes_in!I27=0,0,11630*1000*SER_hh_tes_in!I27/SER_hh_num_in!I19)</f>
        <v>3076.8590197649287</v>
      </c>
      <c r="J27" s="146">
        <f>IF(SER_hh_tes_in!J27=0,0,11630*1000*SER_hh_tes_in!J27/SER_hh_num_in!J19)</f>
        <v>6845.1113105377226</v>
      </c>
      <c r="K27" s="146">
        <f>IF(SER_hh_tes_in!K27=0,0,11630*1000*SER_hh_tes_in!K27/SER_hh_num_in!K19)</f>
        <v>8778.7550838925818</v>
      </c>
      <c r="L27" s="146">
        <f>IF(SER_hh_tes_in!L27=0,0,11630*1000*SER_hh_tes_in!L27/SER_hh_num_in!L19)</f>
        <v>9173.4644068549715</v>
      </c>
      <c r="M27" s="146">
        <f>IF(SER_hh_tes_in!M27=0,0,11630*1000*SER_hh_tes_in!M27/SER_hh_num_in!M19)</f>
        <v>2985.7275600710482</v>
      </c>
      <c r="N27" s="146">
        <f>IF(SER_hh_tes_in!N27=0,0,11630*1000*SER_hh_tes_in!N27/SER_hh_num_in!N19)</f>
        <v>4430.1866255726636</v>
      </c>
      <c r="O27" s="146">
        <f>IF(SER_hh_tes_in!O27=0,0,11630*1000*SER_hh_tes_in!O27/SER_hh_num_in!O19)</f>
        <v>6415.6589634497595</v>
      </c>
      <c r="P27" s="146">
        <f>IF(SER_hh_tes_in!P27=0,0,11630*1000*SER_hh_tes_in!P27/SER_hh_num_in!P19)</f>
        <v>5968.8188929053422</v>
      </c>
      <c r="Q27" s="146">
        <f>IF(SER_hh_tes_in!Q27=0,0,11630*1000*SER_hh_tes_in!Q27/SER_hh_num_in!Q19)</f>
        <v>235.74786661512996</v>
      </c>
      <c r="R27" s="146">
        <f>IF(SER_hh_tes_in!R27=0,0,11630*1000*SER_hh_tes_in!R27/SER_hh_num_in!R19)</f>
        <v>6193.8756870011912</v>
      </c>
      <c r="S27" s="146">
        <f>IF(SER_hh_tes_in!S27=0,0,11630*1000*SER_hh_tes_in!S27/SER_hh_num_in!S19)</f>
        <v>7106.5083069964221</v>
      </c>
      <c r="T27" s="146">
        <f>IF(SER_hh_tes_in!T27=0,0,11630*1000*SER_hh_tes_in!T27/SER_hh_num_in!T19)</f>
        <v>6263.2408013491622</v>
      </c>
      <c r="U27" s="146">
        <f>IF(SER_hh_tes_in!U27=0,0,11630*1000*SER_hh_tes_in!U27/SER_hh_num_in!U19)</f>
        <v>7608.7363113652873</v>
      </c>
      <c r="V27" s="146">
        <f>IF(SER_hh_tes_in!V27=0,0,11630*1000*SER_hh_tes_in!V27/SER_hh_num_in!V19)</f>
        <v>7002.9804749189016</v>
      </c>
      <c r="W27" s="146">
        <f>IF(SER_hh_tes_in!W27=0,0,11630*1000*SER_hh_tes_in!W27/SER_hh_num_in!W19)</f>
        <v>6279.4809490584203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15698.947751673646</v>
      </c>
      <c r="D28" s="147">
        <f>IF(SER_hh_tes_in!D27=0,0,11630*1000*SER_hh_tes_in!D27/SER_hh_num_in!D27)</f>
        <v>15371.562278831439</v>
      </c>
      <c r="E28" s="147">
        <f>IF(SER_hh_tes_in!E27=0,0,11630*1000*SER_hh_tes_in!E27/SER_hh_num_in!E27)</f>
        <v>15736.287699250872</v>
      </c>
      <c r="F28" s="147">
        <f>IF(SER_hh_tes_in!F27=0,0,11630*1000*SER_hh_tes_in!F27/SER_hh_num_in!F27)</f>
        <v>15348.113330468563</v>
      </c>
      <c r="G28" s="147">
        <f>IF(SER_hh_tes_in!G27=0,0,11630*1000*SER_hh_tes_in!G27/SER_hh_num_in!G27)</f>
        <v>15661.010208697211</v>
      </c>
      <c r="H28" s="147">
        <f>IF(SER_hh_tes_in!H27=0,0,11630*1000*SER_hh_tes_in!H27/SER_hh_num_in!H27)</f>
        <v>15630.638686846989</v>
      </c>
      <c r="I28" s="147">
        <f>IF(SER_hh_tes_in!I27=0,0,11630*1000*SER_hh_tes_in!I27/SER_hh_num_in!I27)</f>
        <v>15955.163863547148</v>
      </c>
      <c r="J28" s="147">
        <f>IF(SER_hh_tes_in!J27=0,0,11630*1000*SER_hh_tes_in!J27/SER_hh_num_in!J27)</f>
        <v>15042.184214966297</v>
      </c>
      <c r="K28" s="147">
        <f>IF(SER_hh_tes_in!K27=0,0,11630*1000*SER_hh_tes_in!K27/SER_hh_num_in!K27)</f>
        <v>15586.877799885826</v>
      </c>
      <c r="L28" s="147">
        <f>IF(SER_hh_tes_in!L27=0,0,11630*1000*SER_hh_tes_in!L27/SER_hh_num_in!L27)</f>
        <v>15927.443216830034</v>
      </c>
      <c r="M28" s="147">
        <f>IF(SER_hh_tes_in!M27=0,0,11630*1000*SER_hh_tes_in!M27/SER_hh_num_in!M27)</f>
        <v>15596.128745970451</v>
      </c>
      <c r="N28" s="147">
        <f>IF(SER_hh_tes_in!N27=0,0,11630*1000*SER_hh_tes_in!N27/SER_hh_num_in!N27)</f>
        <v>16144.199988172431</v>
      </c>
      <c r="O28" s="147">
        <f>IF(SER_hh_tes_in!O27=0,0,11630*1000*SER_hh_tes_in!O27/SER_hh_num_in!O27)</f>
        <v>16740.782364707302</v>
      </c>
      <c r="P28" s="147">
        <f>IF(SER_hh_tes_in!P27=0,0,11630*1000*SER_hh_tes_in!P27/SER_hh_num_in!P27)</f>
        <v>15369.269678991284</v>
      </c>
      <c r="Q28" s="147">
        <f>IF(SER_hh_tes_in!Q27=0,0,11630*1000*SER_hh_tes_in!Q27/SER_hh_num_in!Q27)</f>
        <v>16550.819338327954</v>
      </c>
      <c r="R28" s="147">
        <f>IF(SER_hh_tes_in!R27=0,0,11630*1000*SER_hh_tes_in!R27/SER_hh_num_in!R27)</f>
        <v>16989.778412785483</v>
      </c>
      <c r="S28" s="147">
        <f>IF(SER_hh_tes_in!S27=0,0,11630*1000*SER_hh_tes_in!S27/SER_hh_num_in!S27)</f>
        <v>16380.331067650537</v>
      </c>
      <c r="T28" s="147">
        <f>IF(SER_hh_tes_in!T27=0,0,11630*1000*SER_hh_tes_in!T27/SER_hh_num_in!T27)</f>
        <v>16816.852517893869</v>
      </c>
      <c r="U28" s="147">
        <f>IF(SER_hh_tes_in!U27=0,0,11630*1000*SER_hh_tes_in!U27/SER_hh_num_in!U27)</f>
        <v>15367.110805565806</v>
      </c>
      <c r="V28" s="147">
        <f>IF(SER_hh_tes_in!V27=0,0,11630*1000*SER_hh_tes_in!V27/SER_hh_num_in!V27)</f>
        <v>14220.918051962619</v>
      </c>
      <c r="W28" s="147">
        <f>IF(SER_hh_tes_in!W27=0,0,11630*1000*SER_hh_tes_in!W27/SER_hh_num_in!W27)</f>
        <v>14230.971954484095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19221.342356482932</v>
      </c>
      <c r="D29" s="131">
        <f>IF(SER_hh_tes_in!D29=0,0,11630*1000*SER_hh_tes_in!D29/SER_hh_num_in!D29)</f>
        <v>18611.117705744928</v>
      </c>
      <c r="E29" s="131">
        <f>IF(SER_hh_tes_in!E29=0,0,11630*1000*SER_hh_tes_in!E29/SER_hh_num_in!E29)</f>
        <v>21265.431228755428</v>
      </c>
      <c r="F29" s="131">
        <f>IF(SER_hh_tes_in!F29=0,0,11630*1000*SER_hh_tes_in!F29/SER_hh_num_in!F29)</f>
        <v>21326.094530594422</v>
      </c>
      <c r="G29" s="131">
        <f>IF(SER_hh_tes_in!G29=0,0,11630*1000*SER_hh_tes_in!G29/SER_hh_num_in!G29)</f>
        <v>21347.313336848059</v>
      </c>
      <c r="H29" s="131">
        <f>IF(SER_hh_tes_in!H29=0,0,11630*1000*SER_hh_tes_in!H29/SER_hh_num_in!H29)</f>
        <v>20898.02802079598</v>
      </c>
      <c r="I29" s="131">
        <f>IF(SER_hh_tes_in!I29=0,0,11630*1000*SER_hh_tes_in!I29/SER_hh_num_in!I29)</f>
        <v>21701.589167556922</v>
      </c>
      <c r="J29" s="131">
        <f>IF(SER_hh_tes_in!J29=0,0,11630*1000*SER_hh_tes_in!J29/SER_hh_num_in!J29)</f>
        <v>21391.741325004798</v>
      </c>
      <c r="K29" s="131">
        <f>IF(SER_hh_tes_in!K29=0,0,11630*1000*SER_hh_tes_in!K29/SER_hh_num_in!K29)</f>
        <v>22344.503300116201</v>
      </c>
      <c r="L29" s="131">
        <f>IF(SER_hh_tes_in!L29=0,0,11630*1000*SER_hh_tes_in!L29/SER_hh_num_in!L29)</f>
        <v>22324.732134523612</v>
      </c>
      <c r="M29" s="131">
        <f>IF(SER_hh_tes_in!M29=0,0,11630*1000*SER_hh_tes_in!M29/SER_hh_num_in!M29)</f>
        <v>22324.638141281743</v>
      </c>
      <c r="N29" s="131">
        <f>IF(SER_hh_tes_in!N29=0,0,11630*1000*SER_hh_tes_in!N29/SER_hh_num_in!N29)</f>
        <v>22456.431379430982</v>
      </c>
      <c r="O29" s="131">
        <f>IF(SER_hh_tes_in!O29=0,0,11630*1000*SER_hh_tes_in!O29/SER_hh_num_in!O29)</f>
        <v>22741.611801991316</v>
      </c>
      <c r="P29" s="131">
        <f>IF(SER_hh_tes_in!P29=0,0,11630*1000*SER_hh_tes_in!P29/SER_hh_num_in!P29)</f>
        <v>22888.128808306235</v>
      </c>
      <c r="Q29" s="131">
        <f>IF(SER_hh_tes_in!Q29=0,0,11630*1000*SER_hh_tes_in!Q29/SER_hh_num_in!Q29)</f>
        <v>22970.512242640529</v>
      </c>
      <c r="R29" s="131">
        <f>IF(SER_hh_tes_in!R29=0,0,11630*1000*SER_hh_tes_in!R29/SER_hh_num_in!R29)</f>
        <v>23074.472992913357</v>
      </c>
      <c r="S29" s="131">
        <f>IF(SER_hh_tes_in!S29=0,0,11630*1000*SER_hh_tes_in!S29/SER_hh_num_in!S29)</f>
        <v>23052.281106347669</v>
      </c>
      <c r="T29" s="131">
        <f>IF(SER_hh_tes_in!T29=0,0,11630*1000*SER_hh_tes_in!T29/SER_hh_num_in!T29)</f>
        <v>22808.076755241858</v>
      </c>
      <c r="U29" s="131">
        <f>IF(SER_hh_tes_in!U29=0,0,11630*1000*SER_hh_tes_in!U29/SER_hh_num_in!U29)</f>
        <v>22845.324969689784</v>
      </c>
      <c r="V29" s="131">
        <f>IF(SER_hh_tes_in!V29=0,0,11630*1000*SER_hh_tes_in!V29/SER_hh_num_in!V29)</f>
        <v>20643.530986720289</v>
      </c>
      <c r="W29" s="131">
        <f>IF(SER_hh_tes_in!W29=0,0,11630*1000*SER_hh_tes_in!W29/SER_hh_num_in!W29)</f>
        <v>22333.132650246698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19387.078860375637</v>
      </c>
      <c r="D30" s="133">
        <f>IF(SER_hh_tes_in!D30=0,0,11630*1000*SER_hh_tes_in!D30/SER_hh_num_in!D30)</f>
        <v>20025.890101347773</v>
      </c>
      <c r="E30" s="133">
        <f>IF(SER_hh_tes_in!E30=0,0,11630*1000*SER_hh_tes_in!E30/SER_hh_num_in!E30)</f>
        <v>20430.538458506493</v>
      </c>
      <c r="F30" s="133">
        <f>IF(SER_hh_tes_in!F30=0,0,11630*1000*SER_hh_tes_in!F30/SER_hh_num_in!F30)</f>
        <v>20786.12210459559</v>
      </c>
      <c r="G30" s="133">
        <f>IF(SER_hh_tes_in!G30=0,0,11630*1000*SER_hh_tes_in!G30/SER_hh_num_in!G30)</f>
        <v>21053.849740792914</v>
      </c>
      <c r="H30" s="133">
        <f>IF(SER_hh_tes_in!H30=0,0,11630*1000*SER_hh_tes_in!H30/SER_hh_num_in!H30)</f>
        <v>20407.657867996411</v>
      </c>
      <c r="I30" s="133">
        <f>IF(SER_hh_tes_in!I30=0,0,11630*1000*SER_hh_tes_in!I30/SER_hh_num_in!I30)</f>
        <v>22954.034279403142</v>
      </c>
      <c r="J30" s="133">
        <f>IF(SER_hh_tes_in!J30=0,0,11630*1000*SER_hh_tes_in!J30/SER_hh_num_in!J30)</f>
        <v>17359.352734814158</v>
      </c>
      <c r="K30" s="133">
        <f>IF(SER_hh_tes_in!K30=0,0,11630*1000*SER_hh_tes_in!K30/SER_hh_num_in!K30)</f>
        <v>22754.657593900385</v>
      </c>
      <c r="L30" s="133">
        <f>IF(SER_hh_tes_in!L30=0,0,11630*1000*SER_hh_tes_in!L30/SER_hh_num_in!L30)</f>
        <v>22907.611643819684</v>
      </c>
      <c r="M30" s="133">
        <f>IF(SER_hh_tes_in!M30=0,0,11630*1000*SER_hh_tes_in!M30/SER_hh_num_in!M30)</f>
        <v>23284.966295903767</v>
      </c>
      <c r="N30" s="133">
        <f>IF(SER_hh_tes_in!N30=0,0,11630*1000*SER_hh_tes_in!N30/SER_hh_num_in!N30)</f>
        <v>20454.597768663341</v>
      </c>
      <c r="O30" s="133">
        <f>IF(SER_hh_tes_in!O30=0,0,11630*1000*SER_hh_tes_in!O30/SER_hh_num_in!O30)</f>
        <v>21825.090535632255</v>
      </c>
      <c r="P30" s="133">
        <f>IF(SER_hh_tes_in!P30=0,0,11630*1000*SER_hh_tes_in!P30/SER_hh_num_in!P30)</f>
        <v>23962.968340546166</v>
      </c>
      <c r="Q30" s="133">
        <f>IF(SER_hh_tes_in!Q30=0,0,11630*1000*SER_hh_tes_in!Q30/SER_hh_num_in!Q30)</f>
        <v>23097.565404658159</v>
      </c>
      <c r="R30" s="133">
        <f>IF(SER_hh_tes_in!R30=0,0,11630*1000*SER_hh_tes_in!R30/SER_hh_num_in!R30)</f>
        <v>22980.21660071061</v>
      </c>
      <c r="S30" s="133">
        <f>IF(SER_hh_tes_in!S30=0,0,11630*1000*SER_hh_tes_in!S30/SER_hh_num_in!S30)</f>
        <v>23292.062685618301</v>
      </c>
      <c r="T30" s="133">
        <f>IF(SER_hh_tes_in!T30=0,0,11630*1000*SER_hh_tes_in!T30/SER_hh_num_in!T30)</f>
        <v>22828.898833205691</v>
      </c>
      <c r="U30" s="133">
        <f>IF(SER_hh_tes_in!U30=0,0,11630*1000*SER_hh_tes_in!U30/SER_hh_num_in!U30)</f>
        <v>21733.650518525603</v>
      </c>
      <c r="V30" s="133">
        <f>IF(SER_hh_tes_in!V30=0,0,11630*1000*SER_hh_tes_in!V30/SER_hh_num_in!V30)</f>
        <v>21892.532135277528</v>
      </c>
      <c r="W30" s="133">
        <f>IF(SER_hh_tes_in!W30=0,0,11630*1000*SER_hh_tes_in!W30/SER_hh_num_in!W30)</f>
        <v>21748.657029916198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20089.07201296508</v>
      </c>
      <c r="D31" s="133">
        <f>IF(SER_hh_tes_in!D31=0,0,11630*1000*SER_hh_tes_in!D31/SER_hh_num_in!D31)</f>
        <v>20463.613785447989</v>
      </c>
      <c r="E31" s="133">
        <f>IF(SER_hh_tes_in!E31=0,0,11630*1000*SER_hh_tes_in!E31/SER_hh_num_in!E31)</f>
        <v>18683.197631806757</v>
      </c>
      <c r="F31" s="133">
        <f>IF(SER_hh_tes_in!F31=0,0,11630*1000*SER_hh_tes_in!F31/SER_hh_num_in!F31)</f>
        <v>19067.580305285715</v>
      </c>
      <c r="G31" s="133">
        <f>IF(SER_hh_tes_in!G31=0,0,11630*1000*SER_hh_tes_in!G31/SER_hh_num_in!G31)</f>
        <v>21837.16763345365</v>
      </c>
      <c r="H31" s="133">
        <f>IF(SER_hh_tes_in!H31=0,0,11630*1000*SER_hh_tes_in!H31/SER_hh_num_in!H31)</f>
        <v>20128.742323834165</v>
      </c>
      <c r="I31" s="133">
        <f>IF(SER_hh_tes_in!I31=0,0,11630*1000*SER_hh_tes_in!I31/SER_hh_num_in!I31)</f>
        <v>21802.307175291749</v>
      </c>
      <c r="J31" s="133">
        <f>IF(SER_hh_tes_in!J31=0,0,11630*1000*SER_hh_tes_in!J31/SER_hh_num_in!J31)</f>
        <v>21414.15151153749</v>
      </c>
      <c r="K31" s="133">
        <f>IF(SER_hh_tes_in!K31=0,0,11630*1000*SER_hh_tes_in!K31/SER_hh_num_in!K31)</f>
        <v>22388.896459785123</v>
      </c>
      <c r="L31" s="133">
        <f>IF(SER_hh_tes_in!L31=0,0,11630*1000*SER_hh_tes_in!L31/SER_hh_num_in!L31)</f>
        <v>22270.695384213894</v>
      </c>
      <c r="M31" s="133">
        <f>IF(SER_hh_tes_in!M31=0,0,11630*1000*SER_hh_tes_in!M31/SER_hh_num_in!M31)</f>
        <v>22174.477424648139</v>
      </c>
      <c r="N31" s="133">
        <f>IF(SER_hh_tes_in!N31=0,0,11630*1000*SER_hh_tes_in!N31/SER_hh_num_in!N31)</f>
        <v>22299.990242140047</v>
      </c>
      <c r="O31" s="133">
        <f>IF(SER_hh_tes_in!O31=0,0,11630*1000*SER_hh_tes_in!O31/SER_hh_num_in!O31)</f>
        <v>22384.912005893715</v>
      </c>
      <c r="P31" s="133">
        <f>IF(SER_hh_tes_in!P31=0,0,11630*1000*SER_hh_tes_in!P31/SER_hh_num_in!P31)</f>
        <v>23293.79552973355</v>
      </c>
      <c r="Q31" s="133">
        <f>IF(SER_hh_tes_in!Q31=0,0,11630*1000*SER_hh_tes_in!Q31/SER_hh_num_in!Q31)</f>
        <v>23035.909904185406</v>
      </c>
      <c r="R31" s="133">
        <f>IF(SER_hh_tes_in!R31=0,0,11630*1000*SER_hh_tes_in!R31/SER_hh_num_in!R31)</f>
        <v>23558.383897225613</v>
      </c>
      <c r="S31" s="133">
        <f>IF(SER_hh_tes_in!S31=0,0,11630*1000*SER_hh_tes_in!S31/SER_hh_num_in!S31)</f>
        <v>23365.461191026458</v>
      </c>
      <c r="T31" s="133">
        <f>IF(SER_hh_tes_in!T31=0,0,11630*1000*SER_hh_tes_in!T31/SER_hh_num_in!T31)</f>
        <v>21506.451854860068</v>
      </c>
      <c r="U31" s="133">
        <f>IF(SER_hh_tes_in!U31=0,0,11630*1000*SER_hh_tes_in!U31/SER_hh_num_in!U31)</f>
        <v>23383.525240463507</v>
      </c>
      <c r="V31" s="133">
        <f>IF(SER_hh_tes_in!V31=0,0,11630*1000*SER_hh_tes_in!V31/SER_hh_num_in!V31)</f>
        <v>20708.491059363223</v>
      </c>
      <c r="W31" s="133">
        <f>IF(SER_hh_tes_in!W31=0,0,11630*1000*SER_hh_tes_in!W31/SER_hh_num_in!W31)</f>
        <v>21297.481819982164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18408.210862194588</v>
      </c>
      <c r="D33" s="68">
        <f>IF(SER_hh_tes_in!D33=0,0,11630*1000*SER_hh_tes_in!D33/SER_hh_num_in!D33)</f>
        <v>18303.597053328584</v>
      </c>
      <c r="E33" s="68">
        <f>IF(SER_hh_tes_in!E33=0,0,11630*1000*SER_hh_tes_in!E33/SER_hh_num_in!E33)</f>
        <v>21482.131902746449</v>
      </c>
      <c r="F33" s="68">
        <f>IF(SER_hh_tes_in!F33=0,0,11630*1000*SER_hh_tes_in!F33/SER_hh_num_in!F33)</f>
        <v>22031.928953857627</v>
      </c>
      <c r="G33" s="68">
        <f>IF(SER_hh_tes_in!G33=0,0,11630*1000*SER_hh_tes_in!G33/SER_hh_num_in!G33)</f>
        <v>20778.25791096397</v>
      </c>
      <c r="H33" s="68">
        <f>IF(SER_hh_tes_in!H33=0,0,11630*1000*SER_hh_tes_in!H33/SER_hh_num_in!H33)</f>
        <v>22397.266159369592</v>
      </c>
      <c r="I33" s="68">
        <f>IF(SER_hh_tes_in!I33=0,0,11630*1000*SER_hh_tes_in!I33/SER_hh_num_in!I33)</f>
        <v>20469.000550183959</v>
      </c>
      <c r="J33" s="68">
        <f>IF(SER_hh_tes_in!J33=0,0,11630*1000*SER_hh_tes_in!J33/SER_hh_num_in!J33)</f>
        <v>23356.620506146257</v>
      </c>
      <c r="K33" s="68">
        <f>IF(SER_hh_tes_in!K33=0,0,11630*1000*SER_hh_tes_in!K33/SER_hh_num_in!K33)</f>
        <v>21832.029812222445</v>
      </c>
      <c r="L33" s="68">
        <f>IF(SER_hh_tes_in!L33=0,0,11630*1000*SER_hh_tes_in!L33/SER_hh_num_in!L33)</f>
        <v>22131.23026024134</v>
      </c>
      <c r="M33" s="68">
        <f>IF(SER_hh_tes_in!M33=0,0,11630*1000*SER_hh_tes_in!M33/SER_hh_num_in!M33)</f>
        <v>22252.976889770951</v>
      </c>
      <c r="N33" s="68">
        <f>IF(SER_hh_tes_in!N33=0,0,11630*1000*SER_hh_tes_in!N33/SER_hh_num_in!N33)</f>
        <v>23114.324193697554</v>
      </c>
      <c r="O33" s="68">
        <f>IF(SER_hh_tes_in!O33=0,0,11630*1000*SER_hh_tes_in!O33/SER_hh_num_in!O33)</f>
        <v>23414.200571375957</v>
      </c>
      <c r="P33" s="68">
        <f>IF(SER_hh_tes_in!P33=0,0,11630*1000*SER_hh_tes_in!P33/SER_hh_num_in!P33)</f>
        <v>21583.77073032752</v>
      </c>
      <c r="Q33" s="68">
        <f>IF(SER_hh_tes_in!Q33=0,0,11630*1000*SER_hh_tes_in!Q33/SER_hh_num_in!Q33)</f>
        <v>22821.281124701785</v>
      </c>
      <c r="R33" s="68">
        <f>IF(SER_hh_tes_in!R33=0,0,11630*1000*SER_hh_tes_in!R33/SER_hh_num_in!R33)</f>
        <v>22292.463718947114</v>
      </c>
      <c r="S33" s="68">
        <f>IF(SER_hh_tes_in!S33=0,0,11630*1000*SER_hh_tes_in!S33/SER_hh_num_in!S33)</f>
        <v>22391.000665593019</v>
      </c>
      <c r="T33" s="68">
        <f>IF(SER_hh_tes_in!T33=0,0,11630*1000*SER_hh_tes_in!T33/SER_hh_num_in!T33)</f>
        <v>26187.88627710511</v>
      </c>
      <c r="U33" s="68">
        <f>IF(SER_hh_tes_in!U33=0,0,11630*1000*SER_hh_tes_in!U33/SER_hh_num_in!U33)</f>
        <v>21926.627296046372</v>
      </c>
      <c r="V33" s="68">
        <f>IF(SER_hh_tes_in!V33=0,0,11630*1000*SER_hh_tes_in!V33/SER_hh_num_in!V33)</f>
        <v>19237.267310788531</v>
      </c>
      <c r="W33" s="68">
        <f>IF(SER_hh_tes_in!W33=0,0,11630*1000*SER_hh_tes_in!W33/SER_hh_num_in!W33)</f>
        <v>24838.981579986761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23816.133025941184</v>
      </c>
      <c r="D3" s="126">
        <f>IF(SER_hh_emi_in!D3=0,0,1000000*SER_hh_emi_in!D3/SER_hh_num_in!D3)</f>
        <v>20237.824043299919</v>
      </c>
      <c r="E3" s="126">
        <f>IF(SER_hh_emi_in!E3=0,0,1000000*SER_hh_emi_in!E3/SER_hh_num_in!E3)</f>
        <v>27807.077109848517</v>
      </c>
      <c r="F3" s="126">
        <f>IF(SER_hh_emi_in!F3=0,0,1000000*SER_hh_emi_in!F3/SER_hh_num_in!F3)</f>
        <v>21972.02520151444</v>
      </c>
      <c r="G3" s="126">
        <f>IF(SER_hh_emi_in!G3=0,0,1000000*SER_hh_emi_in!G3/SER_hh_num_in!G3)</f>
        <v>28833.73657066383</v>
      </c>
      <c r="H3" s="126">
        <f>IF(SER_hh_emi_in!H3=0,0,1000000*SER_hh_emi_in!H3/SER_hh_num_in!H3)</f>
        <v>27791.654044536062</v>
      </c>
      <c r="I3" s="126">
        <f>IF(SER_hh_emi_in!I3=0,0,1000000*SER_hh_emi_in!I3/SER_hh_num_in!I3)</f>
        <v>27153.613055053149</v>
      </c>
      <c r="J3" s="126">
        <f>IF(SER_hh_emi_in!J3=0,0,1000000*SER_hh_emi_in!J3/SER_hh_num_in!J3)</f>
        <v>32546.934862640406</v>
      </c>
      <c r="K3" s="126">
        <f>IF(SER_hh_emi_in!K3=0,0,1000000*SER_hh_emi_in!K3/SER_hh_num_in!K3)</f>
        <v>27686.290937520916</v>
      </c>
      <c r="L3" s="126">
        <f>IF(SER_hh_emi_in!L3=0,0,1000000*SER_hh_emi_in!L3/SER_hh_num_in!L3)</f>
        <v>23966.586388750231</v>
      </c>
      <c r="M3" s="126">
        <f>IF(SER_hh_emi_in!M3=0,0,1000000*SER_hh_emi_in!M3/SER_hh_num_in!M3)</f>
        <v>15091.640502385197</v>
      </c>
      <c r="N3" s="126">
        <f>IF(SER_hh_emi_in!N3=0,0,1000000*SER_hh_emi_in!N3/SER_hh_num_in!N3)</f>
        <v>14645.934214250812</v>
      </c>
      <c r="O3" s="126">
        <f>IF(SER_hh_emi_in!O3=0,0,1000000*SER_hh_emi_in!O3/SER_hh_num_in!O3)</f>
        <v>10525.18628726616</v>
      </c>
      <c r="P3" s="126">
        <f>IF(SER_hh_emi_in!P3=0,0,1000000*SER_hh_emi_in!P3/SER_hh_num_in!P3)</f>
        <v>7596.4048296901346</v>
      </c>
      <c r="Q3" s="126">
        <f>IF(SER_hh_emi_in!Q3=0,0,1000000*SER_hh_emi_in!Q3/SER_hh_num_in!Q3)</f>
        <v>7823.6927727389721</v>
      </c>
      <c r="R3" s="126">
        <f>IF(SER_hh_emi_in!R3=0,0,1000000*SER_hh_emi_in!R3/SER_hh_num_in!R3)</f>
        <v>10947.120849509094</v>
      </c>
      <c r="S3" s="126">
        <f>IF(SER_hh_emi_in!S3=0,0,1000000*SER_hh_emi_in!S3/SER_hh_num_in!S3)</f>
        <v>25805.846273788477</v>
      </c>
      <c r="T3" s="126">
        <f>IF(SER_hh_emi_in!T3=0,0,1000000*SER_hh_emi_in!T3/SER_hh_num_in!T3)</f>
        <v>26976.107971402194</v>
      </c>
      <c r="U3" s="126">
        <f>IF(SER_hh_emi_in!U3=0,0,1000000*SER_hh_emi_in!U3/SER_hh_num_in!U3)</f>
        <v>24256.473919371976</v>
      </c>
      <c r="V3" s="126">
        <f>IF(SER_hh_emi_in!V3=0,0,1000000*SER_hh_emi_in!V3/SER_hh_num_in!V3)</f>
        <v>20492.885392290289</v>
      </c>
      <c r="W3" s="126">
        <f>IF(SER_hh_emi_in!W3=0,0,1000000*SER_hh_emi_in!W3/SER_hh_num_in!W3)</f>
        <v>15603.349141413553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17887.329625946495</v>
      </c>
      <c r="D4" s="131">
        <f>IF(SER_hh_emi_in!D4=0,0,1000000*SER_hh_emi_in!D4/SER_hh_num_in!D4)</f>
        <v>16700.586882693697</v>
      </c>
      <c r="E4" s="131">
        <f>IF(SER_hh_emi_in!E4=0,0,1000000*SER_hh_emi_in!E4/SER_hh_num_in!E4)</f>
        <v>24118.804943992909</v>
      </c>
      <c r="F4" s="131">
        <f>IF(SER_hh_emi_in!F4=0,0,1000000*SER_hh_emi_in!F4/SER_hh_num_in!F4)</f>
        <v>17424.498054307736</v>
      </c>
      <c r="G4" s="131">
        <f>IF(SER_hh_emi_in!G4=0,0,1000000*SER_hh_emi_in!G4/SER_hh_num_in!G4)</f>
        <v>21618.569871786778</v>
      </c>
      <c r="H4" s="131">
        <f>IF(SER_hh_emi_in!H4=0,0,1000000*SER_hh_emi_in!H4/SER_hh_num_in!H4)</f>
        <v>20893.46903800789</v>
      </c>
      <c r="I4" s="131">
        <f>IF(SER_hh_emi_in!I4=0,0,1000000*SER_hh_emi_in!I4/SER_hh_num_in!I4)</f>
        <v>18670.26529892789</v>
      </c>
      <c r="J4" s="131">
        <f>IF(SER_hh_emi_in!J4=0,0,1000000*SER_hh_emi_in!J4/SER_hh_num_in!J4)</f>
        <v>24559.203785354071</v>
      </c>
      <c r="K4" s="131">
        <f>IF(SER_hh_emi_in!K4=0,0,1000000*SER_hh_emi_in!K4/SER_hh_num_in!K4)</f>
        <v>18914.768856998791</v>
      </c>
      <c r="L4" s="131">
        <f>IF(SER_hh_emi_in!L4=0,0,1000000*SER_hh_emi_in!L4/SER_hh_num_in!L4)</f>
        <v>15943.765118442792</v>
      </c>
      <c r="M4" s="131">
        <f>IF(SER_hh_emi_in!M4=0,0,1000000*SER_hh_emi_in!M4/SER_hh_num_in!M4)</f>
        <v>7704.5185859069616</v>
      </c>
      <c r="N4" s="131">
        <f>IF(SER_hh_emi_in!N4=0,0,1000000*SER_hh_emi_in!N4/SER_hh_num_in!N4)</f>
        <v>7473.2275248238429</v>
      </c>
      <c r="O4" s="131">
        <f>IF(SER_hh_emi_in!O4=0,0,1000000*SER_hh_emi_in!O4/SER_hh_num_in!O4)</f>
        <v>3464.7999745993316</v>
      </c>
      <c r="P4" s="131">
        <f>IF(SER_hh_emi_in!P4=0,0,1000000*SER_hh_emi_in!P4/SER_hh_num_in!P4)</f>
        <v>353.42814768925552</v>
      </c>
      <c r="Q4" s="131">
        <f>IF(SER_hh_emi_in!Q4=0,0,1000000*SER_hh_emi_in!Q4/SER_hh_num_in!Q4)</f>
        <v>391.43005285323801</v>
      </c>
      <c r="R4" s="131">
        <f>IF(SER_hh_emi_in!R4=0,0,1000000*SER_hh_emi_in!R4/SER_hh_num_in!R4)</f>
        <v>2901.1289398313124</v>
      </c>
      <c r="S4" s="131">
        <f>IF(SER_hh_emi_in!S4=0,0,1000000*SER_hh_emi_in!S4/SER_hh_num_in!S4)</f>
        <v>17873.010155468193</v>
      </c>
      <c r="T4" s="131">
        <f>IF(SER_hh_emi_in!T4=0,0,1000000*SER_hh_emi_in!T4/SER_hh_num_in!T4)</f>
        <v>19541.482457452934</v>
      </c>
      <c r="U4" s="131">
        <f>IF(SER_hh_emi_in!U4=0,0,1000000*SER_hh_emi_in!U4/SER_hh_num_in!U4)</f>
        <v>16232.034495082065</v>
      </c>
      <c r="V4" s="131">
        <f>IF(SER_hh_emi_in!V4=0,0,1000000*SER_hh_emi_in!V4/SER_hh_num_in!V4)</f>
        <v>13038.162392157308</v>
      </c>
      <c r="W4" s="131">
        <f>IF(SER_hh_emi_in!W4=0,0,1000000*SER_hh_emi_in!W4/SER_hh_num_in!W4)</f>
        <v>8648.5070888179871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30839.086114079466</v>
      </c>
      <c r="D6" s="133">
        <f>IF(SER_hh_emi_in!D6=0,0,1000000*SER_hh_emi_in!D6/SER_hh_num_in!D6)</f>
        <v>29029.956977160513</v>
      </c>
      <c r="E6" s="133">
        <f>IF(SER_hh_emi_in!E6=0,0,1000000*SER_hh_emi_in!E6/SER_hh_num_in!E6)</f>
        <v>34806.736180223612</v>
      </c>
      <c r="F6" s="133">
        <f>IF(SER_hh_emi_in!F6=0,0,1000000*SER_hh_emi_in!F6/SER_hh_num_in!F6)</f>
        <v>35186.409681371362</v>
      </c>
      <c r="G6" s="133">
        <f>IF(SER_hh_emi_in!G6=0,0,1000000*SER_hh_emi_in!G6/SER_hh_num_in!G6)</f>
        <v>40245.051121031167</v>
      </c>
      <c r="H6" s="133">
        <f>IF(SER_hh_emi_in!H6=0,0,1000000*SER_hh_emi_in!H6/SER_hh_num_in!H6)</f>
        <v>40033.980679333319</v>
      </c>
      <c r="I6" s="133">
        <f>IF(SER_hh_emi_in!I6=0,0,1000000*SER_hh_emi_in!I6/SER_hh_num_in!I6)</f>
        <v>37101.760020225833</v>
      </c>
      <c r="J6" s="133">
        <f>IF(SER_hh_emi_in!J6=0,0,1000000*SER_hh_emi_in!J6/SER_hh_num_in!J6)</f>
        <v>42775.760975433644</v>
      </c>
      <c r="K6" s="133">
        <f>IF(SER_hh_emi_in!K6=0,0,1000000*SER_hh_emi_in!K6/SER_hh_num_in!K6)</f>
        <v>42265.29692929217</v>
      </c>
      <c r="L6" s="133">
        <f>IF(SER_hh_emi_in!L6=0,0,1000000*SER_hh_emi_in!L6/SER_hh_num_in!L6)</f>
        <v>42905.200547018307</v>
      </c>
      <c r="M6" s="133">
        <f>IF(SER_hh_emi_in!M6=0,0,1000000*SER_hh_emi_in!M6/SER_hh_num_in!M6)</f>
        <v>37465.532983070669</v>
      </c>
      <c r="N6" s="133">
        <f>IF(SER_hh_emi_in!N6=0,0,1000000*SER_hh_emi_in!N6/SER_hh_num_in!N6)</f>
        <v>33186.886181029367</v>
      </c>
      <c r="O6" s="133">
        <f>IF(SER_hh_emi_in!O6=0,0,1000000*SER_hh_emi_in!O6/SER_hh_num_in!O6)</f>
        <v>34888.74630917624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30968.659486886449</v>
      </c>
      <c r="T6" s="133">
        <f>IF(SER_hh_emi_in!T6=0,0,1000000*SER_hh_emi_in!T6/SER_hh_num_in!T6)</f>
        <v>27620.378910441217</v>
      </c>
      <c r="U6" s="133">
        <f>IF(SER_hh_emi_in!U6=0,0,1000000*SER_hh_emi_in!U6/SER_hh_num_in!U6)</f>
        <v>26208.36527773568</v>
      </c>
      <c r="V6" s="133">
        <f>IF(SER_hh_emi_in!V6=0,0,1000000*SER_hh_emi_in!V6/SER_hh_num_in!V6)</f>
        <v>22092.733281220389</v>
      </c>
      <c r="W6" s="133">
        <f>IF(SER_hh_emi_in!W6=0,0,1000000*SER_hh_emi_in!W6/SER_hh_num_in!W6)</f>
        <v>20983.300512373109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27216.480054887208</v>
      </c>
      <c r="D7" s="133">
        <f>IF(SER_hh_emi_in!D7=0,0,1000000*SER_hh_emi_in!D7/SER_hh_num_in!D7)</f>
        <v>35352.324199251576</v>
      </c>
      <c r="E7" s="133">
        <f>IF(SER_hh_emi_in!E7=0,0,1000000*SER_hh_emi_in!E7/SER_hh_num_in!E7)</f>
        <v>43773.16208235611</v>
      </c>
      <c r="F7" s="133">
        <f>IF(SER_hh_emi_in!F7=0,0,1000000*SER_hh_emi_in!F7/SER_hh_num_in!F7)</f>
        <v>45364.502563057598</v>
      </c>
      <c r="G7" s="133">
        <f>IF(SER_hh_emi_in!G7=0,0,1000000*SER_hh_emi_in!G7/SER_hh_num_in!G7)</f>
        <v>47398.387143385618</v>
      </c>
      <c r="H7" s="133">
        <f>IF(SER_hh_emi_in!H7=0,0,1000000*SER_hh_emi_in!H7/SER_hh_num_in!H7)</f>
        <v>49778.494930725545</v>
      </c>
      <c r="I7" s="133">
        <f>IF(SER_hh_emi_in!I7=0,0,1000000*SER_hh_emi_in!I7/SER_hh_num_in!I7)</f>
        <v>47746.970957999438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0</v>
      </c>
      <c r="M7" s="133">
        <f>IF(SER_hh_emi_in!M7=0,0,1000000*SER_hh_emi_in!M7/SER_hh_num_in!M7)</f>
        <v>0</v>
      </c>
      <c r="N7" s="133">
        <f>IF(SER_hh_emi_in!N7=0,0,1000000*SER_hh_emi_in!N7/SER_hh_num_in!N7)</f>
        <v>43202.726937733139</v>
      </c>
      <c r="O7" s="133">
        <f>IF(SER_hh_emi_in!O7=0,0,1000000*SER_hh_emi_in!O7/SER_hh_num_in!O7)</f>
        <v>37137.761935942144</v>
      </c>
      <c r="P7" s="133">
        <f>IF(SER_hh_emi_in!P7=0,0,1000000*SER_hh_emi_in!P7/SER_hh_num_in!P7)</f>
        <v>35684.477509186618</v>
      </c>
      <c r="Q7" s="133">
        <f>IF(SER_hh_emi_in!Q7=0,0,1000000*SER_hh_emi_in!Q7/SER_hh_num_in!Q7)</f>
        <v>40280.962411330482</v>
      </c>
      <c r="R7" s="133">
        <f>IF(SER_hh_emi_in!R7=0,0,1000000*SER_hh_emi_in!R7/SER_hh_num_in!R7)</f>
        <v>41162.295200582354</v>
      </c>
      <c r="S7" s="133">
        <f>IF(SER_hh_emi_in!S7=0,0,1000000*SER_hh_emi_in!S7/SER_hh_num_in!S7)</f>
        <v>31246.565030682395</v>
      </c>
      <c r="T7" s="133">
        <f>IF(SER_hh_emi_in!T7=0,0,1000000*SER_hh_emi_in!T7/SER_hh_num_in!T7)</f>
        <v>38350.587030560077</v>
      </c>
      <c r="U7" s="133">
        <f>IF(SER_hh_emi_in!U7=0,0,1000000*SER_hh_emi_in!U7/SER_hh_num_in!U7)</f>
        <v>28173.221786866732</v>
      </c>
      <c r="V7" s="133">
        <f>IF(SER_hh_emi_in!V7=0,0,1000000*SER_hh_emi_in!V7/SER_hh_num_in!V7)</f>
        <v>20588.998670026289</v>
      </c>
      <c r="W7" s="133">
        <f>IF(SER_hh_emi_in!W7=0,0,1000000*SER_hh_emi_in!W7/SER_hh_num_in!W7)</f>
        <v>28671.043466852625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8947.3202250066934</v>
      </c>
      <c r="D8" s="133">
        <f>IF(SER_hh_emi_in!D8=0,0,1000000*SER_hh_emi_in!D8/SER_hh_num_in!D8)</f>
        <v>8192.6761580768052</v>
      </c>
      <c r="E8" s="133">
        <f>IF(SER_hh_emi_in!E8=0,0,1000000*SER_hh_emi_in!E8/SER_hh_num_in!E8)</f>
        <v>9035.5283233534974</v>
      </c>
      <c r="F8" s="133">
        <f>IF(SER_hh_emi_in!F8=0,0,1000000*SER_hh_emi_in!F8/SER_hh_num_in!F8)</f>
        <v>8853.4265616635457</v>
      </c>
      <c r="G8" s="133">
        <f>IF(SER_hh_emi_in!G8=0,0,1000000*SER_hh_emi_in!G8/SER_hh_num_in!G8)</f>
        <v>8982.3462849192056</v>
      </c>
      <c r="H8" s="133">
        <f>IF(SER_hh_emi_in!H8=0,0,1000000*SER_hh_emi_in!H8/SER_hh_num_in!H8)</f>
        <v>8884.7311445624873</v>
      </c>
      <c r="I8" s="133">
        <f>IF(SER_hh_emi_in!I8=0,0,1000000*SER_hh_emi_in!I8/SER_hh_num_in!I8)</f>
        <v>8568.1320925381478</v>
      </c>
      <c r="J8" s="133">
        <f>IF(SER_hh_emi_in!J8=0,0,1000000*SER_hh_emi_in!J8/SER_hh_num_in!J8)</f>
        <v>8426.5418809223029</v>
      </c>
      <c r="K8" s="133">
        <f>IF(SER_hh_emi_in!K8=0,0,1000000*SER_hh_emi_in!K8/SER_hh_num_in!K8)</f>
        <v>7847.7288058584818</v>
      </c>
      <c r="L8" s="133">
        <f>IF(SER_hh_emi_in!L8=0,0,1000000*SER_hh_emi_in!L8/SER_hh_num_in!L8)</f>
        <v>7057.8788272731608</v>
      </c>
      <c r="M8" s="133">
        <f>IF(SER_hh_emi_in!M8=0,0,1000000*SER_hh_emi_in!M8/SER_hh_num_in!M8)</f>
        <v>6359.0319520297207</v>
      </c>
      <c r="N8" s="133">
        <f>IF(SER_hh_emi_in!N8=0,0,1000000*SER_hh_emi_in!N8/SER_hh_num_in!N8)</f>
        <v>5768.4931453437321</v>
      </c>
      <c r="O8" s="133">
        <f>IF(SER_hh_emi_in!O8=0,0,1000000*SER_hh_emi_in!O8/SER_hh_num_in!O8)</f>
        <v>5519.5828940860056</v>
      </c>
      <c r="P8" s="133">
        <f>IF(SER_hh_emi_in!P8=0,0,1000000*SER_hh_emi_in!P8/SER_hh_num_in!P8)</f>
        <v>5469.2348829083712</v>
      </c>
      <c r="Q8" s="133">
        <f>IF(SER_hh_emi_in!Q8=0,0,1000000*SER_hh_emi_in!Q8/SER_hh_num_in!Q8)</f>
        <v>6025.4946947315339</v>
      </c>
      <c r="R8" s="133">
        <f>IF(SER_hh_emi_in!R8=0,0,1000000*SER_hh_emi_in!R8/SER_hh_num_in!R8)</f>
        <v>5431.0301317104822</v>
      </c>
      <c r="S8" s="133">
        <f>IF(SER_hh_emi_in!S8=0,0,1000000*SER_hh_emi_in!S8/SER_hh_num_in!S8)</f>
        <v>5134.0041995842439</v>
      </c>
      <c r="T8" s="133">
        <f>IF(SER_hh_emi_in!T8=0,0,1000000*SER_hh_emi_in!T8/SER_hh_num_in!T8)</f>
        <v>4798.1481380097594</v>
      </c>
      <c r="U8" s="133">
        <f>IF(SER_hh_emi_in!U8=0,0,1000000*SER_hh_emi_in!U8/SER_hh_num_in!U8)</f>
        <v>4185.1514172493489</v>
      </c>
      <c r="V8" s="133">
        <f>IF(SER_hh_emi_in!V8=0,0,1000000*SER_hh_emi_in!V8/SER_hh_num_in!V8)</f>
        <v>3647.0126428197987</v>
      </c>
      <c r="W8" s="133">
        <f>IF(SER_hh_emi_in!W8=0,0,1000000*SER_hh_emi_in!W8/SER_hh_num_in!W8)</f>
        <v>2885.1055856408148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25554.500931692713</v>
      </c>
      <c r="D9" s="133">
        <f>IF(SER_hh_emi_in!D9=0,0,1000000*SER_hh_emi_in!D9/SER_hh_num_in!D9)</f>
        <v>22845.900157263415</v>
      </c>
      <c r="E9" s="133">
        <f>IF(SER_hh_emi_in!E9=0,0,1000000*SER_hh_emi_in!E9/SER_hh_num_in!E9)</f>
        <v>27307.126006041966</v>
      </c>
      <c r="F9" s="133">
        <f>IF(SER_hh_emi_in!F9=0,0,1000000*SER_hh_emi_in!F9/SER_hh_num_in!F9)</f>
        <v>27107.177120805416</v>
      </c>
      <c r="G9" s="133">
        <f>IF(SER_hh_emi_in!G9=0,0,1000000*SER_hh_emi_in!G9/SER_hh_num_in!G9)</f>
        <v>32818.618333763479</v>
      </c>
      <c r="H9" s="133">
        <f>IF(SER_hh_emi_in!H9=0,0,1000000*SER_hh_emi_in!H9/SER_hh_num_in!H9)</f>
        <v>32582.751355716322</v>
      </c>
      <c r="I9" s="133">
        <f>IF(SER_hh_emi_in!I9=0,0,1000000*SER_hh_emi_in!I9/SER_hh_num_in!I9)</f>
        <v>28267.895796849858</v>
      </c>
      <c r="J9" s="133">
        <f>IF(SER_hh_emi_in!J9=0,0,1000000*SER_hh_emi_in!J9/SER_hh_num_in!J9)</f>
        <v>34919.828176317867</v>
      </c>
      <c r="K9" s="133">
        <f>IF(SER_hh_emi_in!K9=0,0,1000000*SER_hh_emi_in!K9/SER_hh_num_in!K9)</f>
        <v>34012.48261285256</v>
      </c>
      <c r="L9" s="133">
        <f>IF(SER_hh_emi_in!L9=0,0,1000000*SER_hh_emi_in!L9/SER_hh_num_in!L9)</f>
        <v>33737.909056550867</v>
      </c>
      <c r="M9" s="133">
        <f>IF(SER_hh_emi_in!M9=0,0,1000000*SER_hh_emi_in!M9/SER_hh_num_in!M9)</f>
        <v>27490.413628415012</v>
      </c>
      <c r="N9" s="133">
        <f>IF(SER_hh_emi_in!N9=0,0,1000000*SER_hh_emi_in!N9/SER_hh_num_in!N9)</f>
        <v>28103.656535441893</v>
      </c>
      <c r="O9" s="133">
        <f>IF(SER_hh_emi_in!O9=0,0,1000000*SER_hh_emi_in!O9/SER_hh_num_in!O9)</f>
        <v>29080.583900053764</v>
      </c>
      <c r="P9" s="133">
        <f>IF(SER_hh_emi_in!P9=0,0,1000000*SER_hh_emi_in!P9/SER_hh_num_in!P9)</f>
        <v>0</v>
      </c>
      <c r="Q9" s="133">
        <f>IF(SER_hh_emi_in!Q9=0,0,1000000*SER_hh_emi_in!Q9/SER_hh_num_in!Q9)</f>
        <v>0</v>
      </c>
      <c r="R9" s="133">
        <f>IF(SER_hh_emi_in!R9=0,0,1000000*SER_hh_emi_in!R9/SER_hh_num_in!R9)</f>
        <v>25133.813851737286</v>
      </c>
      <c r="S9" s="133">
        <f>IF(SER_hh_emi_in!S9=0,0,1000000*SER_hh_emi_in!S9/SER_hh_num_in!S9)</f>
        <v>23530.756842238094</v>
      </c>
      <c r="T9" s="133">
        <f>IF(SER_hh_emi_in!T9=0,0,1000000*SER_hh_emi_in!T9/SER_hh_num_in!T9)</f>
        <v>24948.681307229897</v>
      </c>
      <c r="U9" s="133">
        <f>IF(SER_hh_emi_in!U9=0,0,1000000*SER_hh_emi_in!U9/SER_hh_num_in!U9)</f>
        <v>22036.028593018513</v>
      </c>
      <c r="V9" s="133">
        <f>IF(SER_hh_emi_in!V9=0,0,1000000*SER_hh_emi_in!V9/SER_hh_num_in!V9)</f>
        <v>18772.004969235491</v>
      </c>
      <c r="W9" s="133">
        <f>IF(SER_hh_emi_in!W9=0,0,1000000*SER_hh_emi_in!W9/SER_hh_num_in!W9)</f>
        <v>13207.986362139523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26.835143657561286</v>
      </c>
      <c r="D16" s="131">
        <f>IF(SER_hh_emi_in!D16=0,0,1000000*SER_hh_emi_in!D16/SER_hh_num_in!D16)</f>
        <v>6.8942926495297225</v>
      </c>
      <c r="E16" s="131">
        <f>IF(SER_hh_emi_in!E16=0,0,1000000*SER_hh_emi_in!E16/SER_hh_num_in!E16)</f>
        <v>53.9968604195927</v>
      </c>
      <c r="F16" s="131">
        <f>IF(SER_hh_emi_in!F16=0,0,1000000*SER_hh_emi_in!F16/SER_hh_num_in!F16)</f>
        <v>26.635770133845394</v>
      </c>
      <c r="G16" s="131">
        <f>IF(SER_hh_emi_in!G16=0,0,1000000*SER_hh_emi_in!G16/SER_hh_num_in!G16)</f>
        <v>17.26141775810861</v>
      </c>
      <c r="H16" s="131">
        <f>IF(SER_hh_emi_in!H16=0,0,1000000*SER_hh_emi_in!H16/SER_hh_num_in!H16)</f>
        <v>27.181580260972606</v>
      </c>
      <c r="I16" s="131">
        <f>IF(SER_hh_emi_in!I16=0,0,1000000*SER_hh_emi_in!I16/SER_hh_num_in!I16)</f>
        <v>24.101481812786208</v>
      </c>
      <c r="J16" s="131">
        <f>IF(SER_hh_emi_in!J16=0,0,1000000*SER_hh_emi_in!J16/SER_hh_num_in!J16)</f>
        <v>36.990144014320954</v>
      </c>
      <c r="K16" s="131">
        <f>IF(SER_hh_emi_in!K16=0,0,1000000*SER_hh_emi_in!K16/SER_hh_num_in!K16)</f>
        <v>64.056353858394573</v>
      </c>
      <c r="L16" s="131">
        <f>IF(SER_hh_emi_in!L16=0,0,1000000*SER_hh_emi_in!L16/SER_hh_num_in!L16)</f>
        <v>43.718964243623077</v>
      </c>
      <c r="M16" s="131">
        <f>IF(SER_hh_emi_in!M16=0,0,1000000*SER_hh_emi_in!M16/SER_hh_num_in!M16)</f>
        <v>38.939976200366594</v>
      </c>
      <c r="N16" s="131">
        <f>IF(SER_hh_emi_in!N16=0,0,1000000*SER_hh_emi_in!N16/SER_hh_num_in!N16)</f>
        <v>59.875438821172821</v>
      </c>
      <c r="O16" s="131">
        <f>IF(SER_hh_emi_in!O16=0,0,1000000*SER_hh_emi_in!O16/SER_hh_num_in!O16)</f>
        <v>52.74030540233629</v>
      </c>
      <c r="P16" s="131">
        <f>IF(SER_hh_emi_in!P16=0,0,1000000*SER_hh_emi_in!P16/SER_hh_num_in!P16)</f>
        <v>40.655472913734741</v>
      </c>
      <c r="Q16" s="131">
        <f>IF(SER_hh_emi_in!Q16=0,0,1000000*SER_hh_emi_in!Q16/SER_hh_num_in!Q16)</f>
        <v>65.353845153927793</v>
      </c>
      <c r="R16" s="131">
        <f>IF(SER_hh_emi_in!R16=0,0,1000000*SER_hh_emi_in!R16/SER_hh_num_in!R16)</f>
        <v>53.94531178534654</v>
      </c>
      <c r="S16" s="131">
        <f>IF(SER_hh_emi_in!S16=0,0,1000000*SER_hh_emi_in!S16/SER_hh_num_in!S16)</f>
        <v>60.396548703081066</v>
      </c>
      <c r="T16" s="131">
        <f>IF(SER_hh_emi_in!T16=0,0,1000000*SER_hh_emi_in!T16/SER_hh_num_in!T16)</f>
        <v>43.246570242531689</v>
      </c>
      <c r="U16" s="131">
        <f>IF(SER_hh_emi_in!U16=0,0,1000000*SER_hh_emi_in!U16/SER_hh_num_in!U16)</f>
        <v>57.671965096977374</v>
      </c>
      <c r="V16" s="131">
        <f>IF(SER_hh_emi_in!V16=0,0,1000000*SER_hh_emi_in!V16/SER_hh_num_in!V16)</f>
        <v>51.436556712458945</v>
      </c>
      <c r="W16" s="131">
        <f>IF(SER_hh_emi_in!W16=0,0,1000000*SER_hh_emi_in!W16/SER_hh_num_in!W16)</f>
        <v>31.704991678127111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3905.6593800637661</v>
      </c>
      <c r="D17" s="133">
        <f>IF(SER_hh_emi_in!D17=0,0,1000000*SER_hh_emi_in!D17/SER_hh_num_in!D17)</f>
        <v>3402.4381638495279</v>
      </c>
      <c r="E17" s="133">
        <f>IF(SER_hh_emi_in!E17=0,0,1000000*SER_hh_emi_in!E17/SER_hh_num_in!E17)</f>
        <v>7839.7393897212141</v>
      </c>
      <c r="F17" s="133">
        <f>IF(SER_hh_emi_in!F17=0,0,1000000*SER_hh_emi_in!F17/SER_hh_num_in!F17)</f>
        <v>3497.3553405422144</v>
      </c>
      <c r="G17" s="133">
        <f>IF(SER_hh_emi_in!G17=0,0,1000000*SER_hh_emi_in!G17/SER_hh_num_in!G17)</f>
        <v>3470.6055199321108</v>
      </c>
      <c r="H17" s="133">
        <f>IF(SER_hh_emi_in!H17=0,0,1000000*SER_hh_emi_in!H17/SER_hh_num_in!H17)</f>
        <v>4044.6601364937255</v>
      </c>
      <c r="I17" s="133">
        <f>IF(SER_hh_emi_in!I17=0,0,1000000*SER_hh_emi_in!I17/SER_hh_num_in!I17)</f>
        <v>3681.6136665240642</v>
      </c>
      <c r="J17" s="133">
        <f>IF(SER_hh_emi_in!J17=0,0,1000000*SER_hh_emi_in!J17/SER_hh_num_in!J17)</f>
        <v>4265.307113720618</v>
      </c>
      <c r="K17" s="133">
        <f>IF(SER_hh_emi_in!K17=0,0,1000000*SER_hh_emi_in!K17/SER_hh_num_in!K17)</f>
        <v>4291.7883473198544</v>
      </c>
      <c r="L17" s="133">
        <f>IF(SER_hh_emi_in!L17=0,0,1000000*SER_hh_emi_in!L17/SER_hh_num_in!L17)</f>
        <v>3425.8986582326984</v>
      </c>
      <c r="M17" s="133">
        <f>IF(SER_hh_emi_in!M17=0,0,1000000*SER_hh_emi_in!M17/SER_hh_num_in!M17)</f>
        <v>3629.7460570457702</v>
      </c>
      <c r="N17" s="133">
        <f>IF(SER_hh_emi_in!N17=0,0,1000000*SER_hh_emi_in!N17/SER_hh_num_in!N17)</f>
        <v>5537.9658515727169</v>
      </c>
      <c r="O17" s="133">
        <f>IF(SER_hh_emi_in!O17=0,0,1000000*SER_hh_emi_in!O17/SER_hh_num_in!O17)</f>
        <v>3158.9313793168735</v>
      </c>
      <c r="P17" s="133">
        <f>IF(SER_hh_emi_in!P17=0,0,1000000*SER_hh_emi_in!P17/SER_hh_num_in!P17)</f>
        <v>2610.6466294914067</v>
      </c>
      <c r="Q17" s="133">
        <f>IF(SER_hh_emi_in!Q17=0,0,1000000*SER_hh_emi_in!Q17/SER_hh_num_in!Q17)</f>
        <v>4419.3645118531704</v>
      </c>
      <c r="R17" s="133">
        <f>IF(SER_hh_emi_in!R17=0,0,1000000*SER_hh_emi_in!R17/SER_hh_num_in!R17)</f>
        <v>2736.9429632602014</v>
      </c>
      <c r="S17" s="133">
        <f>IF(SER_hh_emi_in!S17=0,0,1000000*SER_hh_emi_in!S17/SER_hh_num_in!S17)</f>
        <v>3919.4699926811222</v>
      </c>
      <c r="T17" s="133">
        <f>IF(SER_hh_emi_in!T17=0,0,1000000*SER_hh_emi_in!T17/SER_hh_num_in!T17)</f>
        <v>2798.3256282298826</v>
      </c>
      <c r="U17" s="133">
        <f>IF(SER_hh_emi_in!U17=0,0,1000000*SER_hh_emi_in!U17/SER_hh_num_in!U17)</f>
        <v>3425.7474844418171</v>
      </c>
      <c r="V17" s="133">
        <f>IF(SER_hh_emi_in!V17=0,0,1000000*SER_hh_emi_in!V17/SER_hh_num_in!V17)</f>
        <v>2286.2782564015261</v>
      </c>
      <c r="W17" s="133">
        <f>IF(SER_hh_emi_in!W17=0,0,1000000*SER_hh_emi_in!W17/SER_hh_num_in!W17)</f>
        <v>2396.6585272076445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2391.3082030548467</v>
      </c>
      <c r="D19" s="131">
        <f>IF(SER_hh_emi_in!D19=0,0,1000000*SER_hh_emi_in!D19/SER_hh_num_in!D19)</f>
        <v>2335.8698120492809</v>
      </c>
      <c r="E19" s="131">
        <f>IF(SER_hh_emi_in!E19=0,0,1000000*SER_hh_emi_in!E19/SER_hh_num_in!E19)</f>
        <v>2614.2947960290867</v>
      </c>
      <c r="F19" s="131">
        <f>IF(SER_hh_emi_in!F19=0,0,1000000*SER_hh_emi_in!F19/SER_hh_num_in!F19)</f>
        <v>2703.7124482214904</v>
      </c>
      <c r="G19" s="131">
        <f>IF(SER_hh_emi_in!G19=0,0,1000000*SER_hh_emi_in!G19/SER_hh_num_in!G19)</f>
        <v>3086.9066803721698</v>
      </c>
      <c r="H19" s="131">
        <f>IF(SER_hh_emi_in!H19=0,0,1000000*SER_hh_emi_in!H19/SER_hh_num_in!H19)</f>
        <v>2545.3544126800671</v>
      </c>
      <c r="I19" s="131">
        <f>IF(SER_hh_emi_in!I19=0,0,1000000*SER_hh_emi_in!I19/SER_hh_num_in!I19)</f>
        <v>2426.6433994910662</v>
      </c>
      <c r="J19" s="131">
        <f>IF(SER_hh_emi_in!J19=0,0,1000000*SER_hh_emi_in!J19/SER_hh_num_in!J19)</f>
        <v>2749.2413511914547</v>
      </c>
      <c r="K19" s="131">
        <f>IF(SER_hh_emi_in!K19=0,0,1000000*SER_hh_emi_in!K19/SER_hh_num_in!K19)</f>
        <v>2631.7748733694029</v>
      </c>
      <c r="L19" s="131">
        <f>IF(SER_hh_emi_in!L19=0,0,1000000*SER_hh_emi_in!L19/SER_hh_num_in!L19)</f>
        <v>2488.2910251668163</v>
      </c>
      <c r="M19" s="131">
        <f>IF(SER_hh_emi_in!M19=0,0,1000000*SER_hh_emi_in!M19/SER_hh_num_in!M19)</f>
        <v>2730.6613220278196</v>
      </c>
      <c r="N19" s="131">
        <f>IF(SER_hh_emi_in!N19=0,0,1000000*SER_hh_emi_in!N19/SER_hh_num_in!N19)</f>
        <v>2821.2498602234305</v>
      </c>
      <c r="O19" s="131">
        <f>IF(SER_hh_emi_in!O19=0,0,1000000*SER_hh_emi_in!O19/SER_hh_num_in!O19)</f>
        <v>2709.7027093620595</v>
      </c>
      <c r="P19" s="131">
        <f>IF(SER_hh_emi_in!P19=0,0,1000000*SER_hh_emi_in!P19/SER_hh_num_in!P19)</f>
        <v>1762.7622564244748</v>
      </c>
      <c r="Q19" s="131">
        <f>IF(SER_hh_emi_in!Q19=0,0,1000000*SER_hh_emi_in!Q19/SER_hh_num_in!Q19)</f>
        <v>2391.3756582270771</v>
      </c>
      <c r="R19" s="131">
        <f>IF(SER_hh_emi_in!R19=0,0,1000000*SER_hh_emi_in!R19/SER_hh_num_in!R19)</f>
        <v>2925.1966847632093</v>
      </c>
      <c r="S19" s="131">
        <f>IF(SER_hh_emi_in!S19=0,0,1000000*SER_hh_emi_in!S19/SER_hh_num_in!S19)</f>
        <v>2688.8723096528229</v>
      </c>
      <c r="T19" s="131">
        <f>IF(SER_hh_emi_in!T19=0,0,1000000*SER_hh_emi_in!T19/SER_hh_num_in!T19)</f>
        <v>2086.817682056153</v>
      </c>
      <c r="U19" s="131">
        <f>IF(SER_hh_emi_in!U19=0,0,1000000*SER_hh_emi_in!U19/SER_hh_num_in!U19)</f>
        <v>2115.714901971196</v>
      </c>
      <c r="V19" s="131">
        <f>IF(SER_hh_emi_in!V19=0,0,1000000*SER_hh_emi_in!V19/SER_hh_num_in!V19)</f>
        <v>1793.2803489272069</v>
      </c>
      <c r="W19" s="131">
        <f>IF(SER_hh_emi_in!W19=0,0,1000000*SER_hh_emi_in!W19/SER_hh_num_in!W19)</f>
        <v>1877.2659010114423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7377.8258931380842</v>
      </c>
      <c r="D21" s="133">
        <f>IF(SER_hh_emi_in!D21=0,0,1000000*SER_hh_emi_in!D21/SER_hh_num_in!D21)</f>
        <v>7241.2902176871166</v>
      </c>
      <c r="E21" s="133">
        <f>IF(SER_hh_emi_in!E21=0,0,1000000*SER_hh_emi_in!E21/SER_hh_num_in!E21)</f>
        <v>7045.1195406725947</v>
      </c>
      <c r="F21" s="133">
        <f>IF(SER_hh_emi_in!F21=0,0,1000000*SER_hh_emi_in!F21/SER_hh_num_in!F21)</f>
        <v>7123.7066850679776</v>
      </c>
      <c r="G21" s="133">
        <f>IF(SER_hh_emi_in!G21=0,0,1000000*SER_hh_emi_in!G21/SER_hh_num_in!G21)</f>
        <v>6980.3036600122714</v>
      </c>
      <c r="H21" s="133">
        <f>IF(SER_hh_emi_in!H21=0,0,1000000*SER_hh_emi_in!H21/SER_hh_num_in!H21)</f>
        <v>7280.6317222046146</v>
      </c>
      <c r="I21" s="133">
        <f>IF(SER_hh_emi_in!I21=0,0,1000000*SER_hh_emi_in!I21/SER_hh_num_in!I21)</f>
        <v>6772.3182402762432</v>
      </c>
      <c r="J21" s="133">
        <f>IF(SER_hh_emi_in!J21=0,0,1000000*SER_hh_emi_in!J21/SER_hh_num_in!J21)</f>
        <v>6537.4236909805886</v>
      </c>
      <c r="K21" s="133">
        <f>IF(SER_hh_emi_in!K21=0,0,1000000*SER_hh_emi_in!K21/SER_hh_num_in!K21)</f>
        <v>6152.1148866429539</v>
      </c>
      <c r="L21" s="133">
        <f>IF(SER_hh_emi_in!L21=0,0,1000000*SER_hh_emi_in!L21/SER_hh_num_in!L21)</f>
        <v>6009.2606461581709</v>
      </c>
      <c r="M21" s="133">
        <f>IF(SER_hh_emi_in!M21=0,0,1000000*SER_hh_emi_in!M21/SER_hh_num_in!M21)</f>
        <v>7195.3377818839508</v>
      </c>
      <c r="N21" s="133">
        <f>IF(SER_hh_emi_in!N21=0,0,1000000*SER_hh_emi_in!N21/SER_hh_num_in!N21)</f>
        <v>6490.8062919963222</v>
      </c>
      <c r="O21" s="133">
        <f>IF(SER_hh_emi_in!O21=0,0,1000000*SER_hh_emi_in!O21/SER_hh_num_in!O21)</f>
        <v>6669.2430595527576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5931.9814991992844</v>
      </c>
      <c r="S21" s="133">
        <f>IF(SER_hh_emi_in!S21=0,0,1000000*SER_hh_emi_in!S21/SER_hh_num_in!S21)</f>
        <v>5750.111461878957</v>
      </c>
      <c r="T21" s="133">
        <f>IF(SER_hh_emi_in!T21=0,0,1000000*SER_hh_emi_in!T21/SER_hh_num_in!T21)</f>
        <v>5216.0891476227562</v>
      </c>
      <c r="U21" s="133">
        <f>IF(SER_hh_emi_in!U21=0,0,1000000*SER_hh_emi_in!U21/SER_hh_num_in!U21)</f>
        <v>4531.296130550224</v>
      </c>
      <c r="V21" s="133">
        <f>IF(SER_hh_emi_in!V21=0,0,1000000*SER_hh_emi_in!V21/SER_hh_num_in!V21)</f>
        <v>4413.2525761895949</v>
      </c>
      <c r="W21" s="133">
        <f>IF(SER_hh_emi_in!W21=0,0,1000000*SER_hh_emi_in!W21/SER_hh_num_in!W21)</f>
        <v>4685.4198044701907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9134.2854759794245</v>
      </c>
      <c r="D22" s="133">
        <f>IF(SER_hh_emi_in!D22=0,0,1000000*SER_hh_emi_in!D22/SER_hh_num_in!D22)</f>
        <v>0</v>
      </c>
      <c r="E22" s="133">
        <f>IF(SER_hh_emi_in!E22=0,0,1000000*SER_hh_emi_in!E22/SER_hh_num_in!E22)</f>
        <v>0</v>
      </c>
      <c r="F22" s="133">
        <f>IF(SER_hh_emi_in!F22=0,0,1000000*SER_hh_emi_in!F22/SER_hh_num_in!F22)</f>
        <v>0</v>
      </c>
      <c r="G22" s="133">
        <f>IF(SER_hh_emi_in!G22=0,0,1000000*SER_hh_emi_in!G22/SER_hh_num_in!G22)</f>
        <v>7424.4994087723489</v>
      </c>
      <c r="H22" s="133">
        <f>IF(SER_hh_emi_in!H22=0,0,1000000*SER_hh_emi_in!H22/SER_hh_num_in!H22)</f>
        <v>8854.626733302337</v>
      </c>
      <c r="I22" s="133">
        <f>IF(SER_hh_emi_in!I22=0,0,1000000*SER_hh_emi_in!I22/SER_hh_num_in!I22)</f>
        <v>8706.1484295494793</v>
      </c>
      <c r="J22" s="133">
        <f>IF(SER_hh_emi_in!J22=0,0,1000000*SER_hh_emi_in!J22/SER_hh_num_in!J22)</f>
        <v>8513.7283287344962</v>
      </c>
      <c r="K22" s="133">
        <f>IF(SER_hh_emi_in!K22=0,0,1000000*SER_hh_emi_in!K22/SER_hh_num_in!K22)</f>
        <v>7935.5854772626662</v>
      </c>
      <c r="L22" s="133">
        <f>IF(SER_hh_emi_in!L22=0,0,1000000*SER_hh_emi_in!L22/SER_hh_num_in!L22)</f>
        <v>7472.7863559885645</v>
      </c>
      <c r="M22" s="133">
        <f>IF(SER_hh_emi_in!M22=0,0,1000000*SER_hh_emi_in!M22/SER_hh_num_in!M22)</f>
        <v>8353.1657792652877</v>
      </c>
      <c r="N22" s="133">
        <f>IF(SER_hh_emi_in!N22=0,0,1000000*SER_hh_emi_in!N22/SER_hh_num_in!N22)</f>
        <v>8118.8507033952901</v>
      </c>
      <c r="O22" s="133">
        <f>IF(SER_hh_emi_in!O22=0,0,1000000*SER_hh_emi_in!O22/SER_hh_num_in!O22)</f>
        <v>8098.0857500913171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0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3995.0068595009366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6304.6913268651224</v>
      </c>
      <c r="D23" s="133">
        <f>IF(SER_hh_emi_in!D23=0,0,1000000*SER_hh_emi_in!D23/SER_hh_num_in!D23)</f>
        <v>6292.4341569580902</v>
      </c>
      <c r="E23" s="133">
        <f>IF(SER_hh_emi_in!E23=0,0,1000000*SER_hh_emi_in!E23/SER_hh_num_in!E23)</f>
        <v>6194.2468435371875</v>
      </c>
      <c r="F23" s="133">
        <f>IF(SER_hh_emi_in!F23=0,0,1000000*SER_hh_emi_in!F23/SER_hh_num_in!F23)</f>
        <v>6101.3754857423964</v>
      </c>
      <c r="G23" s="133">
        <f>IF(SER_hh_emi_in!G23=0,0,1000000*SER_hh_emi_in!G23/SER_hh_num_in!G23)</f>
        <v>5938.7188427235396</v>
      </c>
      <c r="H23" s="133">
        <f>IF(SER_hh_emi_in!H23=0,0,1000000*SER_hh_emi_in!H23/SER_hh_num_in!H23)</f>
        <v>5998.4434246320552</v>
      </c>
      <c r="I23" s="133">
        <f>IF(SER_hh_emi_in!I23=0,0,1000000*SER_hh_emi_in!I23/SER_hh_num_in!I23)</f>
        <v>5856.8456492831183</v>
      </c>
      <c r="J23" s="133">
        <f>IF(SER_hh_emi_in!J23=0,0,1000000*SER_hh_emi_in!J23/SER_hh_num_in!J23)</f>
        <v>5611.0886088451016</v>
      </c>
      <c r="K23" s="133">
        <f>IF(SER_hh_emi_in!K23=0,0,1000000*SER_hh_emi_in!K23/SER_hh_num_in!K23)</f>
        <v>5248.0523918297577</v>
      </c>
      <c r="L23" s="133">
        <f>IF(SER_hh_emi_in!L23=0,0,1000000*SER_hh_emi_in!L23/SER_hh_num_in!L23)</f>
        <v>5249.6430839657523</v>
      </c>
      <c r="M23" s="133">
        <f>IF(SER_hh_emi_in!M23=0,0,1000000*SER_hh_emi_in!M23/SER_hh_num_in!M23)</f>
        <v>5737.9264527545211</v>
      </c>
      <c r="N23" s="133">
        <f>IF(SER_hh_emi_in!N23=0,0,1000000*SER_hh_emi_in!N23/SER_hh_num_in!N23)</f>
        <v>5610.1919587825423</v>
      </c>
      <c r="O23" s="133">
        <f>IF(SER_hh_emi_in!O23=0,0,1000000*SER_hh_emi_in!O23/SER_hh_num_in!O23)</f>
        <v>5481.848731614311</v>
      </c>
      <c r="P23" s="133">
        <f>IF(SER_hh_emi_in!P23=0,0,1000000*SER_hh_emi_in!P23/SER_hh_num_in!P23)</f>
        <v>5284.1700247174422</v>
      </c>
      <c r="Q23" s="133">
        <f>IF(SER_hh_emi_in!Q23=0,0,1000000*SER_hh_emi_in!Q23/SER_hh_num_in!Q23)</f>
        <v>5108.2287973330904</v>
      </c>
      <c r="R23" s="133">
        <f>IF(SER_hh_emi_in!R23=0,0,1000000*SER_hh_emi_in!R23/SER_hh_num_in!R23)</f>
        <v>4939.9852837124527</v>
      </c>
      <c r="S23" s="133">
        <f>IF(SER_hh_emi_in!S23=0,0,1000000*SER_hh_emi_in!S23/SER_hh_num_in!S23)</f>
        <v>4434.7578403194466</v>
      </c>
      <c r="T23" s="133">
        <f>IF(SER_hh_emi_in!T23=0,0,1000000*SER_hh_emi_in!T23/SER_hh_num_in!T23)</f>
        <v>4202.6397559169427</v>
      </c>
      <c r="U23" s="133">
        <f>IF(SER_hh_emi_in!U23=0,0,1000000*SER_hh_emi_in!U23/SER_hh_num_in!U23)</f>
        <v>4104.7941498582404</v>
      </c>
      <c r="V23" s="133">
        <f>IF(SER_hh_emi_in!V23=0,0,1000000*SER_hh_emi_in!V23/SER_hh_num_in!V23)</f>
        <v>3956.7643470359371</v>
      </c>
      <c r="W23" s="133">
        <f>IF(SER_hh_emi_in!W23=0,0,1000000*SER_hh_emi_in!W23/SER_hh_num_in!W23)</f>
        <v>4388.6526727362416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3510.6600532822818</v>
      </c>
      <c r="D29" s="131">
        <f>IF(SER_hh_emi_in!D29=0,0,1000000*SER_hh_emi_in!D29/SER_hh_num_in!D29)</f>
        <v>1194.4730559074103</v>
      </c>
      <c r="E29" s="131">
        <f>IF(SER_hh_emi_in!E29=0,0,1000000*SER_hh_emi_in!E29/SER_hh_num_in!E29)</f>
        <v>1019.9805094069264</v>
      </c>
      <c r="F29" s="131">
        <f>IF(SER_hh_emi_in!F29=0,0,1000000*SER_hh_emi_in!F29/SER_hh_num_in!F29)</f>
        <v>1817.1789288513687</v>
      </c>
      <c r="G29" s="131">
        <f>IF(SER_hh_emi_in!G29=0,0,1000000*SER_hh_emi_in!G29/SER_hh_num_in!G29)</f>
        <v>4110.9986007467778</v>
      </c>
      <c r="H29" s="131">
        <f>IF(SER_hh_emi_in!H29=0,0,1000000*SER_hh_emi_in!H29/SER_hh_num_in!H29)</f>
        <v>4325.6490135871327</v>
      </c>
      <c r="I29" s="131">
        <f>IF(SER_hh_emi_in!I29=0,0,1000000*SER_hh_emi_in!I29/SER_hh_num_in!I29)</f>
        <v>6032.6028748214112</v>
      </c>
      <c r="J29" s="131">
        <f>IF(SER_hh_emi_in!J29=0,0,1000000*SER_hh_emi_in!J29/SER_hh_num_in!J29)</f>
        <v>5201.4995820805643</v>
      </c>
      <c r="K29" s="131">
        <f>IF(SER_hh_emi_in!K29=0,0,1000000*SER_hh_emi_in!K29/SER_hh_num_in!K29)</f>
        <v>6075.6908532943289</v>
      </c>
      <c r="L29" s="131">
        <f>IF(SER_hh_emi_in!L29=0,0,1000000*SER_hh_emi_in!L29/SER_hh_num_in!L29)</f>
        <v>5490.8112808969991</v>
      </c>
      <c r="M29" s="131">
        <f>IF(SER_hh_emi_in!M29=0,0,1000000*SER_hh_emi_in!M29/SER_hh_num_in!M29)</f>
        <v>4617.5206182500497</v>
      </c>
      <c r="N29" s="131">
        <f>IF(SER_hh_emi_in!N29=0,0,1000000*SER_hh_emi_in!N29/SER_hh_num_in!N29)</f>
        <v>4291.5813903823664</v>
      </c>
      <c r="O29" s="131">
        <f>IF(SER_hh_emi_in!O29=0,0,1000000*SER_hh_emi_in!O29/SER_hh_num_in!O29)</f>
        <v>4297.9432979024323</v>
      </c>
      <c r="P29" s="131">
        <f>IF(SER_hh_emi_in!P29=0,0,1000000*SER_hh_emi_in!P29/SER_hh_num_in!P29)</f>
        <v>5439.5589526626691</v>
      </c>
      <c r="Q29" s="131">
        <f>IF(SER_hh_emi_in!Q29=0,0,1000000*SER_hh_emi_in!Q29/SER_hh_num_in!Q29)</f>
        <v>4975.5332165047294</v>
      </c>
      <c r="R29" s="131">
        <f>IF(SER_hh_emi_in!R29=0,0,1000000*SER_hh_emi_in!R29/SER_hh_num_in!R29)</f>
        <v>5066.8499131292265</v>
      </c>
      <c r="S29" s="131">
        <f>IF(SER_hh_emi_in!S29=0,0,1000000*SER_hh_emi_in!S29/SER_hh_num_in!S29)</f>
        <v>5183.5672599643794</v>
      </c>
      <c r="T29" s="131">
        <f>IF(SER_hh_emi_in!T29=0,0,1000000*SER_hh_emi_in!T29/SER_hh_num_in!T29)</f>
        <v>5304.5612616505778</v>
      </c>
      <c r="U29" s="131">
        <f>IF(SER_hh_emi_in!U29=0,0,1000000*SER_hh_emi_in!U29/SER_hh_num_in!U29)</f>
        <v>5851.0525572217393</v>
      </c>
      <c r="V29" s="131">
        <f>IF(SER_hh_emi_in!V29=0,0,1000000*SER_hh_emi_in!V29/SER_hh_num_in!V29)</f>
        <v>5610.0060944933166</v>
      </c>
      <c r="W29" s="131">
        <f>IF(SER_hh_emi_in!W29=0,0,1000000*SER_hh_emi_in!W29/SER_hh_num_in!W29)</f>
        <v>5045.8711599059998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7085.4262804724212</v>
      </c>
      <c r="D30" s="133">
        <f>IF(SER_hh_emi_in!D30=0,0,1000000*SER_hh_emi_in!D30/SER_hh_num_in!D30)</f>
        <v>7316.995192529751</v>
      </c>
      <c r="E30" s="133">
        <f>IF(SER_hh_emi_in!E30=0,0,1000000*SER_hh_emi_in!E30/SER_hh_num_in!E30)</f>
        <v>7462.9358036301328</v>
      </c>
      <c r="F30" s="133">
        <f>IF(SER_hh_emi_in!F30=0,0,1000000*SER_hh_emi_in!F30/SER_hh_num_in!F30)</f>
        <v>7590.8876529336412</v>
      </c>
      <c r="G30" s="133">
        <f>IF(SER_hh_emi_in!G30=0,0,1000000*SER_hh_emi_in!G30/SER_hh_num_in!G30)</f>
        <v>7686.7241445750324</v>
      </c>
      <c r="H30" s="133">
        <f>IF(SER_hh_emi_in!H30=0,0,1000000*SER_hh_emi_in!H30/SER_hh_num_in!H30)</f>
        <v>7448.948386887545</v>
      </c>
      <c r="I30" s="133">
        <f>IF(SER_hh_emi_in!I30=0,0,1000000*SER_hh_emi_in!I30/SER_hh_num_in!I30)</f>
        <v>8376.3437640544944</v>
      </c>
      <c r="J30" s="133">
        <f>IF(SER_hh_emi_in!J30=0,0,1000000*SER_hh_emi_in!J30/SER_hh_num_in!J30)</f>
        <v>6333.2343458862697</v>
      </c>
      <c r="K30" s="133">
        <f>IF(SER_hh_emi_in!K30=0,0,1000000*SER_hh_emi_in!K30/SER_hh_num_in!K30)</f>
        <v>8299.7089408251177</v>
      </c>
      <c r="L30" s="133">
        <f>IF(SER_hh_emi_in!L30=0,0,1000000*SER_hh_emi_in!L30/SER_hh_num_in!L30)</f>
        <v>8353.6667003472048</v>
      </c>
      <c r="M30" s="133">
        <f>IF(SER_hh_emi_in!M30=0,0,1000000*SER_hh_emi_in!M30/SER_hh_num_in!M30)</f>
        <v>8490.2740702998053</v>
      </c>
      <c r="N30" s="133">
        <f>IF(SER_hh_emi_in!N30=0,0,1000000*SER_hh_emi_in!N30/SER_hh_num_in!N30)</f>
        <v>7458.2517684058394</v>
      </c>
      <c r="O30" s="133">
        <f>IF(SER_hh_emi_in!O30=0,0,1000000*SER_hh_emi_in!O30/SER_hh_num_in!O30)</f>
        <v>7957.9672953712607</v>
      </c>
      <c r="P30" s="133">
        <f>IF(SER_hh_emi_in!P30=0,0,1000000*SER_hh_emi_in!P30/SER_hh_num_in!P30)</f>
        <v>8737.4903688370414</v>
      </c>
      <c r="Q30" s="133">
        <f>IF(SER_hh_emi_in!Q30=0,0,1000000*SER_hh_emi_in!Q30/SER_hh_num_in!Q30)</f>
        <v>8421.9430747778733</v>
      </c>
      <c r="R30" s="133">
        <f>IF(SER_hh_emi_in!R30=0,0,1000000*SER_hh_emi_in!R30/SER_hh_num_in!R30)</f>
        <v>8372.9146142737136</v>
      </c>
      <c r="S30" s="133">
        <f>IF(SER_hh_emi_in!S30=0,0,1000000*SER_hh_emi_in!S30/SER_hh_num_in!S30)</f>
        <v>8476.2144032532397</v>
      </c>
      <c r="T30" s="133">
        <f>IF(SER_hh_emi_in!T30=0,0,1000000*SER_hh_emi_in!T30/SER_hh_num_in!T30)</f>
        <v>8295.8922747220495</v>
      </c>
      <c r="U30" s="133">
        <f>IF(SER_hh_emi_in!U30=0,0,1000000*SER_hh_emi_in!U30/SER_hh_num_in!U30)</f>
        <v>7886.3110371882403</v>
      </c>
      <c r="V30" s="133">
        <f>IF(SER_hh_emi_in!V30=0,0,1000000*SER_hh_emi_in!V30/SER_hh_num_in!V30)</f>
        <v>7933.1390080628853</v>
      </c>
      <c r="W30" s="133">
        <f>IF(SER_hh_emi_in!W30=0,0,1000000*SER_hh_emi_in!W30/SER_hh_num_in!W30)</f>
        <v>7871.0730163867984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6427.4153021599168</v>
      </c>
      <c r="D31" s="133">
        <f>IF(SER_hh_emi_in!D31=0,0,1000000*SER_hh_emi_in!D31/SER_hh_num_in!D31)</f>
        <v>6545.5501061572932</v>
      </c>
      <c r="E31" s="133">
        <f>IF(SER_hh_emi_in!E31=0,0,1000000*SER_hh_emi_in!E31/SER_hh_num_in!E31)</f>
        <v>5974.5332252897051</v>
      </c>
      <c r="F31" s="133">
        <f>IF(SER_hh_emi_in!F31=0,0,1000000*SER_hh_emi_in!F31/SER_hh_num_in!F31)</f>
        <v>6095.8960649872743</v>
      </c>
      <c r="G31" s="133">
        <f>IF(SER_hh_emi_in!G31=0,0,1000000*SER_hh_emi_in!G31/SER_hh_num_in!G31)</f>
        <v>6979.5747764155503</v>
      </c>
      <c r="H31" s="133">
        <f>IF(SER_hh_emi_in!H31=0,0,1000000*SER_hh_emi_in!H31/SER_hh_num_in!H31)</f>
        <v>6431.9301669210026</v>
      </c>
      <c r="I31" s="133">
        <f>IF(SER_hh_emi_in!I31=0,0,1000000*SER_hh_emi_in!I31/SER_hh_num_in!I31)</f>
        <v>6964.9948653927886</v>
      </c>
      <c r="J31" s="133">
        <f>IF(SER_hh_emi_in!J31=0,0,1000000*SER_hh_emi_in!J31/SER_hh_num_in!J31)</f>
        <v>6839.3649970967599</v>
      </c>
      <c r="K31" s="133">
        <f>IF(SER_hh_emi_in!K31=0,0,1000000*SER_hh_emi_in!K31/SER_hh_num_in!K31)</f>
        <v>7149.0465606696453</v>
      </c>
      <c r="L31" s="133">
        <f>IF(SER_hh_emi_in!L31=0,0,1000000*SER_hh_emi_in!L31/SER_hh_num_in!L31)</f>
        <v>7108.7588525084711</v>
      </c>
      <c r="M31" s="133">
        <f>IF(SER_hh_emi_in!M31=0,0,1000000*SER_hh_emi_in!M31/SER_hh_num_in!M31)</f>
        <v>7075.2806927951451</v>
      </c>
      <c r="N31" s="133">
        <f>IF(SER_hh_emi_in!N31=0,0,1000000*SER_hh_emi_in!N31/SER_hh_num_in!N31)</f>
        <v>7094.2250838108912</v>
      </c>
      <c r="O31" s="133">
        <f>IF(SER_hh_emi_in!O31=0,0,1000000*SER_hh_emi_in!O31/SER_hh_num_in!O31)</f>
        <v>7121.0663980467816</v>
      </c>
      <c r="P31" s="133">
        <f>IF(SER_hh_emi_in!P31=0,0,1000000*SER_hh_emi_in!P31/SER_hh_num_in!P31)</f>
        <v>7404.9772003284934</v>
      </c>
      <c r="Q31" s="133">
        <f>IF(SER_hh_emi_in!Q31=0,0,1000000*SER_hh_emi_in!Q31/SER_hh_num_in!Q31)</f>
        <v>7325.2490241309133</v>
      </c>
      <c r="R31" s="133">
        <f>IF(SER_hh_emi_in!R31=0,0,1000000*SER_hh_emi_in!R31/SER_hh_num_in!R31)</f>
        <v>7486.6526181018071</v>
      </c>
      <c r="S31" s="133">
        <f>IF(SER_hh_emi_in!S31=0,0,1000000*SER_hh_emi_in!S31/SER_hh_num_in!S31)</f>
        <v>7418.1723184071616</v>
      </c>
      <c r="T31" s="133">
        <f>IF(SER_hh_emi_in!T31=0,0,1000000*SER_hh_emi_in!T31/SER_hh_num_in!T31)</f>
        <v>6820.1533990330336</v>
      </c>
      <c r="U31" s="133">
        <f>IF(SER_hh_emi_in!U31=0,0,1000000*SER_hh_emi_in!U31/SER_hh_num_in!U31)</f>
        <v>7407.1611377320978</v>
      </c>
      <c r="V31" s="133">
        <f>IF(SER_hh_emi_in!V31=0,0,1000000*SER_hh_emi_in!V31/SER_hh_num_in!V31)</f>
        <v>6549.7300306945199</v>
      </c>
      <c r="W31" s="133">
        <f>IF(SER_hh_emi_in!W31=0,0,1000000*SER_hh_emi_in!W31/SER_hh_num_in!W31)</f>
        <v>6726.7413619899653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203.68508306277107</v>
      </c>
      <c r="D3" s="126">
        <f>IF(SER_hh_fech_in!D3=0,0,SER_hh_fech_in!D3/SER_summary!D$27)</f>
        <v>191.46618691496388</v>
      </c>
      <c r="E3" s="126">
        <f>IF(SER_hh_fech_in!E3=0,0,SER_hh_fech_in!E3/SER_summary!E$27)</f>
        <v>229.16522831621654</v>
      </c>
      <c r="F3" s="126">
        <f>IF(SER_hh_fech_in!F3=0,0,SER_hh_fech_in!F3/SER_summary!F$27)</f>
        <v>215.76314519976714</v>
      </c>
      <c r="G3" s="126">
        <f>IF(SER_hh_fech_in!G3=0,0,SER_hh_fech_in!G3/SER_summary!G$27)</f>
        <v>235.68569214325174</v>
      </c>
      <c r="H3" s="126">
        <f>IF(SER_hh_fech_in!H3=0,0,SER_hh_fech_in!H3/SER_summary!H$27)</f>
        <v>239.62893744085437</v>
      </c>
      <c r="I3" s="126">
        <f>IF(SER_hh_fech_in!I3=0,0,SER_hh_fech_in!I3/SER_summary!I$27)</f>
        <v>226.71039498068967</v>
      </c>
      <c r="J3" s="126">
        <f>IF(SER_hh_fech_in!J3=0,0,SER_hh_fech_in!J3/SER_summary!J$27)</f>
        <v>252.24115232978869</v>
      </c>
      <c r="K3" s="126">
        <f>IF(SER_hh_fech_in!K3=0,0,SER_hh_fech_in!K3/SER_summary!K$27)</f>
        <v>238.84611792641419</v>
      </c>
      <c r="L3" s="126">
        <f>IF(SER_hh_fech_in!L3=0,0,SER_hh_fech_in!L3/SER_summary!L$27)</f>
        <v>222.73807507345848</v>
      </c>
      <c r="M3" s="126">
        <f>IF(SER_hh_fech_in!M3=0,0,SER_hh_fech_in!M3/SER_summary!M$27)</f>
        <v>192.1494453000301</v>
      </c>
      <c r="N3" s="126">
        <f>IF(SER_hh_fech_in!N3=0,0,SER_hh_fech_in!N3/SER_summary!N$27)</f>
        <v>176.81333104460353</v>
      </c>
      <c r="O3" s="126">
        <f>IF(SER_hh_fech_in!O3=0,0,SER_hh_fech_in!O3/SER_summary!O$27)</f>
        <v>135.48303811669061</v>
      </c>
      <c r="P3" s="126">
        <f>IF(SER_hh_fech_in!P3=0,0,SER_hh_fech_in!P3/SER_summary!P$27)</f>
        <v>104.60850397363642</v>
      </c>
      <c r="Q3" s="126">
        <f>IF(SER_hh_fech_in!Q3=0,0,SER_hh_fech_in!Q3/SER_summary!Q$27)</f>
        <v>113.17298119351037</v>
      </c>
      <c r="R3" s="126">
        <f>IF(SER_hh_fech_in!R3=0,0,SER_hh_fech_in!R3/SER_summary!R$27)</f>
        <v>116.58535692964094</v>
      </c>
      <c r="S3" s="126">
        <f>IF(SER_hh_fech_in!S3=0,0,SER_hh_fech_in!S3/SER_summary!S$27)</f>
        <v>182.19090915479617</v>
      </c>
      <c r="T3" s="126">
        <f>IF(SER_hh_fech_in!T3=0,0,SER_hh_fech_in!T3/SER_summary!T$27)</f>
        <v>194.06694504939401</v>
      </c>
      <c r="U3" s="126">
        <f>IF(SER_hh_fech_in!U3=0,0,SER_hh_fech_in!U3/SER_summary!U$27)</f>
        <v>172.66525260047149</v>
      </c>
      <c r="V3" s="126">
        <f>IF(SER_hh_fech_in!V3=0,0,SER_hh_fech_in!V3/SER_summary!V$27)</f>
        <v>142.9472443283799</v>
      </c>
      <c r="W3" s="126">
        <f>IF(SER_hh_fech_in!W3=0,0,SER_hh_fech_in!W3/SER_summary!W$27)</f>
        <v>122.89039143639783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130.03026458044295</v>
      </c>
      <c r="D4" s="131">
        <f>IF(SER_hh_fech_in!D4=0,0,SER_hh_fech_in!D4/SER_summary!D$27)</f>
        <v>123.5347059521465</v>
      </c>
      <c r="E4" s="131">
        <f>IF(SER_hh_fech_in!E4=0,0,SER_hh_fech_in!E4/SER_summary!E$27)</f>
        <v>146.0636220213878</v>
      </c>
      <c r="F4" s="131">
        <f>IF(SER_hh_fech_in!F4=0,0,SER_hh_fech_in!F4/SER_summary!F$27)</f>
        <v>143.54842641398562</v>
      </c>
      <c r="G4" s="131">
        <f>IF(SER_hh_fech_in!G4=0,0,SER_hh_fech_in!G4/SER_summary!G$27)</f>
        <v>162.67421895855088</v>
      </c>
      <c r="H4" s="131">
        <f>IF(SER_hh_fech_in!H4=0,0,SER_hh_fech_in!H4/SER_summary!H$27)</f>
        <v>165.0450338746769</v>
      </c>
      <c r="I4" s="131">
        <f>IF(SER_hh_fech_in!I4=0,0,SER_hh_fech_in!I4/SER_summary!I$27)</f>
        <v>150.40111526272105</v>
      </c>
      <c r="J4" s="131">
        <f>IF(SER_hh_fech_in!J4=0,0,SER_hh_fech_in!J4/SER_summary!J$27)</f>
        <v>178.17102952680949</v>
      </c>
      <c r="K4" s="131">
        <f>IF(SER_hh_fech_in!K4=0,0,SER_hh_fech_in!K4/SER_summary!K$27)</f>
        <v>163.80312808910506</v>
      </c>
      <c r="L4" s="131">
        <f>IF(SER_hh_fech_in!L4=0,0,SER_hh_fech_in!L4/SER_summary!L$27)</f>
        <v>151.28123605863306</v>
      </c>
      <c r="M4" s="131">
        <f>IF(SER_hh_fech_in!M4=0,0,SER_hh_fech_in!M4/SER_summary!M$27)</f>
        <v>119.05711546969194</v>
      </c>
      <c r="N4" s="131">
        <f>IF(SER_hh_fech_in!N4=0,0,SER_hh_fech_in!N4/SER_summary!N$27)</f>
        <v>101.34973173553148</v>
      </c>
      <c r="O4" s="131">
        <f>IF(SER_hh_fech_in!O4=0,0,SER_hh_fech_in!O4/SER_summary!O$27)</f>
        <v>65.749484395791029</v>
      </c>
      <c r="P4" s="131">
        <f>IF(SER_hh_fech_in!P4=0,0,SER_hh_fech_in!P4/SER_summary!P$27)</f>
        <v>35.205401174695631</v>
      </c>
      <c r="Q4" s="131">
        <f>IF(SER_hh_fech_in!Q4=0,0,SER_hh_fech_in!Q4/SER_summary!Q$27)</f>
        <v>39.752431357175645</v>
      </c>
      <c r="R4" s="131">
        <f>IF(SER_hh_fech_in!R4=0,0,SER_hh_fech_in!R4/SER_summary!R$27)</f>
        <v>47.954313443572588</v>
      </c>
      <c r="S4" s="131">
        <f>IF(SER_hh_fech_in!S4=0,0,SER_hh_fech_in!S4/SER_summary!S$27)</f>
        <v>111.90347757587004</v>
      </c>
      <c r="T4" s="131">
        <f>IF(SER_hh_fech_in!T4=0,0,SER_hh_fech_in!T4/SER_summary!T$27)</f>
        <v>127.1323874617572</v>
      </c>
      <c r="U4" s="131">
        <f>IF(SER_hh_fech_in!U4=0,0,SER_hh_fech_in!U4/SER_summary!U$27)</f>
        <v>105.19502924654455</v>
      </c>
      <c r="V4" s="131">
        <f>IF(SER_hh_fech_in!V4=0,0,SER_hh_fech_in!V4/SER_summary!V$27)</f>
        <v>83.05840476597298</v>
      </c>
      <c r="W4" s="131">
        <f>IF(SER_hh_fech_in!W4=0,0,SER_hh_fech_in!W4/SER_summary!W$27)</f>
        <v>60.693473637247394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150.84368391383194</v>
      </c>
      <c r="D6" s="133">
        <f>IF(SER_hh_fech_in!D6=0,0,SER_hh_fech_in!D6/SER_summary!D$27)</f>
        <v>141.99466346364042</v>
      </c>
      <c r="E6" s="133">
        <f>IF(SER_hh_fech_in!E6=0,0,SER_hh_fech_in!E6/SER_summary!E$27)</f>
        <v>170.25071012220269</v>
      </c>
      <c r="F6" s="133">
        <f>IF(SER_hh_fech_in!F6=0,0,SER_hh_fech_in!F6/SER_summary!F$27)</f>
        <v>172.10781280630076</v>
      </c>
      <c r="G6" s="133">
        <f>IF(SER_hh_fech_in!G6=0,0,SER_hh_fech_in!G6/SER_summary!G$27)</f>
        <v>196.8512214642208</v>
      </c>
      <c r="H6" s="133">
        <f>IF(SER_hh_fech_in!H6=0,0,SER_hh_fech_in!H6/SER_summary!H$27)</f>
        <v>195.8188094506726</v>
      </c>
      <c r="I6" s="133">
        <f>IF(SER_hh_fech_in!I6=0,0,SER_hh_fech_in!I6/SER_summary!I$27)</f>
        <v>181.47639461283197</v>
      </c>
      <c r="J6" s="133">
        <f>IF(SER_hh_fech_in!J6=0,0,SER_hh_fech_in!J6/SER_summary!J$27)</f>
        <v>209.22972048792647</v>
      </c>
      <c r="K6" s="133">
        <f>IF(SER_hh_fech_in!K6=0,0,SER_hh_fech_in!K6/SER_summary!K$27)</f>
        <v>206.73288005171173</v>
      </c>
      <c r="L6" s="133">
        <f>IF(SER_hh_fech_in!L6=0,0,SER_hh_fech_in!L6/SER_summary!L$27)</f>
        <v>209.86285020356823</v>
      </c>
      <c r="M6" s="133">
        <f>IF(SER_hh_fech_in!M6=0,0,SER_hh_fech_in!M6/SER_summary!M$27)</f>
        <v>183.25572275572122</v>
      </c>
      <c r="N6" s="133">
        <f>IF(SER_hh_fech_in!N6=0,0,SER_hh_fech_in!N6/SER_summary!N$27)</f>
        <v>162.3275135539775</v>
      </c>
      <c r="O6" s="133">
        <f>IF(SER_hh_fech_in!O6=0,0,SER_hh_fech_in!O6/SER_summary!O$27)</f>
        <v>170.65184749455216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151.47746809339694</v>
      </c>
      <c r="T6" s="133">
        <f>IF(SER_hh_fech_in!T6=0,0,SER_hh_fech_in!T6/SER_summary!T$27)</f>
        <v>135.09997314883884</v>
      </c>
      <c r="U6" s="133">
        <f>IF(SER_hh_fech_in!U6=0,0,SER_hh_fech_in!U6/SER_summary!U$27)</f>
        <v>128.19336971364129</v>
      </c>
      <c r="V6" s="133">
        <f>IF(SER_hh_fech_in!V6=0,0,SER_hh_fech_in!V6/SER_summary!V$27)</f>
        <v>108.06251727231117</v>
      </c>
      <c r="W6" s="133">
        <f>IF(SER_hh_fech_in!W6=0,0,SER_hh_fech_in!W6/SER_summary!W$27)</f>
        <v>102.63593214950357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114.18345631638805</v>
      </c>
      <c r="D7" s="133">
        <f>IF(SER_hh_fech_in!D7=0,0,SER_hh_fech_in!D7/SER_summary!D$27)</f>
        <v>148.14758642589337</v>
      </c>
      <c r="E7" s="133">
        <f>IF(SER_hh_fech_in!E7=0,0,SER_hh_fech_in!E7/SER_summary!E$27)</f>
        <v>183.68891582285988</v>
      </c>
      <c r="F7" s="133">
        <f>IF(SER_hh_fech_in!F7=0,0,SER_hh_fech_in!F7/SER_summary!F$27)</f>
        <v>190.46728193580259</v>
      </c>
      <c r="G7" s="133">
        <f>IF(SER_hh_fech_in!G7=0,0,SER_hh_fech_in!G7/SER_summary!G$27)</f>
        <v>199.17230063548081</v>
      </c>
      <c r="H7" s="133">
        <f>IF(SER_hh_fech_in!H7=0,0,SER_hh_fech_in!H7/SER_summary!H$27)</f>
        <v>208.8234663070717</v>
      </c>
      <c r="I7" s="133">
        <f>IF(SER_hh_fech_in!I7=0,0,SER_hh_fech_in!I7/SER_summary!I$27)</f>
        <v>200.1897643024175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0</v>
      </c>
      <c r="M7" s="133">
        <f>IF(SER_hh_fech_in!M7=0,0,SER_hh_fech_in!M7/SER_summary!M$27)</f>
        <v>0</v>
      </c>
      <c r="N7" s="133">
        <f>IF(SER_hh_fech_in!N7=0,0,SER_hh_fech_in!N7/SER_summary!N$27)</f>
        <v>182.58656833411686</v>
      </c>
      <c r="O7" s="133">
        <f>IF(SER_hh_fech_in!O7=0,0,SER_hh_fech_in!O7/SER_summary!O$27)</f>
        <v>156.793352800104</v>
      </c>
      <c r="P7" s="133">
        <f>IF(SER_hh_fech_in!P7=0,0,SER_hh_fech_in!P7/SER_summary!P$27)</f>
        <v>150.71668718293529</v>
      </c>
      <c r="Q7" s="133">
        <f>IF(SER_hh_fech_in!Q7=0,0,SER_hh_fech_in!Q7/SER_summary!Q$27)</f>
        <v>170.06520882127089</v>
      </c>
      <c r="R7" s="133">
        <f>IF(SER_hh_fech_in!R7=0,0,SER_hh_fech_in!R7/SER_summary!R$27)</f>
        <v>174.27133329116813</v>
      </c>
      <c r="S7" s="133">
        <f>IF(SER_hh_fech_in!S7=0,0,SER_hh_fech_in!S7/SER_summary!S$27)</f>
        <v>132.01613189234209</v>
      </c>
      <c r="T7" s="133">
        <f>IF(SER_hh_fech_in!T7=0,0,SER_hh_fech_in!T7/SER_summary!T$27)</f>
        <v>162.0211891462595</v>
      </c>
      <c r="U7" s="133">
        <f>IF(SER_hh_fech_in!U7=0,0,SER_hh_fech_in!U7/SER_summary!U$27)</f>
        <v>118.81853442780526</v>
      </c>
      <c r="V7" s="133">
        <f>IF(SER_hh_fech_in!V7=0,0,SER_hh_fech_in!V7/SER_summary!V$27)</f>
        <v>86.519624584629341</v>
      </c>
      <c r="W7" s="133">
        <f>IF(SER_hh_fech_in!W7=0,0,SER_hh_fech_in!W7/SER_summary!W$27)</f>
        <v>121.37173923575477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49.224930266756282</v>
      </c>
      <c r="D8" s="133">
        <f>IF(SER_hh_fech_in!D8=0,0,SER_hh_fech_in!D8/SER_summary!D$27)</f>
        <v>45.073150668321588</v>
      </c>
      <c r="E8" s="133">
        <f>IF(SER_hh_fech_in!E8=0,0,SER_hh_fech_in!E8/SER_summary!E$27)</f>
        <v>49.710219423832541</v>
      </c>
      <c r="F8" s="133">
        <f>IF(SER_hh_fech_in!F8=0,0,SER_hh_fech_in!F8/SER_summary!F$27)</f>
        <v>48.708361180781367</v>
      </c>
      <c r="G8" s="133">
        <f>IF(SER_hh_fech_in!G8=0,0,SER_hh_fech_in!G8/SER_summary!G$27)</f>
        <v>49.417631021099908</v>
      </c>
      <c r="H8" s="133">
        <f>IF(SER_hh_fech_in!H8=0,0,SER_hh_fech_in!H8/SER_summary!H$27)</f>
        <v>48.880587710231318</v>
      </c>
      <c r="I8" s="133">
        <f>IF(SER_hh_fech_in!I8=0,0,SER_hh_fech_in!I8/SER_summary!I$27)</f>
        <v>47.138773863571146</v>
      </c>
      <c r="J8" s="133">
        <f>IF(SER_hh_fech_in!J8=0,0,SER_hh_fech_in!J8/SER_summary!J$27)</f>
        <v>46.35979556415078</v>
      </c>
      <c r="K8" s="133">
        <f>IF(SER_hh_fech_in!K8=0,0,SER_hh_fech_in!K8/SER_summary!K$27)</f>
        <v>43.175374693880407</v>
      </c>
      <c r="L8" s="133">
        <f>IF(SER_hh_fech_in!L8=0,0,SER_hh_fech_in!L8/SER_summary!L$27)</f>
        <v>38.835288310763474</v>
      </c>
      <c r="M8" s="133">
        <f>IF(SER_hh_fech_in!M8=0,0,SER_hh_fech_in!M8/SER_summary!M$27)</f>
        <v>34.999499303772026</v>
      </c>
      <c r="N8" s="133">
        <f>IF(SER_hh_fech_in!N8=0,0,SER_hh_fech_in!N8/SER_summary!N$27)</f>
        <v>31.843675882422147</v>
      </c>
      <c r="O8" s="133">
        <f>IF(SER_hh_fech_in!O8=0,0,SER_hh_fech_in!O8/SER_summary!O$27)</f>
        <v>30.470369505838867</v>
      </c>
      <c r="P8" s="133">
        <f>IF(SER_hh_fech_in!P8=0,0,SER_hh_fech_in!P8/SER_summary!P$27)</f>
        <v>30.213720882846403</v>
      </c>
      <c r="Q8" s="133">
        <f>IF(SER_hh_fech_in!Q8=0,0,SER_hh_fech_in!Q8/SER_summary!Q$27)</f>
        <v>33.276434848597184</v>
      </c>
      <c r="R8" s="133">
        <f>IF(SER_hh_fech_in!R8=0,0,SER_hh_fech_in!R8/SER_summary!R$27)</f>
        <v>29.990076774647129</v>
      </c>
      <c r="S8" s="133">
        <f>IF(SER_hh_fech_in!S8=0,0,SER_hh_fech_in!S8/SER_summary!S$27)</f>
        <v>28.342793424410079</v>
      </c>
      <c r="T8" s="133">
        <f>IF(SER_hh_fech_in!T8=0,0,SER_hh_fech_in!T8/SER_summary!T$27)</f>
        <v>26.481429449961361</v>
      </c>
      <c r="U8" s="133">
        <f>IF(SER_hh_fech_in!U8=0,0,SER_hh_fech_in!U8/SER_summary!U$27)</f>
        <v>23.090088551728726</v>
      </c>
      <c r="V8" s="133">
        <f>IF(SER_hh_fech_in!V8=0,0,SER_hh_fech_in!V8/SER_summary!V$27)</f>
        <v>20.124560335652731</v>
      </c>
      <c r="W8" s="133">
        <f>IF(SER_hh_fech_in!W8=0,0,SER_hh_fech_in!W8/SER_summary!W$27)</f>
        <v>15.922151172565258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140.59165143643796</v>
      </c>
      <c r="D9" s="133">
        <f>IF(SER_hh_fech_in!D9=0,0,SER_hh_fech_in!D9/SER_summary!D$27)</f>
        <v>125.68990645707296</v>
      </c>
      <c r="E9" s="133">
        <f>IF(SER_hh_fech_in!E9=0,0,SER_hh_fech_in!E9/SER_summary!E$27)</f>
        <v>150.23396275413154</v>
      </c>
      <c r="F9" s="133">
        <f>IF(SER_hh_fech_in!F9=0,0,SER_hh_fech_in!F9/SER_summary!F$27)</f>
        <v>149.13391607141907</v>
      </c>
      <c r="G9" s="133">
        <f>IF(SER_hh_fech_in!G9=0,0,SER_hh_fech_in!G9/SER_summary!G$27)</f>
        <v>180.55620658526152</v>
      </c>
      <c r="H9" s="133">
        <f>IF(SER_hh_fech_in!H9=0,0,SER_hh_fech_in!H9/SER_summary!H$27)</f>
        <v>179.25855150478822</v>
      </c>
      <c r="I9" s="133">
        <f>IF(SER_hh_fech_in!I9=0,0,SER_hh_fech_in!I9/SER_summary!I$27)</f>
        <v>155.51977177466301</v>
      </c>
      <c r="J9" s="133">
        <f>IF(SER_hh_fech_in!J9=0,0,SER_hh_fech_in!J9/SER_summary!J$27)</f>
        <v>192.11630562882567</v>
      </c>
      <c r="K9" s="133">
        <f>IF(SER_hh_fech_in!K9=0,0,SER_hh_fech_in!K9/SER_summary!K$27)</f>
        <v>187.12441744708826</v>
      </c>
      <c r="L9" s="133">
        <f>IF(SER_hh_fech_in!L9=0,0,SER_hh_fech_in!L9/SER_summary!L$27)</f>
        <v>185.63954656610056</v>
      </c>
      <c r="M9" s="133">
        <f>IF(SER_hh_fech_in!M9=0,0,SER_hh_fech_in!M9/SER_summary!M$27)</f>
        <v>151.30458848237271</v>
      </c>
      <c r="N9" s="133">
        <f>IF(SER_hh_fech_in!N9=0,0,SER_hh_fech_in!N9/SER_summary!N$27)</f>
        <v>155.13994855795227</v>
      </c>
      <c r="O9" s="133">
        <f>IF(SER_hh_fech_in!O9=0,0,SER_hh_fech_in!O9/SER_summary!O$27)</f>
        <v>160.53679306630227</v>
      </c>
      <c r="P9" s="133">
        <f>IF(SER_hh_fech_in!P9=0,0,SER_hh_fech_in!P9/SER_summary!P$27)</f>
        <v>0</v>
      </c>
      <c r="Q9" s="133">
        <f>IF(SER_hh_fech_in!Q9=0,0,SER_hh_fech_in!Q9/SER_summary!Q$27)</f>
        <v>0</v>
      </c>
      <c r="R9" s="133">
        <f>IF(SER_hh_fech_in!R9=0,0,SER_hh_fech_in!R9/SER_summary!R$27)</f>
        <v>138.78858867901278</v>
      </c>
      <c r="S9" s="133">
        <f>IF(SER_hh_fech_in!S9=0,0,SER_hh_fech_in!S9/SER_summary!S$27)</f>
        <v>129.90394132392541</v>
      </c>
      <c r="T9" s="133">
        <f>IF(SER_hh_fech_in!T9=0,0,SER_hh_fech_in!T9/SER_summary!T$27)</f>
        <v>137.69411133292411</v>
      </c>
      <c r="U9" s="133">
        <f>IF(SER_hh_fech_in!U9=0,0,SER_hh_fech_in!U9/SER_summary!U$27)</f>
        <v>121.57597200524624</v>
      </c>
      <c r="V9" s="133">
        <f>IF(SER_hh_fech_in!V9=0,0,SER_hh_fech_in!V9/SER_summary!V$27)</f>
        <v>103.58569701377886</v>
      </c>
      <c r="W9" s="133">
        <f>IF(SER_hh_fech_in!W9=0,0,SER_hh_fech_in!W9/SER_summary!W$27)</f>
        <v>72.89145901274037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130.54269915430044</v>
      </c>
      <c r="D10" s="133">
        <f>IF(SER_hh_fech_in!D10=0,0,SER_hh_fech_in!D10/SER_summary!D$27)</f>
        <v>126.80241698386703</v>
      </c>
      <c r="E10" s="133">
        <f>IF(SER_hh_fech_in!E10=0,0,SER_hh_fech_in!E10/SER_summary!E$27)</f>
        <v>137.93400011415784</v>
      </c>
      <c r="F10" s="133">
        <f>IF(SER_hh_fech_in!F10=0,0,SER_hh_fech_in!F10/SER_summary!F$27)</f>
        <v>147.54891515427593</v>
      </c>
      <c r="G10" s="133">
        <f>IF(SER_hh_fech_in!G10=0,0,SER_hh_fech_in!G10/SER_summary!G$27)</f>
        <v>156.42744286870399</v>
      </c>
      <c r="H10" s="133">
        <f>IF(SER_hh_fech_in!H10=0,0,SER_hh_fech_in!H10/SER_summary!H$27)</f>
        <v>198.44257792814642</v>
      </c>
      <c r="I10" s="133">
        <f>IF(SER_hh_fech_in!I10=0,0,SER_hh_fech_in!I10/SER_summary!I$27)</f>
        <v>159.87253699409564</v>
      </c>
      <c r="J10" s="133">
        <f>IF(SER_hh_fech_in!J10=0,0,SER_hh_fech_in!J10/SER_summary!J$27)</f>
        <v>146.35644555224141</v>
      </c>
      <c r="K10" s="133">
        <f>IF(SER_hh_fech_in!K10=0,0,SER_hh_fech_in!K10/SER_summary!K$27)</f>
        <v>171.94005312899137</v>
      </c>
      <c r="L10" s="133">
        <f>IF(SER_hh_fech_in!L10=0,0,SER_hh_fech_in!L10/SER_summary!L$27)</f>
        <v>208.16793209522751</v>
      </c>
      <c r="M10" s="133">
        <f>IF(SER_hh_fech_in!M10=0,0,SER_hh_fech_in!M10/SER_summary!M$27)</f>
        <v>170.5616997978301</v>
      </c>
      <c r="N10" s="133">
        <f>IF(SER_hh_fech_in!N10=0,0,SER_hh_fech_in!N10/SER_summary!N$27)</f>
        <v>128.29869125920314</v>
      </c>
      <c r="O10" s="133">
        <f>IF(SER_hh_fech_in!O10=0,0,SER_hh_fech_in!O10/SER_summary!O$27)</f>
        <v>156.36955588514331</v>
      </c>
      <c r="P10" s="133">
        <f>IF(SER_hh_fech_in!P10=0,0,SER_hh_fech_in!P10/SER_summary!P$27)</f>
        <v>195.8115751401196</v>
      </c>
      <c r="Q10" s="133">
        <f>IF(SER_hh_fech_in!Q10=0,0,SER_hh_fech_in!Q10/SER_summary!Q$27)</f>
        <v>153.95749999762805</v>
      </c>
      <c r="R10" s="133">
        <f>IF(SER_hh_fech_in!R10=0,0,SER_hh_fech_in!R10/SER_summary!R$27)</f>
        <v>175.89596784663789</v>
      </c>
      <c r="S10" s="133">
        <f>IF(SER_hh_fech_in!S10=0,0,SER_hh_fech_in!S10/SER_summary!S$27)</f>
        <v>169.44853588026632</v>
      </c>
      <c r="T10" s="133">
        <f>IF(SER_hh_fech_in!T10=0,0,SER_hh_fech_in!T10/SER_summary!T$27)</f>
        <v>150.69594413259233</v>
      </c>
      <c r="U10" s="133">
        <f>IF(SER_hh_fech_in!U10=0,0,SER_hh_fech_in!U10/SER_summary!U$27)</f>
        <v>139.96543108190244</v>
      </c>
      <c r="V10" s="133">
        <f>IF(SER_hh_fech_in!V10=0,0,SER_hh_fech_in!V10/SER_summary!V$27)</f>
        <v>116.39900879239495</v>
      </c>
      <c r="W10" s="133">
        <f>IF(SER_hh_fech_in!W10=0,0,SER_hh_fech_in!W10/SER_summary!W$27)</f>
        <v>92.815533181289723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102.27676252104996</v>
      </c>
      <c r="D11" s="133">
        <f>IF(SER_hh_fech_in!D11=0,0,SER_hh_fech_in!D11/SER_summary!D$27)</f>
        <v>105.54419429263859</v>
      </c>
      <c r="E11" s="133">
        <f>IF(SER_hh_fech_in!E11=0,0,SER_hh_fech_in!E11/SER_summary!E$27)</f>
        <v>113.28979838221365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138.41370662409312</v>
      </c>
      <c r="I11" s="133">
        <f>IF(SER_hh_fech_in!I11=0,0,SER_hh_fech_in!I11/SER_summary!I$27)</f>
        <v>141.4663313657847</v>
      </c>
      <c r="J11" s="133">
        <f>IF(SER_hh_fech_in!J11=0,0,SER_hh_fech_in!J11/SER_summary!J$27)</f>
        <v>153.72762073691496</v>
      </c>
      <c r="K11" s="133">
        <f>IF(SER_hh_fech_in!K11=0,0,SER_hh_fech_in!K11/SER_summary!K$27)</f>
        <v>169.36382465069843</v>
      </c>
      <c r="L11" s="133">
        <f>IF(SER_hh_fech_in!L11=0,0,SER_hh_fech_in!L11/SER_summary!L$27)</f>
        <v>0</v>
      </c>
      <c r="M11" s="133">
        <f>IF(SER_hh_fech_in!M11=0,0,SER_hh_fech_in!M11/SER_summary!M$27)</f>
        <v>128.8934279069104</v>
      </c>
      <c r="N11" s="133">
        <f>IF(SER_hh_fech_in!N11=0,0,SER_hh_fech_in!N11/SER_summary!N$27)</f>
        <v>135.96432370625888</v>
      </c>
      <c r="O11" s="133">
        <f>IF(SER_hh_fech_in!O11=0,0,SER_hh_fech_in!O11/SER_summary!O$27)</f>
        <v>134.60057033018768</v>
      </c>
      <c r="P11" s="133">
        <f>IF(SER_hh_fech_in!P11=0,0,SER_hh_fech_in!P11/SER_summary!P$27)</f>
        <v>126.98955846435477</v>
      </c>
      <c r="Q11" s="133">
        <f>IF(SER_hh_fech_in!Q11=0,0,SER_hh_fech_in!Q11/SER_summary!Q$27)</f>
        <v>0</v>
      </c>
      <c r="R11" s="133">
        <f>IF(SER_hh_fech_in!R11=0,0,SER_hh_fech_in!R11/SER_summary!R$27)</f>
        <v>131.65882611287483</v>
      </c>
      <c r="S11" s="133">
        <f>IF(SER_hh_fech_in!S11=0,0,SER_hh_fech_in!S11/SER_summary!S$27)</f>
        <v>134.31074566971151</v>
      </c>
      <c r="T11" s="133">
        <f>IF(SER_hh_fech_in!T11=0,0,SER_hh_fech_in!T11/SER_summary!T$27)</f>
        <v>126.16937780360729</v>
      </c>
      <c r="U11" s="133">
        <f>IF(SER_hh_fech_in!U11=0,0,SER_hh_fech_in!U11/SER_summary!U$27)</f>
        <v>114.14918021402912</v>
      </c>
      <c r="V11" s="133">
        <f>IF(SER_hh_fech_in!V11=0,0,SER_hh_fech_in!V11/SER_summary!V$27)</f>
        <v>94.191261632815653</v>
      </c>
      <c r="W11" s="133">
        <f>IF(SER_hh_fech_in!W11=0,0,SER_hh_fech_in!W11/SER_summary!W$27)</f>
        <v>70.540429200857929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175.82868828277302</v>
      </c>
      <c r="G12" s="133">
        <f>IF(SER_hh_fech_in!G12=0,0,SER_hh_fech_in!G12/SER_summary!G$27)</f>
        <v>132.75426829169393</v>
      </c>
      <c r="H12" s="133">
        <f>IF(SER_hh_fech_in!H12=0,0,SER_hh_fech_in!H12/SER_summary!H$27)</f>
        <v>154.7971268971107</v>
      </c>
      <c r="I12" s="133">
        <f>IF(SER_hh_fech_in!I12=0,0,SER_hh_fech_in!I12/SER_summary!I$27)</f>
        <v>151.429082316369</v>
      </c>
      <c r="J12" s="133">
        <f>IF(SER_hh_fech_in!J12=0,0,SER_hh_fech_in!J12/SER_summary!J$27)</f>
        <v>0</v>
      </c>
      <c r="K12" s="133">
        <f>IF(SER_hh_fech_in!K12=0,0,SER_hh_fech_in!K12/SER_summary!K$27)</f>
        <v>132.94172155360602</v>
      </c>
      <c r="L12" s="133">
        <f>IF(SER_hh_fech_in!L12=0,0,SER_hh_fech_in!L12/SER_summary!L$27)</f>
        <v>98.075837413256025</v>
      </c>
      <c r="M12" s="133">
        <f>IF(SER_hh_fech_in!M12=0,0,SER_hh_fech_in!M12/SER_summary!M$27)</f>
        <v>173.72945071212084</v>
      </c>
      <c r="N12" s="133">
        <f>IF(SER_hh_fech_in!N12=0,0,SER_hh_fech_in!N12/SER_summary!N$27)</f>
        <v>110.32927618973933</v>
      </c>
      <c r="O12" s="133">
        <f>IF(SER_hh_fech_in!O12=0,0,SER_hh_fech_in!O12/SER_summary!O$27)</f>
        <v>120.54058929070676</v>
      </c>
      <c r="P12" s="133">
        <f>IF(SER_hh_fech_in!P12=0,0,SER_hh_fech_in!P12/SER_summary!P$27)</f>
        <v>159.79711895327105</v>
      </c>
      <c r="Q12" s="133">
        <f>IF(SER_hh_fech_in!Q12=0,0,SER_hh_fech_in!Q12/SER_summary!Q$27)</f>
        <v>118.77947319180704</v>
      </c>
      <c r="R12" s="133">
        <f>IF(SER_hh_fech_in!R12=0,0,SER_hh_fech_in!R12/SER_summary!R$27)</f>
        <v>114.06178062637966</v>
      </c>
      <c r="S12" s="133">
        <f>IF(SER_hh_fech_in!S12=0,0,SER_hh_fech_in!S12/SER_summary!S$27)</f>
        <v>130.00666149905956</v>
      </c>
      <c r="T12" s="133">
        <f>IF(SER_hh_fech_in!T12=0,0,SER_hh_fech_in!T12/SER_summary!T$27)</f>
        <v>144.15200400099019</v>
      </c>
      <c r="U12" s="133">
        <f>IF(SER_hh_fech_in!U12=0,0,SER_hh_fech_in!U12/SER_summary!U$27)</f>
        <v>97.178678415500301</v>
      </c>
      <c r="V12" s="133">
        <f>IF(SER_hh_fech_in!V12=0,0,SER_hh_fech_in!V12/SER_summary!V$27)</f>
        <v>86.011738150607059</v>
      </c>
      <c r="W12" s="133">
        <f>IF(SER_hh_fech_in!W12=0,0,SER_hh_fech_in!W12/SER_summary!W$27)</f>
        <v>76.626343109228017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40.288596491985075</v>
      </c>
      <c r="D13" s="133">
        <f>IF(SER_hh_fech_in!D13=0,0,SER_hh_fech_in!D13/SER_summary!D$27)</f>
        <v>55.993398694795914</v>
      </c>
      <c r="E13" s="133">
        <f>IF(SER_hh_fech_in!E13=0,0,SER_hh_fech_in!E13/SER_summary!E$27)</f>
        <v>37.878689359007964</v>
      </c>
      <c r="F13" s="133">
        <f>IF(SER_hh_fech_in!F13=0,0,SER_hh_fech_in!F13/SER_summary!F$27)</f>
        <v>47.394183678020681</v>
      </c>
      <c r="G13" s="133">
        <f>IF(SER_hh_fech_in!G13=0,0,SER_hh_fech_in!G13/SER_summary!G$27)</f>
        <v>58.676192493863958</v>
      </c>
      <c r="H13" s="133">
        <f>IF(SER_hh_fech_in!H13=0,0,SER_hh_fech_in!H13/SER_summary!H$27)</f>
        <v>56.895575568338352</v>
      </c>
      <c r="I13" s="133">
        <f>IF(SER_hh_fech_in!I13=0,0,SER_hh_fech_in!I13/SER_summary!I$27)</f>
        <v>50.887348485760683</v>
      </c>
      <c r="J13" s="133">
        <f>IF(SER_hh_fech_in!J13=0,0,SER_hh_fech_in!J13/SER_summary!J$27)</f>
        <v>47.667199888029565</v>
      </c>
      <c r="K13" s="133">
        <f>IF(SER_hh_fech_in!K13=0,0,SER_hh_fech_in!K13/SER_summary!K$27)</f>
        <v>46.683759852639739</v>
      </c>
      <c r="L13" s="133">
        <f>IF(SER_hh_fech_in!L13=0,0,SER_hh_fech_in!L13/SER_summary!L$27)</f>
        <v>37.159947013944191</v>
      </c>
      <c r="M13" s="133">
        <f>IF(SER_hh_fech_in!M13=0,0,SER_hh_fech_in!M13/SER_summary!M$27)</f>
        <v>35.952691028300308</v>
      </c>
      <c r="N13" s="133">
        <f>IF(SER_hh_fech_in!N13=0,0,SER_hh_fech_in!N13/SER_summary!N$27)</f>
        <v>35.867440042425528</v>
      </c>
      <c r="O13" s="133">
        <f>IF(SER_hh_fech_in!O13=0,0,SER_hh_fech_in!O13/SER_summary!O$27)</f>
        <v>28.009417321393652</v>
      </c>
      <c r="P13" s="133">
        <f>IF(SER_hh_fech_in!P13=0,0,SER_hh_fech_in!P13/SER_summary!P$27)</f>
        <v>28.794626902134009</v>
      </c>
      <c r="Q13" s="133">
        <f>IF(SER_hh_fech_in!Q13=0,0,SER_hh_fech_in!Q13/SER_summary!Q$27)</f>
        <v>36.602288470929459</v>
      </c>
      <c r="R13" s="133">
        <f>IF(SER_hh_fech_in!R13=0,0,SER_hh_fech_in!R13/SER_summary!R$27)</f>
        <v>31.799842525763012</v>
      </c>
      <c r="S13" s="133">
        <f>IF(SER_hh_fech_in!S13=0,0,SER_hh_fech_in!S13/SER_summary!S$27)</f>
        <v>32.08450191659297</v>
      </c>
      <c r="T13" s="133">
        <f>IF(SER_hh_fech_in!T13=0,0,SER_hh_fech_in!T13/SER_summary!T$27)</f>
        <v>28.646823905972905</v>
      </c>
      <c r="U13" s="133">
        <f>IF(SER_hh_fech_in!U13=0,0,SER_hh_fech_in!U13/SER_summary!U$27)</f>
        <v>24.709324595353035</v>
      </c>
      <c r="V13" s="133">
        <f>IF(SER_hh_fech_in!V13=0,0,SER_hh_fech_in!V13/SER_summary!V$27)</f>
        <v>21.312958393533993</v>
      </c>
      <c r="W13" s="133">
        <f>IF(SER_hh_fech_in!W13=0,0,SER_hh_fech_in!W13/SER_summary!W$27)</f>
        <v>13.002935091474468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110.68934662574954</v>
      </c>
      <c r="D14" s="65">
        <f>IF(SER_hh_fech_in!D14=0,0,SER_hh_fech_in!D14/SER_summary!D$27)</f>
        <v>117.61180258277997</v>
      </c>
      <c r="E14" s="65">
        <f>IF(SER_hh_fech_in!E14=0,0,SER_hh_fech_in!E14/SER_summary!E$27)</f>
        <v>118.09832359682689</v>
      </c>
      <c r="F14" s="65">
        <f>IF(SER_hh_fech_in!F14=0,0,SER_hh_fech_in!F14/SER_summary!F$27)</f>
        <v>131.09767069667859</v>
      </c>
      <c r="G14" s="65">
        <f>IF(SER_hh_fech_in!G14=0,0,SER_hh_fech_in!G14/SER_summary!G$27)</f>
        <v>147.556542524956</v>
      </c>
      <c r="H14" s="65">
        <f>IF(SER_hh_fech_in!H14=0,0,SER_hh_fech_in!H14/SER_summary!H$27)</f>
        <v>152.57497791892186</v>
      </c>
      <c r="I14" s="65">
        <f>IF(SER_hh_fech_in!I14=0,0,SER_hh_fech_in!I14/SER_summary!I$27)</f>
        <v>154.8470058945625</v>
      </c>
      <c r="J14" s="65">
        <f>IF(SER_hh_fech_in!J14=0,0,SER_hh_fech_in!J14/SER_summary!J$27)</f>
        <v>158.39288716753299</v>
      </c>
      <c r="K14" s="65">
        <f>IF(SER_hh_fech_in!K14=0,0,SER_hh_fech_in!K14/SER_summary!K$27)</f>
        <v>158.70419883650644</v>
      </c>
      <c r="L14" s="65">
        <f>IF(SER_hh_fech_in!L14=0,0,SER_hh_fech_in!L14/SER_summary!L$27)</f>
        <v>157.45437051728339</v>
      </c>
      <c r="M14" s="65">
        <f>IF(SER_hh_fech_in!M14=0,0,SER_hh_fech_in!M14/SER_summary!M$27)</f>
        <v>147.60236483903532</v>
      </c>
      <c r="N14" s="65">
        <f>IF(SER_hh_fech_in!N14=0,0,SER_hh_fech_in!N14/SER_summary!N$27)</f>
        <v>144.69847230482165</v>
      </c>
      <c r="O14" s="65">
        <f>IF(SER_hh_fech_in!O14=0,0,SER_hh_fech_in!O14/SER_summary!O$27)</f>
        <v>141.75221320659588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0</v>
      </c>
      <c r="T14" s="65">
        <f>IF(SER_hh_fech_in!T14=0,0,SER_hh_fech_in!T14/SER_summary!T$27)</f>
        <v>132.83746254759185</v>
      </c>
      <c r="U14" s="65">
        <f>IF(SER_hh_fech_in!U14=0,0,SER_hh_fech_in!U14/SER_summary!U$27)</f>
        <v>109.7126055834992</v>
      </c>
      <c r="V14" s="65">
        <f>IF(SER_hh_fech_in!V14=0,0,SER_hh_fech_in!V14/SER_summary!V$27)</f>
        <v>73.503474743605963</v>
      </c>
      <c r="W14" s="65">
        <f>IF(SER_hh_fech_in!W14=0,0,SER_hh_fech_in!W14/SER_summary!W$27)</f>
        <v>83.363575093456276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1.6010092141155783</v>
      </c>
      <c r="D15" s="135">
        <f>IF(SER_hh_fech_in!D15=0,0,SER_hh_fech_in!D15/SER_summary!D$27)</f>
        <v>1.4715355990985513</v>
      </c>
      <c r="E15" s="135">
        <f>IF(SER_hh_fech_in!E15=0,0,SER_hh_fech_in!E15/SER_summary!E$27)</f>
        <v>1.7772984141865089</v>
      </c>
      <c r="F15" s="135">
        <f>IF(SER_hh_fech_in!F15=0,0,SER_hh_fech_in!F15/SER_summary!F$27)</f>
        <v>1.6266286887905419</v>
      </c>
      <c r="G15" s="135">
        <f>IF(SER_hh_fech_in!G15=0,0,SER_hh_fech_in!G15/SER_summary!G$27)</f>
        <v>2.0300876926121649</v>
      </c>
      <c r="H15" s="135">
        <f>IF(SER_hh_fech_in!H15=0,0,SER_hh_fech_in!H15/SER_summary!H$27)</f>
        <v>2.0106327250109994</v>
      </c>
      <c r="I15" s="135">
        <f>IF(SER_hh_fech_in!I15=0,0,SER_hh_fech_in!I15/SER_summary!I$27)</f>
        <v>1.7619522427280352</v>
      </c>
      <c r="J15" s="135">
        <f>IF(SER_hh_fech_in!J15=0,0,SER_hh_fech_in!J15/SER_summary!J$27)</f>
        <v>2.2011902968702488</v>
      </c>
      <c r="K15" s="135">
        <f>IF(SER_hh_fech_in!K15=0,0,SER_hh_fech_in!K15/SER_summary!K$27)</f>
        <v>2.1252374935564213</v>
      </c>
      <c r="L15" s="135">
        <f>IF(SER_hh_fech_in!L15=0,0,SER_hh_fech_in!L15/SER_summary!L$27)</f>
        <v>2.0845008660941002</v>
      </c>
      <c r="M15" s="135">
        <f>IF(SER_hh_fech_in!M15=0,0,SER_hh_fech_in!M15/SER_summary!M$27)</f>
        <v>1.5369923675767339</v>
      </c>
      <c r="N15" s="135">
        <f>IF(SER_hh_fech_in!N15=0,0,SER_hh_fech_in!N15/SER_summary!N$27)</f>
        <v>1.5358185424797361</v>
      </c>
      <c r="O15" s="135">
        <f>IF(SER_hh_fech_in!O15=0,0,SER_hh_fech_in!O15/SER_summary!O$27)</f>
        <v>1.2008835047373663</v>
      </c>
      <c r="P15" s="135">
        <f>IF(SER_hh_fech_in!P15=0,0,SER_hh_fech_in!P15/SER_summary!P$27)</f>
        <v>0.65181826225448392</v>
      </c>
      <c r="Q15" s="135">
        <f>IF(SER_hh_fech_in!Q15=0,0,SER_hh_fech_in!Q15/SER_summary!Q$27)</f>
        <v>0.62165518390651353</v>
      </c>
      <c r="R15" s="135">
        <f>IF(SER_hh_fech_in!R15=0,0,SER_hh_fech_in!R15/SER_summary!R$27)</f>
        <v>1.2138863193630174</v>
      </c>
      <c r="S15" s="135">
        <f>IF(SER_hh_fech_in!S15=0,0,SER_hh_fech_in!S15/SER_summary!S$27)</f>
        <v>1.5362877433755802</v>
      </c>
      <c r="T15" s="135">
        <f>IF(SER_hh_fech_in!T15=0,0,SER_hh_fech_in!T15/SER_summary!T$27)</f>
        <v>1.6353932434682472</v>
      </c>
      <c r="U15" s="135">
        <f>IF(SER_hh_fech_in!U15=0,0,SER_hh_fech_in!U15/SER_summary!U$27)</f>
        <v>1.4103010151566151</v>
      </c>
      <c r="V15" s="135">
        <f>IF(SER_hh_fech_in!V15=0,0,SER_hh_fech_in!V15/SER_summary!V$27)</f>
        <v>1.1805952034571758</v>
      </c>
      <c r="W15" s="135">
        <f>IF(SER_hh_fech_in!W15=0,0,SER_hh_fech_in!W15/SER_summary!W$27)</f>
        <v>0.86932850183637711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11.788087972321575</v>
      </c>
      <c r="D16" s="131">
        <f>IF(SER_hh_fech_in!D16=0,0,SER_hh_fech_in!D16/SER_summary!D$27)</f>
        <v>9.9436466577047327</v>
      </c>
      <c r="E16" s="131">
        <f>IF(SER_hh_fech_in!E16=0,0,SER_hh_fech_in!E16/SER_summary!E$27)</f>
        <v>22.348660061139693</v>
      </c>
      <c r="F16" s="131">
        <f>IF(SER_hh_fech_in!F16=0,0,SER_hh_fech_in!F16/SER_summary!F$27)</f>
        <v>9.7008304681678119</v>
      </c>
      <c r="G16" s="131">
        <f>IF(SER_hh_fech_in!G16=0,0,SER_hh_fech_in!G16/SER_summary!G$27)</f>
        <v>9.3403241368598469</v>
      </c>
      <c r="H16" s="131">
        <f>IF(SER_hh_fech_in!H16=0,0,SER_hh_fech_in!H16/SER_summary!H$27)</f>
        <v>10.603841154365249</v>
      </c>
      <c r="I16" s="131">
        <f>IF(SER_hh_fech_in!I16=0,0,SER_hh_fech_in!I16/SER_summary!I$27)</f>
        <v>9.3950093276354529</v>
      </c>
      <c r="J16" s="131">
        <f>IF(SER_hh_fech_in!J16=0,0,SER_hh_fech_in!J16/SER_summary!J$27)</f>
        <v>10.631183762838692</v>
      </c>
      <c r="K16" s="131">
        <f>IF(SER_hh_fech_in!K16=0,0,SER_hh_fech_in!K16/SER_summary!K$27)</f>
        <v>10.506095406079048</v>
      </c>
      <c r="L16" s="131">
        <f>IF(SER_hh_fech_in!L16=0,0,SER_hh_fech_in!L16/SER_summary!L$27)</f>
        <v>8.1477243073572687</v>
      </c>
      <c r="M16" s="131">
        <f>IF(SER_hh_fech_in!M16=0,0,SER_hh_fech_in!M16/SER_summary!M$27)</f>
        <v>8.3775611356519786</v>
      </c>
      <c r="N16" s="131">
        <f>IF(SER_hh_fech_in!N16=0,0,SER_hh_fech_in!N16/SER_summary!N$27)</f>
        <v>12.483119835391646</v>
      </c>
      <c r="O16" s="131">
        <f>IF(SER_hh_fech_in!O16=0,0,SER_hh_fech_in!O16/SER_summary!O$27)</f>
        <v>7.0023309675594687</v>
      </c>
      <c r="P16" s="131">
        <f>IF(SER_hh_fech_in!P16=0,0,SER_hh_fech_in!P16/SER_summary!P$27)</f>
        <v>5.6509553682062172</v>
      </c>
      <c r="Q16" s="131">
        <f>IF(SER_hh_fech_in!Q16=0,0,SER_hh_fech_in!Q16/SER_summary!Q$27)</f>
        <v>9.4353644754365575</v>
      </c>
      <c r="R16" s="131">
        <f>IF(SER_hh_fech_in!R16=0,0,SER_hh_fech_in!R16/SER_summary!R$27)</f>
        <v>5.8697760201916482</v>
      </c>
      <c r="S16" s="131">
        <f>IF(SER_hh_fech_in!S16=0,0,SER_hh_fech_in!S16/SER_summary!S$27)</f>
        <v>8.3610560271962608</v>
      </c>
      <c r="T16" s="131">
        <f>IF(SER_hh_fech_in!T16=0,0,SER_hh_fech_in!T16/SER_summary!T$27)</f>
        <v>5.955558926219771</v>
      </c>
      <c r="U16" s="131">
        <f>IF(SER_hh_fech_in!U16=0,0,SER_hh_fech_in!U16/SER_summary!U$27)</f>
        <v>7.4456014691866841</v>
      </c>
      <c r="V16" s="131">
        <f>IF(SER_hh_fech_in!V16=0,0,SER_hh_fech_in!V16/SER_summary!V$27)</f>
        <v>5.2412350482807266</v>
      </c>
      <c r="W16" s="131">
        <f>IF(SER_hh_fech_in!W16=0,0,SER_hh_fech_in!W16/SER_summary!W$27)</f>
        <v>5.4495562185736937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21.487529874253234</v>
      </c>
      <c r="D17" s="133">
        <f>IF(SER_hh_fech_in!D17=0,0,SER_hh_fech_in!D17/SER_summary!D$27)</f>
        <v>18.71898815964397</v>
      </c>
      <c r="E17" s="133">
        <f>IF(SER_hh_fech_in!E17=0,0,SER_hh_fech_in!E17/SER_summary!E$27)</f>
        <v>43.131419806569035</v>
      </c>
      <c r="F17" s="133">
        <f>IF(SER_hh_fech_in!F17=0,0,SER_hh_fech_in!F17/SER_summary!F$27)</f>
        <v>19.241188247079808</v>
      </c>
      <c r="G17" s="133">
        <f>IF(SER_hh_fech_in!G17=0,0,SER_hh_fech_in!G17/SER_summary!G$27)</f>
        <v>19.094020377699163</v>
      </c>
      <c r="H17" s="133">
        <f>IF(SER_hh_fech_in!H17=0,0,SER_hh_fech_in!H17/SER_summary!H$27)</f>
        <v>22.252261924769066</v>
      </c>
      <c r="I17" s="133">
        <f>IF(SER_hh_fech_in!I17=0,0,SER_hh_fech_in!I17/SER_summary!I$27)</f>
        <v>20.254911129398916</v>
      </c>
      <c r="J17" s="133">
        <f>IF(SER_hh_fech_in!J17=0,0,SER_hh_fech_in!J17/SER_summary!J$27)</f>
        <v>23.466182047713616</v>
      </c>
      <c r="K17" s="133">
        <f>IF(SER_hh_fech_in!K17=0,0,SER_hh_fech_in!K17/SER_summary!K$27)</f>
        <v>23.611872248189151</v>
      </c>
      <c r="L17" s="133">
        <f>IF(SER_hh_fech_in!L17=0,0,SER_hh_fech_in!L17/SER_summary!L$27)</f>
        <v>18.850672471424012</v>
      </c>
      <c r="M17" s="133">
        <f>IF(SER_hh_fech_in!M17=0,0,SER_hh_fech_in!M17/SER_summary!M$27)</f>
        <v>19.977772647595113</v>
      </c>
      <c r="N17" s="133">
        <f>IF(SER_hh_fech_in!N17=0,0,SER_hh_fech_in!N17/SER_summary!N$27)</f>
        <v>30.571101530691916</v>
      </c>
      <c r="O17" s="133">
        <f>IF(SER_hh_fech_in!O17=0,0,SER_hh_fech_in!O17/SER_summary!O$27)</f>
        <v>17.438601470141187</v>
      </c>
      <c r="P17" s="133">
        <f>IF(SER_hh_fech_in!P17=0,0,SER_hh_fech_in!P17/SER_summary!P$27)</f>
        <v>14.422007881521548</v>
      </c>
      <c r="Q17" s="133">
        <f>IF(SER_hh_fech_in!Q17=0,0,SER_hh_fech_in!Q17/SER_summary!Q$27)</f>
        <v>24.406410212172098</v>
      </c>
      <c r="R17" s="133">
        <f>IF(SER_hh_fech_in!R17=0,0,SER_hh_fech_in!R17/SER_summary!R$27)</f>
        <v>15.11336295424907</v>
      </c>
      <c r="S17" s="133">
        <f>IF(SER_hh_fech_in!S17=0,0,SER_hh_fech_in!S17/SER_summary!S$27)</f>
        <v>21.63783355392097</v>
      </c>
      <c r="T17" s="133">
        <f>IF(SER_hh_fech_in!T17=0,0,SER_hh_fech_in!T17/SER_summary!T$27)</f>
        <v>15.444221514329103</v>
      </c>
      <c r="U17" s="133">
        <f>IF(SER_hh_fech_in!U17=0,0,SER_hh_fech_in!U17/SER_summary!U$27)</f>
        <v>18.900346698474234</v>
      </c>
      <c r="V17" s="133">
        <f>IF(SER_hh_fech_in!V17=0,0,SER_hh_fech_in!V17/SER_summary!V$27)</f>
        <v>12.615899428160231</v>
      </c>
      <c r="W17" s="133">
        <f>IF(SER_hh_fech_in!W17=0,0,SER_hh_fech_in!W17/SER_summary!W$27)</f>
        <v>13.226538248423223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11.72098363838618</v>
      </c>
      <c r="D18" s="133">
        <f>IF(SER_hh_fech_in!D18=0,0,SER_hh_fech_in!D18/SER_summary!D$27)</f>
        <v>9.9258292550414744</v>
      </c>
      <c r="E18" s="133">
        <f>IF(SER_hh_fech_in!E18=0,0,SER_hh_fech_in!E18/SER_summary!E$27)</f>
        <v>22.204524319059285</v>
      </c>
      <c r="F18" s="133">
        <f>IF(SER_hh_fech_in!F18=0,0,SER_hh_fech_in!F18/SER_summary!F$27)</f>
        <v>9.6276137269017212</v>
      </c>
      <c r="G18" s="133">
        <f>IF(SER_hh_fech_in!G18=0,0,SER_hh_fech_in!G18/SER_summary!G$27)</f>
        <v>9.2915706328598162</v>
      </c>
      <c r="H18" s="133">
        <f>IF(SER_hh_fech_in!H18=0,0,SER_hh_fech_in!H18/SER_summary!H$27)</f>
        <v>10.525029910035618</v>
      </c>
      <c r="I18" s="133">
        <f>IF(SER_hh_fech_in!I18=0,0,SER_hh_fech_in!I18/SER_summary!I$27)</f>
        <v>9.3234470982988196</v>
      </c>
      <c r="J18" s="133">
        <f>IF(SER_hh_fech_in!J18=0,0,SER_hh_fech_in!J18/SER_summary!J$27)</f>
        <v>10.51890068699964</v>
      </c>
      <c r="K18" s="133">
        <f>IF(SER_hh_fech_in!K18=0,0,SER_hh_fech_in!K18/SER_summary!K$27)</f>
        <v>10.307523623315685</v>
      </c>
      <c r="L18" s="133">
        <f>IF(SER_hh_fech_in!L18=0,0,SER_hh_fech_in!L18/SER_summary!L$27)</f>
        <v>8.0093751212043891</v>
      </c>
      <c r="M18" s="133">
        <f>IF(SER_hh_fech_in!M18=0,0,SER_hh_fech_in!M18/SER_summary!M$27)</f>
        <v>8.2517643228962392</v>
      </c>
      <c r="N18" s="133">
        <f>IF(SER_hh_fech_in!N18=0,0,SER_hh_fech_in!N18/SER_summary!N$27)</f>
        <v>12.285418490617481</v>
      </c>
      <c r="O18" s="133">
        <f>IF(SER_hh_fech_in!O18=0,0,SER_hh_fech_in!O18/SER_summary!O$27)</f>
        <v>6.8251325658932416</v>
      </c>
      <c r="P18" s="133">
        <f>IF(SER_hh_fech_in!P18=0,0,SER_hh_fech_in!P18/SER_summary!P$27)</f>
        <v>5.5122034168746445</v>
      </c>
      <c r="Q18" s="133">
        <f>IF(SER_hh_fech_in!Q18=0,0,SER_hh_fech_in!Q18/SER_summary!Q$27)</f>
        <v>9.2106485801921565</v>
      </c>
      <c r="R18" s="133">
        <f>IF(SER_hh_fech_in!R18=0,0,SER_hh_fech_in!R18/SER_summary!R$27)</f>
        <v>5.683921150397568</v>
      </c>
      <c r="S18" s="133">
        <f>IF(SER_hh_fech_in!S18=0,0,SER_hh_fech_in!S18/SER_summary!S$27)</f>
        <v>8.1532674084634156</v>
      </c>
      <c r="T18" s="133">
        <f>IF(SER_hh_fech_in!T18=0,0,SER_hh_fech_in!T18/SER_summary!T$27)</f>
        <v>5.8066150649049062</v>
      </c>
      <c r="U18" s="133">
        <f>IF(SER_hh_fech_in!U18=0,0,SER_hh_fech_in!U18/SER_summary!U$27)</f>
        <v>7.2494604790978556</v>
      </c>
      <c r="V18" s="133">
        <f>IF(SER_hh_fech_in!V18=0,0,SER_hh_fech_in!V18/SER_summary!V$27)</f>
        <v>5.0715016203319818</v>
      </c>
      <c r="W18" s="133">
        <f>IF(SER_hh_fech_in!W18=0,0,SER_hh_fech_in!W18/SER_summary!W$27)</f>
        <v>5.3452966012776129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31.687910824878944</v>
      </c>
      <c r="D19" s="131">
        <f>IF(SER_hh_fech_in!D19=0,0,SER_hh_fech_in!D19/SER_summary!D$27)</f>
        <v>31.789189866911883</v>
      </c>
      <c r="E19" s="131">
        <f>IF(SER_hh_fech_in!E19=0,0,SER_hh_fech_in!E19/SER_summary!E$27)</f>
        <v>31.295711829979567</v>
      </c>
      <c r="F19" s="131">
        <f>IF(SER_hh_fech_in!F19=0,0,SER_hh_fech_in!F19/SER_summary!F$27)</f>
        <v>31.895665647315703</v>
      </c>
      <c r="G19" s="131">
        <f>IF(SER_hh_fech_in!G19=0,0,SER_hh_fech_in!G19/SER_summary!G$27)</f>
        <v>29.899892862305222</v>
      </c>
      <c r="H19" s="131">
        <f>IF(SER_hh_fech_in!H19=0,0,SER_hh_fech_in!H19/SER_summary!H$27)</f>
        <v>30.509711082357775</v>
      </c>
      <c r="I19" s="131">
        <f>IF(SER_hh_fech_in!I19=0,0,SER_hh_fech_in!I19/SER_summary!I$27)</f>
        <v>30.088012273133597</v>
      </c>
      <c r="J19" s="131">
        <f>IF(SER_hh_fech_in!J19=0,0,SER_hh_fech_in!J19/SER_summary!J$27)</f>
        <v>28.184254943294597</v>
      </c>
      <c r="K19" s="131">
        <f>IF(SER_hh_fech_in!K19=0,0,SER_hh_fech_in!K19/SER_summary!K$27)</f>
        <v>26.874627557194916</v>
      </c>
      <c r="L19" s="131">
        <f>IF(SER_hh_fech_in!L19=0,0,SER_hh_fech_in!L19/SER_summary!L$27)</f>
        <v>26.503247949660373</v>
      </c>
      <c r="M19" s="131">
        <f>IF(SER_hh_fech_in!M19=0,0,SER_hh_fech_in!M19/SER_summary!M$27)</f>
        <v>29.132943977805901</v>
      </c>
      <c r="N19" s="131">
        <f>IF(SER_hh_fech_in!N19=0,0,SER_hh_fech_in!N19/SER_summary!N$27)</f>
        <v>27.683726956702735</v>
      </c>
      <c r="O19" s="131">
        <f>IF(SER_hh_fech_in!O19=0,0,SER_hh_fech_in!O19/SER_summary!O$27)</f>
        <v>27.133160744426672</v>
      </c>
      <c r="P19" s="131">
        <f>IF(SER_hh_fech_in!P19=0,0,SER_hh_fech_in!P19/SER_summary!P$27)</f>
        <v>26.382131175082154</v>
      </c>
      <c r="Q19" s="131">
        <f>IF(SER_hh_fech_in!Q19=0,0,SER_hh_fech_in!Q19/SER_summary!Q$27)</f>
        <v>27.240658679156088</v>
      </c>
      <c r="R19" s="131">
        <f>IF(SER_hh_fech_in!R19=0,0,SER_hh_fech_in!R19/SER_summary!R$27)</f>
        <v>25.838875471339687</v>
      </c>
      <c r="S19" s="131">
        <f>IF(SER_hh_fech_in!S19=0,0,SER_hh_fech_in!S19/SER_summary!S$27)</f>
        <v>24.975136198147652</v>
      </c>
      <c r="T19" s="131">
        <f>IF(SER_hh_fech_in!T19=0,0,SER_hh_fech_in!T19/SER_summary!T$27)</f>
        <v>24.293246370629589</v>
      </c>
      <c r="U19" s="131">
        <f>IF(SER_hh_fech_in!U19=0,0,SER_hh_fech_in!U19/SER_summary!U$27)</f>
        <v>22.53153061806039</v>
      </c>
      <c r="V19" s="131">
        <f>IF(SER_hh_fech_in!V19=0,0,SER_hh_fech_in!V19/SER_summary!V$27)</f>
        <v>20.353446374179622</v>
      </c>
      <c r="W19" s="131">
        <f>IF(SER_hh_fech_in!W19=0,0,SER_hh_fech_in!W19/SER_summary!W$27)</f>
        <v>21.410130225135841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36.087270319197827</v>
      </c>
      <c r="D21" s="133">
        <f>IF(SER_hh_fech_in!D21=0,0,SER_hh_fech_in!D21/SER_summary!D$27)</f>
        <v>35.419431324407249</v>
      </c>
      <c r="E21" s="133">
        <f>IF(SER_hh_fech_in!E21=0,0,SER_hh_fech_in!E21/SER_summary!E$27)</f>
        <v>34.459898753069758</v>
      </c>
      <c r="F21" s="133">
        <f>IF(SER_hh_fech_in!F21=0,0,SER_hh_fech_in!F21/SER_summary!F$27)</f>
        <v>34.844293229774287</v>
      </c>
      <c r="G21" s="133">
        <f>IF(SER_hh_fech_in!G21=0,0,SER_hh_fech_in!G21/SER_summary!G$27)</f>
        <v>34.142863864981464</v>
      </c>
      <c r="H21" s="133">
        <f>IF(SER_hh_fech_in!H21=0,0,SER_hh_fech_in!H21/SER_summary!H$27)</f>
        <v>35.611863014833467</v>
      </c>
      <c r="I21" s="133">
        <f>IF(SER_hh_fech_in!I21=0,0,SER_hh_fech_in!I21/SER_summary!I$27)</f>
        <v>33.125541665572186</v>
      </c>
      <c r="J21" s="133">
        <f>IF(SER_hh_fech_in!J21=0,0,SER_hh_fech_in!J21/SER_summary!J$27)</f>
        <v>31.97659843761905</v>
      </c>
      <c r="K21" s="133">
        <f>IF(SER_hh_fech_in!K21=0,0,SER_hh_fech_in!K21/SER_summary!K$27)</f>
        <v>30.091931710605117</v>
      </c>
      <c r="L21" s="133">
        <f>IF(SER_hh_fech_in!L21=0,0,SER_hh_fech_in!L21/SER_summary!L$27)</f>
        <v>29.393186624005448</v>
      </c>
      <c r="M21" s="133">
        <f>IF(SER_hh_fech_in!M21=0,0,SER_hh_fech_in!M21/SER_summary!M$27)</f>
        <v>35.19466348674429</v>
      </c>
      <c r="N21" s="133">
        <f>IF(SER_hh_fech_in!N21=0,0,SER_hh_fech_in!N21/SER_summary!N$27)</f>
        <v>31.748578055586481</v>
      </c>
      <c r="O21" s="133">
        <f>IF(SER_hh_fech_in!O21=0,0,SER_hh_fech_in!O21/SER_summary!O$27)</f>
        <v>32.621368489917799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29.015189974757309</v>
      </c>
      <c r="S21" s="133">
        <f>IF(SER_hh_fech_in!S21=0,0,SER_hh_fech_in!S21/SER_summary!S$27)</f>
        <v>28.125606336595624</v>
      </c>
      <c r="T21" s="133">
        <f>IF(SER_hh_fech_in!T21=0,0,SER_hh_fech_in!T21/SER_summary!T$27)</f>
        <v>25.513534990622148</v>
      </c>
      <c r="U21" s="133">
        <f>IF(SER_hh_fech_in!U21=0,0,SER_hh_fech_in!U21/SER_summary!U$27)</f>
        <v>22.163996647249249</v>
      </c>
      <c r="V21" s="133">
        <f>IF(SER_hh_fech_in!V21=0,0,SER_hh_fech_in!V21/SER_summary!V$27)</f>
        <v>21.586608441380498</v>
      </c>
      <c r="W21" s="133">
        <f>IF(SER_hh_fech_in!W21=0,0,SER_hh_fech_in!W21/SER_summary!W$27)</f>
        <v>22.917864082439152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38.321791962977514</v>
      </c>
      <c r="D22" s="133">
        <f>IF(SER_hh_fech_in!D22=0,0,SER_hh_fech_in!D22/SER_summary!D$27)</f>
        <v>0</v>
      </c>
      <c r="E22" s="133">
        <f>IF(SER_hh_fech_in!E22=0,0,SER_hh_fech_in!E22/SER_summary!E$27)</f>
        <v>0</v>
      </c>
      <c r="F22" s="133">
        <f>IF(SER_hh_fech_in!F22=0,0,SER_hh_fech_in!F22/SER_summary!F$27)</f>
        <v>0</v>
      </c>
      <c r="G22" s="133">
        <f>IF(SER_hh_fech_in!G22=0,0,SER_hh_fech_in!G22/SER_summary!G$27)</f>
        <v>31.198416600939435</v>
      </c>
      <c r="H22" s="133">
        <f>IF(SER_hh_fech_in!H22=0,0,SER_hh_fech_in!H22/SER_summary!H$27)</f>
        <v>37.145635879041755</v>
      </c>
      <c r="I22" s="133">
        <f>IF(SER_hh_fech_in!I22=0,0,SER_hh_fech_in!I22/SER_summary!I$27)</f>
        <v>36.502458001503307</v>
      </c>
      <c r="J22" s="133">
        <f>IF(SER_hh_fech_in!J22=0,0,SER_hh_fech_in!J22/SER_summary!J$27)</f>
        <v>35.639186571794724</v>
      </c>
      <c r="K22" s="133">
        <f>IF(SER_hh_fech_in!K22=0,0,SER_hh_fech_in!K22/SER_summary!K$27)</f>
        <v>33.362760694381393</v>
      </c>
      <c r="L22" s="133">
        <f>IF(SER_hh_fech_in!L22=0,0,SER_hh_fech_in!L22/SER_summary!L$27)</f>
        <v>31.453519919445078</v>
      </c>
      <c r="M22" s="133">
        <f>IF(SER_hh_fech_in!M22=0,0,SER_hh_fech_in!M22/SER_summary!M$27)</f>
        <v>35.259913493128579</v>
      </c>
      <c r="N22" s="133">
        <f>IF(SER_hh_fech_in!N22=0,0,SER_hh_fech_in!N22/SER_summary!N$27)</f>
        <v>34.312488905769946</v>
      </c>
      <c r="O22" s="133">
        <f>IF(SER_hh_fech_in!O22=0,0,SER_hh_fech_in!O22/SER_summary!O$27)</f>
        <v>34.18962128654055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0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16.91186898575852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34.686138767110762</v>
      </c>
      <c r="D23" s="133">
        <f>IF(SER_hh_fech_in!D23=0,0,SER_hh_fech_in!D23/SER_summary!D$27)</f>
        <v>34.618704237132157</v>
      </c>
      <c r="E23" s="133">
        <f>IF(SER_hh_fech_in!E23=0,0,SER_hh_fech_in!E23/SER_summary!E$27)</f>
        <v>34.078513036339359</v>
      </c>
      <c r="F23" s="133">
        <f>IF(SER_hh_fech_in!F23=0,0,SER_hh_fech_in!F23/SER_summary!F$27)</f>
        <v>33.567568306938639</v>
      </c>
      <c r="G23" s="133">
        <f>IF(SER_hh_fech_in!G23=0,0,SER_hh_fech_in!G23/SER_summary!G$27)</f>
        <v>32.672690096628251</v>
      </c>
      <c r="H23" s="133">
        <f>IF(SER_hh_fech_in!H23=0,0,SER_hh_fech_in!H23/SER_summary!H$27)</f>
        <v>33.00127321489434</v>
      </c>
      <c r="I23" s="133">
        <f>IF(SER_hh_fech_in!I23=0,0,SER_hh_fech_in!I23/SER_summary!I$27)</f>
        <v>32.222253302541304</v>
      </c>
      <c r="J23" s="133">
        <f>IF(SER_hh_fech_in!J23=0,0,SER_hh_fech_in!J23/SER_summary!J$27)</f>
        <v>30.870186664274009</v>
      </c>
      <c r="K23" s="133">
        <f>IF(SER_hh_fech_in!K23=0,0,SER_hh_fech_in!K23/SER_summary!K$27)</f>
        <v>28.872892276962197</v>
      </c>
      <c r="L23" s="133">
        <f>IF(SER_hh_fech_in!L23=0,0,SER_hh_fech_in!L23/SER_summary!L$27)</f>
        <v>28.885647895598975</v>
      </c>
      <c r="M23" s="133">
        <f>IF(SER_hh_fech_in!M23=0,0,SER_hh_fech_in!M23/SER_summary!M$27)</f>
        <v>31.580994466331678</v>
      </c>
      <c r="N23" s="133">
        <f>IF(SER_hh_fech_in!N23=0,0,SER_hh_fech_in!N23/SER_summary!N$27)</f>
        <v>30.969809597129554</v>
      </c>
      <c r="O23" s="133">
        <f>IF(SER_hh_fech_in!O23=0,0,SER_hh_fech_in!O23/SER_summary!O$27)</f>
        <v>30.262061397134158</v>
      </c>
      <c r="P23" s="133">
        <f>IF(SER_hh_fech_in!P23=0,0,SER_hh_fech_in!P23/SER_summary!P$27)</f>
        <v>29.191366186017056</v>
      </c>
      <c r="Q23" s="133">
        <f>IF(SER_hh_fech_in!Q23=0,0,SER_hh_fech_in!Q23/SER_summary!Q$27)</f>
        <v>28.210736442073351</v>
      </c>
      <c r="R23" s="133">
        <f>IF(SER_hh_fech_in!R23=0,0,SER_hh_fech_in!R23/SER_summary!R$27)</f>
        <v>27.278533598837534</v>
      </c>
      <c r="S23" s="133">
        <f>IF(SER_hh_fech_in!S23=0,0,SER_hh_fech_in!S23/SER_summary!S$27)</f>
        <v>24.482532633229205</v>
      </c>
      <c r="T23" s="133">
        <f>IF(SER_hh_fech_in!T23=0,0,SER_hh_fech_in!T23/SER_summary!T$27)</f>
        <v>23.194762854087394</v>
      </c>
      <c r="U23" s="133">
        <f>IF(SER_hh_fech_in!U23=0,0,SER_hh_fech_in!U23/SER_summary!U$27)</f>
        <v>22.646745830079936</v>
      </c>
      <c r="V23" s="133">
        <f>IF(SER_hh_fech_in!V23=0,0,SER_hh_fech_in!V23/SER_summary!V$27)</f>
        <v>21.83379950509779</v>
      </c>
      <c r="W23" s="133">
        <f>IF(SER_hh_fech_in!W23=0,0,SER_hh_fech_in!W23/SER_summary!W$27)</f>
        <v>24.219838485969508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0</v>
      </c>
      <c r="F25" s="133">
        <f>IF(SER_hh_fech_in!F25=0,0,SER_hh_fech_in!F25/SER_summary!F$27)</f>
        <v>35.846917419178645</v>
      </c>
      <c r="G25" s="133">
        <f>IF(SER_hh_fech_in!G25=0,0,SER_hh_fech_in!G25/SER_summary!G$27)</f>
        <v>28.05547306720424</v>
      </c>
      <c r="H25" s="133">
        <f>IF(SER_hh_fech_in!H25=0,0,SER_hh_fech_in!H25/SER_summary!H$27)</f>
        <v>25.020354238683865</v>
      </c>
      <c r="I25" s="133">
        <f>IF(SER_hh_fech_in!I25=0,0,SER_hh_fech_in!I25/SER_summary!I$27)</f>
        <v>22.971474451819571</v>
      </c>
      <c r="J25" s="133">
        <f>IF(SER_hh_fech_in!J25=0,0,SER_hh_fech_in!J25/SER_summary!J$27)</f>
        <v>21.828102619702868</v>
      </c>
      <c r="K25" s="133">
        <f>IF(SER_hh_fech_in!K25=0,0,SER_hh_fech_in!K25/SER_summary!K$27)</f>
        <v>22.0687925407798</v>
      </c>
      <c r="L25" s="133">
        <f>IF(SER_hh_fech_in!L25=0,0,SER_hh_fech_in!L25/SER_summary!L$27)</f>
        <v>22.307664055300563</v>
      </c>
      <c r="M25" s="133">
        <f>IF(SER_hh_fech_in!M25=0,0,SER_hh_fech_in!M25/SER_summary!M$27)</f>
        <v>23.686176361159745</v>
      </c>
      <c r="N25" s="133">
        <f>IF(SER_hh_fech_in!N25=0,0,SER_hh_fech_in!N25/SER_summary!N$27)</f>
        <v>23.574065148154649</v>
      </c>
      <c r="O25" s="133">
        <f>IF(SER_hh_fech_in!O25=0,0,SER_hh_fech_in!O25/SER_summary!O$27)</f>
        <v>25.086188737163972</v>
      </c>
      <c r="P25" s="133">
        <f>IF(SER_hh_fech_in!P25=0,0,SER_hh_fech_in!P25/SER_summary!P$27)</f>
        <v>25.063450225701668</v>
      </c>
      <c r="Q25" s="133">
        <f>IF(SER_hh_fech_in!Q25=0,0,SER_hh_fech_in!Q25/SER_summary!Q$27)</f>
        <v>24.14633033935776</v>
      </c>
      <c r="R25" s="133">
        <f>IF(SER_hh_fech_in!R25=0,0,SER_hh_fech_in!R25/SER_summary!R$27)</f>
        <v>22.476370689742382</v>
      </c>
      <c r="S25" s="133">
        <f>IF(SER_hh_fech_in!S25=0,0,SER_hh_fech_in!S25/SER_summary!S$27)</f>
        <v>21.335114601925195</v>
      </c>
      <c r="T25" s="133">
        <f>IF(SER_hh_fech_in!T25=0,0,SER_hh_fech_in!T25/SER_summary!T$27)</f>
        <v>20.673129042148371</v>
      </c>
      <c r="U25" s="133">
        <f>IF(SER_hh_fech_in!U25=0,0,SER_hh_fech_in!U25/SER_summary!U$27)</f>
        <v>20.097870122560831</v>
      </c>
      <c r="V25" s="133">
        <f>IF(SER_hh_fech_in!V25=0,0,SER_hh_fech_in!V25/SER_summary!V$27)</f>
        <v>19.608716531378558</v>
      </c>
      <c r="W25" s="133">
        <f>IF(SER_hh_fech_in!W25=0,0,SER_hh_fech_in!W25/SER_summary!W$27)</f>
        <v>20.995200502567851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29.262510096218243</v>
      </c>
      <c r="D26" s="65">
        <f>IF(SER_hh_fech_in!D26=0,0,SER_hh_fech_in!D26/SER_summary!D$27)</f>
        <v>29.130629599327435</v>
      </c>
      <c r="E26" s="65">
        <f>IF(SER_hh_fech_in!E26=0,0,SER_hh_fech_in!E26/SER_summary!E$27)</f>
        <v>27.955141443064047</v>
      </c>
      <c r="F26" s="65">
        <f>IF(SER_hh_fech_in!F26=0,0,SER_hh_fech_in!F26/SER_summary!F$27)</f>
        <v>26.847760922873405</v>
      </c>
      <c r="G26" s="65">
        <f>IF(SER_hh_fech_in!G26=0,0,SER_hh_fech_in!G26/SER_summary!G$27)</f>
        <v>17.884317788485255</v>
      </c>
      <c r="H26" s="65">
        <f>IF(SER_hh_fech_in!H26=0,0,SER_hh_fech_in!H26/SER_summary!H$27)</f>
        <v>26.158550215751013</v>
      </c>
      <c r="I26" s="65">
        <f>IF(SER_hh_fech_in!I26=0,0,SER_hh_fech_in!I26/SER_summary!I$27)</f>
        <v>22.767868706373896</v>
      </c>
      <c r="J26" s="65">
        <f>IF(SER_hh_fech_in!J26=0,0,SER_hh_fech_in!J26/SER_summary!J$27)</f>
        <v>10.879684605029537</v>
      </c>
      <c r="K26" s="65">
        <f>IF(SER_hh_fech_in!K26=0,0,SER_hh_fech_in!K26/SER_summary!K$27)</f>
        <v>5.085675124314748</v>
      </c>
      <c r="L26" s="65">
        <f>IF(SER_hh_fech_in!L26=0,0,SER_hh_fech_in!L26/SER_summary!L$27)</f>
        <v>4.7748744888781207</v>
      </c>
      <c r="M26" s="65">
        <f>IF(SER_hh_fech_in!M26=0,0,SER_hh_fech_in!M26/SER_summary!M$27)</f>
        <v>20.467949769589779</v>
      </c>
      <c r="N26" s="65">
        <f>IF(SER_hh_fech_in!N26=0,0,SER_hh_fech_in!N26/SER_summary!N$27)</f>
        <v>14.138830286904344</v>
      </c>
      <c r="O26" s="65">
        <f>IF(SER_hh_fech_in!O26=0,0,SER_hh_fech_in!O26/SER_summary!O$27)</f>
        <v>8.9411601979233986</v>
      </c>
      <c r="P26" s="65">
        <f>IF(SER_hh_fech_in!P26=0,0,SER_hh_fech_in!P26/SER_summary!P$27)</f>
        <v>13.986452010615434</v>
      </c>
      <c r="Q26" s="65">
        <f>IF(SER_hh_fech_in!Q26=0,0,SER_hh_fech_in!Q26/SER_summary!Q$27)</f>
        <v>26.069415599047801</v>
      </c>
      <c r="R26" s="65">
        <f>IF(SER_hh_fech_in!R26=0,0,SER_hh_fech_in!R26/SER_summary!R$27)</f>
        <v>5.1783443133202258</v>
      </c>
      <c r="S26" s="65">
        <f>IF(SER_hh_fech_in!S26=0,0,SER_hh_fech_in!S26/SER_summary!S$27)</f>
        <v>4.5350931748779022</v>
      </c>
      <c r="T26" s="65">
        <f>IF(SER_hh_fech_in!T26=0,0,SER_hh_fech_in!T26/SER_summary!T$27)</f>
        <v>11.031149096670394</v>
      </c>
      <c r="U26" s="65">
        <f>IF(SER_hh_fech_in!U26=0,0,SER_hh_fech_in!U26/SER_summary!U$27)</f>
        <v>4.3110170209533036</v>
      </c>
      <c r="V26" s="65">
        <f>IF(SER_hh_fech_in!V26=0,0,SER_hh_fech_in!V26/SER_summary!V$27)</f>
        <v>4.3624391402680596</v>
      </c>
      <c r="W26" s="65">
        <f>IF(SER_hh_fech_in!W26=0,0,SER_hh_fech_in!W26/SER_summary!W$27)</f>
        <v>6.8987585955847113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0.35069975604441322</v>
      </c>
      <c r="D27" s="146">
        <f>IF(SER_hh_fech_in!D27=0,0,SER_hh_fech_in!D27/SER_summary!D$27)</f>
        <v>0.62157729976095188</v>
      </c>
      <c r="E27" s="146">
        <f>IF(SER_hh_fech_in!E27=0,0,SER_hh_fech_in!E27/SER_summary!E$27)</f>
        <v>0.76487554773778055</v>
      </c>
      <c r="F27" s="146">
        <f>IF(SER_hh_fech_in!F27=0,0,SER_hh_fech_in!F27/SER_summary!F$27)</f>
        <v>1.3506599332373832</v>
      </c>
      <c r="G27" s="146">
        <f>IF(SER_hh_fech_in!G27=0,0,SER_hh_fech_in!G27/SER_summary!G$27)</f>
        <v>4.1876107428863509</v>
      </c>
      <c r="H27" s="146">
        <f>IF(SER_hh_fech_in!H27=0,0,SER_hh_fech_in!H27/SER_summary!H$27)</f>
        <v>1.4061242740432736</v>
      </c>
      <c r="I27" s="146">
        <f>IF(SER_hh_fech_in!I27=0,0,SER_hh_fech_in!I27/SER_summary!I$27)</f>
        <v>3.4187322441832535</v>
      </c>
      <c r="J27" s="146">
        <f>IF(SER_hh_fech_in!J27=0,0,SER_hh_fech_in!J27/SER_summary!J$27)</f>
        <v>7.605679233930803</v>
      </c>
      <c r="K27" s="146">
        <f>IF(SER_hh_fech_in!K27=0,0,SER_hh_fech_in!K27/SER_summary!K$27)</f>
        <v>9.7541723154362003</v>
      </c>
      <c r="L27" s="146">
        <f>IF(SER_hh_fech_in!L27=0,0,SER_hh_fech_in!L27/SER_summary!L$27)</f>
        <v>10.192738229838858</v>
      </c>
      <c r="M27" s="146">
        <f>IF(SER_hh_fech_in!M27=0,0,SER_hh_fech_in!M27/SER_summary!M$27)</f>
        <v>3.317475066745609</v>
      </c>
      <c r="N27" s="146">
        <f>IF(SER_hh_fech_in!N27=0,0,SER_hh_fech_in!N27/SER_summary!N$27)</f>
        <v>4.9224295839696275</v>
      </c>
      <c r="O27" s="146">
        <f>IF(SER_hh_fech_in!O27=0,0,SER_hh_fech_in!O27/SER_summary!O$27)</f>
        <v>7.1285099593886203</v>
      </c>
      <c r="P27" s="146">
        <f>IF(SER_hh_fech_in!P27=0,0,SER_hh_fech_in!P27/SER_summary!P$27)</f>
        <v>6.632020992117047</v>
      </c>
      <c r="Q27" s="146">
        <f>IF(SER_hh_fech_in!Q27=0,0,SER_hh_fech_in!Q27/SER_summary!Q$27)</f>
        <v>0.26194207401681108</v>
      </c>
      <c r="R27" s="146">
        <f>IF(SER_hh_fech_in!R27=0,0,SER_hh_fech_in!R27/SER_summary!R$27)</f>
        <v>6.8820840966679899</v>
      </c>
      <c r="S27" s="146">
        <f>IF(SER_hh_fech_in!S27=0,0,SER_hh_fech_in!S27/SER_summary!S$27)</f>
        <v>7.8961203411071352</v>
      </c>
      <c r="T27" s="146">
        <f>IF(SER_hh_fech_in!T27=0,0,SER_hh_fech_in!T27/SER_summary!T$27)</f>
        <v>6.9591564459435116</v>
      </c>
      <c r="U27" s="146">
        <f>IF(SER_hh_fech_in!U27=0,0,SER_hh_fech_in!U27/SER_summary!U$27)</f>
        <v>8.4541514570725429</v>
      </c>
      <c r="V27" s="146">
        <f>IF(SER_hh_fech_in!V27=0,0,SER_hh_fech_in!V27/SER_summary!V$27)</f>
        <v>7.7810894165765569</v>
      </c>
      <c r="W27" s="146">
        <f>IF(SER_hh_fech_in!W27=0,0,SER_hh_fech_in!W27/SER_summary!W$27)</f>
        <v>6.977201054509357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17.443275279637383</v>
      </c>
      <c r="D28" s="147">
        <f>IF(SER_hh_fech_in!D28=0,0,SER_hh_fech_in!D28/SER_summary!D$27)</f>
        <v>17.079513643146043</v>
      </c>
      <c r="E28" s="147">
        <f>IF(SER_hh_fech_in!E28=0,0,SER_hh_fech_in!E28/SER_summary!E$27)</f>
        <v>17.48476411027875</v>
      </c>
      <c r="F28" s="147">
        <f>IF(SER_hh_fech_in!F28=0,0,SER_hh_fech_in!F28/SER_summary!F$27)</f>
        <v>17.053459256076177</v>
      </c>
      <c r="G28" s="147">
        <f>IF(SER_hh_fech_in!G28=0,0,SER_hh_fech_in!G28/SER_summary!G$27)</f>
        <v>17.401122454108013</v>
      </c>
      <c r="H28" s="147">
        <f>IF(SER_hh_fech_in!H28=0,0,SER_hh_fech_in!H28/SER_summary!H$27)</f>
        <v>17.367376318718875</v>
      </c>
      <c r="I28" s="147">
        <f>IF(SER_hh_fech_in!I28=0,0,SER_hh_fech_in!I28/SER_summary!I$27)</f>
        <v>17.727959848385719</v>
      </c>
      <c r="J28" s="147">
        <f>IF(SER_hh_fech_in!J28=0,0,SER_hh_fech_in!J28/SER_summary!J$27)</f>
        <v>16.713538016629219</v>
      </c>
      <c r="K28" s="147">
        <f>IF(SER_hh_fech_in!K28=0,0,SER_hh_fech_in!K28/SER_summary!K$27)</f>
        <v>17.318753110984247</v>
      </c>
      <c r="L28" s="147">
        <f>IF(SER_hh_fech_in!L28=0,0,SER_hh_fech_in!L28/SER_summary!L$27)</f>
        <v>17.697159129811148</v>
      </c>
      <c r="M28" s="147">
        <f>IF(SER_hh_fech_in!M28=0,0,SER_hh_fech_in!M28/SER_summary!M$27)</f>
        <v>17.329031939967166</v>
      </c>
      <c r="N28" s="147">
        <f>IF(SER_hh_fech_in!N28=0,0,SER_hh_fech_in!N28/SER_summary!N$27)</f>
        <v>17.937999986858262</v>
      </c>
      <c r="O28" s="147">
        <f>IF(SER_hh_fech_in!O28=0,0,SER_hh_fech_in!O28/SER_summary!O$27)</f>
        <v>18.600869294119221</v>
      </c>
      <c r="P28" s="147">
        <f>IF(SER_hh_fech_in!P28=0,0,SER_hh_fech_in!P28/SER_summary!P$27)</f>
        <v>17.076966309990315</v>
      </c>
      <c r="Q28" s="147">
        <f>IF(SER_hh_fech_in!Q28=0,0,SER_hh_fech_in!Q28/SER_summary!Q$27)</f>
        <v>18.389799264808836</v>
      </c>
      <c r="R28" s="147">
        <f>IF(SER_hh_fech_in!R28=0,0,SER_hh_fech_in!R28/SER_summary!R$27)</f>
        <v>18.877531569761647</v>
      </c>
      <c r="S28" s="147">
        <f>IF(SER_hh_fech_in!S28=0,0,SER_hh_fech_in!S28/SER_summary!S$27)</f>
        <v>18.200367852945043</v>
      </c>
      <c r="T28" s="147">
        <f>IF(SER_hh_fech_in!T28=0,0,SER_hh_fech_in!T28/SER_summary!T$27)</f>
        <v>18.685391686548737</v>
      </c>
      <c r="U28" s="147">
        <f>IF(SER_hh_fech_in!U28=0,0,SER_hh_fech_in!U28/SER_summary!U$27)</f>
        <v>17.074567561739787</v>
      </c>
      <c r="V28" s="147">
        <f>IF(SER_hh_fech_in!V28=0,0,SER_hh_fech_in!V28/SER_summary!V$27)</f>
        <v>15.801020057736244</v>
      </c>
      <c r="W28" s="147">
        <f>IF(SER_hh_fech_in!W28=0,0,SER_hh_fech_in!W28/SER_summary!W$27)</f>
        <v>15.812191060537886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30.178819685127603</v>
      </c>
      <c r="D29" s="131">
        <f>IF(SER_hh_fech_in!D29=0,0,SER_hh_fech_in!D29/SER_summary!D$27)</f>
        <v>26.198644438200791</v>
      </c>
      <c r="E29" s="131">
        <f>IF(SER_hh_fech_in!E29=0,0,SER_hh_fech_in!E29/SER_summary!E$27)</f>
        <v>29.457234403709499</v>
      </c>
      <c r="F29" s="131">
        <f>IF(SER_hh_fech_in!F29=0,0,SER_hh_fech_in!F29/SER_summary!F$27)</f>
        <v>30.618222670298024</v>
      </c>
      <c r="G29" s="131">
        <f>IF(SER_hh_fech_in!G29=0,0,SER_hh_fech_in!G29/SER_summary!G$27)</f>
        <v>33.771256185535805</v>
      </c>
      <c r="H29" s="131">
        <f>IF(SER_hh_fech_in!H29=0,0,SER_hh_fech_in!H29/SER_summary!H$27)</f>
        <v>33.470351329454417</v>
      </c>
      <c r="I29" s="131">
        <f>IF(SER_hh_fech_in!I29=0,0,SER_hh_fech_in!I29/SER_summary!I$27)</f>
        <v>36.826258117199579</v>
      </c>
      <c r="J29" s="131">
        <f>IF(SER_hh_fech_in!J29=0,0,SER_hh_fech_in!J29/SER_summary!J$27)</f>
        <v>35.254684096845878</v>
      </c>
      <c r="K29" s="131">
        <f>IF(SER_hh_fech_in!K29=0,0,SER_hh_fech_in!K29/SER_summary!K$27)</f>
        <v>37.662266874035176</v>
      </c>
      <c r="L29" s="131">
        <f>IF(SER_hh_fech_in!L29=0,0,SER_hh_fech_in!L29/SER_summary!L$27)</f>
        <v>36.805866757807763</v>
      </c>
      <c r="M29" s="131">
        <f>IF(SER_hh_fech_in!M29=0,0,SER_hh_fech_in!M29/SER_summary!M$27)</f>
        <v>35.58182471688032</v>
      </c>
      <c r="N29" s="131">
        <f>IF(SER_hh_fech_in!N29=0,0,SER_hh_fech_in!N29/SER_summary!N$27)</f>
        <v>35.296752516977655</v>
      </c>
      <c r="O29" s="131">
        <f>IF(SER_hh_fech_in!O29=0,0,SER_hh_fech_in!O29/SER_summary!O$27)</f>
        <v>35.598062008913409</v>
      </c>
      <c r="P29" s="131">
        <f>IF(SER_hh_fech_in!P29=0,0,SER_hh_fech_in!P29/SER_summary!P$27)</f>
        <v>37.370016255652423</v>
      </c>
      <c r="Q29" s="131">
        <f>IF(SER_hh_fech_in!Q29=0,0,SER_hh_fech_in!Q29/SER_summary!Q$27)</f>
        <v>36.744526681742066</v>
      </c>
      <c r="R29" s="131">
        <f>IF(SER_hh_fech_in!R29=0,0,SER_hh_fech_in!R29/SER_summary!R$27)</f>
        <v>36.922391994537016</v>
      </c>
      <c r="S29" s="131">
        <f>IF(SER_hh_fech_in!S29=0,0,SER_hh_fech_in!S29/SER_summary!S$27)</f>
        <v>36.951239353582203</v>
      </c>
      <c r="T29" s="131">
        <f>IF(SER_hh_fech_in!T29=0,0,SER_hh_fech_in!T29/SER_summary!T$27)</f>
        <v>36.685752290787441</v>
      </c>
      <c r="U29" s="131">
        <f>IF(SER_hh_fech_in!U29=0,0,SER_hh_fech_in!U29/SER_summary!U$27)</f>
        <v>37.493091266679855</v>
      </c>
      <c r="V29" s="131">
        <f>IF(SER_hh_fech_in!V29=0,0,SER_hh_fech_in!V29/SER_summary!V$27)</f>
        <v>34.294158139946575</v>
      </c>
      <c r="W29" s="131">
        <f>IF(SER_hh_fech_in!W29=0,0,SER_hh_fech_in!W29/SER_summary!W$27)</f>
        <v>35.337231355440935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34.657051713292731</v>
      </c>
      <c r="D30" s="133">
        <f>IF(SER_hh_fech_in!D30=0,0,SER_hh_fech_in!D30/SER_summary!D$27)</f>
        <v>35.789728202000298</v>
      </c>
      <c r="E30" s="133">
        <f>IF(SER_hh_fech_in!E30=0,0,SER_hh_fech_in!E30/SER_summary!E$27)</f>
        <v>36.503569699429342</v>
      </c>
      <c r="F30" s="133">
        <f>IF(SER_hh_fech_in!F30=0,0,SER_hh_fech_in!F30/SER_summary!F$27)</f>
        <v>37.129422496789537</v>
      </c>
      <c r="G30" s="133">
        <f>IF(SER_hh_fech_in!G30=0,0,SER_hh_fech_in!G30/SER_summary!G$27)</f>
        <v>37.598188964093005</v>
      </c>
      <c r="H30" s="133">
        <f>IF(SER_hh_fech_in!H30=0,0,SER_hh_fech_in!H30/SER_summary!H$27)</f>
        <v>36.435152838369156</v>
      </c>
      <c r="I30" s="133">
        <f>IF(SER_hh_fech_in!I30=0,0,SER_hh_fech_in!I30/SER_summary!I$27)</f>
        <v>40.971335740126833</v>
      </c>
      <c r="J30" s="133">
        <f>IF(SER_hh_fech_in!J30=0,0,SER_hh_fech_in!J30/SER_summary!J$27)</f>
        <v>30.977844034974215</v>
      </c>
      <c r="K30" s="133">
        <f>IF(SER_hh_fech_in!K30=0,0,SER_hh_fech_in!K30/SER_summary!K$27)</f>
        <v>40.596490681189543</v>
      </c>
      <c r="L30" s="133">
        <f>IF(SER_hh_fech_in!L30=0,0,SER_hh_fech_in!L30/SER_summary!L$27)</f>
        <v>40.860415078687573</v>
      </c>
      <c r="M30" s="133">
        <f>IF(SER_hh_fech_in!M30=0,0,SER_hh_fech_in!M30/SER_summary!M$27)</f>
        <v>41.528604753868073</v>
      </c>
      <c r="N30" s="133">
        <f>IF(SER_hh_fech_in!N30=0,0,SER_hh_fech_in!N30/SER_summary!N$27)</f>
        <v>36.480658607764667</v>
      </c>
      <c r="O30" s="133">
        <f>IF(SER_hh_fech_in!O30=0,0,SER_hh_fech_in!O30/SER_summary!O$27)</f>
        <v>38.924924651108647</v>
      </c>
      <c r="P30" s="133">
        <f>IF(SER_hh_fech_in!P30=0,0,SER_hh_fech_in!P30/SER_summary!P$27)</f>
        <v>42.737817538480172</v>
      </c>
      <c r="Q30" s="133">
        <f>IF(SER_hh_fech_in!Q30=0,0,SER_hh_fech_in!Q30/SER_summary!Q$27)</f>
        <v>41.194376331796853</v>
      </c>
      <c r="R30" s="133">
        <f>IF(SER_hh_fech_in!R30=0,0,SER_hh_fech_in!R30/SER_summary!R$27)</f>
        <v>40.954562688431615</v>
      </c>
      <c r="S30" s="133">
        <f>IF(SER_hh_fech_in!S30=0,0,SER_hh_fech_in!S30/SER_summary!S$27)</f>
        <v>41.459834493813652</v>
      </c>
      <c r="T30" s="133">
        <f>IF(SER_hh_fech_in!T30=0,0,SER_hh_fech_in!T30/SER_summary!T$27)</f>
        <v>40.577822165101658</v>
      </c>
      <c r="U30" s="133">
        <f>IF(SER_hh_fech_in!U30=0,0,SER_hh_fech_in!U30/SER_summary!U$27)</f>
        <v>38.574431321967097</v>
      </c>
      <c r="V30" s="133">
        <f>IF(SER_hh_fech_in!V30=0,0,SER_hh_fech_in!V30/SER_summary!V$27)</f>
        <v>38.80348167744166</v>
      </c>
      <c r="W30" s="133">
        <f>IF(SER_hh_fech_in!W30=0,0,SER_hh_fech_in!W30/SER_summary!W$27)</f>
        <v>38.499897362538391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35.361321835786597</v>
      </c>
      <c r="D31" s="133">
        <f>IF(SER_hh_fech_in!D31=0,0,SER_hh_fech_in!D31/SER_summary!D$27)</f>
        <v>36.011256938432759</v>
      </c>
      <c r="E31" s="133">
        <f>IF(SER_hh_fech_in!E31=0,0,SER_hh_fech_in!E31/SER_summary!E$27)</f>
        <v>32.869727918012941</v>
      </c>
      <c r="F31" s="133">
        <f>IF(SER_hh_fech_in!F31=0,0,SER_hh_fech_in!F31/SER_summary!F$27)</f>
        <v>33.53742250933778</v>
      </c>
      <c r="G31" s="133">
        <f>IF(SER_hh_fech_in!G31=0,0,SER_hh_fech_in!G31/SER_summary!G$27)</f>
        <v>38.399104203338112</v>
      </c>
      <c r="H31" s="133">
        <f>IF(SER_hh_fech_in!H31=0,0,SER_hh_fech_in!H31/SER_summary!H$27)</f>
        <v>35.386160994041738</v>
      </c>
      <c r="I31" s="133">
        <f>IF(SER_hh_fech_in!I31=0,0,SER_hh_fech_in!I31/SER_summary!I$27)</f>
        <v>38.3188907891155</v>
      </c>
      <c r="J31" s="133">
        <f>IF(SER_hh_fech_in!J31=0,0,SER_hh_fech_in!J31/SER_summary!J$27)</f>
        <v>37.62772054475451</v>
      </c>
      <c r="K31" s="133">
        <f>IF(SER_hh_fech_in!K31=0,0,SER_hh_fech_in!K31/SER_summary!K$27)</f>
        <v>39.331476863788446</v>
      </c>
      <c r="L31" s="133">
        <f>IF(SER_hh_fech_in!L31=0,0,SER_hh_fech_in!L31/SER_summary!L$27)</f>
        <v>39.115250675891765</v>
      </c>
      <c r="M31" s="133">
        <f>IF(SER_hh_fech_in!M31=0,0,SER_hh_fech_in!M31/SER_summary!M$27)</f>
        <v>38.941663377306142</v>
      </c>
      <c r="N31" s="133">
        <f>IF(SER_hh_fech_in!N31=0,0,SER_hh_fech_in!N31/SER_summary!N$27)</f>
        <v>39.162082456173565</v>
      </c>
      <c r="O31" s="133">
        <f>IF(SER_hh_fech_in!O31=0,0,SER_hh_fech_in!O31/SER_summary!O$27)</f>
        <v>39.311217638670627</v>
      </c>
      <c r="P31" s="133">
        <f>IF(SER_hh_fech_in!P31=0,0,SER_hh_fech_in!P31/SER_summary!P$27)</f>
        <v>40.907351588380266</v>
      </c>
      <c r="Q31" s="133">
        <f>IF(SER_hh_fech_in!Q31=0,0,SER_hh_fech_in!Q31/SER_summary!Q$27)</f>
        <v>40.454466272184312</v>
      </c>
      <c r="R31" s="133">
        <f>IF(SER_hh_fech_in!R31=0,0,SER_hh_fech_in!R31/SER_summary!R$27)</f>
        <v>41.341197039404527</v>
      </c>
      <c r="S31" s="133">
        <f>IF(SER_hh_fech_in!S31=0,0,SER_hh_fech_in!S31/SER_summary!S$27)</f>
        <v>40.952776319177474</v>
      </c>
      <c r="T31" s="133">
        <f>IF(SER_hh_fech_in!T31=0,0,SER_hh_fech_in!T31/SER_summary!T$27)</f>
        <v>37.641066069569547</v>
      </c>
      <c r="U31" s="133">
        <f>IF(SER_hh_fech_in!U31=0,0,SER_hh_fech_in!U31/SER_summary!U$27)</f>
        <v>40.866384399436384</v>
      </c>
      <c r="V31" s="133">
        <f>IF(SER_hh_fech_in!V31=0,0,SER_hh_fech_in!V31/SER_summary!V$27)</f>
        <v>36.142029132927611</v>
      </c>
      <c r="W31" s="133">
        <f>IF(SER_hh_fech_in!W31=0,0,SER_hh_fech_in!W31/SER_summary!W$27)</f>
        <v>37.123144954351012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24.423708560142131</v>
      </c>
      <c r="D33" s="68">
        <f>IF(SER_hh_fech_in!D33=0,0,SER_hh_fech_in!D33/SER_summary!D$27)</f>
        <v>24.254331854286445</v>
      </c>
      <c r="E33" s="68">
        <f>IF(SER_hh_fech_in!E33=0,0,SER_hh_fech_in!E33/SER_summary!E$27)</f>
        <v>28.429130875342182</v>
      </c>
      <c r="F33" s="68">
        <f>IF(SER_hh_fech_in!F33=0,0,SER_hh_fech_in!F33/SER_summary!F$27)</f>
        <v>29.118570435296178</v>
      </c>
      <c r="G33" s="68">
        <f>IF(SER_hh_fech_in!G33=0,0,SER_hh_fech_in!G33/SER_summary!G$27)</f>
        <v>27.424592222225456</v>
      </c>
      <c r="H33" s="68">
        <f>IF(SER_hh_fech_in!H33=0,0,SER_hh_fech_in!H33/SER_summary!H$27)</f>
        <v>29.520504540556423</v>
      </c>
      <c r="I33" s="68">
        <f>IF(SER_hh_fech_in!I33=0,0,SER_hh_fech_in!I33/SER_summary!I$27)</f>
        <v>26.94036685601893</v>
      </c>
      <c r="J33" s="68">
        <f>IF(SER_hh_fech_in!J33=0,0,SER_hh_fech_in!J33/SER_summary!J$27)</f>
        <v>30.69442930796729</v>
      </c>
      <c r="K33" s="68">
        <f>IF(SER_hh_fech_in!K33=0,0,SER_hh_fech_in!K33/SER_summary!K$27)</f>
        <v>28.644261765373255</v>
      </c>
      <c r="L33" s="68">
        <f>IF(SER_hh_fech_in!L33=0,0,SER_hh_fech_in!L33/SER_summary!L$27)</f>
        <v>28.986177110723894</v>
      </c>
      <c r="M33" s="68">
        <f>IF(SER_hh_fech_in!M33=0,0,SER_hh_fech_in!M33/SER_summary!M$27)</f>
        <v>29.076635837443973</v>
      </c>
      <c r="N33" s="68">
        <f>IF(SER_hh_fech_in!N33=0,0,SER_hh_fech_in!N33/SER_summary!N$27)</f>
        <v>30.107632641455698</v>
      </c>
      <c r="O33" s="68">
        <f>IF(SER_hh_fech_in!O33=0,0,SER_hh_fech_in!O33/SER_summary!O$27)</f>
        <v>30.369370826133309</v>
      </c>
      <c r="P33" s="68">
        <f>IF(SER_hh_fech_in!P33=0,0,SER_hh_fech_in!P33/SER_summary!P$27)</f>
        <v>27.841598607089402</v>
      </c>
      <c r="Q33" s="68">
        <f>IF(SER_hh_fech_in!Q33=0,0,SER_hh_fech_in!Q33/SER_summary!Q$27)</f>
        <v>29.231173225783888</v>
      </c>
      <c r="R33" s="68">
        <f>IF(SER_hh_fech_in!R33=0,0,SER_hh_fech_in!R33/SER_summary!R$27)</f>
        <v>28.283628021846756</v>
      </c>
      <c r="S33" s="68">
        <f>IF(SER_hh_fech_in!S33=0,0,SER_hh_fech_in!S33/SER_summary!S$27)</f>
        <v>28.077046824519048</v>
      </c>
      <c r="T33" s="68">
        <f>IF(SER_hh_fech_in!T33=0,0,SER_hh_fech_in!T33/SER_summary!T$27)</f>
        <v>32.431120919333559</v>
      </c>
      <c r="U33" s="68">
        <f>IF(SER_hh_fech_in!U33=0,0,SER_hh_fech_in!U33/SER_summary!U$27)</f>
        <v>26.836343162937045</v>
      </c>
      <c r="V33" s="68">
        <f>IF(SER_hh_fech_in!V33=0,0,SER_hh_fech_in!V33/SER_summary!V$27)</f>
        <v>23.317750723524959</v>
      </c>
      <c r="W33" s="68">
        <f>IF(SER_hh_fech_in!W33=0,0,SER_hh_fech_in!W33/SER_summary!W$27)</f>
        <v>29.892094660989997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154.34530006804371</v>
      </c>
      <c r="D3" s="126">
        <f>IF(SER_hh_tesh_in!D3=0,0,SER_hh_tesh_in!D3/SER_summary!D$27)</f>
        <v>148.16389066395556</v>
      </c>
      <c r="E3" s="126">
        <f>IF(SER_hh_tesh_in!E3=0,0,SER_hh_tesh_in!E3/SER_summary!E$27)</f>
        <v>194.6472705488423</v>
      </c>
      <c r="F3" s="126">
        <f>IF(SER_hh_tesh_in!F3=0,0,SER_hh_tesh_in!F3/SER_summary!F$27)</f>
        <v>171.64738121229428</v>
      </c>
      <c r="G3" s="126">
        <f>IF(SER_hh_tesh_in!G3=0,0,SER_hh_tesh_in!G3/SER_summary!G$27)</f>
        <v>185.64775553106185</v>
      </c>
      <c r="H3" s="126">
        <f>IF(SER_hh_tesh_in!H3=0,0,SER_hh_tesh_in!H3/SER_summary!H$27)</f>
        <v>191.41084966771112</v>
      </c>
      <c r="I3" s="126">
        <f>IF(SER_hh_tesh_in!I3=0,0,SER_hh_tesh_in!I3/SER_summary!I$27)</f>
        <v>180.95206332065879</v>
      </c>
      <c r="J3" s="126">
        <f>IF(SER_hh_tesh_in!J3=0,0,SER_hh_tesh_in!J3/SER_summary!J$27)</f>
        <v>202.87694762368827</v>
      </c>
      <c r="K3" s="126">
        <f>IF(SER_hh_tesh_in!K3=0,0,SER_hh_tesh_in!K3/SER_summary!K$27)</f>
        <v>202.30047621406445</v>
      </c>
      <c r="L3" s="126">
        <f>IF(SER_hh_tesh_in!L3=0,0,SER_hh_tesh_in!L3/SER_summary!L$27)</f>
        <v>192.23196948787148</v>
      </c>
      <c r="M3" s="126">
        <f>IF(SER_hh_tesh_in!M3=0,0,SER_hh_tesh_in!M3/SER_summary!M$27)</f>
        <v>183.23651787194143</v>
      </c>
      <c r="N3" s="126">
        <f>IF(SER_hh_tesh_in!N3=0,0,SER_hh_tesh_in!N3/SER_summary!N$27)</f>
        <v>197.15075579529443</v>
      </c>
      <c r="O3" s="126">
        <f>IF(SER_hh_tesh_in!O3=0,0,SER_hh_tesh_in!O3/SER_summary!O$27)</f>
        <v>168.59125157814464</v>
      </c>
      <c r="P3" s="126">
        <f>IF(SER_hh_tesh_in!P3=0,0,SER_hh_tesh_in!P3/SER_summary!P$27)</f>
        <v>167.88867717433891</v>
      </c>
      <c r="Q3" s="126">
        <f>IF(SER_hh_tesh_in!Q3=0,0,SER_hh_tesh_in!Q3/SER_summary!Q$27)</f>
        <v>212.15392944712923</v>
      </c>
      <c r="R3" s="126">
        <f>IF(SER_hh_tesh_in!R3=0,0,SER_hh_tesh_in!R3/SER_summary!R$27)</f>
        <v>184.33403295362817</v>
      </c>
      <c r="S3" s="126">
        <f>IF(SER_hh_tesh_in!S3=0,0,SER_hh_tesh_in!S3/SER_summary!S$27)</f>
        <v>185.47268280547368</v>
      </c>
      <c r="T3" s="126">
        <f>IF(SER_hh_tesh_in!T3=0,0,SER_hh_tesh_in!T3/SER_summary!T$27)</f>
        <v>179.85927795084964</v>
      </c>
      <c r="U3" s="126">
        <f>IF(SER_hh_tesh_in!U3=0,0,SER_hh_tesh_in!U3/SER_summary!U$27)</f>
        <v>170.39965565642018</v>
      </c>
      <c r="V3" s="126">
        <f>IF(SER_hh_tesh_in!V3=0,0,SER_hh_tesh_in!V3/SER_summary!V$27)</f>
        <v>143.42382054800234</v>
      </c>
      <c r="W3" s="126">
        <f>IF(SER_hh_tesh_in!W3=0,0,SER_hh_tesh_in!W3/SER_summary!W$27)</f>
        <v>125.38562374435118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84.601052348781721</v>
      </c>
      <c r="D4" s="131">
        <f>IF(SER_hh_tesh_in!D4=0,0,SER_hh_tesh_in!D4/SER_summary!D$27)</f>
        <v>82.298499106352892</v>
      </c>
      <c r="E4" s="131">
        <f>IF(SER_hh_tesh_in!E4=0,0,SER_hh_tesh_in!E4/SER_summary!E$27)</f>
        <v>94.479013467944696</v>
      </c>
      <c r="F4" s="131">
        <f>IF(SER_hh_tesh_in!F4=0,0,SER_hh_tesh_in!F4/SER_summary!F$27)</f>
        <v>101.31831601524226</v>
      </c>
      <c r="G4" s="131">
        <f>IF(SER_hh_tesh_in!G4=0,0,SER_hh_tesh_in!G4/SER_summary!G$27)</f>
        <v>116.31032357373391</v>
      </c>
      <c r="H4" s="131">
        <f>IF(SER_hh_tesh_in!H4=0,0,SER_hh_tesh_in!H4/SER_summary!H$27)</f>
        <v>118.57921749020485</v>
      </c>
      <c r="I4" s="131">
        <f>IF(SER_hh_tesh_in!I4=0,0,SER_hh_tesh_in!I4/SER_summary!I$27)</f>
        <v>109.32443909072478</v>
      </c>
      <c r="J4" s="131">
        <f>IF(SER_hh_tesh_in!J4=0,0,SER_hh_tesh_in!J4/SER_summary!J$27)</f>
        <v>127.46562434101919</v>
      </c>
      <c r="K4" s="131">
        <f>IF(SER_hh_tesh_in!K4=0,0,SER_hh_tesh_in!K4/SER_summary!K$27)</f>
        <v>125.68513646793133</v>
      </c>
      <c r="L4" s="131">
        <f>IF(SER_hh_tesh_in!L4=0,0,SER_hh_tesh_in!L4/SER_summary!L$27)</f>
        <v>121.80422682673172</v>
      </c>
      <c r="M4" s="131">
        <f>IF(SER_hh_tesh_in!M4=0,0,SER_hh_tesh_in!M4/SER_summary!M$27)</f>
        <v>111.12962240326192</v>
      </c>
      <c r="N4" s="131">
        <f>IF(SER_hh_tesh_in!N4=0,0,SER_hh_tesh_in!N4/SER_summary!N$27)</f>
        <v>110.81823664104506</v>
      </c>
      <c r="O4" s="131">
        <f>IF(SER_hh_tesh_in!O4=0,0,SER_hh_tesh_in!O4/SER_summary!O$27)</f>
        <v>98.270206384757714</v>
      </c>
      <c r="P4" s="131">
        <f>IF(SER_hh_tesh_in!P4=0,0,SER_hh_tesh_in!P4/SER_summary!P$27)</f>
        <v>100.88837385241548</v>
      </c>
      <c r="Q4" s="131">
        <f>IF(SER_hh_tesh_in!Q4=0,0,SER_hh_tesh_in!Q4/SER_summary!Q$27)</f>
        <v>130.75711233256933</v>
      </c>
      <c r="R4" s="131">
        <f>IF(SER_hh_tesh_in!R4=0,0,SER_hh_tesh_in!R4/SER_summary!R$27)</f>
        <v>115.21775691613161</v>
      </c>
      <c r="S4" s="131">
        <f>IF(SER_hh_tesh_in!S4=0,0,SER_hh_tesh_in!S4/SER_summary!S$27)</f>
        <v>106.57874029306006</v>
      </c>
      <c r="T4" s="131">
        <f>IF(SER_hh_tesh_in!T4=0,0,SER_hh_tesh_in!T4/SER_summary!T$27)</f>
        <v>110.37528779517424</v>
      </c>
      <c r="U4" s="131">
        <f>IF(SER_hh_tesh_in!U4=0,0,SER_hh_tesh_in!U4/SER_summary!U$27)</f>
        <v>95.915136416050402</v>
      </c>
      <c r="V4" s="131">
        <f>IF(SER_hh_tesh_in!V4=0,0,SER_hh_tesh_in!V4/SER_summary!V$27)</f>
        <v>81.636394990384801</v>
      </c>
      <c r="W4" s="131">
        <f>IF(SER_hh_tesh_in!W4=0,0,SER_hh_tesh_in!W4/SER_summary!W$27)</f>
        <v>59.429423709530035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83.08938548699534</v>
      </c>
      <c r="D6" s="133">
        <f>IF(SER_hh_tesh_in!D6=0,0,SER_hh_tesh_in!D6/SER_summary!D$27)</f>
        <v>78.977242601486751</v>
      </c>
      <c r="E6" s="133">
        <f>IF(SER_hh_tesh_in!E6=0,0,SER_hh_tesh_in!E6/SER_summary!E$27)</f>
        <v>95.638681870649378</v>
      </c>
      <c r="F6" s="133">
        <f>IF(SER_hh_tesh_in!F6=0,0,SER_hh_tesh_in!F6/SER_summary!F$27)</f>
        <v>97.632913245114878</v>
      </c>
      <c r="G6" s="133">
        <f>IF(SER_hh_tesh_in!G6=0,0,SER_hh_tesh_in!G6/SER_summary!G$27)</f>
        <v>112.78816305297521</v>
      </c>
      <c r="H6" s="133">
        <f>IF(SER_hh_tesh_in!H6=0,0,SER_hh_tesh_in!H6/SER_summary!H$27)</f>
        <v>113.33507636104682</v>
      </c>
      <c r="I6" s="133">
        <f>IF(SER_hh_tesh_in!I6=0,0,SER_hh_tesh_in!I6/SER_summary!I$27)</f>
        <v>106.119993110986</v>
      </c>
      <c r="J6" s="133">
        <f>IF(SER_hh_tesh_in!J6=0,0,SER_hh_tesh_in!J6/SER_summary!J$27)</f>
        <v>123.67382310724403</v>
      </c>
      <c r="K6" s="133">
        <f>IF(SER_hh_tesh_in!K6=0,0,SER_hh_tesh_in!K6/SER_summary!K$27)</f>
        <v>123.60870532994805</v>
      </c>
      <c r="L6" s="133">
        <f>IF(SER_hh_tesh_in!L6=0,0,SER_hh_tesh_in!L6/SER_summary!L$27)</f>
        <v>127.02111571207962</v>
      </c>
      <c r="M6" s="133">
        <f>IF(SER_hh_tesh_in!M6=0,0,SER_hh_tesh_in!M6/SER_summary!M$27)</f>
        <v>113.06682725028588</v>
      </c>
      <c r="N6" s="133">
        <f>IF(SER_hh_tesh_in!N6=0,0,SER_hh_tesh_in!N6/SER_summary!N$27)</f>
        <v>102.95466206933088</v>
      </c>
      <c r="O6" s="133">
        <f>IF(SER_hh_tesh_in!O6=0,0,SER_hh_tesh_in!O6/SER_summary!O$27)</f>
        <v>112.22911203904397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109.85755885835202</v>
      </c>
      <c r="T6" s="133">
        <f>IF(SER_hh_tesh_in!T6=0,0,SER_hh_tesh_in!T6/SER_summary!T$27)</f>
        <v>98.742732866822905</v>
      </c>
      <c r="U6" s="133">
        <f>IF(SER_hh_tesh_in!U6=0,0,SER_hh_tesh_in!U6/SER_summary!U$27)</f>
        <v>94.259736136555219</v>
      </c>
      <c r="V6" s="133">
        <f>IF(SER_hh_tesh_in!V6=0,0,SER_hh_tesh_in!V6/SER_summary!V$27)</f>
        <v>79.875067647897367</v>
      </c>
      <c r="W6" s="133">
        <f>IF(SER_hh_tesh_in!W6=0,0,SER_hh_tesh_in!W6/SER_summary!W$27)</f>
        <v>76.126663192806177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60.835999722632792</v>
      </c>
      <c r="D7" s="133">
        <f>IF(SER_hh_tesh_in!D7=0,0,SER_hh_tesh_in!D7/SER_summary!D$27)</f>
        <v>79.671400407664436</v>
      </c>
      <c r="E7" s="133">
        <f>IF(SER_hh_tesh_in!E7=0,0,SER_hh_tesh_in!E7/SER_summary!E$27)</f>
        <v>99.734536449294424</v>
      </c>
      <c r="F7" s="133">
        <f>IF(SER_hh_tesh_in!F7=0,0,SER_hh_tesh_in!F7/SER_summary!F$27)</f>
        <v>104.39480003789078</v>
      </c>
      <c r="G7" s="133">
        <f>IF(SER_hh_tesh_in!G7=0,0,SER_hh_tesh_in!G7/SER_summary!G$27)</f>
        <v>110.22080550678891</v>
      </c>
      <c r="H7" s="133">
        <f>IF(SER_hh_tesh_in!H7=0,0,SER_hh_tesh_in!H7/SER_summary!H$27)</f>
        <v>116.69356552483063</v>
      </c>
      <c r="I7" s="133">
        <f>IF(SER_hh_tesh_in!I7=0,0,SER_hh_tesh_in!I7/SER_summary!I$27)</f>
        <v>112.98646605736513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0</v>
      </c>
      <c r="M7" s="133">
        <f>IF(SER_hh_tesh_in!M7=0,0,SER_hh_tesh_in!M7/SER_summary!M$27)</f>
        <v>0</v>
      </c>
      <c r="N7" s="133">
        <f>IF(SER_hh_tesh_in!N7=0,0,SER_hh_tesh_in!N7/SER_summary!N$27)</f>
        <v>111.52118751891503</v>
      </c>
      <c r="O7" s="133">
        <f>IF(SER_hh_tesh_in!O7=0,0,SER_hh_tesh_in!O7/SER_summary!O$27)</f>
        <v>99.22076696675181</v>
      </c>
      <c r="P7" s="133">
        <f>IF(SER_hh_tesh_in!P7=0,0,SER_hh_tesh_in!P7/SER_summary!P$27)</f>
        <v>99.181123198498838</v>
      </c>
      <c r="Q7" s="133">
        <f>IF(SER_hh_tesh_in!Q7=0,0,SER_hh_tesh_in!Q7/SER_summary!Q$27)</f>
        <v>115.46766635442266</v>
      </c>
      <c r="R7" s="133">
        <f>IF(SER_hh_tesh_in!R7=0,0,SER_hh_tesh_in!R7/SER_summary!R$27)</f>
        <v>120.10481401109138</v>
      </c>
      <c r="S7" s="133">
        <f>IF(SER_hh_tesh_in!S7=0,0,SER_hh_tesh_in!S7/SER_summary!S$27)</f>
        <v>91.948755767903222</v>
      </c>
      <c r="T7" s="133">
        <f>IF(SER_hh_tesh_in!T7=0,0,SER_hh_tesh_in!T7/SER_summary!T$27)</f>
        <v>113.71524713340732</v>
      </c>
      <c r="U7" s="133">
        <f>IF(SER_hh_tesh_in!U7=0,0,SER_hh_tesh_in!U7/SER_summary!U$27)</f>
        <v>83.889172601868822</v>
      </c>
      <c r="V7" s="133">
        <f>IF(SER_hh_tesh_in!V7=0,0,SER_hh_tesh_in!V7/SER_summary!V$27)</f>
        <v>61.398531047609801</v>
      </c>
      <c r="W7" s="133">
        <f>IF(SER_hh_tesh_in!W7=0,0,SER_hh_tesh_in!W7/SER_summary!W$27)</f>
        <v>86.415304860118766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84.197461792255154</v>
      </c>
      <c r="D8" s="133">
        <f>IF(SER_hh_tesh_in!D8=0,0,SER_hh_tesh_in!D8/SER_summary!D$27)</f>
        <v>82.444551543926764</v>
      </c>
      <c r="E8" s="133">
        <f>IF(SER_hh_tesh_in!E8=0,0,SER_hh_tesh_in!E8/SER_summary!E$27)</f>
        <v>96.962761273018046</v>
      </c>
      <c r="F8" s="133">
        <f>IF(SER_hh_tesh_in!F8=0,0,SER_hh_tesh_in!F8/SER_summary!F$27)</f>
        <v>101.03260894186462</v>
      </c>
      <c r="G8" s="133">
        <f>IF(SER_hh_tesh_in!G8=0,0,SER_hh_tesh_in!G8/SER_summary!G$27)</f>
        <v>108.74813502807508</v>
      </c>
      <c r="H8" s="133">
        <f>IF(SER_hh_tesh_in!H8=0,0,SER_hh_tesh_in!H8/SER_summary!H$27)</f>
        <v>113.86996425544669</v>
      </c>
      <c r="I8" s="133">
        <f>IF(SER_hh_tesh_in!I8=0,0,SER_hh_tesh_in!I8/SER_summary!I$27)</f>
        <v>116.01769836961644</v>
      </c>
      <c r="J8" s="133">
        <f>IF(SER_hh_tesh_in!J8=0,0,SER_hh_tesh_in!J8/SER_summary!J$27)</f>
        <v>120.34558344616299</v>
      </c>
      <c r="K8" s="133">
        <f>IF(SER_hh_tesh_in!K8=0,0,SER_hh_tesh_in!K8/SER_summary!K$27)</f>
        <v>118.04032047983931</v>
      </c>
      <c r="L8" s="133">
        <f>IF(SER_hh_tesh_in!L8=0,0,SER_hh_tesh_in!L8/SER_summary!L$27)</f>
        <v>111.66739772240457</v>
      </c>
      <c r="M8" s="133">
        <f>IF(SER_hh_tesh_in!M8=0,0,SER_hh_tesh_in!M8/SER_summary!M$27)</f>
        <v>106.08701585773416</v>
      </c>
      <c r="N8" s="133">
        <f>IF(SER_hh_tesh_in!N8=0,0,SER_hh_tesh_in!N8/SER_summary!N$27)</f>
        <v>102.02284495146871</v>
      </c>
      <c r="O8" s="133">
        <f>IF(SER_hh_tesh_in!O8=0,0,SER_hh_tesh_in!O8/SER_summary!O$27)</f>
        <v>103.36195453102469</v>
      </c>
      <c r="P8" s="133">
        <f>IF(SER_hh_tesh_in!P8=0,0,SER_hh_tesh_in!P8/SER_summary!P$27)</f>
        <v>108.21844044172619</v>
      </c>
      <c r="Q8" s="133">
        <f>IF(SER_hh_tesh_in!Q8=0,0,SER_hh_tesh_in!Q8/SER_summary!Q$27)</f>
        <v>124.35983582662601</v>
      </c>
      <c r="R8" s="133">
        <f>IF(SER_hh_tesh_in!R8=0,0,SER_hh_tesh_in!R8/SER_summary!R$27)</f>
        <v>113.96614437773468</v>
      </c>
      <c r="S8" s="133">
        <f>IF(SER_hh_tesh_in!S8=0,0,SER_hh_tesh_in!S8/SER_summary!S$27)</f>
        <v>108.85376368545028</v>
      </c>
      <c r="T8" s="133">
        <f>IF(SER_hh_tesh_in!T8=0,0,SER_hh_tesh_in!T8/SER_summary!T$27)</f>
        <v>102.40736670291616</v>
      </c>
      <c r="U8" s="133">
        <f>IF(SER_hh_tesh_in!U8=0,0,SER_hh_tesh_in!U8/SER_summary!U$27)</f>
        <v>89.782415843825689</v>
      </c>
      <c r="V8" s="133">
        <f>IF(SER_hh_tesh_in!V8=0,0,SER_hh_tesh_in!V8/SER_summary!V$27)</f>
        <v>78.750541038940952</v>
      </c>
      <c r="W8" s="133">
        <f>IF(SER_hh_tesh_in!W8=0,0,SER_hh_tesh_in!W8/SER_summary!W$27)</f>
        <v>62.742485148921972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85.840206497380365</v>
      </c>
      <c r="D9" s="133">
        <f>IF(SER_hh_tesh_in!D9=0,0,SER_hh_tesh_in!D9/SER_summary!D$27)</f>
        <v>77.770389425988611</v>
      </c>
      <c r="E9" s="133">
        <f>IF(SER_hh_tesh_in!E9=0,0,SER_hh_tesh_in!E9/SER_summary!E$27)</f>
        <v>94.186899284783649</v>
      </c>
      <c r="F9" s="133">
        <f>IF(SER_hh_tesh_in!F9=0,0,SER_hh_tesh_in!F9/SER_summary!F$27)</f>
        <v>94.70309160014375</v>
      </c>
      <c r="G9" s="133">
        <f>IF(SER_hh_tesh_in!G9=0,0,SER_hh_tesh_in!G9/SER_summary!G$27)</f>
        <v>116.11583606222804</v>
      </c>
      <c r="H9" s="133">
        <f>IF(SER_hh_tesh_in!H9=0,0,SER_hh_tesh_in!H9/SER_summary!H$27)</f>
        <v>116.72688641162313</v>
      </c>
      <c r="I9" s="133">
        <f>IF(SER_hh_tesh_in!I9=0,0,SER_hh_tesh_in!I9/SER_summary!I$27)</f>
        <v>102.5244798893865</v>
      </c>
      <c r="J9" s="133">
        <f>IF(SER_hh_tesh_in!J9=0,0,SER_hh_tesh_in!J9/SER_summary!J$27)</f>
        <v>128.22169453244601</v>
      </c>
      <c r="K9" s="133">
        <f>IF(SER_hh_tesh_in!K9=0,0,SER_hh_tesh_in!K9/SER_summary!K$27)</f>
        <v>126.45646242107826</v>
      </c>
      <c r="L9" s="133">
        <f>IF(SER_hh_tesh_in!L9=0,0,SER_hh_tesh_in!L9/SER_summary!L$27)</f>
        <v>127.0472167297699</v>
      </c>
      <c r="M9" s="133">
        <f>IF(SER_hh_tesh_in!M9=0,0,SER_hh_tesh_in!M9/SER_summary!M$27)</f>
        <v>105.21009326618072</v>
      </c>
      <c r="N9" s="133">
        <f>IF(SER_hh_tesh_in!N9=0,0,SER_hh_tesh_in!N9/SER_summary!N$27)</f>
        <v>110.06233265786889</v>
      </c>
      <c r="O9" s="133">
        <f>IF(SER_hh_tesh_in!O9=0,0,SER_hh_tesh_in!O9/SER_summary!O$27)</f>
        <v>116.71825740324394</v>
      </c>
      <c r="P9" s="133">
        <f>IF(SER_hh_tesh_in!P9=0,0,SER_hh_tesh_in!P9/SER_summary!P$27)</f>
        <v>0</v>
      </c>
      <c r="Q9" s="133">
        <f>IF(SER_hh_tesh_in!Q9=0,0,SER_hh_tesh_in!Q9/SER_summary!Q$27)</f>
        <v>0</v>
      </c>
      <c r="R9" s="133">
        <f>IF(SER_hh_tesh_in!R9=0,0,SER_hh_tesh_in!R9/SER_summary!R$27)</f>
        <v>107.23080842254329</v>
      </c>
      <c r="S9" s="133">
        <f>IF(SER_hh_tesh_in!S9=0,0,SER_hh_tesh_in!S9/SER_summary!S$27)</f>
        <v>101.31160798326719</v>
      </c>
      <c r="T9" s="133">
        <f>IF(SER_hh_tesh_in!T9=0,0,SER_hh_tesh_in!T9/SER_summary!T$27)</f>
        <v>108.18556715941841</v>
      </c>
      <c r="U9" s="133">
        <f>IF(SER_hh_tesh_in!U9=0,0,SER_hh_tesh_in!U9/SER_summary!U$27)</f>
        <v>96.108613297132393</v>
      </c>
      <c r="V9" s="133">
        <f>IF(SER_hh_tesh_in!V9=0,0,SER_hh_tesh_in!V9/SER_summary!V$27)</f>
        <v>82.321061461891858</v>
      </c>
      <c r="W9" s="133">
        <f>IF(SER_hh_tesh_in!W9=0,0,SER_hh_tesh_in!W9/SER_summary!W$27)</f>
        <v>58.139274034224272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85.617644903359462</v>
      </c>
      <c r="D10" s="133">
        <f>IF(SER_hh_tesh_in!D10=0,0,SER_hh_tesh_in!D10/SER_summary!D$27)</f>
        <v>83.206247886223579</v>
      </c>
      <c r="E10" s="133">
        <f>IF(SER_hh_tesh_in!E10=0,0,SER_hh_tesh_in!E10/SER_summary!E$27)</f>
        <v>90.556455210385124</v>
      </c>
      <c r="F10" s="133">
        <f>IF(SER_hh_tesh_in!F10=0,0,SER_hh_tesh_in!F10/SER_summary!F$27)</f>
        <v>96.918241352749732</v>
      </c>
      <c r="G10" s="133">
        <f>IF(SER_hh_tesh_in!G10=0,0,SER_hh_tesh_in!G10/SER_summary!G$27)</f>
        <v>102.80290903799379</v>
      </c>
      <c r="H10" s="133">
        <f>IF(SER_hh_tesh_in!H10=0,0,SER_hh_tesh_in!H10/SER_summary!H$27)</f>
        <v>130.48228488702122</v>
      </c>
      <c r="I10" s="133">
        <f>IF(SER_hh_tesh_in!I10=0,0,SER_hh_tesh_in!I10/SER_summary!I$27)</f>
        <v>105.17578075761035</v>
      </c>
      <c r="J10" s="133">
        <f>IF(SER_hh_tesh_in!J10=0,0,SER_hh_tesh_in!J10/SER_summary!J$27)</f>
        <v>96.333903447947108</v>
      </c>
      <c r="K10" s="133">
        <f>IF(SER_hh_tesh_in!K10=0,0,SER_hh_tesh_in!K10/SER_summary!K$27)</f>
        <v>113.23197819190902</v>
      </c>
      <c r="L10" s="133">
        <f>IF(SER_hh_tesh_in!L10=0,0,SER_hh_tesh_in!L10/SER_summary!L$27)</f>
        <v>137.16050567398401</v>
      </c>
      <c r="M10" s="133">
        <f>IF(SER_hh_tesh_in!M10=0,0,SER_hh_tesh_in!M10/SER_summary!M$27)</f>
        <v>112.43518338823189</v>
      </c>
      <c r="N10" s="133">
        <f>IF(SER_hh_tesh_in!N10=0,0,SER_hh_tesh_in!N10/SER_summary!N$27)</f>
        <v>84.610056663271195</v>
      </c>
      <c r="O10" s="133">
        <f>IF(SER_hh_tesh_in!O10=0,0,SER_hh_tesh_in!O10/SER_summary!O$27)</f>
        <v>103.15728518412828</v>
      </c>
      <c r="P10" s="133">
        <f>IF(SER_hh_tesh_in!P10=0,0,SER_hh_tesh_in!P10/SER_summary!P$27)</f>
        <v>129.2157951896279</v>
      </c>
      <c r="Q10" s="133">
        <f>IF(SER_hh_tesh_in!Q10=0,0,SER_hh_tesh_in!Q10/SER_summary!Q$27)</f>
        <v>101.63241986766391</v>
      </c>
      <c r="R10" s="133">
        <f>IF(SER_hh_tesh_in!R10=0,0,SER_hh_tesh_in!R10/SER_summary!R$27)</f>
        <v>116.17549255795714</v>
      </c>
      <c r="S10" s="133">
        <f>IF(SER_hh_tesh_in!S10=0,0,SER_hh_tesh_in!S10/SER_summary!S$27)</f>
        <v>111.98271233203974</v>
      </c>
      <c r="T10" s="133">
        <f>IF(SER_hh_tesh_in!T10=0,0,SER_hh_tesh_in!T10/SER_summary!T$27)</f>
        <v>99.648400730931414</v>
      </c>
      <c r="U10" s="133">
        <f>IF(SER_hh_tesh_in!U10=0,0,SER_hh_tesh_in!U10/SER_summary!U$27)</f>
        <v>92.602960518530168</v>
      </c>
      <c r="V10" s="133">
        <f>IF(SER_hh_tesh_in!V10=0,0,SER_hh_tesh_in!V10/SER_summary!V$27)</f>
        <v>77.046074655405405</v>
      </c>
      <c r="W10" s="133">
        <f>IF(SER_hh_tesh_in!W10=0,0,SER_hh_tesh_in!W10/SER_summary!W$27)</f>
        <v>61.458281713194793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83.698602239560742</v>
      </c>
      <c r="D11" s="133">
        <f>IF(SER_hh_tesh_in!D11=0,0,SER_hh_tesh_in!D11/SER_summary!D$27)</f>
        <v>86.417700904944468</v>
      </c>
      <c r="E11" s="133">
        <f>IF(SER_hh_tesh_in!E11=0,0,SER_hh_tesh_in!E11/SER_summary!E$27)</f>
        <v>92.808169049019099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113.5677496638216</v>
      </c>
      <c r="I11" s="133">
        <f>IF(SER_hh_tesh_in!I11=0,0,SER_hh_tesh_in!I11/SER_summary!I$27)</f>
        <v>116.13300951751147</v>
      </c>
      <c r="J11" s="133">
        <f>IF(SER_hh_tesh_in!J11=0,0,SER_hh_tesh_in!J11/SER_summary!J$27)</f>
        <v>126.26445465332992</v>
      </c>
      <c r="K11" s="133">
        <f>IF(SER_hh_tesh_in!K11=0,0,SER_hh_tesh_in!K11/SER_summary!K$27)</f>
        <v>139.17987235262154</v>
      </c>
      <c r="L11" s="133">
        <f>IF(SER_hh_tesh_in!L11=0,0,SER_hh_tesh_in!L11/SER_summary!L$27)</f>
        <v>0</v>
      </c>
      <c r="M11" s="133">
        <f>IF(SER_hh_tesh_in!M11=0,0,SER_hh_tesh_in!M11/SER_summary!M$27)</f>
        <v>106.03322297582577</v>
      </c>
      <c r="N11" s="133">
        <f>IF(SER_hh_tesh_in!N11=0,0,SER_hh_tesh_in!N11/SER_summary!N$27)</f>
        <v>111.90981471701168</v>
      </c>
      <c r="O11" s="133">
        <f>IF(SER_hh_tesh_in!O11=0,0,SER_hh_tesh_in!O11/SER_summary!O$27)</f>
        <v>110.84707505909712</v>
      </c>
      <c r="P11" s="133">
        <f>IF(SER_hh_tesh_in!P11=0,0,SER_hh_tesh_in!P11/SER_summary!P$27)</f>
        <v>104.63493088582497</v>
      </c>
      <c r="Q11" s="133">
        <f>IF(SER_hh_tesh_in!Q11=0,0,SER_hh_tesh_in!Q11/SER_summary!Q$27)</f>
        <v>0</v>
      </c>
      <c r="R11" s="133">
        <f>IF(SER_hh_tesh_in!R11=0,0,SER_hh_tesh_in!R11/SER_summary!R$27)</f>
        <v>108.58280889666408</v>
      </c>
      <c r="S11" s="133">
        <f>IF(SER_hh_tesh_in!S11=0,0,SER_hh_tesh_in!S11/SER_summary!S$27)</f>
        <v>110.81394185251628</v>
      </c>
      <c r="T11" s="133">
        <f>IF(SER_hh_tesh_in!T11=0,0,SER_hh_tesh_in!T11/SER_summary!T$27)</f>
        <v>104.13537699057417</v>
      </c>
      <c r="U11" s="133">
        <f>IF(SER_hh_tesh_in!U11=0,0,SER_hh_tesh_in!U11/SER_summary!U$27)</f>
        <v>94.247316360600735</v>
      </c>
      <c r="V11" s="133">
        <f>IF(SER_hh_tesh_in!V11=0,0,SER_hh_tesh_in!V11/SER_summary!V$27)</f>
        <v>77.795214035996793</v>
      </c>
      <c r="W11" s="133">
        <f>IF(SER_hh_tesh_in!W11=0,0,SER_hh_tesh_in!W11/SER_summary!W$27)</f>
        <v>58.279644142222445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142.47715753054968</v>
      </c>
      <c r="G12" s="133">
        <f>IF(SER_hh_tesh_in!G12=0,0,SER_hh_tesh_in!G12/SER_summary!G$27)</f>
        <v>107.91474170796236</v>
      </c>
      <c r="H12" s="133">
        <f>IF(SER_hh_tesh_in!H12=0,0,SER_hh_tesh_in!H12/SER_summary!H$27)</f>
        <v>126.23986262710127</v>
      </c>
      <c r="I12" s="133">
        <f>IF(SER_hh_tesh_in!I12=0,0,SER_hh_tesh_in!I12/SER_summary!I$27)</f>
        <v>123.90114043526965</v>
      </c>
      <c r="J12" s="133">
        <f>IF(SER_hh_tesh_in!J12=0,0,SER_hh_tesh_in!J12/SER_summary!J$27)</f>
        <v>0</v>
      </c>
      <c r="K12" s="133">
        <f>IF(SER_hh_tesh_in!K12=0,0,SER_hh_tesh_in!K12/SER_summary!K$27)</f>
        <v>109.54429586406383</v>
      </c>
      <c r="L12" s="133">
        <f>IF(SER_hh_tesh_in!L12=0,0,SER_hh_tesh_in!L12/SER_summary!L$27)</f>
        <v>81.123863451671696</v>
      </c>
      <c r="M12" s="133">
        <f>IF(SER_hh_tesh_in!M12=0,0,SER_hh_tesh_in!M12/SER_summary!M$27)</f>
        <v>144.45930937934259</v>
      </c>
      <c r="N12" s="133">
        <f>IF(SER_hh_tesh_in!N12=0,0,SER_hh_tesh_in!N12/SER_summary!N$27)</f>
        <v>92.392325814892033</v>
      </c>
      <c r="O12" s="133">
        <f>IF(SER_hh_tesh_in!O12=0,0,SER_hh_tesh_in!O12/SER_summary!O$27)</f>
        <v>101.87557893961259</v>
      </c>
      <c r="P12" s="133">
        <f>IF(SER_hh_tesh_in!P12=0,0,SER_hh_tesh_in!P12/SER_summary!P$27)</f>
        <v>136.49373756569076</v>
      </c>
      <c r="Q12" s="133">
        <f>IF(SER_hh_tesh_in!Q12=0,0,SER_hh_tesh_in!Q12/SER_summary!Q$27)</f>
        <v>102.46780258983259</v>
      </c>
      <c r="R12" s="133">
        <f>IF(SER_hh_tesh_in!R12=0,0,SER_hh_tesh_in!R12/SER_summary!R$27)</f>
        <v>99.141216022513959</v>
      </c>
      <c r="S12" s="133">
        <f>IF(SER_hh_tesh_in!S12=0,0,SER_hh_tesh_in!S12/SER_summary!S$27)</f>
        <v>113.82444891335162</v>
      </c>
      <c r="T12" s="133">
        <f>IF(SER_hh_tesh_in!T12=0,0,SER_hh_tesh_in!T12/SER_summary!T$27)</f>
        <v>127.09125614919239</v>
      </c>
      <c r="U12" s="133">
        <f>IF(SER_hh_tesh_in!U12=0,0,SER_hh_tesh_in!U12/SER_summary!U$27)</f>
        <v>86.246609318812801</v>
      </c>
      <c r="V12" s="133">
        <f>IF(SER_hh_tesh_in!V12=0,0,SER_hh_tesh_in!V12/SER_summary!V$27)</f>
        <v>76.813586913134216</v>
      </c>
      <c r="W12" s="133">
        <f>IF(SER_hh_tesh_in!W12=0,0,SER_hh_tesh_in!W12/SER_summary!W$27)</f>
        <v>68.82390683731164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62.502380708105498</v>
      </c>
      <c r="D13" s="133">
        <f>IF(SER_hh_tesh_in!D13=0,0,SER_hh_tesh_in!D13/SER_summary!D$27)</f>
        <v>93.43288464739453</v>
      </c>
      <c r="E13" s="133">
        <f>IF(SER_hh_tesh_in!E13=0,0,SER_hh_tesh_in!E13/SER_summary!E$27)</f>
        <v>67.775367490765689</v>
      </c>
      <c r="F13" s="133">
        <f>IF(SER_hh_tesh_in!F13=0,0,SER_hh_tesh_in!F13/SER_summary!F$27)</f>
        <v>90.653933371856098</v>
      </c>
      <c r="G13" s="133">
        <f>IF(SER_hh_tesh_in!G13=0,0,SER_hh_tesh_in!G13/SER_summary!G$27)</f>
        <v>119.6718228848641</v>
      </c>
      <c r="H13" s="133">
        <f>IF(SER_hh_tesh_in!H13=0,0,SER_hh_tesh_in!H13/SER_summary!H$27)</f>
        <v>123.43434020624892</v>
      </c>
      <c r="I13" s="133">
        <f>IF(SER_hh_tesh_in!I13=0,0,SER_hh_tesh_in!I13/SER_summary!I$27)</f>
        <v>117.17922602833784</v>
      </c>
      <c r="J13" s="133">
        <f>IF(SER_hh_tesh_in!J13=0,0,SER_hh_tesh_in!J13/SER_summary!J$27)</f>
        <v>116.28809809381694</v>
      </c>
      <c r="K13" s="133">
        <f>IF(SER_hh_tesh_in!K13=0,0,SER_hh_tesh_in!K13/SER_summary!K$27)</f>
        <v>120.46069208872396</v>
      </c>
      <c r="L13" s="133">
        <f>IF(SER_hh_tesh_in!L13=0,0,SER_hh_tesh_in!L13/SER_summary!L$27)</f>
        <v>101.26213425745318</v>
      </c>
      <c r="M13" s="133">
        <f>IF(SER_hh_tesh_in!M13=0,0,SER_hh_tesh_in!M13/SER_summary!M$27)</f>
        <v>103.69188864569104</v>
      </c>
      <c r="N13" s="133">
        <f>IF(SER_hh_tesh_in!N13=0,0,SER_hh_tesh_in!N13/SER_summary!N$27)</f>
        <v>109.76443377042666</v>
      </c>
      <c r="O13" s="133">
        <f>IF(SER_hh_tesh_in!O13=0,0,SER_hh_tesh_in!O13/SER_summary!O$27)</f>
        <v>91.079210927952204</v>
      </c>
      <c r="P13" s="133">
        <f>IF(SER_hh_tesh_in!P13=0,0,SER_hh_tesh_in!P13/SER_summary!P$27)</f>
        <v>99.16604221469251</v>
      </c>
      <c r="Q13" s="133">
        <f>IF(SER_hh_tesh_in!Q13=0,0,SER_hh_tesh_in!Q13/SER_summary!Q$27)</f>
        <v>131.82090557621697</v>
      </c>
      <c r="R13" s="133">
        <f>IF(SER_hh_tesh_in!R13=0,0,SER_hh_tesh_in!R13/SER_summary!R$27)</f>
        <v>116.51160273893531</v>
      </c>
      <c r="S13" s="133">
        <f>IF(SER_hh_tesh_in!S13=0,0,SER_hh_tesh_in!S13/SER_summary!S$27)</f>
        <v>118.82314409043094</v>
      </c>
      <c r="T13" s="133">
        <f>IF(SER_hh_tesh_in!T13=0,0,SER_hh_tesh_in!T13/SER_summary!T$27)</f>
        <v>106.81834399630577</v>
      </c>
      <c r="U13" s="133">
        <f>IF(SER_hh_tesh_in!U13=0,0,SER_hh_tesh_in!U13/SER_summary!U$27)</f>
        <v>92.63487238739782</v>
      </c>
      <c r="V13" s="133">
        <f>IF(SER_hh_tesh_in!V13=0,0,SER_hh_tesh_in!V13/SER_summary!V$27)</f>
        <v>80.421180857713821</v>
      </c>
      <c r="W13" s="133">
        <f>IF(SER_hh_tesh_in!W13=0,0,SER_hh_tesh_in!W13/SER_summary!W$27)</f>
        <v>49.426727708784142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82.823143388795231</v>
      </c>
      <c r="D14" s="65">
        <f>IF(SER_hh_tesh_in!D14=0,0,SER_hh_tesh_in!D14/SER_summary!D$27)</f>
        <v>88.353012309827733</v>
      </c>
      <c r="E14" s="65">
        <f>IF(SER_hh_tesh_in!E14=0,0,SER_hh_tesh_in!E14/SER_summary!E$27)</f>
        <v>89.07911965170031</v>
      </c>
      <c r="F14" s="65">
        <f>IF(SER_hh_tesh_in!F14=0,0,SER_hh_tesh_in!F14/SER_summary!F$27)</f>
        <v>99.285924907343031</v>
      </c>
      <c r="G14" s="65">
        <f>IF(SER_hh_tesh_in!G14=0,0,SER_hh_tesh_in!G14/SER_summary!G$27)</f>
        <v>112.21340639587011</v>
      </c>
      <c r="H14" s="65">
        <f>IF(SER_hh_tesh_in!H14=0,0,SER_hh_tesh_in!H14/SER_summary!H$27)</f>
        <v>116.51760759129438</v>
      </c>
      <c r="I14" s="65">
        <f>IF(SER_hh_tesh_in!I14=0,0,SER_hh_tesh_in!I14/SER_summary!I$27)</f>
        <v>118.75977659867252</v>
      </c>
      <c r="J14" s="65">
        <f>IF(SER_hh_tesh_in!J14=0,0,SER_hh_tesh_in!J14/SER_summary!J$27)</f>
        <v>122.01984019908288</v>
      </c>
      <c r="K14" s="65">
        <f>IF(SER_hh_tesh_in!K14=0,0,SER_hh_tesh_in!K14/SER_summary!K$27)</f>
        <v>122.83130477574358</v>
      </c>
      <c r="L14" s="65">
        <f>IF(SER_hh_tesh_in!L14=0,0,SER_hh_tesh_in!L14/SER_summary!L$27)</f>
        <v>122.46301176486283</v>
      </c>
      <c r="M14" s="65">
        <f>IF(SER_hh_tesh_in!M14=0,0,SER_hh_tesh_in!M14/SER_summary!M$27)</f>
        <v>115.54706571712259</v>
      </c>
      <c r="N14" s="65">
        <f>IF(SER_hh_tesh_in!N14=0,0,SER_hh_tesh_in!N14/SER_summary!N$27)</f>
        <v>114.23235856518588</v>
      </c>
      <c r="O14" s="65">
        <f>IF(SER_hh_tesh_in!O14=0,0,SER_hh_tesh_in!O14/SER_summary!O$27)</f>
        <v>113.12549140739236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0</v>
      </c>
      <c r="T14" s="65">
        <f>IF(SER_hh_tesh_in!T14=0,0,SER_hh_tesh_in!T14/SER_summary!T$27)</f>
        <v>114.05033653359614</v>
      </c>
      <c r="U14" s="65">
        <f>IF(SER_hh_tesh_in!U14=0,0,SER_hh_tesh_in!U14/SER_summary!U$27)</f>
        <v>95.539476473803333</v>
      </c>
      <c r="V14" s="65">
        <f>IF(SER_hh_tesh_in!V14=0,0,SER_hh_tesh_in!V14/SER_summary!V$27)</f>
        <v>64.659868116941183</v>
      </c>
      <c r="W14" s="65">
        <f>IF(SER_hh_tesh_in!W14=0,0,SER_hh_tesh_in!W14/SER_summary!W$27)</f>
        <v>73.705049240577281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1.6010092141155783</v>
      </c>
      <c r="D15" s="135">
        <f>IF(SER_hh_tesh_in!D15=0,0,SER_hh_tesh_in!D15/SER_summary!D$27)</f>
        <v>1.4715355990985513</v>
      </c>
      <c r="E15" s="135">
        <f>IF(SER_hh_tesh_in!E15=0,0,SER_hh_tesh_in!E15/SER_summary!E$27)</f>
        <v>1.7772984141865089</v>
      </c>
      <c r="F15" s="135">
        <f>IF(SER_hh_tesh_in!F15=0,0,SER_hh_tesh_in!F15/SER_summary!F$27)</f>
        <v>1.6266286887905419</v>
      </c>
      <c r="G15" s="135">
        <f>IF(SER_hh_tesh_in!G15=0,0,SER_hh_tesh_in!G15/SER_summary!G$27)</f>
        <v>2.0300876926121649</v>
      </c>
      <c r="H15" s="135">
        <f>IF(SER_hh_tesh_in!H15=0,0,SER_hh_tesh_in!H15/SER_summary!H$27)</f>
        <v>2.0106327250109994</v>
      </c>
      <c r="I15" s="135">
        <f>IF(SER_hh_tesh_in!I15=0,0,SER_hh_tesh_in!I15/SER_summary!I$27)</f>
        <v>1.7619522427280352</v>
      </c>
      <c r="J15" s="135">
        <f>IF(SER_hh_tesh_in!J15=0,0,SER_hh_tesh_in!J15/SER_summary!J$27)</f>
        <v>2.2011902968702488</v>
      </c>
      <c r="K15" s="135">
        <f>IF(SER_hh_tesh_in!K15=0,0,SER_hh_tesh_in!K15/SER_summary!K$27)</f>
        <v>2.1252374935564213</v>
      </c>
      <c r="L15" s="135">
        <f>IF(SER_hh_tesh_in!L15=0,0,SER_hh_tesh_in!L15/SER_summary!L$27)</f>
        <v>2.0845008660941002</v>
      </c>
      <c r="M15" s="135">
        <f>IF(SER_hh_tesh_in!M15=0,0,SER_hh_tesh_in!M15/SER_summary!M$27)</f>
        <v>1.5369923675767339</v>
      </c>
      <c r="N15" s="135">
        <f>IF(SER_hh_tesh_in!N15=0,0,SER_hh_tesh_in!N15/SER_summary!N$27)</f>
        <v>1.5358185424797361</v>
      </c>
      <c r="O15" s="135">
        <f>IF(SER_hh_tesh_in!O15=0,0,SER_hh_tesh_in!O15/SER_summary!O$27)</f>
        <v>1.2008835047373663</v>
      </c>
      <c r="P15" s="135">
        <f>IF(SER_hh_tesh_in!P15=0,0,SER_hh_tesh_in!P15/SER_summary!P$27)</f>
        <v>0.65181826225448392</v>
      </c>
      <c r="Q15" s="135">
        <f>IF(SER_hh_tesh_in!Q15=0,0,SER_hh_tesh_in!Q15/SER_summary!Q$27)</f>
        <v>0.62165518390651353</v>
      </c>
      <c r="R15" s="135">
        <f>IF(SER_hh_tesh_in!R15=0,0,SER_hh_tesh_in!R15/SER_summary!R$27)</f>
        <v>1.2138863193630174</v>
      </c>
      <c r="S15" s="135">
        <f>IF(SER_hh_tesh_in!S15=0,0,SER_hh_tesh_in!S15/SER_summary!S$27)</f>
        <v>1.5362877433755802</v>
      </c>
      <c r="T15" s="135">
        <f>IF(SER_hh_tesh_in!T15=0,0,SER_hh_tesh_in!T15/SER_summary!T$27)</f>
        <v>1.6353932434682472</v>
      </c>
      <c r="U15" s="135">
        <f>IF(SER_hh_tesh_in!U15=0,0,SER_hh_tesh_in!U15/SER_summary!U$27)</f>
        <v>1.4103010151566151</v>
      </c>
      <c r="V15" s="135">
        <f>IF(SER_hh_tesh_in!V15=0,0,SER_hh_tesh_in!V15/SER_summary!V$27)</f>
        <v>1.1805952034571758</v>
      </c>
      <c r="W15" s="135">
        <f>IF(SER_hh_tesh_in!W15=0,0,SER_hh_tesh_in!W15/SER_summary!W$27)</f>
        <v>0.86932850183637711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27.732681207765424</v>
      </c>
      <c r="D16" s="131">
        <f>IF(SER_hh_tesh_in!D16=0,0,SER_hh_tesh_in!D16/SER_summary!D$27)</f>
        <v>24.232417544823843</v>
      </c>
      <c r="E16" s="131">
        <f>IF(SER_hh_tesh_in!E16=0,0,SER_hh_tesh_in!E16/SER_summary!E$27)</f>
        <v>55.903179059655372</v>
      </c>
      <c r="F16" s="131">
        <f>IF(SER_hh_tesh_in!F16=0,0,SER_hh_tesh_in!F16/SER_summary!F$27)</f>
        <v>24.975618866855303</v>
      </c>
      <c r="G16" s="131">
        <f>IF(SER_hh_tesh_in!G16=0,0,SER_hh_tesh_in!G16/SER_summary!G$27)</f>
        <v>24.822719668625911</v>
      </c>
      <c r="H16" s="131">
        <f>IF(SER_hh_tesh_in!H16=0,0,SER_hh_tesh_in!H16/SER_summary!H$27)</f>
        <v>28.940630671853846</v>
      </c>
      <c r="I16" s="131">
        <f>IF(SER_hh_tesh_in!I16=0,0,SER_hh_tesh_in!I16/SER_summary!I$27)</f>
        <v>26.373693941945316</v>
      </c>
      <c r="J16" s="131">
        <f>IF(SER_hh_tesh_in!J16=0,0,SER_hh_tesh_in!J16/SER_summary!J$27)</f>
        <v>30.60323501183175</v>
      </c>
      <c r="K16" s="131">
        <f>IF(SER_hh_tesh_in!K16=0,0,SER_hh_tesh_in!K16/SER_summary!K$27)</f>
        <v>30.840793994058409</v>
      </c>
      <c r="L16" s="131">
        <f>IF(SER_hh_tesh_in!L16=0,0,SER_hh_tesh_in!L16/SER_summary!L$27)</f>
        <v>24.645148946805918</v>
      </c>
      <c r="M16" s="131">
        <f>IF(SER_hh_tesh_in!M16=0,0,SER_hh_tesh_in!M16/SER_summary!M$27)</f>
        <v>26.230384860983818</v>
      </c>
      <c r="N16" s="131">
        <f>IF(SER_hh_tesh_in!N16=0,0,SER_hh_tesh_in!N16/SER_summary!N$27)</f>
        <v>40.56668145417607</v>
      </c>
      <c r="O16" s="131">
        <f>IF(SER_hh_tesh_in!O16=0,0,SER_hh_tesh_in!O16/SER_summary!O$27)</f>
        <v>23.543269923757027</v>
      </c>
      <c r="P16" s="131">
        <f>IF(SER_hh_tesh_in!P16=0,0,SER_hh_tesh_in!P16/SER_summary!P$27)</f>
        <v>19.897531732201617</v>
      </c>
      <c r="Q16" s="131">
        <f>IF(SER_hh_tesh_in!Q16=0,0,SER_hh_tesh_in!Q16/SER_summary!Q$27)</f>
        <v>34.516108487282487</v>
      </c>
      <c r="R16" s="131">
        <f>IF(SER_hh_tesh_in!R16=0,0,SER_hh_tesh_in!R16/SER_summary!R$27)</f>
        <v>21.796053448740821</v>
      </c>
      <c r="S16" s="131">
        <f>IF(SER_hh_tesh_in!S16=0,0,SER_hh_tesh_in!S16/SER_summary!S$27)</f>
        <v>31.830588879641851</v>
      </c>
      <c r="T16" s="131">
        <f>IF(SER_hh_tesh_in!T16=0,0,SER_hh_tesh_in!T16/SER_summary!T$27)</f>
        <v>23.009412529448593</v>
      </c>
      <c r="U16" s="131">
        <f>IF(SER_hh_tesh_in!U16=0,0,SER_hh_tesh_in!U16/SER_summary!U$27)</f>
        <v>29.105105018962707</v>
      </c>
      <c r="V16" s="131">
        <f>IF(SER_hh_tesh_in!V16=0,0,SER_hh_tesh_in!V16/SER_summary!V$27)</f>
        <v>20.616679333772684</v>
      </c>
      <c r="W16" s="131">
        <f>IF(SER_hh_tesh_in!W16=0,0,SER_hh_tesh_in!W16/SER_summary!W$27)</f>
        <v>22.018390340645826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27.75590246588926</v>
      </c>
      <c r="D17" s="133">
        <f>IF(SER_hh_tesh_in!D17=0,0,SER_hh_tesh_in!D17/SER_summary!D$27)</f>
        <v>24.243263431074702</v>
      </c>
      <c r="E17" s="133">
        <f>IF(SER_hh_tesh_in!E17=0,0,SER_hh_tesh_in!E17/SER_summary!E$27)</f>
        <v>55.976604395983571</v>
      </c>
      <c r="F17" s="133">
        <f>IF(SER_hh_tesh_in!F17=0,0,SER_hh_tesh_in!F17/SER_summary!F$27)</f>
        <v>25.012595096554893</v>
      </c>
      <c r="G17" s="133">
        <f>IF(SER_hh_tesh_in!G17=0,0,SER_hh_tesh_in!G17/SER_summary!G$27)</f>
        <v>24.851662178681266</v>
      </c>
      <c r="H17" s="133">
        <f>IF(SER_hh_tesh_in!H17=0,0,SER_hh_tesh_in!H17/SER_summary!H$27)</f>
        <v>28.990776040068791</v>
      </c>
      <c r="I17" s="133">
        <f>IF(SER_hh_tesh_in!I17=0,0,SER_hh_tesh_in!I17/SER_summary!I$27)</f>
        <v>26.409653428767577</v>
      </c>
      <c r="J17" s="133">
        <f>IF(SER_hh_tesh_in!J17=0,0,SER_hh_tesh_in!J17/SER_summary!J$27)</f>
        <v>30.621198498360812</v>
      </c>
      <c r="K17" s="133">
        <f>IF(SER_hh_tesh_in!K17=0,0,SER_hh_tesh_in!K17/SER_summary!K$27)</f>
        <v>30.84449760798806</v>
      </c>
      <c r="L17" s="133">
        <f>IF(SER_hh_tesh_in!L17=0,0,SER_hh_tesh_in!L17/SER_summary!L$27)</f>
        <v>24.662503360148698</v>
      </c>
      <c r="M17" s="133">
        <f>IF(SER_hh_tesh_in!M17=0,0,SER_hh_tesh_in!M17/SER_summary!M$27)</f>
        <v>26.250287625189813</v>
      </c>
      <c r="N17" s="133">
        <f>IF(SER_hh_tesh_in!N17=0,0,SER_hh_tesh_in!N17/SER_summary!N$27)</f>
        <v>40.584829167235299</v>
      </c>
      <c r="O17" s="133">
        <f>IF(SER_hh_tesh_in!O17=0,0,SER_hh_tesh_in!O17/SER_summary!O$27)</f>
        <v>23.552548256609082</v>
      </c>
      <c r="P17" s="133">
        <f>IF(SER_hh_tesh_in!P17=0,0,SER_hh_tesh_in!P17/SER_summary!P$27)</f>
        <v>19.940832478616059</v>
      </c>
      <c r="Q17" s="133">
        <f>IF(SER_hh_tesh_in!Q17=0,0,SER_hh_tesh_in!Q17/SER_summary!Q$27)</f>
        <v>34.584251978283625</v>
      </c>
      <c r="R17" s="133">
        <f>IF(SER_hh_tesh_in!R17=0,0,SER_hh_tesh_in!R17/SER_summary!R$27)</f>
        <v>21.84786394929462</v>
      </c>
      <c r="S17" s="133">
        <f>IF(SER_hh_tesh_in!S17=0,0,SER_hh_tesh_in!S17/SER_summary!S$27)</f>
        <v>31.892317001444216</v>
      </c>
      <c r="T17" s="133">
        <f>IF(SER_hh_tesh_in!T17=0,0,SER_hh_tesh_in!T17/SER_summary!T$27)</f>
        <v>23.275062964926011</v>
      </c>
      <c r="U17" s="133">
        <f>IF(SER_hh_tesh_in!U17=0,0,SER_hh_tesh_in!U17/SER_summary!U$27)</f>
        <v>29.146974931824516</v>
      </c>
      <c r="V17" s="133">
        <f>IF(SER_hh_tesh_in!V17=0,0,SER_hh_tesh_in!V17/SER_summary!V$27)</f>
        <v>19.88404757373754</v>
      </c>
      <c r="W17" s="133">
        <f>IF(SER_hh_tesh_in!W17=0,0,SER_hh_tesh_in!W17/SER_summary!W$27)</f>
        <v>21.213409155559098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27.732520554495334</v>
      </c>
      <c r="D18" s="133">
        <f>IF(SER_hh_tesh_in!D18=0,0,SER_hh_tesh_in!D18/SER_summary!D$27)</f>
        <v>24.232395523399084</v>
      </c>
      <c r="E18" s="133">
        <f>IF(SER_hh_tesh_in!E18=0,0,SER_hh_tesh_in!E18/SER_summary!E$27)</f>
        <v>55.902669829145623</v>
      </c>
      <c r="F18" s="133">
        <f>IF(SER_hh_tesh_in!F18=0,0,SER_hh_tesh_in!F18/SER_summary!F$27)</f>
        <v>24.975335095627258</v>
      </c>
      <c r="G18" s="133">
        <f>IF(SER_hh_tesh_in!G18=0,0,SER_hh_tesh_in!G18/SER_summary!G$27)</f>
        <v>24.822575000518061</v>
      </c>
      <c r="H18" s="133">
        <f>IF(SER_hh_tesh_in!H18=0,0,SER_hh_tesh_in!H18/SER_summary!H$27)</f>
        <v>28.940291396775763</v>
      </c>
      <c r="I18" s="133">
        <f>IF(SER_hh_tesh_in!I18=0,0,SER_hh_tesh_in!I18/SER_summary!I$27)</f>
        <v>26.373456983905566</v>
      </c>
      <c r="J18" s="133">
        <f>IF(SER_hh_tesh_in!J18=0,0,SER_hh_tesh_in!J18/SER_summary!J$27)</f>
        <v>30.603077863737489</v>
      </c>
      <c r="K18" s="133">
        <f>IF(SER_hh_tesh_in!K18=0,0,SER_hh_tesh_in!K18/SER_summary!K$27)</f>
        <v>30.840737878863592</v>
      </c>
      <c r="L18" s="133">
        <f>IF(SER_hh_tesh_in!L18=0,0,SER_hh_tesh_in!L18/SER_summary!L$27)</f>
        <v>24.644924618992182</v>
      </c>
      <c r="M18" s="133">
        <f>IF(SER_hh_tesh_in!M18=0,0,SER_hh_tesh_in!M18/SER_summary!M$27)</f>
        <v>26.230169028341496</v>
      </c>
      <c r="N18" s="133">
        <f>IF(SER_hh_tesh_in!N18=0,0,SER_hh_tesh_in!N18/SER_summary!N$27)</f>
        <v>40.566483099968465</v>
      </c>
      <c r="O18" s="133">
        <f>IF(SER_hh_tesh_in!O18=0,0,SER_hh_tesh_in!O18/SER_summary!O$27)</f>
        <v>23.543112386085777</v>
      </c>
      <c r="P18" s="133">
        <f>IF(SER_hh_tesh_in!P18=0,0,SER_hh_tesh_in!P18/SER_summary!P$27)</f>
        <v>19.896846744504874</v>
      </c>
      <c r="Q18" s="133">
        <f>IF(SER_hh_tesh_in!Q18=0,0,SER_hh_tesh_in!Q18/SER_summary!Q$27)</f>
        <v>34.515085651212473</v>
      </c>
      <c r="R18" s="133">
        <f>IF(SER_hh_tesh_in!R18=0,0,SER_hh_tesh_in!R18/SER_summary!R$27)</f>
        <v>21.795011728259034</v>
      </c>
      <c r="S18" s="133">
        <f>IF(SER_hh_tesh_in!S18=0,0,SER_hh_tesh_in!S18/SER_summary!S$27)</f>
        <v>31.829622801755825</v>
      </c>
      <c r="T18" s="133">
        <f>IF(SER_hh_tesh_in!T18=0,0,SER_hh_tesh_in!T18/SER_summary!T$27)</f>
        <v>23.005242605473263</v>
      </c>
      <c r="U18" s="133">
        <f>IF(SER_hh_tesh_in!U18=0,0,SER_hh_tesh_in!U18/SER_summary!U$27)</f>
        <v>29.104388075373016</v>
      </c>
      <c r="V18" s="133">
        <f>IF(SER_hh_tesh_in!V18=0,0,SER_hh_tesh_in!V18/SER_summary!V$27)</f>
        <v>20.633541402830925</v>
      </c>
      <c r="W18" s="133">
        <f>IF(SER_hh_tesh_in!W18=0,0,SER_hh_tesh_in!W18/SER_summary!W$27)</f>
        <v>22.029182062931618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20.654519448737751</v>
      </c>
      <c r="D19" s="131">
        <f>IF(SER_hh_tesh_in!D19=0,0,SER_hh_tesh_in!D19/SER_summary!D$27)</f>
        <v>20.953954339728927</v>
      </c>
      <c r="E19" s="131">
        <f>IF(SER_hh_tesh_in!E19=0,0,SER_hh_tesh_in!E19/SER_summary!E$27)</f>
        <v>20.636821100402884</v>
      </c>
      <c r="F19" s="131">
        <f>IF(SER_hh_tesh_in!F19=0,0,SER_hh_tesh_in!F19/SER_summary!F$27)</f>
        <v>21.657785740647363</v>
      </c>
      <c r="G19" s="131">
        <f>IF(SER_hh_tesh_in!G19=0,0,SER_hh_tesh_in!G19/SER_summary!G$27)</f>
        <v>20.795475247759725</v>
      </c>
      <c r="H19" s="131">
        <f>IF(SER_hh_tesh_in!H19=0,0,SER_hh_tesh_in!H19/SER_summary!H$27)</f>
        <v>20.670970371434716</v>
      </c>
      <c r="I19" s="131">
        <f>IF(SER_hh_tesh_in!I19=0,0,SER_hh_tesh_in!I19/SER_summary!I$27)</f>
        <v>21.1410534351477</v>
      </c>
      <c r="J19" s="131">
        <f>IF(SER_hh_tesh_in!J19=0,0,SER_hh_tesh_in!J19/SER_summary!J$27)</f>
        <v>21.039486798609758</v>
      </c>
      <c r="K19" s="131">
        <f>IF(SER_hh_tesh_in!K19=0,0,SER_hh_tesh_in!K19/SER_summary!K$27)</f>
        <v>20.94731986305672</v>
      </c>
      <c r="L19" s="131">
        <f>IF(SER_hh_tesh_in!L19=0,0,SER_hh_tesh_in!L19/SER_summary!L$27)</f>
        <v>20.977335787085376</v>
      </c>
      <c r="M19" s="131">
        <f>IF(SER_hh_tesh_in!M19=0,0,SER_hh_tesh_in!M19/SER_summary!M$27)</f>
        <v>21.071357117382643</v>
      </c>
      <c r="N19" s="131">
        <f>IF(SER_hh_tesh_in!N19=0,0,SER_hh_tesh_in!N19/SER_summary!N$27)</f>
        <v>20.814247278483297</v>
      </c>
      <c r="O19" s="131">
        <f>IF(SER_hh_tesh_in!O19=0,0,SER_hh_tesh_in!O19/SER_summary!O$27)</f>
        <v>21.50931771186179</v>
      </c>
      <c r="P19" s="131">
        <f>IF(SER_hh_tesh_in!P19=0,0,SER_hh_tesh_in!P19/SER_summary!P$27)</f>
        <v>21.671517358270453</v>
      </c>
      <c r="Q19" s="131">
        <f>IF(SER_hh_tesh_in!Q19=0,0,SER_hh_tesh_in!Q19/SER_summary!Q$27)</f>
        <v>21.357917246565705</v>
      </c>
      <c r="R19" s="131">
        <f>IF(SER_hh_tesh_in!R19=0,0,SER_hh_tesh_in!R19/SER_summary!R$27)</f>
        <v>21.681919263296429</v>
      </c>
      <c r="S19" s="131">
        <f>IF(SER_hh_tesh_in!S19=0,0,SER_hh_tesh_in!S19/SER_summary!S$27)</f>
        <v>21.449707959052155</v>
      </c>
      <c r="T19" s="131">
        <f>IF(SER_hh_tesh_in!T19=0,0,SER_hh_tesh_in!T19/SER_summary!T$27)</f>
        <v>21.132270120402538</v>
      </c>
      <c r="U19" s="131">
        <f>IF(SER_hh_tesh_in!U19=0,0,SER_hh_tesh_in!U19/SER_summary!U$27)</f>
        <v>19.995719810640583</v>
      </c>
      <c r="V19" s="131">
        <f>IF(SER_hh_tesh_in!V19=0,0,SER_hh_tesh_in!V19/SER_summary!V$27)</f>
        <v>18.233489571933443</v>
      </c>
      <c r="W19" s="131">
        <f>IF(SER_hh_tesh_in!W19=0,0,SER_hh_tesh_in!W19/SER_summary!W$27)</f>
        <v>19.123217860567888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20.843481830814834</v>
      </c>
      <c r="D21" s="133">
        <f>IF(SER_hh_tesh_in!D21=0,0,SER_hh_tesh_in!D21/SER_summary!D$27)</f>
        <v>20.528170622560935</v>
      </c>
      <c r="E21" s="133">
        <f>IF(SER_hh_tesh_in!E21=0,0,SER_hh_tesh_in!E21/SER_summary!E$27)</f>
        <v>20.051908115479744</v>
      </c>
      <c r="F21" s="133">
        <f>IF(SER_hh_tesh_in!F21=0,0,SER_hh_tesh_in!F21/SER_summary!F$27)</f>
        <v>20.357895885548771</v>
      </c>
      <c r="G21" s="133">
        <f>IF(SER_hh_tesh_in!G21=0,0,SER_hh_tesh_in!G21/SER_summary!G$27)</f>
        <v>20.039087935968212</v>
      </c>
      <c r="H21" s="133">
        <f>IF(SER_hh_tesh_in!H21=0,0,SER_hh_tesh_in!H21/SER_summary!H$27)</f>
        <v>21.005860338970635</v>
      </c>
      <c r="I21" s="133">
        <f>IF(SER_hh_tesh_in!I21=0,0,SER_hh_tesh_in!I21/SER_summary!I$27)</f>
        <v>19.647678529340752</v>
      </c>
      <c r="J21" s="133">
        <f>IF(SER_hh_tesh_in!J21=0,0,SER_hh_tesh_in!J21/SER_summary!J$27)</f>
        <v>19.089890170799716</v>
      </c>
      <c r="K21" s="133">
        <f>IF(SER_hh_tesh_in!K21=0,0,SER_hh_tesh_in!K21/SER_summary!K$27)</f>
        <v>18.105743211544535</v>
      </c>
      <c r="L21" s="133">
        <f>IF(SER_hh_tesh_in!L21=0,0,SER_hh_tesh_in!L21/SER_summary!L$27)</f>
        <v>17.848809119453257</v>
      </c>
      <c r="M21" s="133">
        <f>IF(SER_hh_tesh_in!M21=0,0,SER_hh_tesh_in!M21/SER_summary!M$27)</f>
        <v>21.783436262341091</v>
      </c>
      <c r="N21" s="133">
        <f>IF(SER_hh_tesh_in!N21=0,0,SER_hh_tesh_in!N21/SER_summary!N$27)</f>
        <v>20.269736648095041</v>
      </c>
      <c r="O21" s="133">
        <f>IF(SER_hh_tesh_in!O21=0,0,SER_hh_tesh_in!O21/SER_summary!O$27)</f>
        <v>21.763305044412878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21.915376800761408</v>
      </c>
      <c r="S21" s="133">
        <f>IF(SER_hh_tesh_in!S21=0,0,SER_hh_tesh_in!S21/SER_summary!S$27)</f>
        <v>21.824290604063929</v>
      </c>
      <c r="T21" s="133">
        <f>IF(SER_hh_tesh_in!T21=0,0,SER_hh_tesh_in!T21/SER_summary!T$27)</f>
        <v>20.274607726326501</v>
      </c>
      <c r="U21" s="133">
        <f>IF(SER_hh_tesh_in!U21=0,0,SER_hh_tesh_in!U21/SER_summary!U$27)</f>
        <v>17.958301624000189</v>
      </c>
      <c r="V21" s="133">
        <f>IF(SER_hh_tesh_in!V21=0,0,SER_hh_tesh_in!V21/SER_summary!V$27)</f>
        <v>17.734395233950607</v>
      </c>
      <c r="W21" s="133">
        <f>IF(SER_hh_tesh_in!W21=0,0,SER_hh_tesh_in!W21/SER_summary!W$27)</f>
        <v>18.949896351540065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20.865384191257558</v>
      </c>
      <c r="D22" s="133">
        <f>IF(SER_hh_tesh_in!D22=0,0,SER_hh_tesh_in!D22/SER_summary!D$27)</f>
        <v>0</v>
      </c>
      <c r="E22" s="133">
        <f>IF(SER_hh_tesh_in!E22=0,0,SER_hh_tesh_in!E22/SER_summary!E$27)</f>
        <v>0</v>
      </c>
      <c r="F22" s="133">
        <f>IF(SER_hh_tesh_in!F22=0,0,SER_hh_tesh_in!F22/SER_summary!F$27)</f>
        <v>0</v>
      </c>
      <c r="G22" s="133">
        <f>IF(SER_hh_tesh_in!G22=0,0,SER_hh_tesh_in!G22/SER_summary!G$27)</f>
        <v>17.285911461800406</v>
      </c>
      <c r="H22" s="133">
        <f>IF(SER_hh_tesh_in!H22=0,0,SER_hh_tesh_in!H22/SER_summary!H$27)</f>
        <v>20.693090531117807</v>
      </c>
      <c r="I22" s="133">
        <f>IF(SER_hh_tesh_in!I22=0,0,SER_hh_tesh_in!I22/SER_summary!I$27)</f>
        <v>20.457453640907989</v>
      </c>
      <c r="J22" s="133">
        <f>IF(SER_hh_tesh_in!J22=0,0,SER_hh_tesh_in!J22/SER_summary!J$27)</f>
        <v>20.115213051549965</v>
      </c>
      <c r="K22" s="133">
        <f>IF(SER_hh_tesh_in!K22=0,0,SER_hh_tesh_in!K22/SER_summary!K$27)</f>
        <v>18.990907186724748</v>
      </c>
      <c r="L22" s="133">
        <f>IF(SER_hh_tesh_in!L22=0,0,SER_hh_tesh_in!L22/SER_summary!L$27)</f>
        <v>18.083792964689241</v>
      </c>
      <c r="M22" s="133">
        <f>IF(SER_hh_tesh_in!M22=0,0,SER_hh_tesh_in!M22/SER_summary!M$27)</f>
        <v>20.695854856201116</v>
      </c>
      <c r="N22" s="133">
        <f>IF(SER_hh_tesh_in!N22=0,0,SER_hh_tesh_in!N22/SER_summary!N$27)</f>
        <v>20.827071333119974</v>
      </c>
      <c r="O22" s="133">
        <f>IF(SER_hh_tesh_in!O22=0,0,SER_hh_tesh_in!O22/SER_summary!O$27)</f>
        <v>21.760353248817765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0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13.537737586850731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20.593418626566383</v>
      </c>
      <c r="D23" s="133">
        <f>IF(SER_hh_tesh_in!D23=0,0,SER_hh_tesh_in!D23/SER_summary!D$27)</f>
        <v>20.744377065265059</v>
      </c>
      <c r="E23" s="133">
        <f>IF(SER_hh_tesh_in!E23=0,0,SER_hh_tesh_in!E23/SER_summary!E$27)</f>
        <v>20.616824897412243</v>
      </c>
      <c r="F23" s="133">
        <f>IF(SER_hh_tesh_in!F23=0,0,SER_hh_tesh_in!F23/SER_summary!F$27)</f>
        <v>20.502477953373674</v>
      </c>
      <c r="G23" s="133">
        <f>IF(SER_hh_tesh_in!G23=0,0,SER_hh_tesh_in!G23/SER_summary!G$27)</f>
        <v>20.152588351043047</v>
      </c>
      <c r="H23" s="133">
        <f>IF(SER_hh_tesh_in!H23=0,0,SER_hh_tesh_in!H23/SER_summary!H$27)</f>
        <v>20.560343927306</v>
      </c>
      <c r="I23" s="133">
        <f>IF(SER_hh_tesh_in!I23=0,0,SER_hh_tesh_in!I23/SER_summary!I$27)</f>
        <v>20.282801047561009</v>
      </c>
      <c r="J23" s="133">
        <f>IF(SER_hh_tesh_in!J23=0,0,SER_hh_tesh_in!J23/SER_summary!J$27)</f>
        <v>19.643250597557586</v>
      </c>
      <c r="K23" s="133">
        <f>IF(SER_hh_tesh_in!K23=0,0,SER_hh_tesh_in!K23/SER_summary!K$27)</f>
        <v>18.585886449246217</v>
      </c>
      <c r="L23" s="133">
        <f>IF(SER_hh_tesh_in!L23=0,0,SER_hh_tesh_in!L23/SER_summary!L$27)</f>
        <v>18.824403206347238</v>
      </c>
      <c r="M23" s="133">
        <f>IF(SER_hh_tesh_in!M23=0,0,SER_hh_tesh_in!M23/SER_summary!M$27)</f>
        <v>20.961705659482298</v>
      </c>
      <c r="N23" s="133">
        <f>IF(SER_hh_tesh_in!N23=0,0,SER_hh_tesh_in!N23/SER_summary!N$27)</f>
        <v>21.089369391732323</v>
      </c>
      <c r="O23" s="133">
        <f>IF(SER_hh_tesh_in!O23=0,0,SER_hh_tesh_in!O23/SER_summary!O$27)</f>
        <v>21.308956041085501</v>
      </c>
      <c r="P23" s="133">
        <f>IF(SER_hh_tesh_in!P23=0,0,SER_hh_tesh_in!P23/SER_summary!P$27)</f>
        <v>21.3424977690287</v>
      </c>
      <c r="Q23" s="133">
        <f>IF(SER_hh_tesh_in!Q23=0,0,SER_hh_tesh_in!Q23/SER_summary!Q$27)</f>
        <v>21.301794002450965</v>
      </c>
      <c r="R23" s="133">
        <f>IF(SER_hh_tesh_in!R23=0,0,SER_hh_tesh_in!R23/SER_summary!R$27)</f>
        <v>21.027855304033007</v>
      </c>
      <c r="S23" s="133">
        <f>IF(SER_hh_tesh_in!S23=0,0,SER_hh_tesh_in!S23/SER_summary!S$27)</f>
        <v>19.224640029763304</v>
      </c>
      <c r="T23" s="133">
        <f>IF(SER_hh_tesh_in!T23=0,0,SER_hh_tesh_in!T23/SER_summary!T$27)</f>
        <v>18.506341999506759</v>
      </c>
      <c r="U23" s="133">
        <f>IF(SER_hh_tesh_in!U23=0,0,SER_hh_tesh_in!U23/SER_summary!U$27)</f>
        <v>18.305953316466287</v>
      </c>
      <c r="V23" s="133">
        <f>IF(SER_hh_tesh_in!V23=0,0,SER_hh_tesh_in!V23/SER_summary!V$27)</f>
        <v>17.819846276137685</v>
      </c>
      <c r="W23" s="133">
        <f>IF(SER_hh_tesh_in!W23=0,0,SER_hh_tesh_in!W23/SER_summary!W$27)</f>
        <v>19.865143868163429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0</v>
      </c>
      <c r="F25" s="133">
        <f>IF(SER_hh_tesh_in!F25=0,0,SER_hh_tesh_in!F25/SER_summary!F$27)</f>
        <v>29.328026850794192</v>
      </c>
      <c r="G25" s="133">
        <f>IF(SER_hh_tesh_in!G25=0,0,SER_hh_tesh_in!G25/SER_summary!G$27)</f>
        <v>23.026365936029958</v>
      </c>
      <c r="H25" s="133">
        <f>IF(SER_hh_tesh_in!H25=0,0,SER_hh_tesh_in!H25/SER_summary!H$27)</f>
        <v>20.601678027776703</v>
      </c>
      <c r="I25" s="133">
        <f>IF(SER_hh_tesh_in!I25=0,0,SER_hh_tesh_in!I25/SER_summary!I$27)</f>
        <v>18.977124595699223</v>
      </c>
      <c r="J25" s="133">
        <f>IF(SER_hh_tesh_in!J25=0,0,SER_hh_tesh_in!J25/SER_summary!J$27)</f>
        <v>18.094568364591701</v>
      </c>
      <c r="K25" s="133">
        <f>IF(SER_hh_tesh_in!K25=0,0,SER_hh_tesh_in!K25/SER_summary!K$27)</f>
        <v>18.360418054925159</v>
      </c>
      <c r="L25" s="133">
        <f>IF(SER_hh_tesh_in!L25=0,0,SER_hh_tesh_in!L25/SER_summary!L$27)</f>
        <v>18.630144343975488</v>
      </c>
      <c r="M25" s="133">
        <f>IF(SER_hh_tesh_in!M25=0,0,SER_hh_tesh_in!M25/SER_summary!M$27)</f>
        <v>19.88577724237194</v>
      </c>
      <c r="N25" s="133">
        <f>IF(SER_hh_tesh_in!N25=0,0,SER_hh_tesh_in!N25/SER_summary!N$27)</f>
        <v>19.932195310754853</v>
      </c>
      <c r="O25" s="133">
        <f>IF(SER_hh_tesh_in!O25=0,0,SER_hh_tesh_in!O25/SER_summary!O$27)</f>
        <v>21.406565236360343</v>
      </c>
      <c r="P25" s="133">
        <f>IF(SER_hh_tesh_in!P25=0,0,SER_hh_tesh_in!P25/SER_summary!P$27)</f>
        <v>21.615244905151638</v>
      </c>
      <c r="Q25" s="133">
        <f>IF(SER_hh_tesh_in!Q25=0,0,SER_hh_tesh_in!Q25/SER_summary!Q$27)</f>
        <v>21.03161823056384</v>
      </c>
      <c r="R25" s="133">
        <f>IF(SER_hh_tesh_in!R25=0,0,SER_hh_tesh_in!R25/SER_summary!R$27)</f>
        <v>19.724945151518405</v>
      </c>
      <c r="S25" s="133">
        <f>IF(SER_hh_tesh_in!S25=0,0,SER_hh_tesh_in!S25/SER_summary!S$27)</f>
        <v>18.859946403021823</v>
      </c>
      <c r="T25" s="133">
        <f>IF(SER_hh_tesh_in!T25=0,0,SER_hh_tesh_in!T25/SER_summary!T$27)</f>
        <v>18.402495798540588</v>
      </c>
      <c r="U25" s="133">
        <f>IF(SER_hh_tesh_in!U25=0,0,SER_hh_tesh_in!U25/SER_summary!U$27)</f>
        <v>18.009290393354181</v>
      </c>
      <c r="V25" s="133">
        <f>IF(SER_hh_tesh_in!V25=0,0,SER_hh_tesh_in!V25/SER_summary!V$27)</f>
        <v>17.680926288089893</v>
      </c>
      <c r="W25" s="133">
        <f>IF(SER_hh_tesh_in!W25=0,0,SER_hh_tesh_in!W25/SER_summary!W$27)</f>
        <v>19.039554068150139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20.119095710136232</v>
      </c>
      <c r="D26" s="65">
        <f>IF(SER_hh_tesh_in!D26=0,0,SER_hh_tesh_in!D26/SER_summary!D$27)</f>
        <v>20.094605336214908</v>
      </c>
      <c r="E26" s="65">
        <f>IF(SER_hh_tesh_in!E26=0,0,SER_hh_tesh_in!E26/SER_summary!E$27)</f>
        <v>19.352138481109879</v>
      </c>
      <c r="F26" s="65">
        <f>IF(SER_hh_tesh_in!F26=0,0,SER_hh_tesh_in!F26/SER_summary!F$27)</f>
        <v>18.651865178082545</v>
      </c>
      <c r="G26" s="65">
        <f>IF(SER_hh_tesh_in!G26=0,0,SER_hh_tesh_in!G26/SER_summary!G$27)</f>
        <v>12.471799354394392</v>
      </c>
      <c r="H26" s="65">
        <f>IF(SER_hh_tesh_in!H26=0,0,SER_hh_tesh_in!H26/SER_summary!H$27)</f>
        <v>18.314615665263879</v>
      </c>
      <c r="I26" s="65">
        <f>IF(SER_hh_tesh_in!I26=0,0,SER_hh_tesh_in!I26/SER_summary!I$27)</f>
        <v>16.008110740046899</v>
      </c>
      <c r="J26" s="65">
        <f>IF(SER_hh_tesh_in!J26=0,0,SER_hh_tesh_in!J26/SER_summary!J$27)</f>
        <v>7.6853093178137719</v>
      </c>
      <c r="K26" s="65">
        <f>IF(SER_hh_tesh_in!K26=0,0,SER_hh_tesh_in!K26/SER_summary!K$27)</f>
        <v>3.6115238986082665</v>
      </c>
      <c r="L26" s="65">
        <f>IF(SER_hh_tesh_in!L26=0,0,SER_hh_tesh_in!L26/SER_summary!L$27)</f>
        <v>3.4110897593968157</v>
      </c>
      <c r="M26" s="65">
        <f>IF(SER_hh_tesh_in!M26=0,0,SER_hh_tesh_in!M26/SER_summary!M$27)</f>
        <v>14.779353185020963</v>
      </c>
      <c r="N26" s="65">
        <f>IF(SER_hh_tesh_in!N26=0,0,SER_hh_tesh_in!N26/SER_summary!N$27)</f>
        <v>10.384956383740919</v>
      </c>
      <c r="O26" s="65">
        <f>IF(SER_hh_tesh_in!O26=0,0,SER_hh_tesh_in!O26/SER_summary!O$27)</f>
        <v>6.7355470572258636</v>
      </c>
      <c r="P26" s="65">
        <f>IF(SER_hh_tesh_in!P26=0,0,SER_hh_tesh_in!P26/SER_summary!P$27)</f>
        <v>10.878686739829615</v>
      </c>
      <c r="Q26" s="65">
        <f>IF(SER_hh_tesh_in!Q26=0,0,SER_hh_tesh_in!Q26/SER_summary!Q$27)</f>
        <v>20.903110955845825</v>
      </c>
      <c r="R26" s="65">
        <f>IF(SER_hh_tesh_in!R26=0,0,SER_hh_tesh_in!R26/SER_summary!R$27)</f>
        <v>4.2413038891110117</v>
      </c>
      <c r="S26" s="65">
        <f>IF(SER_hh_tesh_in!S26=0,0,SER_hh_tesh_in!S26/SER_summary!S$27)</f>
        <v>3.7917814694464815</v>
      </c>
      <c r="T26" s="65">
        <f>IF(SER_hh_tesh_in!T26=0,0,SER_hh_tesh_in!T26/SER_summary!T$27)</f>
        <v>9.4054001710328539</v>
      </c>
      <c r="U26" s="65">
        <f>IF(SER_hh_tesh_in!U26=0,0,SER_hh_tesh_in!U26/SER_summary!U$27)</f>
        <v>3.7425849210381394</v>
      </c>
      <c r="V26" s="65">
        <f>IF(SER_hh_tesh_in!V26=0,0,SER_hh_tesh_in!V26/SER_summary!V$27)</f>
        <v>3.8473956701914145</v>
      </c>
      <c r="W26" s="65">
        <f>IF(SER_hh_tesh_in!W26=0,0,SER_hh_tesh_in!W26/SER_summary!W$27)</f>
        <v>6.1591714822548163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0.35069975604441322</v>
      </c>
      <c r="D27" s="146">
        <f>IF(SER_hh_tesh_in!D27=0,0,SER_hh_tesh_in!D27/SER_summary!D$27)</f>
        <v>0.62157729976095188</v>
      </c>
      <c r="E27" s="146">
        <f>IF(SER_hh_tesh_in!E27=0,0,SER_hh_tesh_in!E27/SER_summary!E$27)</f>
        <v>0.76487554773778055</v>
      </c>
      <c r="F27" s="146">
        <f>IF(SER_hh_tesh_in!F27=0,0,SER_hh_tesh_in!F27/SER_summary!F$27)</f>
        <v>1.3506599332373832</v>
      </c>
      <c r="G27" s="146">
        <f>IF(SER_hh_tesh_in!G27=0,0,SER_hh_tesh_in!G27/SER_summary!G$27)</f>
        <v>4.1876107428863509</v>
      </c>
      <c r="H27" s="146">
        <f>IF(SER_hh_tesh_in!H27=0,0,SER_hh_tesh_in!H27/SER_summary!H$27)</f>
        <v>1.4061242740432736</v>
      </c>
      <c r="I27" s="146">
        <f>IF(SER_hh_tesh_in!I27=0,0,SER_hh_tesh_in!I27/SER_summary!I$27)</f>
        <v>3.4187322441832535</v>
      </c>
      <c r="J27" s="146">
        <f>IF(SER_hh_tesh_in!J27=0,0,SER_hh_tesh_in!J27/SER_summary!J$27)</f>
        <v>7.605679233930803</v>
      </c>
      <c r="K27" s="146">
        <f>IF(SER_hh_tesh_in!K27=0,0,SER_hh_tesh_in!K27/SER_summary!K$27)</f>
        <v>9.7541723154362003</v>
      </c>
      <c r="L27" s="146">
        <f>IF(SER_hh_tesh_in!L27=0,0,SER_hh_tesh_in!L27/SER_summary!L$27)</f>
        <v>10.192738229838858</v>
      </c>
      <c r="M27" s="146">
        <f>IF(SER_hh_tesh_in!M27=0,0,SER_hh_tesh_in!M27/SER_summary!M$27)</f>
        <v>3.317475066745609</v>
      </c>
      <c r="N27" s="146">
        <f>IF(SER_hh_tesh_in!N27=0,0,SER_hh_tesh_in!N27/SER_summary!N$27)</f>
        <v>4.9224295839696275</v>
      </c>
      <c r="O27" s="146">
        <f>IF(SER_hh_tesh_in!O27=0,0,SER_hh_tesh_in!O27/SER_summary!O$27)</f>
        <v>7.1285099593886203</v>
      </c>
      <c r="P27" s="146">
        <f>IF(SER_hh_tesh_in!P27=0,0,SER_hh_tesh_in!P27/SER_summary!P$27)</f>
        <v>6.632020992117047</v>
      </c>
      <c r="Q27" s="146">
        <f>IF(SER_hh_tesh_in!Q27=0,0,SER_hh_tesh_in!Q27/SER_summary!Q$27)</f>
        <v>0.26194207401681108</v>
      </c>
      <c r="R27" s="146">
        <f>IF(SER_hh_tesh_in!R27=0,0,SER_hh_tesh_in!R27/SER_summary!R$27)</f>
        <v>6.8820840966679899</v>
      </c>
      <c r="S27" s="146">
        <f>IF(SER_hh_tesh_in!S27=0,0,SER_hh_tesh_in!S27/SER_summary!S$27)</f>
        <v>7.8961203411071352</v>
      </c>
      <c r="T27" s="146">
        <f>IF(SER_hh_tesh_in!T27=0,0,SER_hh_tesh_in!T27/SER_summary!T$27)</f>
        <v>6.9591564459435116</v>
      </c>
      <c r="U27" s="146">
        <f>IF(SER_hh_tesh_in!U27=0,0,SER_hh_tesh_in!U27/SER_summary!U$27)</f>
        <v>8.4541514570725429</v>
      </c>
      <c r="V27" s="146">
        <f>IF(SER_hh_tesh_in!V27=0,0,SER_hh_tesh_in!V27/SER_summary!V$27)</f>
        <v>7.7810894165765569</v>
      </c>
      <c r="W27" s="146">
        <f>IF(SER_hh_tesh_in!W27=0,0,SER_hh_tesh_in!W27/SER_summary!W$27)</f>
        <v>6.977201054509357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17.443275279637383</v>
      </c>
      <c r="D28" s="147">
        <f>IF(SER_hh_tesh_in!D28=0,0,SER_hh_tesh_in!D28/SER_summary!D$27)</f>
        <v>17.079513643146043</v>
      </c>
      <c r="E28" s="147">
        <f>IF(SER_hh_tesh_in!E28=0,0,SER_hh_tesh_in!E28/SER_summary!E$27)</f>
        <v>17.48476411027875</v>
      </c>
      <c r="F28" s="147">
        <f>IF(SER_hh_tesh_in!F28=0,0,SER_hh_tesh_in!F28/SER_summary!F$27)</f>
        <v>17.053459256076177</v>
      </c>
      <c r="G28" s="147">
        <f>IF(SER_hh_tesh_in!G28=0,0,SER_hh_tesh_in!G28/SER_summary!G$27)</f>
        <v>17.401122454108013</v>
      </c>
      <c r="H28" s="147">
        <f>IF(SER_hh_tesh_in!H28=0,0,SER_hh_tesh_in!H28/SER_summary!H$27)</f>
        <v>17.367376318718875</v>
      </c>
      <c r="I28" s="147">
        <f>IF(SER_hh_tesh_in!I28=0,0,SER_hh_tesh_in!I28/SER_summary!I$27)</f>
        <v>17.727959848385719</v>
      </c>
      <c r="J28" s="147">
        <f>IF(SER_hh_tesh_in!J28=0,0,SER_hh_tesh_in!J28/SER_summary!J$27)</f>
        <v>16.713538016629219</v>
      </c>
      <c r="K28" s="147">
        <f>IF(SER_hh_tesh_in!K28=0,0,SER_hh_tesh_in!K28/SER_summary!K$27)</f>
        <v>17.318753110984247</v>
      </c>
      <c r="L28" s="147">
        <f>IF(SER_hh_tesh_in!L28=0,0,SER_hh_tesh_in!L28/SER_summary!L$27)</f>
        <v>17.697159129811148</v>
      </c>
      <c r="M28" s="147">
        <f>IF(SER_hh_tesh_in!M28=0,0,SER_hh_tesh_in!M28/SER_summary!M$27)</f>
        <v>17.329031939967166</v>
      </c>
      <c r="N28" s="147">
        <f>IF(SER_hh_tesh_in!N28=0,0,SER_hh_tesh_in!N28/SER_summary!N$27)</f>
        <v>17.937999986858262</v>
      </c>
      <c r="O28" s="147">
        <f>IF(SER_hh_tesh_in!O28=0,0,SER_hh_tesh_in!O28/SER_summary!O$27)</f>
        <v>18.600869294119221</v>
      </c>
      <c r="P28" s="147">
        <f>IF(SER_hh_tesh_in!P28=0,0,SER_hh_tesh_in!P28/SER_summary!P$27)</f>
        <v>17.076966309990315</v>
      </c>
      <c r="Q28" s="147">
        <f>IF(SER_hh_tesh_in!Q28=0,0,SER_hh_tesh_in!Q28/SER_summary!Q$27)</f>
        <v>18.389799264808836</v>
      </c>
      <c r="R28" s="147">
        <f>IF(SER_hh_tesh_in!R28=0,0,SER_hh_tesh_in!R28/SER_summary!R$27)</f>
        <v>18.877531569761647</v>
      </c>
      <c r="S28" s="147">
        <f>IF(SER_hh_tesh_in!S28=0,0,SER_hh_tesh_in!S28/SER_summary!S$27)</f>
        <v>18.200367852945043</v>
      </c>
      <c r="T28" s="147">
        <f>IF(SER_hh_tesh_in!T28=0,0,SER_hh_tesh_in!T28/SER_summary!T$27)</f>
        <v>18.685391686548737</v>
      </c>
      <c r="U28" s="147">
        <f>IF(SER_hh_tesh_in!U28=0,0,SER_hh_tesh_in!U28/SER_summary!U$27)</f>
        <v>17.074567561739787</v>
      </c>
      <c r="V28" s="147">
        <f>IF(SER_hh_tesh_in!V28=0,0,SER_hh_tesh_in!V28/SER_summary!V$27)</f>
        <v>15.801020057736244</v>
      </c>
      <c r="W28" s="147">
        <f>IF(SER_hh_tesh_in!W28=0,0,SER_hh_tesh_in!W28/SER_summary!W$27)</f>
        <v>15.812191060537886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21.357047062758809</v>
      </c>
      <c r="D29" s="131">
        <f>IF(SER_hh_tesh_in!D29=0,0,SER_hh_tesh_in!D29/SER_summary!D$27)</f>
        <v>20.679019673049918</v>
      </c>
      <c r="E29" s="131">
        <f>IF(SER_hh_tesh_in!E29=0,0,SER_hh_tesh_in!E29/SER_summary!E$27)</f>
        <v>23.628256920839366</v>
      </c>
      <c r="F29" s="131">
        <f>IF(SER_hh_tesh_in!F29=0,0,SER_hh_tesh_in!F29/SER_summary!F$27)</f>
        <v>23.695660589549355</v>
      </c>
      <c r="G29" s="131">
        <f>IF(SER_hh_tesh_in!G29=0,0,SER_hh_tesh_in!G29/SER_summary!G$27)</f>
        <v>23.719237040942289</v>
      </c>
      <c r="H29" s="131">
        <f>IF(SER_hh_tesh_in!H29=0,0,SER_hh_tesh_in!H29/SER_summary!H$27)</f>
        <v>23.220031134217756</v>
      </c>
      <c r="I29" s="131">
        <f>IF(SER_hh_tesh_in!I29=0,0,SER_hh_tesh_in!I29/SER_summary!I$27)</f>
        <v>24.112876852841023</v>
      </c>
      <c r="J29" s="131">
        <f>IF(SER_hh_tesh_in!J29=0,0,SER_hh_tesh_in!J29/SER_summary!J$27)</f>
        <v>23.768601472227552</v>
      </c>
      <c r="K29" s="131">
        <f>IF(SER_hh_tesh_in!K29=0,0,SER_hh_tesh_in!K29/SER_summary!K$27)</f>
        <v>24.827225889017996</v>
      </c>
      <c r="L29" s="131">
        <f>IF(SER_hh_tesh_in!L29=0,0,SER_hh_tesh_in!L29/SER_summary!L$27)</f>
        <v>24.805257927248459</v>
      </c>
      <c r="M29" s="131">
        <f>IF(SER_hh_tesh_in!M29=0,0,SER_hh_tesh_in!M29/SER_summary!M$27)</f>
        <v>24.805153490313046</v>
      </c>
      <c r="N29" s="131">
        <f>IF(SER_hh_tesh_in!N29=0,0,SER_hh_tesh_in!N29/SER_summary!N$27)</f>
        <v>24.951590421589987</v>
      </c>
      <c r="O29" s="131">
        <f>IF(SER_hh_tesh_in!O29=0,0,SER_hh_tesh_in!O29/SER_summary!O$27)</f>
        <v>25.268457557768123</v>
      </c>
      <c r="P29" s="131">
        <f>IF(SER_hh_tesh_in!P29=0,0,SER_hh_tesh_in!P29/SER_summary!P$27)</f>
        <v>25.431254231451373</v>
      </c>
      <c r="Q29" s="131">
        <f>IF(SER_hh_tesh_in!Q29=0,0,SER_hh_tesh_in!Q29/SER_summary!Q$27)</f>
        <v>25.522791380711698</v>
      </c>
      <c r="R29" s="131">
        <f>IF(SER_hh_tesh_in!R29=0,0,SER_hh_tesh_in!R29/SER_summary!R$27)</f>
        <v>25.638303325459287</v>
      </c>
      <c r="S29" s="131">
        <f>IF(SER_hh_tesh_in!S29=0,0,SER_hh_tesh_in!S29/SER_summary!S$27)</f>
        <v>25.613645673719631</v>
      </c>
      <c r="T29" s="131">
        <f>IF(SER_hh_tesh_in!T29=0,0,SER_hh_tesh_in!T29/SER_summary!T$27)</f>
        <v>25.34230750582428</v>
      </c>
      <c r="U29" s="131">
        <f>IF(SER_hh_tesh_in!U29=0,0,SER_hh_tesh_in!U29/SER_summary!U$27)</f>
        <v>25.383694410766431</v>
      </c>
      <c r="V29" s="131">
        <f>IF(SER_hh_tesh_in!V29=0,0,SER_hh_tesh_in!V29/SER_summary!V$27)</f>
        <v>22.937256651911433</v>
      </c>
      <c r="W29" s="131">
        <f>IF(SER_hh_tesh_in!W29=0,0,SER_hh_tesh_in!W29/SER_summary!W$27)</f>
        <v>24.814591833607444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21.541198733750704</v>
      </c>
      <c r="D30" s="133">
        <f>IF(SER_hh_tesh_in!D30=0,0,SER_hh_tesh_in!D30/SER_summary!D$27)</f>
        <v>22.250989001497526</v>
      </c>
      <c r="E30" s="133">
        <f>IF(SER_hh_tesh_in!E30=0,0,SER_hh_tesh_in!E30/SER_summary!E$27)</f>
        <v>22.70059828722944</v>
      </c>
      <c r="F30" s="133">
        <f>IF(SER_hh_tesh_in!F30=0,0,SER_hh_tesh_in!F30/SER_summary!F$27)</f>
        <v>23.09569122732843</v>
      </c>
      <c r="G30" s="133">
        <f>IF(SER_hh_tesh_in!G30=0,0,SER_hh_tesh_in!G30/SER_summary!G$27)</f>
        <v>23.393166378658794</v>
      </c>
      <c r="H30" s="133">
        <f>IF(SER_hh_tesh_in!H30=0,0,SER_hh_tesh_in!H30/SER_summary!H$27)</f>
        <v>22.6751754088849</v>
      </c>
      <c r="I30" s="133">
        <f>IF(SER_hh_tesh_in!I30=0,0,SER_hh_tesh_in!I30/SER_summary!I$27)</f>
        <v>25.504482532670156</v>
      </c>
      <c r="J30" s="133">
        <f>IF(SER_hh_tesh_in!J30=0,0,SER_hh_tesh_in!J30/SER_summary!J$27)</f>
        <v>19.288169705349063</v>
      </c>
      <c r="K30" s="133">
        <f>IF(SER_hh_tesh_in!K30=0,0,SER_hh_tesh_in!K30/SER_summary!K$27)</f>
        <v>25.282952882111534</v>
      </c>
      <c r="L30" s="133">
        <f>IF(SER_hh_tesh_in!L30=0,0,SER_hh_tesh_in!L30/SER_summary!L$27)</f>
        <v>25.452901826466316</v>
      </c>
      <c r="M30" s="133">
        <f>IF(SER_hh_tesh_in!M30=0,0,SER_hh_tesh_in!M30/SER_summary!M$27)</f>
        <v>25.872184773226408</v>
      </c>
      <c r="N30" s="133">
        <f>IF(SER_hh_tesh_in!N30=0,0,SER_hh_tesh_in!N30/SER_summary!N$27)</f>
        <v>22.727330854070384</v>
      </c>
      <c r="O30" s="133">
        <f>IF(SER_hh_tesh_in!O30=0,0,SER_hh_tesh_in!O30/SER_summary!O$27)</f>
        <v>24.250100595146943</v>
      </c>
      <c r="P30" s="133">
        <f>IF(SER_hh_tesh_in!P30=0,0,SER_hh_tesh_in!P30/SER_summary!P$27)</f>
        <v>26.625520378384628</v>
      </c>
      <c r="Q30" s="133">
        <f>IF(SER_hh_tesh_in!Q30=0,0,SER_hh_tesh_in!Q30/SER_summary!Q$27)</f>
        <v>25.663961560731288</v>
      </c>
      <c r="R30" s="133">
        <f>IF(SER_hh_tesh_in!R30=0,0,SER_hh_tesh_in!R30/SER_summary!R$27)</f>
        <v>25.533574000789567</v>
      </c>
      <c r="S30" s="133">
        <f>IF(SER_hh_tesh_in!S30=0,0,SER_hh_tesh_in!S30/SER_summary!S$27)</f>
        <v>25.880069650687002</v>
      </c>
      <c r="T30" s="133">
        <f>IF(SER_hh_tesh_in!T30=0,0,SER_hh_tesh_in!T30/SER_summary!T$27)</f>
        <v>25.365443148006317</v>
      </c>
      <c r="U30" s="133">
        <f>IF(SER_hh_tesh_in!U30=0,0,SER_hh_tesh_in!U30/SER_summary!U$27)</f>
        <v>24.148500576139561</v>
      </c>
      <c r="V30" s="133">
        <f>IF(SER_hh_tesh_in!V30=0,0,SER_hh_tesh_in!V30/SER_summary!V$27)</f>
        <v>24.325035705863922</v>
      </c>
      <c r="W30" s="133">
        <f>IF(SER_hh_tesh_in!W30=0,0,SER_hh_tesh_in!W30/SER_summary!W$27)</f>
        <v>24.165174477684666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22.321191125516751</v>
      </c>
      <c r="D31" s="133">
        <f>IF(SER_hh_tesh_in!D31=0,0,SER_hh_tesh_in!D31/SER_summary!D$27)</f>
        <v>22.737348650497765</v>
      </c>
      <c r="E31" s="133">
        <f>IF(SER_hh_tesh_in!E31=0,0,SER_hh_tesh_in!E31/SER_summary!E$27)</f>
        <v>20.75910847978529</v>
      </c>
      <c r="F31" s="133">
        <f>IF(SER_hh_tesh_in!F31=0,0,SER_hh_tesh_in!F31/SER_summary!F$27)</f>
        <v>21.186200339206348</v>
      </c>
      <c r="G31" s="133">
        <f>IF(SER_hh_tesh_in!G31=0,0,SER_hh_tesh_in!G31/SER_summary!G$27)</f>
        <v>24.263519592726276</v>
      </c>
      <c r="H31" s="133">
        <f>IF(SER_hh_tesh_in!H31=0,0,SER_hh_tesh_in!H31/SER_summary!H$27)</f>
        <v>22.365269248704628</v>
      </c>
      <c r="I31" s="133">
        <f>IF(SER_hh_tesh_in!I31=0,0,SER_hh_tesh_in!I31/SER_summary!I$27)</f>
        <v>24.224785750324163</v>
      </c>
      <c r="J31" s="133">
        <f>IF(SER_hh_tesh_in!J31=0,0,SER_hh_tesh_in!J31/SER_summary!J$27)</f>
        <v>23.793501679486099</v>
      </c>
      <c r="K31" s="133">
        <f>IF(SER_hh_tesh_in!K31=0,0,SER_hh_tesh_in!K31/SER_summary!K$27)</f>
        <v>24.876551621983463</v>
      </c>
      <c r="L31" s="133">
        <f>IF(SER_hh_tesh_in!L31=0,0,SER_hh_tesh_in!L31/SER_summary!L$27)</f>
        <v>24.745217093570993</v>
      </c>
      <c r="M31" s="133">
        <f>IF(SER_hh_tesh_in!M31=0,0,SER_hh_tesh_in!M31/SER_summary!M$27)</f>
        <v>24.638308249609043</v>
      </c>
      <c r="N31" s="133">
        <f>IF(SER_hh_tesh_in!N31=0,0,SER_hh_tesh_in!N31/SER_summary!N$27)</f>
        <v>24.777766935711171</v>
      </c>
      <c r="O31" s="133">
        <f>IF(SER_hh_tesh_in!O31=0,0,SER_hh_tesh_in!O31/SER_summary!O$27)</f>
        <v>24.87212445099301</v>
      </c>
      <c r="P31" s="133">
        <f>IF(SER_hh_tesh_in!P31=0,0,SER_hh_tesh_in!P31/SER_summary!P$27)</f>
        <v>25.881995033037278</v>
      </c>
      <c r="Q31" s="133">
        <f>IF(SER_hh_tesh_in!Q31=0,0,SER_hh_tesh_in!Q31/SER_summary!Q$27)</f>
        <v>25.595455449094896</v>
      </c>
      <c r="R31" s="133">
        <f>IF(SER_hh_tesh_in!R31=0,0,SER_hh_tesh_in!R31/SER_summary!R$27)</f>
        <v>26.175982108028457</v>
      </c>
      <c r="S31" s="133">
        <f>IF(SER_hh_tesh_in!S31=0,0,SER_hh_tesh_in!S31/SER_summary!S$27)</f>
        <v>25.961623545584953</v>
      </c>
      <c r="T31" s="133">
        <f>IF(SER_hh_tesh_in!T31=0,0,SER_hh_tesh_in!T31/SER_summary!T$27)</f>
        <v>23.896057616511182</v>
      </c>
      <c r="U31" s="133">
        <f>IF(SER_hh_tesh_in!U31=0,0,SER_hh_tesh_in!U31/SER_summary!U$27)</f>
        <v>25.981694711626123</v>
      </c>
      <c r="V31" s="133">
        <f>IF(SER_hh_tesh_in!V31=0,0,SER_hh_tesh_in!V31/SER_summary!V$27)</f>
        <v>23.00943451040358</v>
      </c>
      <c r="W31" s="133">
        <f>IF(SER_hh_tesh_in!W31=0,0,SER_hh_tesh_in!W31/SER_summary!W$27)</f>
        <v>23.663868688869073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20.45356762466065</v>
      </c>
      <c r="D33" s="68">
        <f>IF(SER_hh_tesh_in!D33=0,0,SER_hh_tesh_in!D33/SER_summary!D$27)</f>
        <v>20.337330059253983</v>
      </c>
      <c r="E33" s="68">
        <f>IF(SER_hh_tesh_in!E33=0,0,SER_hh_tesh_in!E33/SER_summary!E$27)</f>
        <v>23.869035447496056</v>
      </c>
      <c r="F33" s="68">
        <f>IF(SER_hh_tesh_in!F33=0,0,SER_hh_tesh_in!F33/SER_summary!F$27)</f>
        <v>24.479921059841804</v>
      </c>
      <c r="G33" s="68">
        <f>IF(SER_hh_tesh_in!G33=0,0,SER_hh_tesh_in!G33/SER_summary!G$27)</f>
        <v>23.086953234404412</v>
      </c>
      <c r="H33" s="68">
        <f>IF(SER_hh_tesh_in!H33=0,0,SER_hh_tesh_in!H33/SER_summary!H$27)</f>
        <v>24.885851288188437</v>
      </c>
      <c r="I33" s="68">
        <f>IF(SER_hh_tesh_in!I33=0,0,SER_hh_tesh_in!I33/SER_summary!I$27)</f>
        <v>22.743333944648839</v>
      </c>
      <c r="J33" s="68">
        <f>IF(SER_hh_tesh_in!J33=0,0,SER_hh_tesh_in!J33/SER_summary!J$27)</f>
        <v>25.951800562384729</v>
      </c>
      <c r="K33" s="68">
        <f>IF(SER_hh_tesh_in!K33=0,0,SER_hh_tesh_in!K33/SER_summary!K$27)</f>
        <v>24.257810902469377</v>
      </c>
      <c r="L33" s="68">
        <f>IF(SER_hh_tesh_in!L33=0,0,SER_hh_tesh_in!L33/SER_summary!L$27)</f>
        <v>24.590255844712601</v>
      </c>
      <c r="M33" s="68">
        <f>IF(SER_hh_tesh_in!M33=0,0,SER_hh_tesh_in!M33/SER_summary!M$27)</f>
        <v>24.725529877523279</v>
      </c>
      <c r="N33" s="68">
        <f>IF(SER_hh_tesh_in!N33=0,0,SER_hh_tesh_in!N33/SER_summary!N$27)</f>
        <v>25.682582437441734</v>
      </c>
      <c r="O33" s="68">
        <f>IF(SER_hh_tesh_in!O33=0,0,SER_hh_tesh_in!O33/SER_summary!O$27)</f>
        <v>26.015778412639946</v>
      </c>
      <c r="P33" s="68">
        <f>IF(SER_hh_tesh_in!P33=0,0,SER_hh_tesh_in!P33/SER_summary!P$27)</f>
        <v>23.981967478141691</v>
      </c>
      <c r="Q33" s="68">
        <f>IF(SER_hh_tesh_in!Q33=0,0,SER_hh_tesh_in!Q33/SER_summary!Q$27)</f>
        <v>25.356979027446428</v>
      </c>
      <c r="R33" s="68">
        <f>IF(SER_hh_tesh_in!R33=0,0,SER_hh_tesh_in!R33/SER_summary!R$27)</f>
        <v>24.769404132163459</v>
      </c>
      <c r="S33" s="68">
        <f>IF(SER_hh_tesh_in!S33=0,0,SER_hh_tesh_in!S33/SER_summary!S$27)</f>
        <v>24.878889628436688</v>
      </c>
      <c r="T33" s="68">
        <f>IF(SER_hh_tesh_in!T33=0,0,SER_hh_tesh_in!T33/SER_summary!T$27)</f>
        <v>29.097651419005672</v>
      </c>
      <c r="U33" s="68">
        <f>IF(SER_hh_tesh_in!U33=0,0,SER_hh_tesh_in!U33/SER_summary!U$27)</f>
        <v>24.362919217829305</v>
      </c>
      <c r="V33" s="68">
        <f>IF(SER_hh_tesh_in!V33=0,0,SER_hh_tesh_in!V33/SER_summary!V$27)</f>
        <v>21.3747414564317</v>
      </c>
      <c r="W33" s="68">
        <f>IF(SER_hh_tesh_in!W33=0,0,SER_hh_tesh_in!W33/SER_summary!W$27)</f>
        <v>27.598868422207516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26.462370028823536</v>
      </c>
      <c r="D3" s="126">
        <f>IF(SER_hh_emih_in!D3=0,0,SER_hh_emih_in!D3/SER_summary!D$27)</f>
        <v>22.486471159222134</v>
      </c>
      <c r="E3" s="126">
        <f>IF(SER_hh_emih_in!E3=0,0,SER_hh_emih_in!E3/SER_summary!E$27)</f>
        <v>30.896752344276134</v>
      </c>
      <c r="F3" s="126">
        <f>IF(SER_hh_emih_in!F3=0,0,SER_hh_emih_in!F3/SER_summary!F$27)</f>
        <v>24.413361335016042</v>
      </c>
      <c r="G3" s="126">
        <f>IF(SER_hh_emih_in!G3=0,0,SER_hh_emih_in!G3/SER_summary!G$27)</f>
        <v>32.037485078515367</v>
      </c>
      <c r="H3" s="126">
        <f>IF(SER_hh_emih_in!H3=0,0,SER_hh_emih_in!H3/SER_summary!H$27)</f>
        <v>30.879615605040069</v>
      </c>
      <c r="I3" s="126">
        <f>IF(SER_hh_emih_in!I3=0,0,SER_hh_emih_in!I3/SER_summary!I$27)</f>
        <v>30.170681172281274</v>
      </c>
      <c r="J3" s="126">
        <f>IF(SER_hh_emih_in!J3=0,0,SER_hh_emih_in!J3/SER_summary!J$27)</f>
        <v>36.163260958489339</v>
      </c>
      <c r="K3" s="126">
        <f>IF(SER_hh_emih_in!K3=0,0,SER_hh_emih_in!K3/SER_summary!K$27)</f>
        <v>30.762545486134343</v>
      </c>
      <c r="L3" s="126">
        <f>IF(SER_hh_emih_in!L3=0,0,SER_hh_emih_in!L3/SER_summary!L$27)</f>
        <v>26.629540431944701</v>
      </c>
      <c r="M3" s="126">
        <f>IF(SER_hh_emih_in!M3=0,0,SER_hh_emih_in!M3/SER_summary!M$27)</f>
        <v>16.768489447094662</v>
      </c>
      <c r="N3" s="126">
        <f>IF(SER_hh_emih_in!N3=0,0,SER_hh_emih_in!N3/SER_summary!N$27)</f>
        <v>16.273260238056462</v>
      </c>
      <c r="O3" s="126">
        <f>IF(SER_hh_emih_in!O3=0,0,SER_hh_emih_in!O3/SER_summary!O$27)</f>
        <v>11.69465143029573</v>
      </c>
      <c r="P3" s="126">
        <f>IF(SER_hh_emih_in!P3=0,0,SER_hh_emih_in!P3/SER_summary!P$27)</f>
        <v>8.4404498107668164</v>
      </c>
      <c r="Q3" s="126">
        <f>IF(SER_hh_emih_in!Q3=0,0,SER_hh_emih_in!Q3/SER_summary!Q$27)</f>
        <v>8.6929919697099685</v>
      </c>
      <c r="R3" s="126">
        <f>IF(SER_hh_emih_in!R3=0,0,SER_hh_emih_in!R3/SER_summary!R$27)</f>
        <v>12.163467610565661</v>
      </c>
      <c r="S3" s="126">
        <f>IF(SER_hh_emih_in!S3=0,0,SER_hh_emih_in!S3/SER_summary!S$27)</f>
        <v>28.673162526431639</v>
      </c>
      <c r="T3" s="126">
        <f>IF(SER_hh_emih_in!T3=0,0,SER_hh_emih_in!T3/SER_summary!T$27)</f>
        <v>29.973453301557985</v>
      </c>
      <c r="U3" s="126">
        <f>IF(SER_hh_emih_in!U3=0,0,SER_hh_emih_in!U3/SER_summary!U$27)</f>
        <v>26.951637688191088</v>
      </c>
      <c r="V3" s="126">
        <f>IF(SER_hh_emih_in!V3=0,0,SER_hh_emih_in!V3/SER_summary!V$27)</f>
        <v>22.769872658100322</v>
      </c>
      <c r="W3" s="126">
        <f>IF(SER_hh_emih_in!W3=0,0,SER_hh_emih_in!W3/SER_summary!W$27)</f>
        <v>17.337054601570618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19.874810695496102</v>
      </c>
      <c r="D4" s="131">
        <f>IF(SER_hh_emih_in!D4=0,0,SER_hh_emih_in!D4/SER_summary!D$27)</f>
        <v>18.556207647437439</v>
      </c>
      <c r="E4" s="131">
        <f>IF(SER_hh_emih_in!E4=0,0,SER_hh_emih_in!E4/SER_summary!E$27)</f>
        <v>26.798672159992126</v>
      </c>
      <c r="F4" s="131">
        <f>IF(SER_hh_emih_in!F4=0,0,SER_hh_emih_in!F4/SER_summary!F$27)</f>
        <v>19.360553393675261</v>
      </c>
      <c r="G4" s="131">
        <f>IF(SER_hh_emih_in!G4=0,0,SER_hh_emih_in!G4/SER_summary!G$27)</f>
        <v>24.020633190874197</v>
      </c>
      <c r="H4" s="131">
        <f>IF(SER_hh_emih_in!H4=0,0,SER_hh_emih_in!H4/SER_summary!H$27)</f>
        <v>23.214965597786545</v>
      </c>
      <c r="I4" s="131">
        <f>IF(SER_hh_emih_in!I4=0,0,SER_hh_emih_in!I4/SER_summary!I$27)</f>
        <v>20.744739221030986</v>
      </c>
      <c r="J4" s="131">
        <f>IF(SER_hh_emih_in!J4=0,0,SER_hh_emih_in!J4/SER_summary!J$27)</f>
        <v>27.288004205948969</v>
      </c>
      <c r="K4" s="131">
        <f>IF(SER_hh_emih_in!K4=0,0,SER_hh_emih_in!K4/SER_summary!K$27)</f>
        <v>21.016409841109763</v>
      </c>
      <c r="L4" s="131">
        <f>IF(SER_hh_emih_in!L4=0,0,SER_hh_emih_in!L4/SER_summary!L$27)</f>
        <v>17.715294576047548</v>
      </c>
      <c r="M4" s="131">
        <f>IF(SER_hh_emih_in!M4=0,0,SER_hh_emih_in!M4/SER_summary!M$27)</f>
        <v>8.5605762065632902</v>
      </c>
      <c r="N4" s="131">
        <f>IF(SER_hh_emih_in!N4=0,0,SER_hh_emih_in!N4/SER_summary!N$27)</f>
        <v>8.3035861386931611</v>
      </c>
      <c r="O4" s="131">
        <f>IF(SER_hh_emih_in!O4=0,0,SER_hh_emih_in!O4/SER_summary!O$27)</f>
        <v>3.849777749554812</v>
      </c>
      <c r="P4" s="131">
        <f>IF(SER_hh_emih_in!P4=0,0,SER_hh_emih_in!P4/SER_summary!P$27)</f>
        <v>0.39269794187695056</v>
      </c>
      <c r="Q4" s="131">
        <f>IF(SER_hh_emih_in!Q4=0,0,SER_hh_emih_in!Q4/SER_summary!Q$27)</f>
        <v>0.43492228094804225</v>
      </c>
      <c r="R4" s="131">
        <f>IF(SER_hh_emih_in!R4=0,0,SER_hh_emih_in!R4/SER_summary!R$27)</f>
        <v>3.2234765998125692</v>
      </c>
      <c r="S4" s="131">
        <f>IF(SER_hh_emih_in!S4=0,0,SER_hh_emih_in!S4/SER_summary!S$27)</f>
        <v>19.858900172742437</v>
      </c>
      <c r="T4" s="131">
        <f>IF(SER_hh_emih_in!T4=0,0,SER_hh_emih_in!T4/SER_summary!T$27)</f>
        <v>21.712758286058811</v>
      </c>
      <c r="U4" s="131">
        <f>IF(SER_hh_emih_in!U4=0,0,SER_hh_emih_in!U4/SER_summary!U$27)</f>
        <v>18.035593883424518</v>
      </c>
      <c r="V4" s="131">
        <f>IF(SER_hh_emih_in!V4=0,0,SER_hh_emih_in!V4/SER_summary!V$27)</f>
        <v>14.486847102397009</v>
      </c>
      <c r="W4" s="131">
        <f>IF(SER_hh_emih_in!W4=0,0,SER_hh_emih_in!W4/SER_summary!W$27)</f>
        <v>9.6094523209088756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34.265651237866066</v>
      </c>
      <c r="D6" s="133">
        <f>IF(SER_hh_emih_in!D6=0,0,SER_hh_emih_in!D6/SER_summary!D$27)</f>
        <v>32.255507752400568</v>
      </c>
      <c r="E6" s="133">
        <f>IF(SER_hh_emih_in!E6=0,0,SER_hh_emih_in!E6/SER_summary!E$27)</f>
        <v>38.674151311359573</v>
      </c>
      <c r="F6" s="133">
        <f>IF(SER_hh_emih_in!F6=0,0,SER_hh_emih_in!F6/SER_summary!F$27)</f>
        <v>39.096010757079284</v>
      </c>
      <c r="G6" s="133">
        <f>IF(SER_hh_emih_in!G6=0,0,SER_hh_emih_in!G6/SER_summary!G$27)</f>
        <v>44.716723467812407</v>
      </c>
      <c r="H6" s="133">
        <f>IF(SER_hh_emih_in!H6=0,0,SER_hh_emih_in!H6/SER_summary!H$27)</f>
        <v>44.482200754814798</v>
      </c>
      <c r="I6" s="133">
        <f>IF(SER_hh_emih_in!I6=0,0,SER_hh_emih_in!I6/SER_summary!I$27)</f>
        <v>41.224177800250921</v>
      </c>
      <c r="J6" s="133">
        <f>IF(SER_hh_emih_in!J6=0,0,SER_hh_emih_in!J6/SER_summary!J$27)</f>
        <v>47.528623306037382</v>
      </c>
      <c r="K6" s="133">
        <f>IF(SER_hh_emih_in!K6=0,0,SER_hh_emih_in!K6/SER_summary!K$27)</f>
        <v>46.961441032546844</v>
      </c>
      <c r="L6" s="133">
        <f>IF(SER_hh_emih_in!L6=0,0,SER_hh_emih_in!L6/SER_summary!L$27)</f>
        <v>47.672445052242566</v>
      </c>
      <c r="M6" s="133">
        <f>IF(SER_hh_emih_in!M6=0,0,SER_hh_emih_in!M6/SER_summary!M$27)</f>
        <v>41.628369981189628</v>
      </c>
      <c r="N6" s="133">
        <f>IF(SER_hh_emih_in!N6=0,0,SER_hh_emih_in!N6/SER_summary!N$27)</f>
        <v>36.874317978921532</v>
      </c>
      <c r="O6" s="133">
        <f>IF(SER_hh_emih_in!O6=0,0,SER_hh_emih_in!O6/SER_summary!O$27)</f>
        <v>38.765273676862478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34.409621652096057</v>
      </c>
      <c r="T6" s="133">
        <f>IF(SER_hh_emih_in!T6=0,0,SER_hh_emih_in!T6/SER_summary!T$27)</f>
        <v>30.689309900490233</v>
      </c>
      <c r="U6" s="133">
        <f>IF(SER_hh_emih_in!U6=0,0,SER_hh_emih_in!U6/SER_summary!U$27)</f>
        <v>29.120405864150758</v>
      </c>
      <c r="V6" s="133">
        <f>IF(SER_hh_emih_in!V6=0,0,SER_hh_emih_in!V6/SER_summary!V$27)</f>
        <v>24.547481423578212</v>
      </c>
      <c r="W6" s="133">
        <f>IF(SER_hh_emih_in!W6=0,0,SER_hh_emih_in!W6/SER_summary!W$27)</f>
        <v>23.314778347081234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30.240533394319115</v>
      </c>
      <c r="D7" s="133">
        <f>IF(SER_hh_emih_in!D7=0,0,SER_hh_emih_in!D7/SER_summary!D$27)</f>
        <v>39.280360221390637</v>
      </c>
      <c r="E7" s="133">
        <f>IF(SER_hh_emih_in!E7=0,0,SER_hh_emih_in!E7/SER_summary!E$27)</f>
        <v>48.636846758173462</v>
      </c>
      <c r="F7" s="133">
        <f>IF(SER_hh_emih_in!F7=0,0,SER_hh_emih_in!F7/SER_summary!F$27)</f>
        <v>50.405002847841772</v>
      </c>
      <c r="G7" s="133">
        <f>IF(SER_hh_emih_in!G7=0,0,SER_hh_emih_in!G7/SER_summary!G$27)</f>
        <v>52.664874603761795</v>
      </c>
      <c r="H7" s="133">
        <f>IF(SER_hh_emih_in!H7=0,0,SER_hh_emih_in!H7/SER_summary!H$27)</f>
        <v>55.309438811917275</v>
      </c>
      <c r="I7" s="133">
        <f>IF(SER_hh_emih_in!I7=0,0,SER_hh_emih_in!I7/SER_summary!I$27)</f>
        <v>53.0521899533327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0</v>
      </c>
      <c r="M7" s="133">
        <f>IF(SER_hh_emih_in!M7=0,0,SER_hh_emih_in!M7/SER_summary!M$27)</f>
        <v>0</v>
      </c>
      <c r="N7" s="133">
        <f>IF(SER_hh_emih_in!N7=0,0,SER_hh_emih_in!N7/SER_summary!N$27)</f>
        <v>48.003029930814613</v>
      </c>
      <c r="O7" s="133">
        <f>IF(SER_hh_emih_in!O7=0,0,SER_hh_emih_in!O7/SER_summary!O$27)</f>
        <v>41.264179928824596</v>
      </c>
      <c r="P7" s="133">
        <f>IF(SER_hh_emih_in!P7=0,0,SER_hh_emih_in!P7/SER_summary!P$27)</f>
        <v>39.649419454651799</v>
      </c>
      <c r="Q7" s="133">
        <f>IF(SER_hh_emih_in!Q7=0,0,SER_hh_emih_in!Q7/SER_summary!Q$27)</f>
        <v>44.756624901478311</v>
      </c>
      <c r="R7" s="133">
        <f>IF(SER_hh_emih_in!R7=0,0,SER_hh_emih_in!R7/SER_summary!R$27)</f>
        <v>45.735883556202616</v>
      </c>
      <c r="S7" s="133">
        <f>IF(SER_hh_emih_in!S7=0,0,SER_hh_emih_in!S7/SER_summary!S$27)</f>
        <v>34.718405589647105</v>
      </c>
      <c r="T7" s="133">
        <f>IF(SER_hh_emih_in!T7=0,0,SER_hh_emih_in!T7/SER_summary!T$27)</f>
        <v>42.611763367288965</v>
      </c>
      <c r="U7" s="133">
        <f>IF(SER_hh_emih_in!U7=0,0,SER_hh_emih_in!U7/SER_summary!U$27)</f>
        <v>31.303579763185262</v>
      </c>
      <c r="V7" s="133">
        <f>IF(SER_hh_emih_in!V7=0,0,SER_hh_emih_in!V7/SER_summary!V$27)</f>
        <v>22.8766651889181</v>
      </c>
      <c r="W7" s="133">
        <f>IF(SER_hh_emih_in!W7=0,0,SER_hh_emih_in!W7/SER_summary!W$27)</f>
        <v>31.856714963169587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9.9414669166741021</v>
      </c>
      <c r="D8" s="133">
        <f>IF(SER_hh_emih_in!D8=0,0,SER_hh_emih_in!D8/SER_summary!D$27)</f>
        <v>9.1029735089742285</v>
      </c>
      <c r="E8" s="133">
        <f>IF(SER_hh_emih_in!E8=0,0,SER_hh_emih_in!E8/SER_summary!E$27)</f>
        <v>10.039475914837221</v>
      </c>
      <c r="F8" s="133">
        <f>IF(SER_hh_emih_in!F8=0,0,SER_hh_emih_in!F8/SER_summary!F$27)</f>
        <v>9.8371406240706047</v>
      </c>
      <c r="G8" s="133">
        <f>IF(SER_hh_emih_in!G8=0,0,SER_hh_emih_in!G8/SER_summary!G$27)</f>
        <v>9.9803847610213392</v>
      </c>
      <c r="H8" s="133">
        <f>IF(SER_hh_emih_in!H8=0,0,SER_hh_emih_in!H8/SER_summary!H$27)</f>
        <v>9.8719234939583185</v>
      </c>
      <c r="I8" s="133">
        <f>IF(SER_hh_emih_in!I8=0,0,SER_hh_emih_in!I8/SER_summary!I$27)</f>
        <v>9.5201467694868303</v>
      </c>
      <c r="J8" s="133">
        <f>IF(SER_hh_emih_in!J8=0,0,SER_hh_emih_in!J8/SER_summary!J$27)</f>
        <v>9.3628243121358921</v>
      </c>
      <c r="K8" s="133">
        <f>IF(SER_hh_emih_in!K8=0,0,SER_hh_emih_in!K8/SER_summary!K$27)</f>
        <v>8.7196986731760884</v>
      </c>
      <c r="L8" s="133">
        <f>IF(SER_hh_emih_in!L8=0,0,SER_hh_emih_in!L8/SER_summary!L$27)</f>
        <v>7.8420875858590673</v>
      </c>
      <c r="M8" s="133">
        <f>IF(SER_hh_emih_in!M8=0,0,SER_hh_emih_in!M8/SER_summary!M$27)</f>
        <v>7.065591057810801</v>
      </c>
      <c r="N8" s="133">
        <f>IF(SER_hh_emih_in!N8=0,0,SER_hh_emih_in!N8/SER_summary!N$27)</f>
        <v>6.4094368281597038</v>
      </c>
      <c r="O8" s="133">
        <f>IF(SER_hh_emih_in!O8=0,0,SER_hh_emih_in!O8/SER_summary!O$27)</f>
        <v>6.1328698823177827</v>
      </c>
      <c r="P8" s="133">
        <f>IF(SER_hh_emih_in!P8=0,0,SER_hh_emih_in!P8/SER_summary!P$27)</f>
        <v>6.0769276476759684</v>
      </c>
      <c r="Q8" s="133">
        <f>IF(SER_hh_emih_in!Q8=0,0,SER_hh_emih_in!Q8/SER_summary!Q$27)</f>
        <v>6.6949941052572601</v>
      </c>
      <c r="R8" s="133">
        <f>IF(SER_hh_emih_in!R8=0,0,SER_hh_emih_in!R8/SER_summary!R$27)</f>
        <v>6.0344779241227577</v>
      </c>
      <c r="S8" s="133">
        <f>IF(SER_hh_emih_in!S8=0,0,SER_hh_emih_in!S8/SER_summary!S$27)</f>
        <v>5.7044491106491595</v>
      </c>
      <c r="T8" s="133">
        <f>IF(SER_hh_emih_in!T8=0,0,SER_hh_emih_in!T8/SER_summary!T$27)</f>
        <v>5.3312757088997316</v>
      </c>
      <c r="U8" s="133">
        <f>IF(SER_hh_emih_in!U8=0,0,SER_hh_emih_in!U8/SER_summary!U$27)</f>
        <v>4.6501682413881662</v>
      </c>
      <c r="V8" s="133">
        <f>IF(SER_hh_emih_in!V8=0,0,SER_hh_emih_in!V8/SER_summary!V$27)</f>
        <v>4.052236269799776</v>
      </c>
      <c r="W8" s="133">
        <f>IF(SER_hh_emih_in!W8=0,0,SER_hh_emih_in!W8/SER_summary!W$27)</f>
        <v>3.205672872934239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28.393889924103011</v>
      </c>
      <c r="D9" s="133">
        <f>IF(SER_hh_emih_in!D9=0,0,SER_hh_emih_in!D9/SER_summary!D$27)</f>
        <v>25.384333508070462</v>
      </c>
      <c r="E9" s="133">
        <f>IF(SER_hh_emih_in!E9=0,0,SER_hh_emih_in!E9/SER_summary!E$27)</f>
        <v>30.34125111782441</v>
      </c>
      <c r="F9" s="133">
        <f>IF(SER_hh_emih_in!F9=0,0,SER_hh_emih_in!F9/SER_summary!F$27)</f>
        <v>30.119085689783791</v>
      </c>
      <c r="G9" s="133">
        <f>IF(SER_hh_emih_in!G9=0,0,SER_hh_emih_in!G9/SER_summary!G$27)</f>
        <v>36.465131481959425</v>
      </c>
      <c r="H9" s="133">
        <f>IF(SER_hh_emih_in!H9=0,0,SER_hh_emih_in!H9/SER_summary!H$27)</f>
        <v>36.203057061907025</v>
      </c>
      <c r="I9" s="133">
        <f>IF(SER_hh_emih_in!I9=0,0,SER_hh_emih_in!I9/SER_summary!I$27)</f>
        <v>31.408773107610948</v>
      </c>
      <c r="J9" s="133">
        <f>IF(SER_hh_emih_in!J9=0,0,SER_hh_emih_in!J9/SER_summary!J$27)</f>
        <v>38.79980908479763</v>
      </c>
      <c r="K9" s="133">
        <f>IF(SER_hh_emih_in!K9=0,0,SER_hh_emih_in!K9/SER_summary!K$27)</f>
        <v>37.791647347613946</v>
      </c>
      <c r="L9" s="133">
        <f>IF(SER_hh_emih_in!L9=0,0,SER_hh_emih_in!L9/SER_summary!L$27)</f>
        <v>37.486565618389854</v>
      </c>
      <c r="M9" s="133">
        <f>IF(SER_hh_emih_in!M9=0,0,SER_hh_emih_in!M9/SER_summary!M$27)</f>
        <v>30.544904031572234</v>
      </c>
      <c r="N9" s="133">
        <f>IF(SER_hh_emih_in!N9=0,0,SER_hh_emih_in!N9/SER_summary!N$27)</f>
        <v>31.226285039379889</v>
      </c>
      <c r="O9" s="133">
        <f>IF(SER_hh_emih_in!O9=0,0,SER_hh_emih_in!O9/SER_summary!O$27)</f>
        <v>32.311759888948615</v>
      </c>
      <c r="P9" s="133">
        <f>IF(SER_hh_emih_in!P9=0,0,SER_hh_emih_in!P9/SER_summary!P$27)</f>
        <v>0</v>
      </c>
      <c r="Q9" s="133">
        <f>IF(SER_hh_emih_in!Q9=0,0,SER_hh_emih_in!Q9/SER_summary!Q$27)</f>
        <v>0</v>
      </c>
      <c r="R9" s="133">
        <f>IF(SER_hh_emih_in!R9=0,0,SER_hh_emih_in!R9/SER_summary!R$27)</f>
        <v>27.92645983526365</v>
      </c>
      <c r="S9" s="133">
        <f>IF(SER_hh_emih_in!S9=0,0,SER_hh_emih_in!S9/SER_summary!S$27)</f>
        <v>26.14528538026455</v>
      </c>
      <c r="T9" s="133">
        <f>IF(SER_hh_emih_in!T9=0,0,SER_hh_emih_in!T9/SER_summary!T$27)</f>
        <v>27.720757008033214</v>
      </c>
      <c r="U9" s="133">
        <f>IF(SER_hh_emih_in!U9=0,0,SER_hh_emih_in!U9/SER_summary!U$27)</f>
        <v>24.484476214465019</v>
      </c>
      <c r="V9" s="133">
        <f>IF(SER_hh_emih_in!V9=0,0,SER_hh_emih_in!V9/SER_summary!V$27)</f>
        <v>20.857783299150547</v>
      </c>
      <c r="W9" s="133">
        <f>IF(SER_hh_emih_in!W9=0,0,SER_hh_emih_in!W9/SER_summary!W$27)</f>
        <v>14.67554040237725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2.9816826286179203E-2</v>
      </c>
      <c r="D16" s="131">
        <f>IF(SER_hh_emih_in!D16=0,0,SER_hh_emih_in!D16/SER_summary!D$27)</f>
        <v>7.6603251661441357E-3</v>
      </c>
      <c r="E16" s="131">
        <f>IF(SER_hh_emih_in!E16=0,0,SER_hh_emih_in!E16/SER_summary!E$27)</f>
        <v>5.9996511577325232E-2</v>
      </c>
      <c r="F16" s="131">
        <f>IF(SER_hh_emih_in!F16=0,0,SER_hh_emih_in!F16/SER_summary!F$27)</f>
        <v>2.9595300148717103E-2</v>
      </c>
      <c r="G16" s="131">
        <f>IF(SER_hh_emih_in!G16=0,0,SER_hh_emih_in!G16/SER_summary!G$27)</f>
        <v>1.9179353064565124E-2</v>
      </c>
      <c r="H16" s="131">
        <f>IF(SER_hh_emih_in!H16=0,0,SER_hh_emih_in!H16/SER_summary!H$27)</f>
        <v>3.0201755845525119E-2</v>
      </c>
      <c r="I16" s="131">
        <f>IF(SER_hh_emih_in!I16=0,0,SER_hh_emih_in!I16/SER_summary!I$27)</f>
        <v>2.6779424236429115E-2</v>
      </c>
      <c r="J16" s="131">
        <f>IF(SER_hh_emih_in!J16=0,0,SER_hh_emih_in!J16/SER_summary!J$27)</f>
        <v>4.1100160015912171E-2</v>
      </c>
      <c r="K16" s="131">
        <f>IF(SER_hh_emih_in!K16=0,0,SER_hh_emih_in!K16/SER_summary!K$27)</f>
        <v>7.1173726509327281E-2</v>
      </c>
      <c r="L16" s="131">
        <f>IF(SER_hh_emih_in!L16=0,0,SER_hh_emih_in!L16/SER_summary!L$27)</f>
        <v>4.8576626937358973E-2</v>
      </c>
      <c r="M16" s="131">
        <f>IF(SER_hh_emih_in!M16=0,0,SER_hh_emih_in!M16/SER_summary!M$27)</f>
        <v>4.3266640222629549E-2</v>
      </c>
      <c r="N16" s="131">
        <f>IF(SER_hh_emih_in!N16=0,0,SER_hh_emih_in!N16/SER_summary!N$27)</f>
        <v>6.6528265356858712E-2</v>
      </c>
      <c r="O16" s="131">
        <f>IF(SER_hh_emih_in!O16=0,0,SER_hh_emih_in!O16/SER_summary!O$27)</f>
        <v>5.8600339335929195E-2</v>
      </c>
      <c r="P16" s="131">
        <f>IF(SER_hh_emih_in!P16=0,0,SER_hh_emih_in!P16/SER_summary!P$27)</f>
        <v>4.5172747681927493E-2</v>
      </c>
      <c r="Q16" s="131">
        <f>IF(SER_hh_emih_in!Q16=0,0,SER_hh_emih_in!Q16/SER_summary!Q$27)</f>
        <v>7.2615383504364209E-2</v>
      </c>
      <c r="R16" s="131">
        <f>IF(SER_hh_emih_in!R16=0,0,SER_hh_emih_in!R16/SER_summary!R$27)</f>
        <v>5.9939235317051712E-2</v>
      </c>
      <c r="S16" s="131">
        <f>IF(SER_hh_emih_in!S16=0,0,SER_hh_emih_in!S16/SER_summary!S$27)</f>
        <v>6.7107276336756741E-2</v>
      </c>
      <c r="T16" s="131">
        <f>IF(SER_hh_emih_in!T16=0,0,SER_hh_emih_in!T16/SER_summary!T$27)</f>
        <v>4.8051744713924087E-2</v>
      </c>
      <c r="U16" s="131">
        <f>IF(SER_hh_emih_in!U16=0,0,SER_hh_emih_in!U16/SER_summary!U$27)</f>
        <v>6.4079961218863751E-2</v>
      </c>
      <c r="V16" s="131">
        <f>IF(SER_hh_emih_in!V16=0,0,SER_hh_emih_in!V16/SER_summary!V$27)</f>
        <v>5.7151729680509938E-2</v>
      </c>
      <c r="W16" s="131">
        <f>IF(SER_hh_emih_in!W16=0,0,SER_hh_emih_in!W16/SER_summary!W$27)</f>
        <v>3.5227768531252347E-2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4.3396215334041841</v>
      </c>
      <c r="D17" s="133">
        <f>IF(SER_hh_emih_in!D17=0,0,SER_hh_emih_in!D17/SER_summary!D$27)</f>
        <v>3.7804868487216976</v>
      </c>
      <c r="E17" s="133">
        <f>IF(SER_hh_emih_in!E17=0,0,SER_hh_emih_in!E17/SER_summary!E$27)</f>
        <v>8.7108215441346832</v>
      </c>
      <c r="F17" s="133">
        <f>IF(SER_hh_emih_in!F17=0,0,SER_hh_emih_in!F17/SER_summary!F$27)</f>
        <v>3.8859503783802376</v>
      </c>
      <c r="G17" s="133">
        <f>IF(SER_hh_emih_in!G17=0,0,SER_hh_emih_in!G17/SER_summary!G$27)</f>
        <v>3.8562283554801233</v>
      </c>
      <c r="H17" s="133">
        <f>IF(SER_hh_emih_in!H17=0,0,SER_hh_emih_in!H17/SER_summary!H$27)</f>
        <v>4.4940668183263615</v>
      </c>
      <c r="I17" s="133">
        <f>IF(SER_hh_emih_in!I17=0,0,SER_hh_emih_in!I17/SER_summary!I$27)</f>
        <v>4.0906818516934038</v>
      </c>
      <c r="J17" s="133">
        <f>IF(SER_hh_emih_in!J17=0,0,SER_hh_emih_in!J17/SER_summary!J$27)</f>
        <v>4.739230126356242</v>
      </c>
      <c r="K17" s="133">
        <f>IF(SER_hh_emih_in!K17=0,0,SER_hh_emih_in!K17/SER_summary!K$27)</f>
        <v>4.7686537192442815</v>
      </c>
      <c r="L17" s="133">
        <f>IF(SER_hh_emih_in!L17=0,0,SER_hh_emih_in!L17/SER_summary!L$27)</f>
        <v>3.8065540647029983</v>
      </c>
      <c r="M17" s="133">
        <f>IF(SER_hh_emih_in!M17=0,0,SER_hh_emih_in!M17/SER_summary!M$27)</f>
        <v>4.0330511744953004</v>
      </c>
      <c r="N17" s="133">
        <f>IF(SER_hh_emih_in!N17=0,0,SER_hh_emih_in!N17/SER_summary!N$27)</f>
        <v>6.1532953906363534</v>
      </c>
      <c r="O17" s="133">
        <f>IF(SER_hh_emih_in!O17=0,0,SER_hh_emih_in!O17/SER_summary!O$27)</f>
        <v>3.5099237547965254</v>
      </c>
      <c r="P17" s="133">
        <f>IF(SER_hh_emih_in!P17=0,0,SER_hh_emih_in!P17/SER_summary!P$27)</f>
        <v>2.9007184772126742</v>
      </c>
      <c r="Q17" s="133">
        <f>IF(SER_hh_emih_in!Q17=0,0,SER_hh_emih_in!Q17/SER_summary!Q$27)</f>
        <v>4.9104050131701893</v>
      </c>
      <c r="R17" s="133">
        <f>IF(SER_hh_emih_in!R17=0,0,SER_hh_emih_in!R17/SER_summary!R$27)</f>
        <v>3.0410477369557793</v>
      </c>
      <c r="S17" s="133">
        <f>IF(SER_hh_emih_in!S17=0,0,SER_hh_emih_in!S17/SER_summary!S$27)</f>
        <v>4.3549666585345799</v>
      </c>
      <c r="T17" s="133">
        <f>IF(SER_hh_emih_in!T17=0,0,SER_hh_emih_in!T17/SER_summary!T$27)</f>
        <v>3.1092506980332022</v>
      </c>
      <c r="U17" s="133">
        <f>IF(SER_hh_emih_in!U17=0,0,SER_hh_emih_in!U17/SER_summary!U$27)</f>
        <v>3.8063860938242415</v>
      </c>
      <c r="V17" s="133">
        <f>IF(SER_hh_emih_in!V17=0,0,SER_hh_emih_in!V17/SER_summary!V$27)</f>
        <v>2.5403091737794732</v>
      </c>
      <c r="W17" s="133">
        <f>IF(SER_hh_emih_in!W17=0,0,SER_hh_emih_in!W17/SER_summary!W$27)</f>
        <v>2.6629539191196052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2.6570091145053847</v>
      </c>
      <c r="D19" s="131">
        <f>IF(SER_hh_emih_in!D19=0,0,SER_hh_emih_in!D19/SER_summary!D$27)</f>
        <v>2.5954109022769787</v>
      </c>
      <c r="E19" s="131">
        <f>IF(SER_hh_emih_in!E19=0,0,SER_hh_emih_in!E19/SER_summary!E$27)</f>
        <v>2.9047719955878746</v>
      </c>
      <c r="F19" s="131">
        <f>IF(SER_hh_emih_in!F19=0,0,SER_hh_emih_in!F19/SER_summary!F$27)</f>
        <v>3.0041249424683221</v>
      </c>
      <c r="G19" s="131">
        <f>IF(SER_hh_emih_in!G19=0,0,SER_hh_emih_in!G19/SER_summary!G$27)</f>
        <v>3.429896311524633</v>
      </c>
      <c r="H19" s="131">
        <f>IF(SER_hh_emih_in!H19=0,0,SER_hh_emih_in!H19/SER_summary!H$27)</f>
        <v>2.8281715696445189</v>
      </c>
      <c r="I19" s="131">
        <f>IF(SER_hh_emih_in!I19=0,0,SER_hh_emih_in!I19/SER_summary!I$27)</f>
        <v>2.6962704438789622</v>
      </c>
      <c r="J19" s="131">
        <f>IF(SER_hh_emih_in!J19=0,0,SER_hh_emih_in!J19/SER_summary!J$27)</f>
        <v>3.0547126124349497</v>
      </c>
      <c r="K19" s="131">
        <f>IF(SER_hh_emih_in!K19=0,0,SER_hh_emih_in!K19/SER_summary!K$27)</f>
        <v>2.9241943037437803</v>
      </c>
      <c r="L19" s="131">
        <f>IF(SER_hh_emih_in!L19=0,0,SER_hh_emih_in!L19/SER_summary!L$27)</f>
        <v>2.7647678057409069</v>
      </c>
      <c r="M19" s="131">
        <f>IF(SER_hh_emih_in!M19=0,0,SER_hh_emih_in!M19/SER_summary!M$27)</f>
        <v>3.034068135586466</v>
      </c>
      <c r="N19" s="131">
        <f>IF(SER_hh_emih_in!N19=0,0,SER_hh_emih_in!N19/SER_summary!N$27)</f>
        <v>3.1347220669149234</v>
      </c>
      <c r="O19" s="131">
        <f>IF(SER_hh_emih_in!O19=0,0,SER_hh_emih_in!O19/SER_summary!O$27)</f>
        <v>3.0107807881800652</v>
      </c>
      <c r="P19" s="131">
        <f>IF(SER_hh_emih_in!P19=0,0,SER_hh_emih_in!P19/SER_summary!P$27)</f>
        <v>1.9586247293605274</v>
      </c>
      <c r="Q19" s="131">
        <f>IF(SER_hh_emih_in!Q19=0,0,SER_hh_emih_in!Q19/SER_summary!Q$27)</f>
        <v>2.6570840646967522</v>
      </c>
      <c r="R19" s="131">
        <f>IF(SER_hh_emih_in!R19=0,0,SER_hh_emih_in!R19/SER_summary!R$27)</f>
        <v>3.2502185386257882</v>
      </c>
      <c r="S19" s="131">
        <f>IF(SER_hh_emih_in!S19=0,0,SER_hh_emih_in!S19/SER_summary!S$27)</f>
        <v>2.9876358996142476</v>
      </c>
      <c r="T19" s="131">
        <f>IF(SER_hh_emih_in!T19=0,0,SER_hh_emih_in!T19/SER_summary!T$27)</f>
        <v>2.318686313395725</v>
      </c>
      <c r="U19" s="131">
        <f>IF(SER_hh_emih_in!U19=0,0,SER_hh_emih_in!U19/SER_summary!U$27)</f>
        <v>2.3507943355235512</v>
      </c>
      <c r="V19" s="131">
        <f>IF(SER_hh_emih_in!V19=0,0,SER_hh_emih_in!V19/SER_summary!V$27)</f>
        <v>1.9925337210302299</v>
      </c>
      <c r="W19" s="131">
        <f>IF(SER_hh_emih_in!W19=0,0,SER_hh_emih_in!W19/SER_summary!W$27)</f>
        <v>2.0858510011238249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8.1975843257089807</v>
      </c>
      <c r="D21" s="133">
        <f>IF(SER_hh_emih_in!D21=0,0,SER_hh_emih_in!D21/SER_summary!D$27)</f>
        <v>8.0458780196523509</v>
      </c>
      <c r="E21" s="133">
        <f>IF(SER_hh_emih_in!E21=0,0,SER_hh_emih_in!E21/SER_summary!E$27)</f>
        <v>7.8279106007473285</v>
      </c>
      <c r="F21" s="133">
        <f>IF(SER_hh_emih_in!F21=0,0,SER_hh_emih_in!F21/SER_summary!F$27)</f>
        <v>7.9152296500755295</v>
      </c>
      <c r="G21" s="133">
        <f>IF(SER_hh_emih_in!G21=0,0,SER_hh_emih_in!G21/SER_summary!G$27)</f>
        <v>7.7558929555691902</v>
      </c>
      <c r="H21" s="133">
        <f>IF(SER_hh_emih_in!H21=0,0,SER_hh_emih_in!H21/SER_summary!H$27)</f>
        <v>8.0895908024495711</v>
      </c>
      <c r="I21" s="133">
        <f>IF(SER_hh_emih_in!I21=0,0,SER_hh_emih_in!I21/SER_summary!I$27)</f>
        <v>7.52479804475138</v>
      </c>
      <c r="J21" s="133">
        <f>IF(SER_hh_emih_in!J21=0,0,SER_hh_emih_in!J21/SER_summary!J$27)</f>
        <v>7.2638041010895433</v>
      </c>
      <c r="K21" s="133">
        <f>IF(SER_hh_emih_in!K21=0,0,SER_hh_emih_in!K21/SER_summary!K$27)</f>
        <v>6.8356832073810585</v>
      </c>
      <c r="L21" s="133">
        <f>IF(SER_hh_emih_in!L21=0,0,SER_hh_emih_in!L21/SER_summary!L$27)</f>
        <v>6.6769562735090791</v>
      </c>
      <c r="M21" s="133">
        <f>IF(SER_hh_emih_in!M21=0,0,SER_hh_emih_in!M21/SER_summary!M$27)</f>
        <v>7.994819757648834</v>
      </c>
      <c r="N21" s="133">
        <f>IF(SER_hh_emih_in!N21=0,0,SER_hh_emih_in!N21/SER_summary!N$27)</f>
        <v>7.2120069911070264</v>
      </c>
      <c r="O21" s="133">
        <f>IF(SER_hh_emih_in!O21=0,0,SER_hh_emih_in!O21/SER_summary!O$27)</f>
        <v>7.4102700661697289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6.5910905546658718</v>
      </c>
      <c r="S21" s="133">
        <f>IF(SER_hh_emih_in!S21=0,0,SER_hh_emih_in!S21/SER_summary!S$27)</f>
        <v>6.3890127354210637</v>
      </c>
      <c r="T21" s="133">
        <f>IF(SER_hh_emih_in!T21=0,0,SER_hh_emih_in!T21/SER_summary!T$27)</f>
        <v>5.7956546084697278</v>
      </c>
      <c r="U21" s="133">
        <f>IF(SER_hh_emih_in!U21=0,0,SER_hh_emih_in!U21/SER_summary!U$27)</f>
        <v>5.0347734783891385</v>
      </c>
      <c r="V21" s="133">
        <f>IF(SER_hh_emih_in!V21=0,0,SER_hh_emih_in!V21/SER_summary!V$27)</f>
        <v>4.9036139735439948</v>
      </c>
      <c r="W21" s="133">
        <f>IF(SER_hh_emih_in!W21=0,0,SER_hh_emih_in!W21/SER_summary!W$27)</f>
        <v>5.2060220049668793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10.149206084421582</v>
      </c>
      <c r="D22" s="133">
        <f>IF(SER_hh_emih_in!D22=0,0,SER_hh_emih_in!D22/SER_summary!D$27)</f>
        <v>0</v>
      </c>
      <c r="E22" s="133">
        <f>IF(SER_hh_emih_in!E22=0,0,SER_hh_emih_in!E22/SER_summary!E$27)</f>
        <v>0</v>
      </c>
      <c r="F22" s="133">
        <f>IF(SER_hh_emih_in!F22=0,0,SER_hh_emih_in!F22/SER_summary!F$27)</f>
        <v>0</v>
      </c>
      <c r="G22" s="133">
        <f>IF(SER_hh_emih_in!G22=0,0,SER_hh_emih_in!G22/SER_summary!G$27)</f>
        <v>8.2494437875248323</v>
      </c>
      <c r="H22" s="133">
        <f>IF(SER_hh_emih_in!H22=0,0,SER_hh_emih_in!H22/SER_summary!H$27)</f>
        <v>9.8384741481137077</v>
      </c>
      <c r="I22" s="133">
        <f>IF(SER_hh_emih_in!I22=0,0,SER_hh_emih_in!I22/SER_summary!I$27)</f>
        <v>9.6734982550549748</v>
      </c>
      <c r="J22" s="133">
        <f>IF(SER_hh_emih_in!J22=0,0,SER_hh_emih_in!J22/SER_summary!J$27)</f>
        <v>9.4596981430383291</v>
      </c>
      <c r="K22" s="133">
        <f>IF(SER_hh_emih_in!K22=0,0,SER_hh_emih_in!K22/SER_summary!K$27)</f>
        <v>8.8173171969585162</v>
      </c>
      <c r="L22" s="133">
        <f>IF(SER_hh_emih_in!L22=0,0,SER_hh_emih_in!L22/SER_summary!L$27)</f>
        <v>8.3030959510984044</v>
      </c>
      <c r="M22" s="133">
        <f>IF(SER_hh_emih_in!M22=0,0,SER_hh_emih_in!M22/SER_summary!M$27)</f>
        <v>9.2812953102947642</v>
      </c>
      <c r="N22" s="133">
        <f>IF(SER_hh_emih_in!N22=0,0,SER_hh_emih_in!N22/SER_summary!N$27)</f>
        <v>9.0209452259947689</v>
      </c>
      <c r="O22" s="133">
        <f>IF(SER_hh_emih_in!O22=0,0,SER_hh_emih_in!O22/SER_summary!O$27)</f>
        <v>8.997873055657017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0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4.4388965105565967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7.0052125854056904</v>
      </c>
      <c r="D23" s="133">
        <f>IF(SER_hh_emih_in!D23=0,0,SER_hh_emih_in!D23/SER_summary!D$27)</f>
        <v>6.9915935077312117</v>
      </c>
      <c r="E23" s="133">
        <f>IF(SER_hh_emih_in!E23=0,0,SER_hh_emih_in!E23/SER_summary!E$27)</f>
        <v>6.8824964928190981</v>
      </c>
      <c r="F23" s="133">
        <f>IF(SER_hh_emih_in!F23=0,0,SER_hh_emih_in!F23/SER_summary!F$27)</f>
        <v>6.7793060952693285</v>
      </c>
      <c r="G23" s="133">
        <f>IF(SER_hh_emih_in!G23=0,0,SER_hh_emih_in!G23/SER_summary!G$27)</f>
        <v>6.5985764919150443</v>
      </c>
      <c r="H23" s="133">
        <f>IF(SER_hh_emih_in!H23=0,0,SER_hh_emih_in!H23/SER_summary!H$27)</f>
        <v>6.6649371384800613</v>
      </c>
      <c r="I23" s="133">
        <f>IF(SER_hh_emih_in!I23=0,0,SER_hh_emih_in!I23/SER_summary!I$27)</f>
        <v>6.5076062769812415</v>
      </c>
      <c r="J23" s="133">
        <f>IF(SER_hh_emih_in!J23=0,0,SER_hh_emih_in!J23/SER_summary!J$27)</f>
        <v>6.2345428987167795</v>
      </c>
      <c r="K23" s="133">
        <f>IF(SER_hh_emih_in!K23=0,0,SER_hh_emih_in!K23/SER_summary!K$27)</f>
        <v>5.8311693242552849</v>
      </c>
      <c r="L23" s="133">
        <f>IF(SER_hh_emih_in!L23=0,0,SER_hh_emih_in!L23/SER_summary!L$27)</f>
        <v>5.8329367599619468</v>
      </c>
      <c r="M23" s="133">
        <f>IF(SER_hh_emih_in!M23=0,0,SER_hh_emih_in!M23/SER_summary!M$27)</f>
        <v>6.3754738363939119</v>
      </c>
      <c r="N23" s="133">
        <f>IF(SER_hh_emih_in!N23=0,0,SER_hh_emih_in!N23/SER_summary!N$27)</f>
        <v>6.2335466208694932</v>
      </c>
      <c r="O23" s="133">
        <f>IF(SER_hh_emih_in!O23=0,0,SER_hh_emih_in!O23/SER_summary!O$27)</f>
        <v>6.0909430351270109</v>
      </c>
      <c r="P23" s="133">
        <f>IF(SER_hh_emih_in!P23=0,0,SER_hh_emih_in!P23/SER_summary!P$27)</f>
        <v>5.8713000274638247</v>
      </c>
      <c r="Q23" s="133">
        <f>IF(SER_hh_emih_in!Q23=0,0,SER_hh_emih_in!Q23/SER_summary!Q$27)</f>
        <v>5.6758097748145451</v>
      </c>
      <c r="R23" s="133">
        <f>IF(SER_hh_emih_in!R23=0,0,SER_hh_emih_in!R23/SER_summary!R$27)</f>
        <v>5.4888725374582803</v>
      </c>
      <c r="S23" s="133">
        <f>IF(SER_hh_emih_in!S23=0,0,SER_hh_emih_in!S23/SER_summary!S$27)</f>
        <v>4.9275087114660518</v>
      </c>
      <c r="T23" s="133">
        <f>IF(SER_hh_emih_in!T23=0,0,SER_hh_emih_in!T23/SER_summary!T$27)</f>
        <v>4.6695997287966016</v>
      </c>
      <c r="U23" s="133">
        <f>IF(SER_hh_emih_in!U23=0,0,SER_hh_emih_in!U23/SER_summary!U$27)</f>
        <v>4.560882388731379</v>
      </c>
      <c r="V23" s="133">
        <f>IF(SER_hh_emih_in!V23=0,0,SER_hh_emih_in!V23/SER_summary!V$27)</f>
        <v>4.3964048300399305</v>
      </c>
      <c r="W23" s="133">
        <f>IF(SER_hh_emih_in!W23=0,0,SER_hh_emih_in!W23/SER_summary!W$27)</f>
        <v>4.8762807474847136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3.900733392535868</v>
      </c>
      <c r="D29" s="131">
        <f>IF(SER_hh_emih_in!D29=0,0,SER_hh_emih_in!D29/SER_summary!D$27)</f>
        <v>1.3271922843415671</v>
      </c>
      <c r="E29" s="131">
        <f>IF(SER_hh_emih_in!E29=0,0,SER_hh_emih_in!E29/SER_summary!E$27)</f>
        <v>1.1333116771188072</v>
      </c>
      <c r="F29" s="131">
        <f>IF(SER_hh_emih_in!F29=0,0,SER_hh_emih_in!F29/SER_summary!F$27)</f>
        <v>2.0190876987237427</v>
      </c>
      <c r="G29" s="131">
        <f>IF(SER_hh_emih_in!G29=0,0,SER_hh_emih_in!G29/SER_summary!G$27)</f>
        <v>4.5677762230519754</v>
      </c>
      <c r="H29" s="131">
        <f>IF(SER_hh_emih_in!H29=0,0,SER_hh_emih_in!H29/SER_summary!H$27)</f>
        <v>4.8062766817634808</v>
      </c>
      <c r="I29" s="131">
        <f>IF(SER_hh_emih_in!I29=0,0,SER_hh_emih_in!I29/SER_summary!I$27)</f>
        <v>6.7028920831349001</v>
      </c>
      <c r="J29" s="131">
        <f>IF(SER_hh_emih_in!J29=0,0,SER_hh_emih_in!J29/SER_summary!J$27)</f>
        <v>5.7794439800895159</v>
      </c>
      <c r="K29" s="131">
        <f>IF(SER_hh_emih_in!K29=0,0,SER_hh_emih_in!K29/SER_summary!K$27)</f>
        <v>6.7507676147714752</v>
      </c>
      <c r="L29" s="131">
        <f>IF(SER_hh_emih_in!L29=0,0,SER_hh_emih_in!L29/SER_summary!L$27)</f>
        <v>6.1009014232188878</v>
      </c>
      <c r="M29" s="131">
        <f>IF(SER_hh_emih_in!M29=0,0,SER_hh_emih_in!M29/SER_summary!M$27)</f>
        <v>5.1305784647222774</v>
      </c>
      <c r="N29" s="131">
        <f>IF(SER_hh_emih_in!N29=0,0,SER_hh_emih_in!N29/SER_summary!N$27)</f>
        <v>4.7684237670915195</v>
      </c>
      <c r="O29" s="131">
        <f>IF(SER_hh_emih_in!O29=0,0,SER_hh_emih_in!O29/SER_summary!O$27)</f>
        <v>4.7754925532249235</v>
      </c>
      <c r="P29" s="131">
        <f>IF(SER_hh_emih_in!P29=0,0,SER_hh_emih_in!P29/SER_summary!P$27)</f>
        <v>6.0439543918474099</v>
      </c>
      <c r="Q29" s="131">
        <f>IF(SER_hh_emih_in!Q29=0,0,SER_hh_emih_in!Q29/SER_summary!Q$27)</f>
        <v>5.5283702405608102</v>
      </c>
      <c r="R29" s="131">
        <f>IF(SER_hh_emih_in!R29=0,0,SER_hh_emih_in!R29/SER_summary!R$27)</f>
        <v>5.6298332368102519</v>
      </c>
      <c r="S29" s="131">
        <f>IF(SER_hh_emih_in!S29=0,0,SER_hh_emih_in!S29/SER_summary!S$27)</f>
        <v>5.7595191777381993</v>
      </c>
      <c r="T29" s="131">
        <f>IF(SER_hh_emih_in!T29=0,0,SER_hh_emih_in!T29/SER_summary!T$27)</f>
        <v>5.8939569573895296</v>
      </c>
      <c r="U29" s="131">
        <f>IF(SER_hh_emih_in!U29=0,0,SER_hh_emih_in!U29/SER_summary!U$27)</f>
        <v>6.5011695080241561</v>
      </c>
      <c r="V29" s="131">
        <f>IF(SER_hh_emih_in!V29=0,0,SER_hh_emih_in!V29/SER_summary!V$27)</f>
        <v>6.2333401049925738</v>
      </c>
      <c r="W29" s="131">
        <f>IF(SER_hh_emih_in!W29=0,0,SER_hh_emih_in!W29/SER_summary!W$27)</f>
        <v>5.6065235110066673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7.8726958671915783</v>
      </c>
      <c r="D30" s="133">
        <f>IF(SER_hh_emih_in!D30=0,0,SER_hh_emih_in!D30/SER_summary!D$27)</f>
        <v>8.1299946583663907</v>
      </c>
      <c r="E30" s="133">
        <f>IF(SER_hh_emih_in!E30=0,0,SER_hh_emih_in!E30/SER_summary!E$27)</f>
        <v>8.2921508929223702</v>
      </c>
      <c r="F30" s="133">
        <f>IF(SER_hh_emih_in!F30=0,0,SER_hh_emih_in!F30/SER_summary!F$27)</f>
        <v>8.4343196143707111</v>
      </c>
      <c r="G30" s="133">
        <f>IF(SER_hh_emih_in!G30=0,0,SER_hh_emih_in!G30/SER_summary!G$27)</f>
        <v>8.5408046050833697</v>
      </c>
      <c r="H30" s="133">
        <f>IF(SER_hh_emih_in!H30=0,0,SER_hh_emih_in!H30/SER_summary!H$27)</f>
        <v>8.2766093187639385</v>
      </c>
      <c r="I30" s="133">
        <f>IF(SER_hh_emih_in!I30=0,0,SER_hh_emih_in!I30/SER_summary!I$27)</f>
        <v>9.3070486267272141</v>
      </c>
      <c r="J30" s="133">
        <f>IF(SER_hh_emih_in!J30=0,0,SER_hh_emih_in!J30/SER_summary!J$27)</f>
        <v>7.0369270509847439</v>
      </c>
      <c r="K30" s="133">
        <f>IF(SER_hh_emih_in!K30=0,0,SER_hh_emih_in!K30/SER_summary!K$27)</f>
        <v>9.2218988231390178</v>
      </c>
      <c r="L30" s="133">
        <f>IF(SER_hh_emih_in!L30=0,0,SER_hh_emih_in!L30/SER_summary!L$27)</f>
        <v>9.2818518892746713</v>
      </c>
      <c r="M30" s="133">
        <f>IF(SER_hh_emih_in!M30=0,0,SER_hh_emih_in!M30/SER_summary!M$27)</f>
        <v>9.4336378558886729</v>
      </c>
      <c r="N30" s="133">
        <f>IF(SER_hh_emih_in!N30=0,0,SER_hh_emih_in!N30/SER_summary!N$27)</f>
        <v>8.2869464093398228</v>
      </c>
      <c r="O30" s="133">
        <f>IF(SER_hh_emih_in!O30=0,0,SER_hh_emih_in!O30/SER_summary!O$27)</f>
        <v>8.8421858837458434</v>
      </c>
      <c r="P30" s="133">
        <f>IF(SER_hh_emih_in!P30=0,0,SER_hh_emih_in!P30/SER_summary!P$27)</f>
        <v>9.708322632041158</v>
      </c>
      <c r="Q30" s="133">
        <f>IF(SER_hh_emih_in!Q30=0,0,SER_hh_emih_in!Q30/SER_summary!Q$27)</f>
        <v>9.3577145275309697</v>
      </c>
      <c r="R30" s="133">
        <f>IF(SER_hh_emih_in!R30=0,0,SER_hh_emih_in!R30/SER_summary!R$27)</f>
        <v>9.3032384603041258</v>
      </c>
      <c r="S30" s="133">
        <f>IF(SER_hh_emih_in!S30=0,0,SER_hh_emih_in!S30/SER_summary!S$27)</f>
        <v>9.41801600361471</v>
      </c>
      <c r="T30" s="133">
        <f>IF(SER_hh_emih_in!T30=0,0,SER_hh_emih_in!T30/SER_summary!T$27)</f>
        <v>9.2176580830244976</v>
      </c>
      <c r="U30" s="133">
        <f>IF(SER_hh_emih_in!U30=0,0,SER_hh_emih_in!U30/SER_summary!U$27)</f>
        <v>8.7625678190980452</v>
      </c>
      <c r="V30" s="133">
        <f>IF(SER_hh_emih_in!V30=0,0,SER_hh_emih_in!V30/SER_summary!V$27)</f>
        <v>8.8145988978476506</v>
      </c>
      <c r="W30" s="133">
        <f>IF(SER_hh_emih_in!W30=0,0,SER_hh_emih_in!W30/SER_summary!W$27)</f>
        <v>8.7456366848742206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7.1415725579554623</v>
      </c>
      <c r="D31" s="133">
        <f>IF(SER_hh_emih_in!D31=0,0,SER_hh_emih_in!D31/SER_summary!D$27)</f>
        <v>7.272833451285881</v>
      </c>
      <c r="E31" s="133">
        <f>IF(SER_hh_emih_in!E31=0,0,SER_hh_emih_in!E31/SER_summary!E$27)</f>
        <v>6.6383702503218958</v>
      </c>
      <c r="F31" s="133">
        <f>IF(SER_hh_emih_in!F31=0,0,SER_hh_emih_in!F31/SER_summary!F$27)</f>
        <v>6.7732178499858593</v>
      </c>
      <c r="G31" s="133">
        <f>IF(SER_hh_emih_in!G31=0,0,SER_hh_emih_in!G31/SER_summary!G$27)</f>
        <v>7.7550830849061674</v>
      </c>
      <c r="H31" s="133">
        <f>IF(SER_hh_emih_in!H31=0,0,SER_hh_emih_in!H31/SER_summary!H$27)</f>
        <v>7.1465890743566698</v>
      </c>
      <c r="I31" s="133">
        <f>IF(SER_hh_emih_in!I31=0,0,SER_hh_emih_in!I31/SER_summary!I$27)</f>
        <v>7.7388831837697643</v>
      </c>
      <c r="J31" s="133">
        <f>IF(SER_hh_emih_in!J31=0,0,SER_hh_emih_in!J31/SER_summary!J$27)</f>
        <v>7.5992944412186221</v>
      </c>
      <c r="K31" s="133">
        <f>IF(SER_hh_emih_in!K31=0,0,SER_hh_emih_in!K31/SER_summary!K$27)</f>
        <v>7.9433850674107154</v>
      </c>
      <c r="L31" s="133">
        <f>IF(SER_hh_emih_in!L31=0,0,SER_hh_emih_in!L31/SER_summary!L$27)</f>
        <v>7.8986209472316347</v>
      </c>
      <c r="M31" s="133">
        <f>IF(SER_hh_emih_in!M31=0,0,SER_hh_emih_in!M31/SER_summary!M$27)</f>
        <v>7.8614229919946057</v>
      </c>
      <c r="N31" s="133">
        <f>IF(SER_hh_emih_in!N31=0,0,SER_hh_emih_in!N31/SER_summary!N$27)</f>
        <v>7.8824723153454368</v>
      </c>
      <c r="O31" s="133">
        <f>IF(SER_hh_emih_in!O31=0,0,SER_hh_emih_in!O31/SER_summary!O$27)</f>
        <v>7.9122959978297551</v>
      </c>
      <c r="P31" s="133">
        <f>IF(SER_hh_emih_in!P31=0,0,SER_hh_emih_in!P31/SER_summary!P$27)</f>
        <v>8.2277524448094379</v>
      </c>
      <c r="Q31" s="133">
        <f>IF(SER_hh_emih_in!Q31=0,0,SER_hh_emih_in!Q31/SER_summary!Q$27)</f>
        <v>8.1391655823676814</v>
      </c>
      <c r="R31" s="133">
        <f>IF(SER_hh_emih_in!R31=0,0,SER_hh_emih_in!R31/SER_summary!R$27)</f>
        <v>8.3185029090020084</v>
      </c>
      <c r="S31" s="133">
        <f>IF(SER_hh_emih_in!S31=0,0,SER_hh_emih_in!S31/SER_summary!S$27)</f>
        <v>8.2424136871190683</v>
      </c>
      <c r="T31" s="133">
        <f>IF(SER_hh_emih_in!T31=0,0,SER_hh_emih_in!T31/SER_summary!T$27)</f>
        <v>7.5779482211478131</v>
      </c>
      <c r="U31" s="133">
        <f>IF(SER_hh_emih_in!U31=0,0,SER_hh_emih_in!U31/SER_summary!U$27)</f>
        <v>8.2301790419245542</v>
      </c>
      <c r="V31" s="133">
        <f>IF(SER_hh_emih_in!V31=0,0,SER_hh_emih_in!V31/SER_summary!V$27)</f>
        <v>7.2774778118828003</v>
      </c>
      <c r="W31" s="133">
        <f>IF(SER_hh_emih_in!W31=0,0,SER_hh_emih_in!W31/SER_summary!W$27)</f>
        <v>7.4741570688777399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2597.3311074046078</v>
      </c>
      <c r="C3" s="180">
        <f t="shared" ref="C3:W3" si="1">SUM(C4:C9)</f>
        <v>2678.9845427557061</v>
      </c>
      <c r="D3" s="180">
        <f t="shared" si="1"/>
        <v>2767.9668755420753</v>
      </c>
      <c r="E3" s="180">
        <f t="shared" si="1"/>
        <v>2864.0372270816788</v>
      </c>
      <c r="F3" s="180">
        <f t="shared" si="1"/>
        <v>2960.1311123010828</v>
      </c>
      <c r="G3" s="180">
        <f t="shared" si="1"/>
        <v>3048.5630961188672</v>
      </c>
      <c r="H3" s="180">
        <f t="shared" si="1"/>
        <v>3163.129584753915</v>
      </c>
      <c r="I3" s="180">
        <f t="shared" si="1"/>
        <v>3264.141553106323</v>
      </c>
      <c r="J3" s="180">
        <f t="shared" si="1"/>
        <v>3338.2012602591662</v>
      </c>
      <c r="K3" s="180">
        <f t="shared" si="1"/>
        <v>3393.6748310348062</v>
      </c>
      <c r="L3" s="180">
        <f t="shared" si="1"/>
        <v>3444.0853862451431</v>
      </c>
      <c r="M3" s="180">
        <f t="shared" si="1"/>
        <v>3494.5962894616309</v>
      </c>
      <c r="N3" s="180">
        <f t="shared" si="1"/>
        <v>3535.6931804979631</v>
      </c>
      <c r="O3" s="180">
        <f t="shared" si="1"/>
        <v>3587.6965640527555</v>
      </c>
      <c r="P3" s="180">
        <f t="shared" si="1"/>
        <v>3687.7419246674194</v>
      </c>
      <c r="Q3" s="180">
        <f t="shared" si="1"/>
        <v>3756.5978405601045</v>
      </c>
      <c r="R3" s="180">
        <f t="shared" si="1"/>
        <v>3772.2485656373851</v>
      </c>
      <c r="S3" s="180">
        <f t="shared" si="1"/>
        <v>3821.3948327203757</v>
      </c>
      <c r="T3" s="180">
        <f t="shared" si="1"/>
        <v>3800.6729778730041</v>
      </c>
      <c r="U3" s="180">
        <f t="shared" si="1"/>
        <v>3719.4873317425509</v>
      </c>
      <c r="V3" s="180">
        <f t="shared" si="1"/>
        <v>3357.1282956700729</v>
      </c>
      <c r="W3" s="180">
        <f t="shared" si="1"/>
        <v>3375.4642985409032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130.31734813577501</v>
      </c>
      <c r="C4" s="181">
        <f t="shared" ref="C4:R9" si="3">C12*C44/11630</f>
        <v>132.98756110872105</v>
      </c>
      <c r="D4" s="181">
        <f t="shared" si="3"/>
        <v>135.34710077192457</v>
      </c>
      <c r="E4" s="181">
        <f t="shared" si="3"/>
        <v>138.16722232705257</v>
      </c>
      <c r="F4" s="181">
        <f t="shared" si="3"/>
        <v>140.4487638025382</v>
      </c>
      <c r="G4" s="181">
        <f t="shared" si="3"/>
        <v>141.79901241849677</v>
      </c>
      <c r="H4" s="181">
        <f t="shared" si="3"/>
        <v>146.06214121640238</v>
      </c>
      <c r="I4" s="181">
        <f t="shared" si="3"/>
        <v>149.96767458344706</v>
      </c>
      <c r="J4" s="181">
        <f t="shared" si="3"/>
        <v>152.25828712396373</v>
      </c>
      <c r="K4" s="181">
        <f t="shared" si="3"/>
        <v>154.44441159020025</v>
      </c>
      <c r="L4" s="181">
        <f t="shared" si="3"/>
        <v>157.18321203664649</v>
      </c>
      <c r="M4" s="181">
        <f t="shared" si="3"/>
        <v>161.20658491618912</v>
      </c>
      <c r="N4" s="181">
        <f t="shared" si="3"/>
        <v>164.20156758035475</v>
      </c>
      <c r="O4" s="181">
        <f t="shared" si="3"/>
        <v>166.37591543883292</v>
      </c>
      <c r="P4" s="181">
        <f t="shared" si="3"/>
        <v>170.62693032566318</v>
      </c>
      <c r="Q4" s="181">
        <f t="shared" si="3"/>
        <v>173.2240070029942</v>
      </c>
      <c r="R4" s="181">
        <f t="shared" si="3"/>
        <v>173.81273412194656</v>
      </c>
      <c r="S4" s="181">
        <f t="shared" ref="D4:W9" si="4">S12*S44/11630</f>
        <v>174.89943684954548</v>
      </c>
      <c r="T4" s="181">
        <f t="shared" si="4"/>
        <v>175.58931556731437</v>
      </c>
      <c r="U4" s="181">
        <f t="shared" si="4"/>
        <v>176.92198923207718</v>
      </c>
      <c r="V4" s="181">
        <f t="shared" si="4"/>
        <v>178.02539406023428</v>
      </c>
      <c r="W4" s="181">
        <f t="shared" si="4"/>
        <v>178.7966606085046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468.5026196595752</v>
      </c>
      <c r="C5" s="181">
        <f t="shared" si="3"/>
        <v>480.69665277625228</v>
      </c>
      <c r="D5" s="181">
        <f t="shared" si="4"/>
        <v>490.26486735271516</v>
      </c>
      <c r="E5" s="181">
        <f t="shared" si="4"/>
        <v>503.37158558628693</v>
      </c>
      <c r="F5" s="181">
        <f t="shared" si="4"/>
        <v>513.24746912437547</v>
      </c>
      <c r="G5" s="181">
        <f t="shared" si="4"/>
        <v>519.90718747002018</v>
      </c>
      <c r="H5" s="181">
        <f t="shared" si="4"/>
        <v>526.35707580151791</v>
      </c>
      <c r="I5" s="181">
        <f t="shared" si="4"/>
        <v>534.04723572313867</v>
      </c>
      <c r="J5" s="181">
        <f t="shared" si="4"/>
        <v>542.10868637553324</v>
      </c>
      <c r="K5" s="181">
        <f t="shared" si="4"/>
        <v>552.33579431929513</v>
      </c>
      <c r="L5" s="181">
        <f t="shared" si="4"/>
        <v>562.10291563756482</v>
      </c>
      <c r="M5" s="181">
        <f t="shared" si="4"/>
        <v>570.44211052587025</v>
      </c>
      <c r="N5" s="181">
        <f t="shared" si="4"/>
        <v>578.60414710476925</v>
      </c>
      <c r="O5" s="181">
        <f t="shared" si="4"/>
        <v>588.19581122571367</v>
      </c>
      <c r="P5" s="181">
        <f t="shared" si="4"/>
        <v>597.69999766114165</v>
      </c>
      <c r="Q5" s="181">
        <f t="shared" si="4"/>
        <v>610.85256848349673</v>
      </c>
      <c r="R5" s="181">
        <f t="shared" si="4"/>
        <v>611.13459164921267</v>
      </c>
      <c r="S5" s="181">
        <f t="shared" si="4"/>
        <v>617.31634949344357</v>
      </c>
      <c r="T5" s="181">
        <f t="shared" si="4"/>
        <v>604.16117838638377</v>
      </c>
      <c r="U5" s="181">
        <f t="shared" si="4"/>
        <v>588.50799093005855</v>
      </c>
      <c r="V5" s="181">
        <f t="shared" si="4"/>
        <v>570.93593178657318</v>
      </c>
      <c r="W5" s="181">
        <f t="shared" si="4"/>
        <v>553.14308193023419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942.58202880570582</v>
      </c>
      <c r="C6" s="181">
        <f t="shared" si="3"/>
        <v>955.31278363845058</v>
      </c>
      <c r="D6" s="181">
        <f t="shared" si="4"/>
        <v>968.32540775682833</v>
      </c>
      <c r="E6" s="181">
        <f t="shared" si="4"/>
        <v>973.3175687588955</v>
      </c>
      <c r="F6" s="181">
        <f t="shared" si="4"/>
        <v>975.16310916488044</v>
      </c>
      <c r="G6" s="181">
        <f t="shared" si="4"/>
        <v>976.20153537864428</v>
      </c>
      <c r="H6" s="181">
        <f t="shared" si="4"/>
        <v>993.06951495302746</v>
      </c>
      <c r="I6" s="181">
        <f t="shared" si="4"/>
        <v>1008.6462772677439</v>
      </c>
      <c r="J6" s="181">
        <f t="shared" si="4"/>
        <v>1015.370388946668</v>
      </c>
      <c r="K6" s="181">
        <f t="shared" si="4"/>
        <v>1015.7019524084053</v>
      </c>
      <c r="L6" s="181">
        <f t="shared" si="4"/>
        <v>1028.5032467617957</v>
      </c>
      <c r="M6" s="181">
        <f t="shared" si="4"/>
        <v>1037.8529142074055</v>
      </c>
      <c r="N6" s="181">
        <f t="shared" si="4"/>
        <v>1035.8708793278468</v>
      </c>
      <c r="O6" s="181">
        <f t="shared" si="4"/>
        <v>1029.9281729418058</v>
      </c>
      <c r="P6" s="181">
        <f t="shared" si="4"/>
        <v>1039.4135139077791</v>
      </c>
      <c r="Q6" s="181">
        <f t="shared" si="4"/>
        <v>1034.8882724983534</v>
      </c>
      <c r="R6" s="181">
        <f t="shared" si="4"/>
        <v>1004.2757138960388</v>
      </c>
      <c r="S6" s="181">
        <f t="shared" si="4"/>
        <v>994.76530414557749</v>
      </c>
      <c r="T6" s="181">
        <f t="shared" si="4"/>
        <v>930.40184004953403</v>
      </c>
      <c r="U6" s="181">
        <f t="shared" si="4"/>
        <v>866.34584157047914</v>
      </c>
      <c r="V6" s="181">
        <f t="shared" si="4"/>
        <v>679.27357853995227</v>
      </c>
      <c r="W6" s="181">
        <f t="shared" si="4"/>
        <v>670.66028204978579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526.8493603710034</v>
      </c>
      <c r="C7" s="181">
        <f t="shared" si="3"/>
        <v>539.7088437744876</v>
      </c>
      <c r="D7" s="181">
        <f t="shared" si="4"/>
        <v>558.82839427409021</v>
      </c>
      <c r="E7" s="181">
        <f t="shared" si="4"/>
        <v>582.7868683413609</v>
      </c>
      <c r="F7" s="181">
        <f t="shared" si="4"/>
        <v>613.08921400186091</v>
      </c>
      <c r="G7" s="181">
        <f t="shared" si="4"/>
        <v>643.69519607506993</v>
      </c>
      <c r="H7" s="181">
        <f t="shared" si="4"/>
        <v>675.80808978980099</v>
      </c>
      <c r="I7" s="181">
        <f t="shared" si="4"/>
        <v>700.86780889867384</v>
      </c>
      <c r="J7" s="181">
        <f t="shared" si="4"/>
        <v>728.70583678993376</v>
      </c>
      <c r="K7" s="181">
        <f t="shared" si="4"/>
        <v>741.33338005359724</v>
      </c>
      <c r="L7" s="181">
        <f t="shared" si="4"/>
        <v>746.70045182798219</v>
      </c>
      <c r="M7" s="181">
        <f t="shared" si="4"/>
        <v>748.78761419062687</v>
      </c>
      <c r="N7" s="181">
        <f t="shared" si="4"/>
        <v>750.74824542774104</v>
      </c>
      <c r="O7" s="181">
        <f t="shared" si="4"/>
        <v>758.13485440317754</v>
      </c>
      <c r="P7" s="181">
        <f t="shared" si="4"/>
        <v>778.91067978764227</v>
      </c>
      <c r="Q7" s="181">
        <f t="shared" si="4"/>
        <v>789.21183038323375</v>
      </c>
      <c r="R7" s="181">
        <f t="shared" si="4"/>
        <v>786.57404215891449</v>
      </c>
      <c r="S7" s="181">
        <f t="shared" si="4"/>
        <v>787.4197881149405</v>
      </c>
      <c r="T7" s="181">
        <f t="shared" si="4"/>
        <v>785.59160206141644</v>
      </c>
      <c r="U7" s="181">
        <f t="shared" si="4"/>
        <v>785.19372626595509</v>
      </c>
      <c r="V7" s="181">
        <f t="shared" si="4"/>
        <v>784.5017599993231</v>
      </c>
      <c r="W7" s="181">
        <f t="shared" si="4"/>
        <v>782.31820612068907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161.61619623788332</v>
      </c>
      <c r="C8" s="55">
        <f t="shared" si="3"/>
        <v>172.94062630639542</v>
      </c>
      <c r="D8" s="55">
        <f t="shared" si="4"/>
        <v>186.21462254852412</v>
      </c>
      <c r="E8" s="55">
        <f t="shared" si="4"/>
        <v>201.15470173414818</v>
      </c>
      <c r="F8" s="55">
        <f t="shared" si="4"/>
        <v>219.43881713011501</v>
      </c>
      <c r="G8" s="55">
        <f t="shared" si="4"/>
        <v>230.93873649195032</v>
      </c>
      <c r="H8" s="55">
        <f t="shared" si="4"/>
        <v>257.25660429011856</v>
      </c>
      <c r="I8" s="55">
        <f t="shared" si="4"/>
        <v>281.6356321998224</v>
      </c>
      <c r="J8" s="55">
        <f t="shared" si="4"/>
        <v>296.4077281485666</v>
      </c>
      <c r="K8" s="55">
        <f t="shared" si="4"/>
        <v>305.99078219819597</v>
      </c>
      <c r="L8" s="55">
        <f t="shared" si="4"/>
        <v>315.90541169957686</v>
      </c>
      <c r="M8" s="55">
        <f t="shared" si="4"/>
        <v>323.84955552657368</v>
      </c>
      <c r="N8" s="55">
        <f t="shared" si="4"/>
        <v>330.94509632956493</v>
      </c>
      <c r="O8" s="55">
        <f t="shared" si="4"/>
        <v>334.84508600801212</v>
      </c>
      <c r="P8" s="55">
        <f t="shared" si="4"/>
        <v>341.6623050629089</v>
      </c>
      <c r="Q8" s="55">
        <f t="shared" si="4"/>
        <v>343.70274689668503</v>
      </c>
      <c r="R8" s="55">
        <f t="shared" si="4"/>
        <v>352.95447596965215</v>
      </c>
      <c r="S8" s="55">
        <f t="shared" si="4"/>
        <v>368.93487165461954</v>
      </c>
      <c r="T8" s="55">
        <f t="shared" si="4"/>
        <v>374.47343311950556</v>
      </c>
      <c r="U8" s="55">
        <f t="shared" si="4"/>
        <v>377.66935959476831</v>
      </c>
      <c r="V8" s="55">
        <f t="shared" si="4"/>
        <v>324.54667964228474</v>
      </c>
      <c r="W8" s="55">
        <f t="shared" si="4"/>
        <v>344.33510942159603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367.46355419466494</v>
      </c>
      <c r="C9" s="63">
        <f t="shared" si="3"/>
        <v>397.33807515139927</v>
      </c>
      <c r="D9" s="63">
        <f t="shared" si="4"/>
        <v>428.98648283799344</v>
      </c>
      <c r="E9" s="63">
        <f t="shared" si="4"/>
        <v>465.23928033393486</v>
      </c>
      <c r="F9" s="63">
        <f t="shared" si="4"/>
        <v>498.7437390773128</v>
      </c>
      <c r="G9" s="63">
        <f t="shared" si="4"/>
        <v>536.02142828468595</v>
      </c>
      <c r="H9" s="63">
        <f t="shared" si="4"/>
        <v>564.57615870304812</v>
      </c>
      <c r="I9" s="63">
        <f t="shared" si="4"/>
        <v>588.97692443349695</v>
      </c>
      <c r="J9" s="63">
        <f t="shared" si="4"/>
        <v>603.35033287450096</v>
      </c>
      <c r="K9" s="63">
        <f t="shared" si="4"/>
        <v>623.86851046511231</v>
      </c>
      <c r="L9" s="63">
        <f t="shared" si="4"/>
        <v>633.69014828157674</v>
      </c>
      <c r="M9" s="63">
        <f t="shared" si="4"/>
        <v>652.45751009496541</v>
      </c>
      <c r="N9" s="63">
        <f t="shared" si="4"/>
        <v>675.3232447276863</v>
      </c>
      <c r="O9" s="63">
        <f t="shared" si="4"/>
        <v>710.2167240352137</v>
      </c>
      <c r="P9" s="63">
        <f t="shared" si="4"/>
        <v>759.42849792228424</v>
      </c>
      <c r="Q9" s="63">
        <f t="shared" si="4"/>
        <v>804.71841529534208</v>
      </c>
      <c r="R9" s="63">
        <f t="shared" si="4"/>
        <v>843.49700784162053</v>
      </c>
      <c r="S9" s="63">
        <f t="shared" si="4"/>
        <v>878.05908246224851</v>
      </c>
      <c r="T9" s="63">
        <f t="shared" si="4"/>
        <v>930.45560868885013</v>
      </c>
      <c r="U9" s="63">
        <f t="shared" si="4"/>
        <v>924.84842414921252</v>
      </c>
      <c r="V9" s="63">
        <f t="shared" si="4"/>
        <v>819.84495164170539</v>
      </c>
      <c r="W9" s="63">
        <f t="shared" si="4"/>
        <v>846.21095841009367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11710.120554922809</v>
      </c>
      <c r="C11" s="180">
        <f t="shared" ref="C11:W11" si="6">SUM(C12:C17)</f>
        <v>12123.96764174383</v>
      </c>
      <c r="D11" s="180">
        <f t="shared" si="6"/>
        <v>12557.030738788275</v>
      </c>
      <c r="E11" s="180">
        <f t="shared" si="6"/>
        <v>13020.324143969488</v>
      </c>
      <c r="F11" s="180">
        <f t="shared" si="6"/>
        <v>13474.361826828845</v>
      </c>
      <c r="G11" s="180">
        <f t="shared" si="6"/>
        <v>13856.551890538183</v>
      </c>
      <c r="H11" s="180">
        <f t="shared" si="6"/>
        <v>14444.053326576523</v>
      </c>
      <c r="I11" s="180">
        <f t="shared" si="6"/>
        <v>14980.760471977168</v>
      </c>
      <c r="J11" s="180">
        <f t="shared" si="6"/>
        <v>15303.606634915801</v>
      </c>
      <c r="K11" s="180">
        <f t="shared" si="6"/>
        <v>15552.751538429635</v>
      </c>
      <c r="L11" s="180">
        <f t="shared" si="6"/>
        <v>15777.089450822084</v>
      </c>
      <c r="M11" s="180">
        <f t="shared" si="6"/>
        <v>16011.566186509011</v>
      </c>
      <c r="N11" s="180">
        <f t="shared" si="6"/>
        <v>16208.900348938645</v>
      </c>
      <c r="O11" s="180">
        <f t="shared" si="6"/>
        <v>16435.173686401758</v>
      </c>
      <c r="P11" s="180">
        <f t="shared" si="6"/>
        <v>16862.311149453879</v>
      </c>
      <c r="Q11" s="180">
        <f t="shared" si="6"/>
        <v>17126.21095886796</v>
      </c>
      <c r="R11" s="180">
        <f t="shared" si="6"/>
        <v>17188.810171388763</v>
      </c>
      <c r="S11" s="180">
        <f t="shared" si="6"/>
        <v>17169.888518595704</v>
      </c>
      <c r="T11" s="180">
        <f t="shared" si="6"/>
        <v>17269.995626555308</v>
      </c>
      <c r="U11" s="180">
        <f t="shared" si="6"/>
        <v>17002.981271284752</v>
      </c>
      <c r="V11" s="180">
        <f t="shared" si="6"/>
        <v>16599.571304919551</v>
      </c>
      <c r="W11" s="180">
        <f t="shared" si="6"/>
        <v>16303.173537825631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173.01264370080636</v>
      </c>
      <c r="C12" s="181">
        <f t="shared" ref="C12:W12" si="7">C20*C52</f>
        <v>176.55768672310799</v>
      </c>
      <c r="D12" s="181">
        <f t="shared" si="7"/>
        <v>179.69027191523776</v>
      </c>
      <c r="E12" s="181">
        <f t="shared" si="7"/>
        <v>183.43433740452303</v>
      </c>
      <c r="F12" s="181">
        <f t="shared" si="7"/>
        <v>186.46337020816432</v>
      </c>
      <c r="G12" s="181">
        <f t="shared" si="7"/>
        <v>188.25599479761624</v>
      </c>
      <c r="H12" s="181">
        <f t="shared" si="7"/>
        <v>193.91583360122826</v>
      </c>
      <c r="I12" s="181">
        <f t="shared" si="7"/>
        <v>199.10091956683664</v>
      </c>
      <c r="J12" s="181">
        <f t="shared" si="7"/>
        <v>202.14199534836746</v>
      </c>
      <c r="K12" s="181">
        <f t="shared" si="7"/>
        <v>205.04435009064261</v>
      </c>
      <c r="L12" s="181">
        <f t="shared" si="7"/>
        <v>208.68045159659809</v>
      </c>
      <c r="M12" s="181">
        <f t="shared" si="7"/>
        <v>214.0219843122465</v>
      </c>
      <c r="N12" s="181">
        <f t="shared" si="7"/>
        <v>217.99819988122451</v>
      </c>
      <c r="O12" s="181">
        <f t="shared" si="7"/>
        <v>220.8849196979026</v>
      </c>
      <c r="P12" s="181">
        <f t="shared" si="7"/>
        <v>226.52867576340898</v>
      </c>
      <c r="Q12" s="181">
        <f t="shared" si="7"/>
        <v>229.97662116950025</v>
      </c>
      <c r="R12" s="181">
        <f t="shared" si="7"/>
        <v>230.75823034683083</v>
      </c>
      <c r="S12" s="181">
        <f t="shared" si="7"/>
        <v>232.20096467582346</v>
      </c>
      <c r="T12" s="181">
        <f t="shared" si="7"/>
        <v>233.11686530226785</v>
      </c>
      <c r="U12" s="181">
        <f t="shared" si="7"/>
        <v>234.88615693710696</v>
      </c>
      <c r="V12" s="181">
        <f t="shared" si="7"/>
        <v>236.35106540188639</v>
      </c>
      <c r="W12" s="181">
        <f t="shared" si="7"/>
        <v>237.37501859325442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1361.9213821060537</v>
      </c>
      <c r="C13" s="181">
        <f t="shared" ref="C13:W13" si="8">C21*C53/1000</f>
        <v>1400.3360936978208</v>
      </c>
      <c r="D13" s="181">
        <f t="shared" si="8"/>
        <v>1432.9008441331594</v>
      </c>
      <c r="E13" s="181">
        <f t="shared" si="8"/>
        <v>1476.0731047475188</v>
      </c>
      <c r="F13" s="181">
        <f t="shared" si="8"/>
        <v>1508.0944019400144</v>
      </c>
      <c r="G13" s="181">
        <f t="shared" si="8"/>
        <v>1531.4431704035349</v>
      </c>
      <c r="H13" s="181">
        <f t="shared" si="8"/>
        <v>1555.0261796497025</v>
      </c>
      <c r="I13" s="181">
        <f t="shared" si="8"/>
        <v>1582.9210700633921</v>
      </c>
      <c r="J13" s="181">
        <f t="shared" si="8"/>
        <v>1612.9923300082651</v>
      </c>
      <c r="K13" s="181">
        <f t="shared" si="8"/>
        <v>1646.7051347056722</v>
      </c>
      <c r="L13" s="181">
        <f t="shared" si="8"/>
        <v>1681.3071762485711</v>
      </c>
      <c r="M13" s="181">
        <f t="shared" si="8"/>
        <v>1715.7545644946015</v>
      </c>
      <c r="N13" s="181">
        <f t="shared" si="8"/>
        <v>1748.5492981568266</v>
      </c>
      <c r="O13" s="181">
        <f t="shared" si="8"/>
        <v>1786.80724524981</v>
      </c>
      <c r="P13" s="181">
        <f t="shared" si="8"/>
        <v>1825.2747033668111</v>
      </c>
      <c r="Q13" s="181">
        <f t="shared" si="8"/>
        <v>1874.9540200579427</v>
      </c>
      <c r="R13" s="181">
        <f t="shared" si="8"/>
        <v>1869.0505963178771</v>
      </c>
      <c r="S13" s="181">
        <f t="shared" si="8"/>
        <v>1856.9024392901149</v>
      </c>
      <c r="T13" s="181">
        <f t="shared" si="8"/>
        <v>1833.9432586297155</v>
      </c>
      <c r="U13" s="181">
        <f t="shared" si="8"/>
        <v>1802.0969415776333</v>
      </c>
      <c r="V13" s="181">
        <f t="shared" si="8"/>
        <v>1755.7902533950032</v>
      </c>
      <c r="W13" s="181">
        <f t="shared" si="8"/>
        <v>1703.0518001914243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4747.6171236174396</v>
      </c>
      <c r="C14" s="181">
        <f t="shared" ref="C14:W14" si="9">C22*C54</f>
        <v>4780.793848871479</v>
      </c>
      <c r="D14" s="181">
        <f t="shared" si="9"/>
        <v>4823.3065182312539</v>
      </c>
      <c r="E14" s="181">
        <f t="shared" si="9"/>
        <v>4828.5563434570922</v>
      </c>
      <c r="F14" s="181">
        <f t="shared" si="9"/>
        <v>4812.1846014485154</v>
      </c>
      <c r="G14" s="181">
        <f t="shared" si="9"/>
        <v>4796.6956704777722</v>
      </c>
      <c r="H14" s="181">
        <f t="shared" si="9"/>
        <v>4858.5805037921291</v>
      </c>
      <c r="I14" s="181">
        <f t="shared" si="9"/>
        <v>4918.3456246756614</v>
      </c>
      <c r="J14" s="181">
        <f t="shared" si="9"/>
        <v>4941.1624433242123</v>
      </c>
      <c r="K14" s="181">
        <f t="shared" si="9"/>
        <v>4936.8637423250693</v>
      </c>
      <c r="L14" s="181">
        <f t="shared" si="9"/>
        <v>4988.1131304685314</v>
      </c>
      <c r="M14" s="181">
        <f t="shared" si="9"/>
        <v>5016.4394745338559</v>
      </c>
      <c r="N14" s="181">
        <f t="shared" si="9"/>
        <v>4985.6329867298946</v>
      </c>
      <c r="O14" s="181">
        <f t="shared" si="9"/>
        <v>4942.4639481480899</v>
      </c>
      <c r="P14" s="181">
        <f t="shared" si="9"/>
        <v>4965.6102392165585</v>
      </c>
      <c r="Q14" s="181">
        <f t="shared" si="9"/>
        <v>4920.595100348025</v>
      </c>
      <c r="R14" s="181">
        <f t="shared" si="9"/>
        <v>4740.9222267453479</v>
      </c>
      <c r="S14" s="181">
        <f t="shared" si="9"/>
        <v>4569.2291072512462</v>
      </c>
      <c r="T14" s="181">
        <f t="shared" si="9"/>
        <v>4327.0506916967815</v>
      </c>
      <c r="U14" s="181">
        <f t="shared" si="9"/>
        <v>4074.0407956305648</v>
      </c>
      <c r="V14" s="181">
        <f t="shared" si="9"/>
        <v>3772.442330498568</v>
      </c>
      <c r="W14" s="181">
        <f t="shared" si="9"/>
        <v>3519.9598305503982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699.4586827756591</v>
      </c>
      <c r="C15" s="181">
        <f t="shared" ref="C15:W15" si="10">C23*C55/1000</f>
        <v>716.53126176909745</v>
      </c>
      <c r="D15" s="181">
        <f t="shared" si="10"/>
        <v>741.91486591411797</v>
      </c>
      <c r="E15" s="181">
        <f t="shared" si="10"/>
        <v>773.72274872260596</v>
      </c>
      <c r="F15" s="181">
        <f t="shared" si="10"/>
        <v>813.95291767598667</v>
      </c>
      <c r="G15" s="181">
        <f t="shared" si="10"/>
        <v>854.58620209509854</v>
      </c>
      <c r="H15" s="181">
        <f t="shared" si="10"/>
        <v>897.2201009423959</v>
      </c>
      <c r="I15" s="181">
        <f t="shared" si="10"/>
        <v>930.49002482780577</v>
      </c>
      <c r="J15" s="181">
        <f t="shared" si="10"/>
        <v>967.44850249622459</v>
      </c>
      <c r="K15" s="181">
        <f t="shared" si="10"/>
        <v>984.21315182914771</v>
      </c>
      <c r="L15" s="181">
        <f t="shared" si="10"/>
        <v>991.33861355701265</v>
      </c>
      <c r="M15" s="181">
        <f t="shared" si="10"/>
        <v>994.10958368002139</v>
      </c>
      <c r="N15" s="181">
        <f t="shared" si="10"/>
        <v>996.71256784527725</v>
      </c>
      <c r="O15" s="181">
        <f t="shared" si="10"/>
        <v>1006.5192188023918</v>
      </c>
      <c r="P15" s="181">
        <f t="shared" si="10"/>
        <v>1034.1017358367897</v>
      </c>
      <c r="Q15" s="181">
        <f t="shared" si="10"/>
        <v>1047.7778067759148</v>
      </c>
      <c r="R15" s="181">
        <f t="shared" si="10"/>
        <v>1044.2758116790158</v>
      </c>
      <c r="S15" s="181">
        <f t="shared" si="10"/>
        <v>1045.3986456366165</v>
      </c>
      <c r="T15" s="181">
        <f t="shared" si="10"/>
        <v>1042.9714990838213</v>
      </c>
      <c r="U15" s="181">
        <f t="shared" si="10"/>
        <v>1042.4432690037738</v>
      </c>
      <c r="V15" s="181">
        <f t="shared" si="10"/>
        <v>1041.5245968940785</v>
      </c>
      <c r="W15" s="181">
        <f t="shared" si="10"/>
        <v>1038.6256549296365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2092.7482549726633</v>
      </c>
      <c r="C16" s="55">
        <f t="shared" ref="C16:W16" si="11">C24*C56</f>
        <v>2228.740477170737</v>
      </c>
      <c r="D16" s="55">
        <f t="shared" si="11"/>
        <v>2389.3888136512523</v>
      </c>
      <c r="E16" s="55">
        <f t="shared" si="11"/>
        <v>2570.7812745082438</v>
      </c>
      <c r="F16" s="55">
        <f t="shared" si="11"/>
        <v>2794.0820748185479</v>
      </c>
      <c r="G16" s="55">
        <f t="shared" si="11"/>
        <v>2930.3826194749254</v>
      </c>
      <c r="H16" s="55">
        <f t="shared" si="11"/>
        <v>3253.8133825400564</v>
      </c>
      <c r="I16" s="55">
        <f t="shared" si="11"/>
        <v>3551.3809574022057</v>
      </c>
      <c r="J16" s="55">
        <f t="shared" si="11"/>
        <v>3726.9880889737392</v>
      </c>
      <c r="K16" s="55">
        <f t="shared" si="11"/>
        <v>3837.0969384030145</v>
      </c>
      <c r="L16" s="55">
        <f t="shared" si="11"/>
        <v>3951.2787910568736</v>
      </c>
      <c r="M16" s="55">
        <f t="shared" si="11"/>
        <v>4044.0601168259741</v>
      </c>
      <c r="N16" s="55">
        <f t="shared" si="11"/>
        <v>4126.2620144205639</v>
      </c>
      <c r="O16" s="55">
        <f t="shared" si="11"/>
        <v>4168.7060838116586</v>
      </c>
      <c r="P16" s="55">
        <f t="shared" si="11"/>
        <v>4247.5480383893109</v>
      </c>
      <c r="Q16" s="55">
        <f t="shared" si="11"/>
        <v>4267.1044819822728</v>
      </c>
      <c r="R16" s="55">
        <f t="shared" si="11"/>
        <v>4360.331583526051</v>
      </c>
      <c r="S16" s="55">
        <f t="shared" si="11"/>
        <v>4461.0647471163129</v>
      </c>
      <c r="T16" s="55">
        <f t="shared" si="11"/>
        <v>4545.7734446005861</v>
      </c>
      <c r="U16" s="55">
        <f t="shared" si="11"/>
        <v>4609.2128203020638</v>
      </c>
      <c r="V16" s="55">
        <f t="shared" si="11"/>
        <v>4677.7390238473818</v>
      </c>
      <c r="W16" s="55">
        <f t="shared" si="11"/>
        <v>4690.2647511032937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2635.3624677501871</v>
      </c>
      <c r="C17" s="63">
        <f t="shared" ref="C17:W17" si="12">C25*C57/1000</f>
        <v>2821.0082735115861</v>
      </c>
      <c r="D17" s="63">
        <f t="shared" si="12"/>
        <v>2989.8294249432547</v>
      </c>
      <c r="E17" s="63">
        <f t="shared" si="12"/>
        <v>3187.7563351295044</v>
      </c>
      <c r="F17" s="63">
        <f t="shared" si="12"/>
        <v>3359.5844607376162</v>
      </c>
      <c r="G17" s="63">
        <f t="shared" si="12"/>
        <v>3555.1882332892355</v>
      </c>
      <c r="H17" s="63">
        <f t="shared" si="12"/>
        <v>3685.4973260510078</v>
      </c>
      <c r="I17" s="63">
        <f t="shared" si="12"/>
        <v>3798.5218754412667</v>
      </c>
      <c r="J17" s="63">
        <f t="shared" si="12"/>
        <v>3852.8732747649919</v>
      </c>
      <c r="K17" s="63">
        <f t="shared" si="12"/>
        <v>3942.8282210760885</v>
      </c>
      <c r="L17" s="63">
        <f t="shared" si="12"/>
        <v>3956.371287894498</v>
      </c>
      <c r="M17" s="63">
        <f t="shared" si="12"/>
        <v>4027.1804626623125</v>
      </c>
      <c r="N17" s="63">
        <f t="shared" si="12"/>
        <v>4133.7452819048576</v>
      </c>
      <c r="O17" s="63">
        <f t="shared" si="12"/>
        <v>4309.7922706919071</v>
      </c>
      <c r="P17" s="63">
        <f t="shared" si="12"/>
        <v>4563.2477568809982</v>
      </c>
      <c r="Q17" s="63">
        <f t="shared" si="12"/>
        <v>4785.8029285343046</v>
      </c>
      <c r="R17" s="63">
        <f t="shared" si="12"/>
        <v>4943.4717227736392</v>
      </c>
      <c r="S17" s="63">
        <f t="shared" si="12"/>
        <v>5005.0926146255897</v>
      </c>
      <c r="T17" s="63">
        <f t="shared" si="12"/>
        <v>5287.1398672421374</v>
      </c>
      <c r="U17" s="63">
        <f t="shared" si="12"/>
        <v>5240.3012878336076</v>
      </c>
      <c r="V17" s="63">
        <f t="shared" si="12"/>
        <v>5115.7240348826317</v>
      </c>
      <c r="W17" s="63">
        <f t="shared" si="12"/>
        <v>5113.8964824576224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226.23405126806816</v>
      </c>
      <c r="C20" s="182">
        <v>232.58049187005236</v>
      </c>
      <c r="D20" s="182">
        <v>238.55362430572472</v>
      </c>
      <c r="E20" s="182">
        <v>245.64966355632211</v>
      </c>
      <c r="F20" s="182">
        <v>251.88412911135362</v>
      </c>
      <c r="G20" s="182">
        <v>256.51615417050215</v>
      </c>
      <c r="H20" s="182">
        <v>267.45152353695374</v>
      </c>
      <c r="I20" s="182">
        <v>278.04748918934229</v>
      </c>
      <c r="J20" s="182">
        <v>285.6312483286369</v>
      </c>
      <c r="K20" s="182">
        <v>293.35857762715017</v>
      </c>
      <c r="L20" s="182">
        <v>302.71115652584513</v>
      </c>
      <c r="M20" s="182">
        <v>315.43844563304543</v>
      </c>
      <c r="N20" s="182">
        <v>326.53301196654434</v>
      </c>
      <c r="O20" s="182">
        <v>336.45490639672789</v>
      </c>
      <c r="P20" s="182">
        <v>352.22627322895829</v>
      </c>
      <c r="Q20" s="182">
        <v>364.90426082473851</v>
      </c>
      <c r="R20" s="182">
        <v>372.92716251496313</v>
      </c>
      <c r="S20" s="182">
        <v>382.63464539189448</v>
      </c>
      <c r="T20" s="182">
        <v>391.80404804803919</v>
      </c>
      <c r="U20" s="182">
        <v>400.54566324064376</v>
      </c>
      <c r="V20" s="182">
        <v>408.64825665889742</v>
      </c>
      <c r="W20" s="182">
        <v>416.17751013106016</v>
      </c>
      <c r="DA20" s="191" t="s">
        <v>921</v>
      </c>
    </row>
    <row r="21" spans="1:105" ht="12" customHeight="1" x14ac:dyDescent="0.25">
      <c r="A21" s="132" t="s">
        <v>163</v>
      </c>
      <c r="B21" s="182">
        <v>6865.8442198413977</v>
      </c>
      <c r="C21" s="182">
        <v>7142.9002840147759</v>
      </c>
      <c r="D21" s="182">
        <v>7406.5516353741677</v>
      </c>
      <c r="E21" s="182">
        <v>7747.9505911570495</v>
      </c>
      <c r="F21" s="182">
        <v>8045.9803244835039</v>
      </c>
      <c r="G21" s="182">
        <v>8324.6285026152436</v>
      </c>
      <c r="H21" s="182">
        <v>8638.0273245461922</v>
      </c>
      <c r="I21" s="182">
        <v>9003.5535836371</v>
      </c>
      <c r="J21" s="182">
        <v>9312.3099486628362</v>
      </c>
      <c r="K21" s="182">
        <v>9658.5113496585072</v>
      </c>
      <c r="L21" s="182">
        <v>10043.474947602335</v>
      </c>
      <c r="M21" s="182">
        <v>10454.556334626048</v>
      </c>
      <c r="N21" s="182">
        <v>10890.053495180971</v>
      </c>
      <c r="O21" s="182">
        <v>11426.506150889145</v>
      </c>
      <c r="P21" s="182">
        <v>12060.515939855706</v>
      </c>
      <c r="Q21" s="182">
        <v>12871.138224840835</v>
      </c>
      <c r="R21" s="182">
        <v>13338.670663865683</v>
      </c>
      <c r="S21" s="182">
        <v>13859.113118595671</v>
      </c>
      <c r="T21" s="182">
        <v>14341.120901675802</v>
      </c>
      <c r="U21" s="182">
        <v>14790.857600147863</v>
      </c>
      <c r="V21" s="182">
        <v>15185.987873876784</v>
      </c>
      <c r="W21" s="182">
        <v>15506.5454177919</v>
      </c>
      <c r="DA21" s="191" t="s">
        <v>922</v>
      </c>
    </row>
    <row r="22" spans="1:105" ht="12" customHeight="1" x14ac:dyDescent="0.25">
      <c r="A22" s="132" t="s">
        <v>167</v>
      </c>
      <c r="B22" s="182">
        <v>110.67329424087598</v>
      </c>
      <c r="C22" s="182">
        <v>112.31923976560027</v>
      </c>
      <c r="D22" s="182">
        <v>114.77406683107641</v>
      </c>
      <c r="E22" s="182">
        <v>116.71406879167151</v>
      </c>
      <c r="F22" s="182">
        <v>118.5725557344801</v>
      </c>
      <c r="G22" s="182">
        <v>120.88985671736566</v>
      </c>
      <c r="H22" s="182">
        <v>125.91015908641008</v>
      </c>
      <c r="I22" s="182">
        <v>130.25594910900651</v>
      </c>
      <c r="J22" s="182">
        <v>133.74853039114652</v>
      </c>
      <c r="K22" s="182">
        <v>136.84246384451652</v>
      </c>
      <c r="L22" s="182">
        <v>142.17502956667278</v>
      </c>
      <c r="M22" s="182">
        <v>147.71322365505989</v>
      </c>
      <c r="N22" s="182">
        <v>152.67043364100664</v>
      </c>
      <c r="O22" s="182">
        <v>157.70196516510023</v>
      </c>
      <c r="P22" s="182">
        <v>166.43750103114374</v>
      </c>
      <c r="Q22" s="182">
        <v>173.58695949050269</v>
      </c>
      <c r="R22" s="182">
        <v>177.51095565103952</v>
      </c>
      <c r="S22" s="182">
        <v>182.27673135331563</v>
      </c>
      <c r="T22" s="182">
        <v>186.67765427095171</v>
      </c>
      <c r="U22" s="182">
        <v>190.67325430119328</v>
      </c>
      <c r="V22" s="182">
        <v>193.99031865950619</v>
      </c>
      <c r="W22" s="182">
        <v>196.40960359865699</v>
      </c>
      <c r="DA22" s="191" t="s">
        <v>923</v>
      </c>
    </row>
    <row r="23" spans="1:105" ht="12" customHeight="1" x14ac:dyDescent="0.25">
      <c r="A23" s="132" t="s">
        <v>180</v>
      </c>
      <c r="B23" s="182">
        <v>1074.1963641140887</v>
      </c>
      <c r="C23" s="182">
        <v>1113.7411466331248</v>
      </c>
      <c r="D23" s="182">
        <v>1171.4154436381643</v>
      </c>
      <c r="E23" s="182">
        <v>1243.0628713650297</v>
      </c>
      <c r="F23" s="182">
        <v>1332.1004955824667</v>
      </c>
      <c r="G23" s="182">
        <v>1425.0365696254978</v>
      </c>
      <c r="H23" s="182">
        <v>1525.2680028601599</v>
      </c>
      <c r="I23" s="182">
        <v>1612.2539609157425</v>
      </c>
      <c r="J23" s="182">
        <v>1710.2201943002767</v>
      </c>
      <c r="K23" s="182">
        <v>1773.4370146637034</v>
      </c>
      <c r="L23" s="182">
        <v>1821.9580828457038</v>
      </c>
      <c r="M23" s="182">
        <v>1855.3501043470028</v>
      </c>
      <c r="N23" s="182">
        <v>1890.4640420143294</v>
      </c>
      <c r="O23" s="182">
        <v>1946.7871398537345</v>
      </c>
      <c r="P23" s="182">
        <v>2049.0777546752761</v>
      </c>
      <c r="Q23" s="182">
        <v>2122.7778801055556</v>
      </c>
      <c r="R23" s="182">
        <v>2160.2953415626939</v>
      </c>
      <c r="S23" s="182">
        <v>2206.0483300918718</v>
      </c>
      <c r="T23" s="182">
        <v>2247.10928518123</v>
      </c>
      <c r="U23" s="182">
        <v>2285.639556925832</v>
      </c>
      <c r="V23" s="182">
        <v>2320.1526986005638</v>
      </c>
      <c r="W23" s="182">
        <v>2349.0599748851268</v>
      </c>
      <c r="DA23" s="191" t="s">
        <v>924</v>
      </c>
    </row>
    <row r="24" spans="1:105" ht="12" customHeight="1" x14ac:dyDescent="0.25">
      <c r="A24" s="60" t="s">
        <v>166</v>
      </c>
      <c r="B24" s="36">
        <v>42.712645485408977</v>
      </c>
      <c r="C24" s="36">
        <v>45.729813593182314</v>
      </c>
      <c r="D24" s="36">
        <v>49.333868579302056</v>
      </c>
      <c r="E24" s="36">
        <v>53.449215403029143</v>
      </c>
      <c r="F24" s="36">
        <v>58.554295767003417</v>
      </c>
      <c r="G24" s="36">
        <v>61.790156684967677</v>
      </c>
      <c r="H24" s="36">
        <v>69.343031617443572</v>
      </c>
      <c r="I24" s="36">
        <v>76.446735048985374</v>
      </c>
      <c r="J24" s="36">
        <v>80.864438827412016</v>
      </c>
      <c r="K24" s="36">
        <v>83.880174670461443</v>
      </c>
      <c r="L24" s="36">
        <v>87.118508121383499</v>
      </c>
      <c r="M24" s="36">
        <v>90.058146000931117</v>
      </c>
      <c r="N24" s="36">
        <v>92.985909796310423</v>
      </c>
      <c r="O24" s="36">
        <v>95.20145313151788</v>
      </c>
      <c r="P24" s="36">
        <v>98.713894151701425</v>
      </c>
      <c r="Q24" s="36">
        <v>101.04265000162081</v>
      </c>
      <c r="R24" s="36">
        <v>104.7611273314523</v>
      </c>
      <c r="S24" s="36">
        <v>108.96762027075397</v>
      </c>
      <c r="T24" s="36">
        <v>112.99894640527415</v>
      </c>
      <c r="U24" s="36">
        <v>116.85745360676796</v>
      </c>
      <c r="V24" s="36">
        <v>120.43285061884271</v>
      </c>
      <c r="W24" s="36">
        <v>123.71150758441543</v>
      </c>
      <c r="DA24" s="89" t="s">
        <v>925</v>
      </c>
    </row>
    <row r="25" spans="1:105" ht="12" customHeight="1" x14ac:dyDescent="0.25">
      <c r="A25" s="62" t="s">
        <v>164</v>
      </c>
      <c r="B25" s="38">
        <v>7154.0078996388247</v>
      </c>
      <c r="C25" s="38">
        <v>7845.1328038808824</v>
      </c>
      <c r="D25" s="38">
        <v>8570.5893345460609</v>
      </c>
      <c r="E25" s="38">
        <v>9479.4122728756665</v>
      </c>
      <c r="F25" s="38">
        <v>10409.225450576951</v>
      </c>
      <c r="G25" s="38">
        <v>11534.60677882134</v>
      </c>
      <c r="H25" s="38">
        <v>12586.081230660917</v>
      </c>
      <c r="I25" s="38">
        <v>13640.776646181735</v>
      </c>
      <c r="J25" s="38">
        <v>14633.926023944578</v>
      </c>
      <c r="K25" s="38">
        <v>15905.517118368769</v>
      </c>
      <c r="L25" s="38">
        <v>17082.784687575295</v>
      </c>
      <c r="M25" s="38">
        <v>18859.127649170703</v>
      </c>
      <c r="N25" s="38">
        <v>20897.426762420175</v>
      </c>
      <c r="O25" s="38">
        <v>23268.892747727965</v>
      </c>
      <c r="P25" s="38">
        <v>25925.192952327026</v>
      </c>
      <c r="Q25" s="38">
        <v>28006.140725701687</v>
      </c>
      <c r="R25" s="38">
        <v>29636.236256833283</v>
      </c>
      <c r="S25" s="38">
        <v>30551.327158419535</v>
      </c>
      <c r="T25" s="38">
        <v>32873.227219294211</v>
      </c>
      <c r="U25" s="38">
        <v>33221.568918555975</v>
      </c>
      <c r="V25" s="38">
        <v>33125.259146540717</v>
      </c>
      <c r="W25" s="38">
        <v>34016.339082805229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16.158964119254591</v>
      </c>
      <c r="D28" s="183">
        <v>16.063209012190782</v>
      </c>
      <c r="E28" s="183">
        <v>17.471519639593822</v>
      </c>
      <c r="F28" s="183">
        <v>16.903422572956799</v>
      </c>
      <c r="G28" s="183">
        <v>15.602759866864488</v>
      </c>
      <c r="H28" s="183">
        <v>22.216417928088333</v>
      </c>
      <c r="I28" s="183">
        <v>22.196105376894536</v>
      </c>
      <c r="J28" s="183">
        <v>19.512015709846821</v>
      </c>
      <c r="K28" s="183">
        <v>19.992983695101259</v>
      </c>
      <c r="L28" s="183">
        <v>21.965174619342974</v>
      </c>
      <c r="M28" s="183">
        <v>25.696639593445866</v>
      </c>
      <c r="N28" s="183">
        <v>24.430762605905556</v>
      </c>
      <c r="O28" s="183">
        <v>23.635312939828509</v>
      </c>
      <c r="P28" s="183">
        <v>29.872677534276306</v>
      </c>
      <c r="Q28" s="183">
        <v>27.178162251412687</v>
      </c>
      <c r="R28" s="183">
        <v>22.933222403414845</v>
      </c>
      <c r="S28" s="183">
        <v>25.039550872666325</v>
      </c>
      <c r="T28" s="183">
        <v>24.935147306954718</v>
      </c>
      <c r="U28" s="183">
        <v>24.900579311859133</v>
      </c>
      <c r="V28" s="183">
        <v>24.165802430444444</v>
      </c>
      <c r="W28" s="183">
        <v>25.000773111756587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1138.3379757657658</v>
      </c>
      <c r="D29" s="183">
        <v>1162.0070407835246</v>
      </c>
      <c r="E29" s="183">
        <v>1278.424259412679</v>
      </c>
      <c r="F29" s="183">
        <v>1275.3891801234604</v>
      </c>
      <c r="G29" s="183">
        <v>1298.0779465094201</v>
      </c>
      <c r="H29" s="183">
        <v>1376.7098238968574</v>
      </c>
      <c r="I29" s="183">
        <v>1474.6073571453917</v>
      </c>
      <c r="J29" s="183">
        <v>1447.094340791502</v>
      </c>
      <c r="K29" s="183">
        <v>1508.2084417791957</v>
      </c>
      <c r="L29" s="183">
        <v>1663.3878573565071</v>
      </c>
      <c r="M29" s="183">
        <v>1686.4705671471729</v>
      </c>
      <c r="N29" s="183">
        <v>1733.5751070643437</v>
      </c>
      <c r="O29" s="183">
        <v>1913.162479605031</v>
      </c>
      <c r="P29" s="183">
        <v>2108.6171461119538</v>
      </c>
      <c r="Q29" s="183">
        <v>2257.7166257766312</v>
      </c>
      <c r="R29" s="183">
        <v>1975.7408808040436</v>
      </c>
      <c r="S29" s="183">
        <v>2183.8303120864948</v>
      </c>
      <c r="T29" s="183">
        <v>2168.478350227304</v>
      </c>
      <c r="U29" s="183">
        <v>2183.3118055364048</v>
      </c>
      <c r="V29" s="183">
        <v>2308.2927533339516</v>
      </c>
      <c r="W29" s="183">
        <v>2429.17469002707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18.929361955135548</v>
      </c>
      <c r="D30" s="183">
        <v>20.187238173150959</v>
      </c>
      <c r="E30" s="183">
        <v>20.133071887343789</v>
      </c>
      <c r="F30" s="183">
        <v>20.524182845624196</v>
      </c>
      <c r="G30" s="183">
        <v>21.467900905778919</v>
      </c>
      <c r="H30" s="183">
        <v>24.668403319376637</v>
      </c>
      <c r="I30" s="183">
        <v>23.27515197773198</v>
      </c>
      <c r="J30" s="183">
        <v>23.679819455290968</v>
      </c>
      <c r="K30" s="183">
        <v>23.227005340713788</v>
      </c>
      <c r="L30" s="183">
        <v>25.856748567780457</v>
      </c>
      <c r="M30" s="183">
        <v>27.006094994166034</v>
      </c>
      <c r="N30" s="183">
        <v>29.625613305323384</v>
      </c>
      <c r="O30" s="183">
        <v>28.306683501825574</v>
      </c>
      <c r="P30" s="183">
        <v>32.415355321334488</v>
      </c>
      <c r="Q30" s="183">
        <v>30.376463800072742</v>
      </c>
      <c r="R30" s="183">
        <v>29.780744728317302</v>
      </c>
      <c r="S30" s="183">
        <v>31.771870696442136</v>
      </c>
      <c r="T30" s="183">
        <v>34.026536222959464</v>
      </c>
      <c r="U30" s="183">
        <v>32.30228353206715</v>
      </c>
      <c r="V30" s="183">
        <v>35.732419679647393</v>
      </c>
      <c r="W30" s="183">
        <v>32.795748739223541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137.17108065584364</v>
      </c>
      <c r="D31" s="183">
        <v>157.35701356558093</v>
      </c>
      <c r="E31" s="183">
        <v>173.42987948965401</v>
      </c>
      <c r="F31" s="183">
        <v>192.96404039363074</v>
      </c>
      <c r="G31" s="183">
        <v>199.05161549608283</v>
      </c>
      <c r="H31" s="183">
        <v>208.58221210481565</v>
      </c>
      <c r="I31" s="183">
        <v>197.61905779774406</v>
      </c>
      <c r="J31" s="183">
        <v>210.9297292282231</v>
      </c>
      <c r="K31" s="183">
        <v>178.55980020370021</v>
      </c>
      <c r="L31" s="183">
        <v>166.29365391042825</v>
      </c>
      <c r="M31" s="183">
        <v>170.56310215714257</v>
      </c>
      <c r="N31" s="183">
        <v>192.47095123290751</v>
      </c>
      <c r="O31" s="183">
        <v>229.75297732905915</v>
      </c>
      <c r="P31" s="183">
        <v>295.25465521517231</v>
      </c>
      <c r="Q31" s="183">
        <v>272.75174092636234</v>
      </c>
      <c r="R31" s="183">
        <v>246.09967356195398</v>
      </c>
      <c r="S31" s="183">
        <v>243.37204632692192</v>
      </c>
      <c r="T31" s="183">
        <v>251.99068431758133</v>
      </c>
      <c r="U31" s="183">
        <v>217.09007194830247</v>
      </c>
      <c r="V31" s="183">
        <v>200.80679558516022</v>
      </c>
      <c r="W31" s="183">
        <v>199.47037844170563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4.2337290913085539</v>
      </c>
      <c r="D32" s="41">
        <v>4.9575173728935695</v>
      </c>
      <c r="E32" s="41">
        <v>5.6211163307256484</v>
      </c>
      <c r="F32" s="41">
        <v>6.7802963362564626</v>
      </c>
      <c r="G32" s="41">
        <v>5.0995914163877742</v>
      </c>
      <c r="H32" s="41">
        <v>9.6263337749330447</v>
      </c>
      <c r="I32" s="41">
        <v>9.4104916581659666</v>
      </c>
      <c r="J32" s="41">
        <v>6.9840782892348301</v>
      </c>
      <c r="K32" s="41">
        <v>5.870908265775256</v>
      </c>
      <c r="L32" s="41">
        <v>6.4148026408872028</v>
      </c>
      <c r="M32" s="41">
        <v>6.473559836234557</v>
      </c>
      <c r="N32" s="41">
        <v>6.8593632062620031</v>
      </c>
      <c r="O32" s="41">
        <v>6.5895714312168678</v>
      </c>
      <c r="P32" s="41">
        <v>8.3786849543243989</v>
      </c>
      <c r="Q32" s="41">
        <v>7.7426053970146853</v>
      </c>
      <c r="R32" s="41">
        <v>7.9522064211400476</v>
      </c>
      <c r="S32" s="41">
        <v>9.164010312195245</v>
      </c>
      <c r="T32" s="41">
        <v>9.6524424652458265</v>
      </c>
      <c r="U32" s="41">
        <v>10.638803537750277</v>
      </c>
      <c r="V32" s="41">
        <v>8.6749884284625125</v>
      </c>
      <c r="W32" s="41">
        <v>12.904990740505767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2121.9264841698223</v>
      </c>
      <c r="D33" s="42">
        <v>2156.2581105929439</v>
      </c>
      <c r="E33" s="42">
        <v>2339.6245182573712</v>
      </c>
      <c r="F33" s="42">
        <v>2360.6147576290496</v>
      </c>
      <c r="G33" s="42">
        <v>2556.1829081721553</v>
      </c>
      <c r="H33" s="42">
        <v>3173.4009360093987</v>
      </c>
      <c r="I33" s="42">
        <v>3210.9535261137626</v>
      </c>
      <c r="J33" s="42">
        <v>3332.7738960202132</v>
      </c>
      <c r="K33" s="42">
        <v>3632.205852053241</v>
      </c>
      <c r="L33" s="42">
        <v>3733.4504773786812</v>
      </c>
      <c r="M33" s="42">
        <v>4949.743897604807</v>
      </c>
      <c r="N33" s="42">
        <v>5249.2526393632343</v>
      </c>
      <c r="O33" s="42">
        <v>5704.2398813280015</v>
      </c>
      <c r="P33" s="42">
        <v>6288.5060566523025</v>
      </c>
      <c r="Q33" s="42">
        <v>5814.3982507533401</v>
      </c>
      <c r="R33" s="42">
        <v>6579.8394287364026</v>
      </c>
      <c r="S33" s="42">
        <v>6164.3435409494887</v>
      </c>
      <c r="T33" s="42">
        <v>8026.139942202677</v>
      </c>
      <c r="U33" s="42">
        <v>6636.8477559140665</v>
      </c>
      <c r="V33" s="42">
        <v>5718.0884787380819</v>
      </c>
      <c r="W33" s="42">
        <v>7470.9193650009147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9.8125235172703924</v>
      </c>
      <c r="D36" s="183">
        <v>10.090076576518413</v>
      </c>
      <c r="E36" s="183">
        <v>10.375480388996408</v>
      </c>
      <c r="F36" s="183">
        <v>10.668957017925266</v>
      </c>
      <c r="G36" s="183">
        <v>10.970734807715928</v>
      </c>
      <c r="H36" s="183">
        <v>11.281048561636737</v>
      </c>
      <c r="I36" s="183">
        <v>11.600139724505993</v>
      </c>
      <c r="J36" s="183">
        <v>11.928256570552207</v>
      </c>
      <c r="K36" s="183">
        <v>12.265654396587991</v>
      </c>
      <c r="L36" s="183">
        <v>12.612595720648017</v>
      </c>
      <c r="M36" s="183">
        <v>12.96935048624556</v>
      </c>
      <c r="N36" s="183">
        <v>13.336196272406653</v>
      </c>
      <c r="O36" s="183">
        <v>13.713418509644953</v>
      </c>
      <c r="P36" s="183">
        <v>14.101310702045907</v>
      </c>
      <c r="Q36" s="183">
        <v>14.500174655632463</v>
      </c>
      <c r="R36" s="183">
        <v>14.910320713190231</v>
      </c>
      <c r="S36" s="183">
        <v>15.332067995734974</v>
      </c>
      <c r="T36" s="183">
        <v>15.765744650810007</v>
      </c>
      <c r="U36" s="183">
        <v>16.158964119254563</v>
      </c>
      <c r="V36" s="183">
        <v>16.063209012190782</v>
      </c>
      <c r="W36" s="183">
        <v>17.471519639593851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861.28191159238759</v>
      </c>
      <c r="D37" s="183">
        <v>898.35568942413192</v>
      </c>
      <c r="E37" s="183">
        <v>937.02530362979724</v>
      </c>
      <c r="F37" s="183">
        <v>977.35944679700515</v>
      </c>
      <c r="G37" s="183">
        <v>1019.4297683776804</v>
      </c>
      <c r="H37" s="183">
        <v>1063.3110019659089</v>
      </c>
      <c r="I37" s="183">
        <v>1109.0810980544829</v>
      </c>
      <c r="J37" s="183">
        <v>1138.3379757657658</v>
      </c>
      <c r="K37" s="183">
        <v>1162.0070407835246</v>
      </c>
      <c r="L37" s="183">
        <v>1278.424259412679</v>
      </c>
      <c r="M37" s="183">
        <v>1275.3891801234604</v>
      </c>
      <c r="N37" s="183">
        <v>1298.0779465094201</v>
      </c>
      <c r="O37" s="183">
        <v>1376.7098238968574</v>
      </c>
      <c r="P37" s="183">
        <v>1474.6073571453926</v>
      </c>
      <c r="Q37" s="183">
        <v>1447.094340791502</v>
      </c>
      <c r="R37" s="183">
        <v>1508.2084417791957</v>
      </c>
      <c r="S37" s="183">
        <v>1663.3878573565071</v>
      </c>
      <c r="T37" s="183">
        <v>1686.4705671471729</v>
      </c>
      <c r="U37" s="183">
        <v>1733.5751070643437</v>
      </c>
      <c r="V37" s="183">
        <v>1913.162479605031</v>
      </c>
      <c r="W37" s="183">
        <v>2108.6171461119538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17.283416430411265</v>
      </c>
      <c r="D38" s="183">
        <v>17.732411107674821</v>
      </c>
      <c r="E38" s="183">
        <v>18.193069926748677</v>
      </c>
      <c r="F38" s="183">
        <v>18.665695902815614</v>
      </c>
      <c r="G38" s="183">
        <v>19.150599922893377</v>
      </c>
      <c r="H38" s="183">
        <v>19.648100950332221</v>
      </c>
      <c r="I38" s="183">
        <v>18.929361955135562</v>
      </c>
      <c r="J38" s="183">
        <v>20.187238173150945</v>
      </c>
      <c r="K38" s="183">
        <v>20.133071887343789</v>
      </c>
      <c r="L38" s="183">
        <v>20.524182845624182</v>
      </c>
      <c r="M38" s="183">
        <v>21.467900905778919</v>
      </c>
      <c r="N38" s="183">
        <v>24.668403319376637</v>
      </c>
      <c r="O38" s="183">
        <v>23.27515197773198</v>
      </c>
      <c r="P38" s="183">
        <v>23.679819455290982</v>
      </c>
      <c r="Q38" s="183">
        <v>23.227005340713788</v>
      </c>
      <c r="R38" s="183">
        <v>25.856748567780471</v>
      </c>
      <c r="S38" s="183">
        <v>27.006094994166034</v>
      </c>
      <c r="T38" s="183">
        <v>29.625613305323384</v>
      </c>
      <c r="U38" s="183">
        <v>28.306683501825574</v>
      </c>
      <c r="V38" s="183">
        <v>32.415355321334488</v>
      </c>
      <c r="W38" s="183">
        <v>30.376463800072742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97.626298136807463</v>
      </c>
      <c r="D39" s="183">
        <v>99.682716560541394</v>
      </c>
      <c r="E39" s="183">
        <v>101.7824517627887</v>
      </c>
      <c r="F39" s="183">
        <v>103.9264161761937</v>
      </c>
      <c r="G39" s="183">
        <v>106.11554145305172</v>
      </c>
      <c r="H39" s="183">
        <v>108.35077887015359</v>
      </c>
      <c r="I39" s="183">
        <v>110.63309974216145</v>
      </c>
      <c r="J39" s="183">
        <v>112.96349584368886</v>
      </c>
      <c r="K39" s="183">
        <v>115.34297984027353</v>
      </c>
      <c r="L39" s="183">
        <v>117.77258572842788</v>
      </c>
      <c r="M39" s="183">
        <v>137.17108065584353</v>
      </c>
      <c r="N39" s="183">
        <v>157.35701356558093</v>
      </c>
      <c r="O39" s="183">
        <v>173.42987948965401</v>
      </c>
      <c r="P39" s="183">
        <v>192.96404039363097</v>
      </c>
      <c r="Q39" s="183">
        <v>199.05161549608283</v>
      </c>
      <c r="R39" s="183">
        <v>208.58221210481543</v>
      </c>
      <c r="S39" s="183">
        <v>197.61905779774406</v>
      </c>
      <c r="T39" s="183">
        <v>210.9297292282231</v>
      </c>
      <c r="U39" s="183">
        <v>178.55980020370043</v>
      </c>
      <c r="V39" s="183">
        <v>166.29365391042847</v>
      </c>
      <c r="W39" s="183">
        <v>170.56310215714257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1.2165609835352171</v>
      </c>
      <c r="D40" s="41">
        <v>1.3534623867738276</v>
      </c>
      <c r="E40" s="41">
        <v>1.5057695069985613</v>
      </c>
      <c r="F40" s="41">
        <v>1.6752159722821887</v>
      </c>
      <c r="G40" s="41">
        <v>1.8637304984235143</v>
      </c>
      <c r="H40" s="41">
        <v>2.0734588424571569</v>
      </c>
      <c r="I40" s="41">
        <v>2.3067882266241639</v>
      </c>
      <c r="J40" s="41">
        <v>2.5663745108081883</v>
      </c>
      <c r="K40" s="41">
        <v>2.8551724227258291</v>
      </c>
      <c r="L40" s="41">
        <v>3.1764691899651467</v>
      </c>
      <c r="M40" s="41">
        <v>3.5339219566869389</v>
      </c>
      <c r="N40" s="41">
        <v>3.931599410882697</v>
      </c>
      <c r="O40" s="41">
        <v>4.3740280960094111</v>
      </c>
      <c r="P40" s="41">
        <v>4.8662439341408543</v>
      </c>
      <c r="Q40" s="41">
        <v>5.4138495470952961</v>
      </c>
      <c r="R40" s="41">
        <v>4.233729091308561</v>
      </c>
      <c r="S40" s="41">
        <v>4.9575173728935766</v>
      </c>
      <c r="T40" s="41">
        <v>5.6211163307256413</v>
      </c>
      <c r="U40" s="41">
        <v>6.7802963362564697</v>
      </c>
      <c r="V40" s="41">
        <v>5.0995914163877671</v>
      </c>
      <c r="W40" s="41">
        <v>9.6263337749330589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1430.8015799277637</v>
      </c>
      <c r="D41" s="42">
        <v>1430.8015799277655</v>
      </c>
      <c r="E41" s="42">
        <v>1430.8015799277655</v>
      </c>
      <c r="F41" s="42">
        <v>1430.8015799277655</v>
      </c>
      <c r="G41" s="42">
        <v>1430.8015799277655</v>
      </c>
      <c r="H41" s="42">
        <v>2121.9264841698223</v>
      </c>
      <c r="I41" s="42">
        <v>2156.2581105929439</v>
      </c>
      <c r="J41" s="42">
        <v>2339.6245182573712</v>
      </c>
      <c r="K41" s="42">
        <v>2360.6147576290477</v>
      </c>
      <c r="L41" s="42">
        <v>2556.1829081721553</v>
      </c>
      <c r="M41" s="42">
        <v>3173.4009360093987</v>
      </c>
      <c r="N41" s="42">
        <v>3210.9535261137644</v>
      </c>
      <c r="O41" s="42">
        <v>3332.7738960202114</v>
      </c>
      <c r="P41" s="42">
        <v>3632.205852053241</v>
      </c>
      <c r="Q41" s="42">
        <v>3733.4504773786794</v>
      </c>
      <c r="R41" s="42">
        <v>4949.743897604807</v>
      </c>
      <c r="S41" s="42">
        <v>5249.2526393632397</v>
      </c>
      <c r="T41" s="42">
        <v>5704.2398813280015</v>
      </c>
      <c r="U41" s="42">
        <v>6288.5060566523025</v>
      </c>
      <c r="V41" s="42">
        <v>5814.3982507533365</v>
      </c>
      <c r="W41" s="42">
        <v>6579.839428736399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8759.9999999999982</v>
      </c>
      <c r="D44" s="185">
        <v>8760</v>
      </c>
      <c r="E44" s="185">
        <v>8759.9999999999982</v>
      </c>
      <c r="F44" s="185">
        <v>8759.9999999999982</v>
      </c>
      <c r="G44" s="185">
        <v>8759.9999999999964</v>
      </c>
      <c r="H44" s="185">
        <v>8760</v>
      </c>
      <c r="I44" s="185">
        <v>8760.0000000000018</v>
      </c>
      <c r="J44" s="185">
        <v>8759.9999999999964</v>
      </c>
      <c r="K44" s="185">
        <v>8759.9999999999982</v>
      </c>
      <c r="L44" s="185">
        <v>8759.9999999999982</v>
      </c>
      <c r="M44" s="185">
        <v>8760</v>
      </c>
      <c r="N44" s="185">
        <v>8759.9999999999964</v>
      </c>
      <c r="O44" s="185">
        <v>8760</v>
      </c>
      <c r="P44" s="185">
        <v>8760</v>
      </c>
      <c r="Q44" s="185">
        <v>8760.0000000000018</v>
      </c>
      <c r="R44" s="185">
        <v>8760.0000000000018</v>
      </c>
      <c r="S44" s="185">
        <v>8760.0000000000018</v>
      </c>
      <c r="T44" s="185">
        <v>8759.9999999999982</v>
      </c>
      <c r="U44" s="185">
        <v>8760.0000000000018</v>
      </c>
      <c r="V44" s="185">
        <v>8760</v>
      </c>
      <c r="W44" s="185">
        <v>8759.9999999999982</v>
      </c>
      <c r="DA44" s="194" t="s">
        <v>939</v>
      </c>
    </row>
    <row r="45" spans="1:105" ht="12" customHeight="1" x14ac:dyDescent="0.25">
      <c r="A45" s="132" t="s">
        <v>6</v>
      </c>
      <c r="B45" s="185">
        <v>4000.7342114088106</v>
      </c>
      <c r="C45" s="185">
        <v>3992.257356607271</v>
      </c>
      <c r="D45" s="185">
        <v>3979.186997242226</v>
      </c>
      <c r="E45" s="185">
        <v>3966.0715458736549</v>
      </c>
      <c r="F45" s="185">
        <v>3958.020173165467</v>
      </c>
      <c r="G45" s="185">
        <v>3948.2500605511063</v>
      </c>
      <c r="H45" s="185">
        <v>3936.6107604378972</v>
      </c>
      <c r="I45" s="185">
        <v>3923.7391357810211</v>
      </c>
      <c r="J45" s="185">
        <v>3908.7129586754736</v>
      </c>
      <c r="K45" s="185">
        <v>3900.9201784517127</v>
      </c>
      <c r="L45" s="185">
        <v>3888.1990163458299</v>
      </c>
      <c r="M45" s="185">
        <v>3866.6612828566631</v>
      </c>
      <c r="N45" s="185">
        <v>3848.4280871701967</v>
      </c>
      <c r="O45" s="185">
        <v>3828.4584432601532</v>
      </c>
      <c r="P45" s="185">
        <v>3808.3314034743075</v>
      </c>
      <c r="Q45" s="185">
        <v>3789.0077812380282</v>
      </c>
      <c r="R45" s="185">
        <v>3802.7302818246135</v>
      </c>
      <c r="S45" s="185">
        <v>3866.3254421451434</v>
      </c>
      <c r="T45" s="185">
        <v>3831.3041974284529</v>
      </c>
      <c r="U45" s="185">
        <v>3797.9909829516405</v>
      </c>
      <c r="V45" s="185">
        <v>3781.7642932228064</v>
      </c>
      <c r="W45" s="185">
        <v>3777.3683936833531</v>
      </c>
      <c r="DA45" s="194" t="s">
        <v>940</v>
      </c>
    </row>
    <row r="46" spans="1:105" ht="12" customHeight="1" x14ac:dyDescent="0.25">
      <c r="A46" s="132" t="s">
        <v>5</v>
      </c>
      <c r="B46" s="185">
        <v>2308.9960099094315</v>
      </c>
      <c r="C46" s="185">
        <v>2323.9420115004118</v>
      </c>
      <c r="D46" s="185">
        <v>2334.8349207426368</v>
      </c>
      <c r="E46" s="185">
        <v>2344.3204385519134</v>
      </c>
      <c r="F46" s="185">
        <v>2356.7564212257694</v>
      </c>
      <c r="G46" s="185">
        <v>2366.8843379681834</v>
      </c>
      <c r="H46" s="185">
        <v>2377.1137372097442</v>
      </c>
      <c r="I46" s="185">
        <v>2385.0613803492975</v>
      </c>
      <c r="J46" s="185">
        <v>2389.8743987670437</v>
      </c>
      <c r="K46" s="185">
        <v>2392.736426010104</v>
      </c>
      <c r="L46" s="185">
        <v>2397.9994933908297</v>
      </c>
      <c r="M46" s="185">
        <v>2406.1347602232818</v>
      </c>
      <c r="N46" s="185">
        <v>2416.3788948461429</v>
      </c>
      <c r="O46" s="185">
        <v>2423.5006622155142</v>
      </c>
      <c r="P46" s="185">
        <v>2434.4196552677272</v>
      </c>
      <c r="Q46" s="185">
        <v>2445.9949180343215</v>
      </c>
      <c r="R46" s="185">
        <v>2463.598007729624</v>
      </c>
      <c r="S46" s="185">
        <v>2531.9633171497521</v>
      </c>
      <c r="T46" s="185">
        <v>2500.680988216704</v>
      </c>
      <c r="U46" s="185">
        <v>2473.1225441509623</v>
      </c>
      <c r="V46" s="185">
        <v>2094.1212684822099</v>
      </c>
      <c r="W46" s="185">
        <v>2215.8716166426811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8759.9999999999945</v>
      </c>
      <c r="C47" s="185">
        <v>8759.9999999999964</v>
      </c>
      <c r="D47" s="185">
        <v>8759.9999999999945</v>
      </c>
      <c r="E47" s="185">
        <v>8759.9999999999982</v>
      </c>
      <c r="F47" s="185">
        <v>8760</v>
      </c>
      <c r="G47" s="185">
        <v>8760</v>
      </c>
      <c r="H47" s="185">
        <v>8759.9999999999964</v>
      </c>
      <c r="I47" s="185">
        <v>8759.9999999999982</v>
      </c>
      <c r="J47" s="185">
        <v>8760.0000000000036</v>
      </c>
      <c r="K47" s="185">
        <v>8760.0000000000018</v>
      </c>
      <c r="L47" s="185">
        <v>8760.0000000000018</v>
      </c>
      <c r="M47" s="185">
        <v>8760.0000000000018</v>
      </c>
      <c r="N47" s="185">
        <v>8760</v>
      </c>
      <c r="O47" s="185">
        <v>8760.0000000000018</v>
      </c>
      <c r="P47" s="185">
        <v>8760.0000000000018</v>
      </c>
      <c r="Q47" s="185">
        <v>8759.9999999999964</v>
      </c>
      <c r="R47" s="185">
        <v>8759.9999999999982</v>
      </c>
      <c r="S47" s="185">
        <v>8759.9999999999982</v>
      </c>
      <c r="T47" s="185">
        <v>8759.9999999999982</v>
      </c>
      <c r="U47" s="185">
        <v>8760</v>
      </c>
      <c r="V47" s="185">
        <v>8760</v>
      </c>
      <c r="W47" s="185">
        <v>8759.9999999999982</v>
      </c>
      <c r="DA47" s="194" t="s">
        <v>942</v>
      </c>
    </row>
    <row r="48" spans="1:105" ht="12" customHeight="1" x14ac:dyDescent="0.25">
      <c r="A48" s="60" t="s">
        <v>4</v>
      </c>
      <c r="B48" s="44">
        <v>898.14738002069691</v>
      </c>
      <c r="C48" s="44">
        <v>902.43772415198941</v>
      </c>
      <c r="D48" s="44">
        <v>906.37239442413772</v>
      </c>
      <c r="E48" s="44">
        <v>910.00708787084386</v>
      </c>
      <c r="F48" s="44">
        <v>913.3852817795173</v>
      </c>
      <c r="G48" s="44">
        <v>916.54157636337436</v>
      </c>
      <c r="H48" s="44">
        <v>919.50396539290352</v>
      </c>
      <c r="I48" s="44">
        <v>922.29542304013148</v>
      </c>
      <c r="J48" s="44">
        <v>924.93504032556598</v>
      </c>
      <c r="K48" s="44">
        <v>927.43885653462928</v>
      </c>
      <c r="L48" s="44">
        <v>929.82047897545999</v>
      </c>
      <c r="M48" s="44">
        <v>931.33391244691245</v>
      </c>
      <c r="N48" s="44">
        <v>932.77922169305725</v>
      </c>
      <c r="O48" s="44">
        <v>934.16236884526847</v>
      </c>
      <c r="P48" s="44">
        <v>935.48856233499168</v>
      </c>
      <c r="Q48" s="44">
        <v>936.76237909963913</v>
      </c>
      <c r="R48" s="44">
        <v>941.41018335298111</v>
      </c>
      <c r="S48" s="44">
        <v>961.81355810107766</v>
      </c>
      <c r="T48" s="44">
        <v>958.06051055025944</v>
      </c>
      <c r="U48" s="44">
        <v>952.93813137474251</v>
      </c>
      <c r="V48" s="44">
        <v>806.90219462805999</v>
      </c>
      <c r="W48" s="44">
        <v>853.81477061207545</v>
      </c>
      <c r="DA48" s="95" t="s">
        <v>943</v>
      </c>
    </row>
    <row r="49" spans="1:105" ht="12" customHeight="1" x14ac:dyDescent="0.25">
      <c r="A49" s="62" t="s">
        <v>3</v>
      </c>
      <c r="B49" s="186">
        <v>1621.6369427664854</v>
      </c>
      <c r="C49" s="186">
        <v>1638.0816240069048</v>
      </c>
      <c r="D49" s="186">
        <v>1668.6947936839422</v>
      </c>
      <c r="E49" s="186">
        <v>1697.3483106775311</v>
      </c>
      <c r="F49" s="186">
        <v>1726.5199768770328</v>
      </c>
      <c r="G49" s="186">
        <v>1753.4737408779363</v>
      </c>
      <c r="H49" s="186">
        <v>1781.5833644226</v>
      </c>
      <c r="I49" s="186">
        <v>1803.2808170588307</v>
      </c>
      <c r="J49" s="186">
        <v>1821.2289558779869</v>
      </c>
      <c r="K49" s="186">
        <v>1840.1995648517088</v>
      </c>
      <c r="L49" s="186">
        <v>1862.7716885582818</v>
      </c>
      <c r="M49" s="186">
        <v>1884.2167399143752</v>
      </c>
      <c r="N49" s="186">
        <v>1899.9741881927982</v>
      </c>
      <c r="O49" s="186">
        <v>1916.5240414716041</v>
      </c>
      <c r="P49" s="186">
        <v>1935.4972382373962</v>
      </c>
      <c r="Q49" s="186">
        <v>1955.5496349598056</v>
      </c>
      <c r="R49" s="186">
        <v>1984.4090856241435</v>
      </c>
      <c r="S49" s="186">
        <v>2040.287346371083</v>
      </c>
      <c r="T49" s="186">
        <v>2046.7018086842952</v>
      </c>
      <c r="U49" s="186">
        <v>2052.5512908632727</v>
      </c>
      <c r="V49" s="186">
        <v>1863.821567109178</v>
      </c>
      <c r="W49" s="186">
        <v>1924.4490927942718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0.7647506762622619</v>
      </c>
      <c r="C52" s="181">
        <v>0.75912508957008529</v>
      </c>
      <c r="D52" s="181">
        <v>0.75324897049122563</v>
      </c>
      <c r="E52" s="181">
        <v>0.7467314823432093</v>
      </c>
      <c r="F52" s="181">
        <v>0.74027439071293011</v>
      </c>
      <c r="G52" s="181">
        <v>0.73389528003170323</v>
      </c>
      <c r="H52" s="181">
        <v>0.72505039805628524</v>
      </c>
      <c r="I52" s="181">
        <v>0.71606803624561655</v>
      </c>
      <c r="J52" s="181">
        <v>0.70770266394589376</v>
      </c>
      <c r="K52" s="181">
        <v>0.69895467775020281</v>
      </c>
      <c r="L52" s="181">
        <v>0.68937152495990417</v>
      </c>
      <c r="M52" s="181">
        <v>0.67849048610016827</v>
      </c>
      <c r="N52" s="181">
        <v>0.66761458073819502</v>
      </c>
      <c r="O52" s="181">
        <v>0.6565067576617476</v>
      </c>
      <c r="P52" s="181">
        <v>0.6431339538835541</v>
      </c>
      <c r="Q52" s="181">
        <v>0.63023824564207198</v>
      </c>
      <c r="R52" s="181">
        <v>0.61877560430469314</v>
      </c>
      <c r="S52" s="181">
        <v>0.60684772660354158</v>
      </c>
      <c r="T52" s="181">
        <v>0.59498329959491725</v>
      </c>
      <c r="U52" s="181">
        <v>0.58641542898440957</v>
      </c>
      <c r="V52" s="181">
        <v>0.57837287092398115</v>
      </c>
      <c r="W52" s="181">
        <v>0.57036964471843199</v>
      </c>
      <c r="DA52" s="190" t="s">
        <v>945</v>
      </c>
    </row>
    <row r="53" spans="1:105" ht="12" customHeight="1" x14ac:dyDescent="0.25">
      <c r="A53" s="132" t="s">
        <v>100</v>
      </c>
      <c r="B53" s="181">
        <v>198.3618239065602</v>
      </c>
      <c r="C53" s="181">
        <v>196.04586904729132</v>
      </c>
      <c r="D53" s="181">
        <v>193.46396469978453</v>
      </c>
      <c r="E53" s="181">
        <v>190.51142458654832</v>
      </c>
      <c r="F53" s="181">
        <v>187.43451277788498</v>
      </c>
      <c r="G53" s="181">
        <v>183.96534691276861</v>
      </c>
      <c r="H53" s="181">
        <v>180.02098410025548</v>
      </c>
      <c r="I53" s="181">
        <v>175.81070133687714</v>
      </c>
      <c r="J53" s="181">
        <v>173.21076498746439</v>
      </c>
      <c r="K53" s="181">
        <v>170.49264375134729</v>
      </c>
      <c r="L53" s="181">
        <v>167.40293424537762</v>
      </c>
      <c r="M53" s="181">
        <v>164.11548319960082</v>
      </c>
      <c r="N53" s="181">
        <v>160.56388510217957</v>
      </c>
      <c r="O53" s="181">
        <v>156.3738925665192</v>
      </c>
      <c r="P53" s="181">
        <v>151.34300327359369</v>
      </c>
      <c r="Q53" s="181">
        <v>145.6711898594445</v>
      </c>
      <c r="R53" s="181">
        <v>140.12270363501179</v>
      </c>
      <c r="S53" s="181">
        <v>133.98421842726634</v>
      </c>
      <c r="T53" s="181">
        <v>127.88005004653533</v>
      </c>
      <c r="U53" s="181">
        <v>121.83857016915759</v>
      </c>
      <c r="V53" s="181">
        <v>115.61910018480563</v>
      </c>
      <c r="W53" s="181">
        <v>109.82793099985872</v>
      </c>
      <c r="DA53" s="190" t="s">
        <v>946</v>
      </c>
    </row>
    <row r="54" spans="1:105" ht="12" customHeight="1" x14ac:dyDescent="0.25">
      <c r="A54" s="132" t="s">
        <v>140</v>
      </c>
      <c r="B54" s="181">
        <v>42.897585692935479</v>
      </c>
      <c r="C54" s="181">
        <v>42.56433589515516</v>
      </c>
      <c r="D54" s="181">
        <v>42.024358388643314</v>
      </c>
      <c r="E54" s="181">
        <v>41.370816675715524</v>
      </c>
      <c r="F54" s="181">
        <v>40.58430360752665</v>
      </c>
      <c r="G54" s="181">
        <v>39.678231083458087</v>
      </c>
      <c r="H54" s="181">
        <v>38.587676634240175</v>
      </c>
      <c r="I54" s="181">
        <v>37.75908630906121</v>
      </c>
      <c r="J54" s="181">
        <v>36.943676531426718</v>
      </c>
      <c r="K54" s="181">
        <v>36.076986657697461</v>
      </c>
      <c r="L54" s="181">
        <v>35.084312242955171</v>
      </c>
      <c r="M54" s="181">
        <v>33.960666150298444</v>
      </c>
      <c r="N54" s="181">
        <v>32.656178854205955</v>
      </c>
      <c r="O54" s="181">
        <v>31.340534932293078</v>
      </c>
      <c r="P54" s="181">
        <v>29.834683941135328</v>
      </c>
      <c r="Q54" s="181">
        <v>28.346571164046694</v>
      </c>
      <c r="R54" s="181">
        <v>26.707772539207692</v>
      </c>
      <c r="S54" s="181">
        <v>25.067539193439305</v>
      </c>
      <c r="T54" s="181">
        <v>23.179264323818426</v>
      </c>
      <c r="U54" s="181">
        <v>21.36660860256303</v>
      </c>
      <c r="V54" s="181">
        <v>19.446549480234619</v>
      </c>
      <c r="W54" s="181">
        <v>17.921526066225752</v>
      </c>
      <c r="DA54" s="190" t="s">
        <v>947</v>
      </c>
    </row>
    <row r="55" spans="1:105" ht="12" customHeight="1" x14ac:dyDescent="0.25">
      <c r="A55" s="132" t="s">
        <v>181</v>
      </c>
      <c r="B55" s="181">
        <v>651.1460158892985</v>
      </c>
      <c r="C55" s="181">
        <v>643.35529304560077</v>
      </c>
      <c r="D55" s="181">
        <v>633.34905642859724</v>
      </c>
      <c r="E55" s="181">
        <v>622.43251451390154</v>
      </c>
      <c r="F55" s="181">
        <v>611.02966358411436</v>
      </c>
      <c r="G55" s="181">
        <v>599.69422561533656</v>
      </c>
      <c r="H55" s="181">
        <v>588.23767315641715</v>
      </c>
      <c r="I55" s="181">
        <v>577.13613821689592</v>
      </c>
      <c r="J55" s="181">
        <v>565.68651552617678</v>
      </c>
      <c r="K55" s="181">
        <v>554.97496877033655</v>
      </c>
      <c r="L55" s="181">
        <v>544.10615858332358</v>
      </c>
      <c r="M55" s="181">
        <v>535.80700556238241</v>
      </c>
      <c r="N55" s="181">
        <v>527.23169851104865</v>
      </c>
      <c r="O55" s="181">
        <v>517.01554741008476</v>
      </c>
      <c r="P55" s="181">
        <v>504.6669085530466</v>
      </c>
      <c r="Q55" s="181">
        <v>493.58805581854551</v>
      </c>
      <c r="R55" s="181">
        <v>483.39492827106574</v>
      </c>
      <c r="S55" s="181">
        <v>473.87839666825454</v>
      </c>
      <c r="T55" s="181">
        <v>464.13919695040789</v>
      </c>
      <c r="U55" s="181">
        <v>456.08384132354286</v>
      </c>
      <c r="V55" s="181">
        <v>448.9034698114009</v>
      </c>
      <c r="W55" s="181">
        <v>442.14522661577729</v>
      </c>
      <c r="DA55" s="190" t="s">
        <v>948</v>
      </c>
    </row>
    <row r="56" spans="1:105" ht="12" customHeight="1" x14ac:dyDescent="0.25">
      <c r="A56" s="60" t="s">
        <v>99</v>
      </c>
      <c r="B56" s="55">
        <v>48.995987749987648</v>
      </c>
      <c r="C56" s="55">
        <v>48.737143278078257</v>
      </c>
      <c r="D56" s="55">
        <v>48.433031555399175</v>
      </c>
      <c r="E56" s="55">
        <v>48.09764287695323</v>
      </c>
      <c r="F56" s="55">
        <v>47.717798296757458</v>
      </c>
      <c r="G56" s="55">
        <v>47.424748158760202</v>
      </c>
      <c r="H56" s="55">
        <v>46.923437101667531</v>
      </c>
      <c r="I56" s="55">
        <v>46.455626327619612</v>
      </c>
      <c r="J56" s="55">
        <v>46.089333494642858</v>
      </c>
      <c r="K56" s="55">
        <v>45.744980306463944</v>
      </c>
      <c r="L56" s="55">
        <v>45.355216431754073</v>
      </c>
      <c r="M56" s="55">
        <v>44.904989680602156</v>
      </c>
      <c r="N56" s="55">
        <v>44.375131925463926</v>
      </c>
      <c r="O56" s="55">
        <v>43.78826106837591</v>
      </c>
      <c r="P56" s="55">
        <v>43.028877291192352</v>
      </c>
      <c r="Q56" s="55">
        <v>42.230726152904985</v>
      </c>
      <c r="R56" s="55">
        <v>41.621655804929027</v>
      </c>
      <c r="S56" s="55">
        <v>40.939361032495881</v>
      </c>
      <c r="T56" s="55">
        <v>40.228458664535076</v>
      </c>
      <c r="U56" s="55">
        <v>39.443036606054498</v>
      </c>
      <c r="V56" s="55">
        <v>38.841055408145515</v>
      </c>
      <c r="W56" s="55">
        <v>37.91292210955281</v>
      </c>
      <c r="DA56" s="101" t="s">
        <v>949</v>
      </c>
    </row>
    <row r="57" spans="1:105" ht="12" customHeight="1" x14ac:dyDescent="0.25">
      <c r="A57" s="62" t="s">
        <v>98</v>
      </c>
      <c r="B57" s="63">
        <v>368.37567203179009</v>
      </c>
      <c r="C57" s="63">
        <v>359.58706423887065</v>
      </c>
      <c r="D57" s="63">
        <v>348.84758891572892</v>
      </c>
      <c r="E57" s="63">
        <v>336.28206510765773</v>
      </c>
      <c r="F57" s="63">
        <v>322.75066734685868</v>
      </c>
      <c r="G57" s="63">
        <v>308.21928319367652</v>
      </c>
      <c r="H57" s="63">
        <v>292.82325916289005</v>
      </c>
      <c r="I57" s="63">
        <v>278.46815280158785</v>
      </c>
      <c r="J57" s="63">
        <v>263.28363751878862</v>
      </c>
      <c r="K57" s="63">
        <v>247.89060247042477</v>
      </c>
      <c r="L57" s="63">
        <v>231.59990366044119</v>
      </c>
      <c r="M57" s="63">
        <v>213.54012431425485</v>
      </c>
      <c r="N57" s="63">
        <v>197.81121038971978</v>
      </c>
      <c r="O57" s="63">
        <v>185.21690384742206</v>
      </c>
      <c r="P57" s="63">
        <v>176.01596120315105</v>
      </c>
      <c r="Q57" s="63">
        <v>170.88405630063468</v>
      </c>
      <c r="R57" s="63">
        <v>166.80497752591015</v>
      </c>
      <c r="S57" s="63">
        <v>163.82570186468163</v>
      </c>
      <c r="T57" s="63">
        <v>160.83422025991314</v>
      </c>
      <c r="U57" s="63">
        <v>157.73792323536614</v>
      </c>
      <c r="V57" s="63">
        <v>154.43574380056944</v>
      </c>
      <c r="W57" s="63">
        <v>150.33647418697748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0.68378003295443723</v>
      </c>
      <c r="D60" s="181">
        <v>0.67539294728261678</v>
      </c>
      <c r="E60" s="181">
        <v>0.66844335090634699</v>
      </c>
      <c r="F60" s="181">
        <v>0.66188518034283506</v>
      </c>
      <c r="G60" s="181">
        <v>0.65260899607711031</v>
      </c>
      <c r="H60" s="181">
        <v>0.64308424365783912</v>
      </c>
      <c r="I60" s="181">
        <v>0.6332777947293935</v>
      </c>
      <c r="J60" s="181">
        <v>0.62337065741250763</v>
      </c>
      <c r="K60" s="181">
        <v>0.61434163225344463</v>
      </c>
      <c r="L60" s="181">
        <v>0.60466592426028365</v>
      </c>
      <c r="M60" s="181">
        <v>0.59384621927682457</v>
      </c>
      <c r="N60" s="181">
        <v>0.58021441719714228</v>
      </c>
      <c r="O60" s="181">
        <v>0.56585101834042206</v>
      </c>
      <c r="P60" s="181">
        <v>0.54992536046462059</v>
      </c>
      <c r="Q60" s="181">
        <v>0.53487662798655611</v>
      </c>
      <c r="R60" s="181">
        <v>0.53129415533927371</v>
      </c>
      <c r="S60" s="181">
        <v>0.52588577823112281</v>
      </c>
      <c r="T60" s="181">
        <v>0.52026019137698187</v>
      </c>
      <c r="U60" s="181">
        <v>0.5147859610923845</v>
      </c>
      <c r="V60" s="181">
        <v>0.50955835535700889</v>
      </c>
      <c r="W60" s="181">
        <v>0.50809126053429043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183.82955407614443</v>
      </c>
      <c r="D61" s="181">
        <v>181.37947199031575</v>
      </c>
      <c r="E61" s="181">
        <v>179.15985808513113</v>
      </c>
      <c r="F61" s="181">
        <v>177.11621142151265</v>
      </c>
      <c r="G61" s="181">
        <v>173.76823731587999</v>
      </c>
      <c r="H61" s="181">
        <v>170.33605405114491</v>
      </c>
      <c r="I61" s="181">
        <v>168.10864172273764</v>
      </c>
      <c r="J61" s="181">
        <v>165.38757403123418</v>
      </c>
      <c r="K61" s="181">
        <v>162.0976394452143</v>
      </c>
      <c r="L61" s="181">
        <v>158.49842191998013</v>
      </c>
      <c r="M61" s="181">
        <v>154.36942273939349</v>
      </c>
      <c r="N61" s="181">
        <v>149.03274122532432</v>
      </c>
      <c r="O61" s="181">
        <v>142.57088406068468</v>
      </c>
      <c r="P61" s="181">
        <v>135.80544885973569</v>
      </c>
      <c r="Q61" s="181">
        <v>128.01019216020939</v>
      </c>
      <c r="R61" s="181">
        <v>120.75146431479277</v>
      </c>
      <c r="S61" s="181">
        <v>115.16288239621251</v>
      </c>
      <c r="T61" s="181">
        <v>109.46860835949992</v>
      </c>
      <c r="U61" s="181">
        <v>103.74749621163312</v>
      </c>
      <c r="V61" s="181">
        <v>98.104790893318849</v>
      </c>
      <c r="W61" s="181">
        <v>96.173916909568362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40.920215085968501</v>
      </c>
      <c r="D62" s="181">
        <v>39.787032158854757</v>
      </c>
      <c r="E62" s="181">
        <v>39.024775047866079</v>
      </c>
      <c r="F62" s="181">
        <v>38.215482360504986</v>
      </c>
      <c r="G62" s="181">
        <v>37.545616305491976</v>
      </c>
      <c r="H62" s="181">
        <v>36.676104076181574</v>
      </c>
      <c r="I62" s="181">
        <v>35.847614843764845</v>
      </c>
      <c r="J62" s="181">
        <v>34.882323093794028</v>
      </c>
      <c r="K62" s="181">
        <v>33.641439736412948</v>
      </c>
      <c r="L62" s="181">
        <v>32.316164325680276</v>
      </c>
      <c r="M62" s="181">
        <v>30.894948512114205</v>
      </c>
      <c r="N62" s="181">
        <v>29.499285997015356</v>
      </c>
      <c r="O62" s="181">
        <v>27.95063027765152</v>
      </c>
      <c r="P62" s="181">
        <v>26.196023325764969</v>
      </c>
      <c r="Q62" s="181">
        <v>24.241622277200943</v>
      </c>
      <c r="R62" s="181">
        <v>22.024904616231037</v>
      </c>
      <c r="S62" s="181">
        <v>20.856776146269809</v>
      </c>
      <c r="T62" s="181">
        <v>18.566568752007559</v>
      </c>
      <c r="U62" s="181">
        <v>16.660733856340116</v>
      </c>
      <c r="V62" s="181">
        <v>15.323757637676019</v>
      </c>
      <c r="W62" s="181">
        <v>14.754725237650364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587.89034602393883</v>
      </c>
      <c r="D63" s="181">
        <v>573.80097550471601</v>
      </c>
      <c r="E63" s="181">
        <v>565.54914902725125</v>
      </c>
      <c r="F63" s="181">
        <v>559.17900854507639</v>
      </c>
      <c r="G63" s="181">
        <v>551.26403363634802</v>
      </c>
      <c r="H63" s="181">
        <v>542.64491533066325</v>
      </c>
      <c r="I63" s="181">
        <v>532.88497162951273</v>
      </c>
      <c r="J63" s="181">
        <v>523.93850943784798</v>
      </c>
      <c r="K63" s="181">
        <v>514.50422218165761</v>
      </c>
      <c r="L63" s="181">
        <v>504.00366902188688</v>
      </c>
      <c r="M63" s="181">
        <v>489.04202104275004</v>
      </c>
      <c r="N63" s="181">
        <v>482.64214135505716</v>
      </c>
      <c r="O63" s="181">
        <v>469.59030943857567</v>
      </c>
      <c r="P63" s="181">
        <v>458.87153829233927</v>
      </c>
      <c r="Q63" s="181">
        <v>452.44832161362535</v>
      </c>
      <c r="R63" s="181">
        <v>445.68966769713785</v>
      </c>
      <c r="S63" s="181">
        <v>437.3183427263192</v>
      </c>
      <c r="T63" s="181">
        <v>428.93276657381392</v>
      </c>
      <c r="U63" s="181">
        <v>420.75411471797656</v>
      </c>
      <c r="V63" s="181">
        <v>412.80445392627018</v>
      </c>
      <c r="W63" s="181">
        <v>403.63678486396265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46.200128781509491</v>
      </c>
      <c r="D64" s="55">
        <v>45.781496247280437</v>
      </c>
      <c r="E64" s="55">
        <v>45.394741927224409</v>
      </c>
      <c r="F64" s="55">
        <v>45.039279468341427</v>
      </c>
      <c r="G64" s="55">
        <v>44.634136882998085</v>
      </c>
      <c r="H64" s="55">
        <v>44.152003976531667</v>
      </c>
      <c r="I64" s="55">
        <v>43.631189258783543</v>
      </c>
      <c r="J64" s="55">
        <v>43.148025148782651</v>
      </c>
      <c r="K64" s="55">
        <v>42.582992470627396</v>
      </c>
      <c r="L64" s="55">
        <v>42.061480809063177</v>
      </c>
      <c r="M64" s="55">
        <v>41.079302485142009</v>
      </c>
      <c r="N64" s="55">
        <v>40.067056649975477</v>
      </c>
      <c r="O64" s="55">
        <v>38.963671474134109</v>
      </c>
      <c r="P64" s="55">
        <v>37.866131080572664</v>
      </c>
      <c r="Q64" s="55">
        <v>36.785207960170041</v>
      </c>
      <c r="R64" s="55">
        <v>36.320225544000515</v>
      </c>
      <c r="S64" s="55">
        <v>35.758987106019234</v>
      </c>
      <c r="T64" s="55">
        <v>35.211587521419617</v>
      </c>
      <c r="U64" s="55">
        <v>34.667341676120103</v>
      </c>
      <c r="V64" s="55">
        <v>34.137459353846992</v>
      </c>
      <c r="W64" s="55">
        <v>33.905305564677093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335.88265410160017</v>
      </c>
      <c r="D65" s="63">
        <v>322.73207069368146</v>
      </c>
      <c r="E65" s="63">
        <v>309.87852883175049</v>
      </c>
      <c r="F65" s="63">
        <v>296.06720745070237</v>
      </c>
      <c r="G65" s="63">
        <v>282.71696199487496</v>
      </c>
      <c r="H65" s="63">
        <v>265.65423313113695</v>
      </c>
      <c r="I65" s="63">
        <v>251.92460363978057</v>
      </c>
      <c r="J65" s="63">
        <v>233.84448731750572</v>
      </c>
      <c r="K65" s="63">
        <v>217.18360621640295</v>
      </c>
      <c r="L65" s="63">
        <v>197.19541946006433</v>
      </c>
      <c r="M65" s="63">
        <v>184.62299984514985</v>
      </c>
      <c r="N65" s="63">
        <v>174.40254384966394</v>
      </c>
      <c r="O65" s="63">
        <v>167.48906282402635</v>
      </c>
      <c r="P65" s="63">
        <v>165.74859629112206</v>
      </c>
      <c r="Q65" s="63">
        <v>164.89660034022418</v>
      </c>
      <c r="R65" s="63">
        <v>162.84673397966657</v>
      </c>
      <c r="S65" s="63">
        <v>158.50899596617199</v>
      </c>
      <c r="T65" s="63">
        <v>154.17685878574488</v>
      </c>
      <c r="U65" s="63">
        <v>149.99175947086454</v>
      </c>
      <c r="V65" s="63">
        <v>145.88743331346492</v>
      </c>
      <c r="W65" s="63">
        <v>143.17887215681623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403.53473351232299</v>
      </c>
      <c r="C68" s="188">
        <f>1000000*C20/SER_summary!C$8</f>
        <v>408.08556517470402</v>
      </c>
      <c r="D68" s="188">
        <f>1000000*D20/SER_summary!D$8</f>
        <v>411.58879165597295</v>
      </c>
      <c r="E68" s="188">
        <f>1000000*E20/SER_summary!E$8</f>
        <v>419.25499202141719</v>
      </c>
      <c r="F68" s="188">
        <f>1000000*F20/SER_summary!F$8</f>
        <v>426.86583511591789</v>
      </c>
      <c r="G68" s="188">
        <f>1000000*G20/SER_summary!G$8</f>
        <v>432.63531972097087</v>
      </c>
      <c r="H68" s="188">
        <f>1000000*H20/SER_summary!H$8</f>
        <v>441.37998720530885</v>
      </c>
      <c r="I68" s="188">
        <f>1000000*I20/SER_summary!I$8</f>
        <v>450.93057715158727</v>
      </c>
      <c r="J68" s="188">
        <f>1000000*J20/SER_summary!J$8</f>
        <v>460.79311618384679</v>
      </c>
      <c r="K68" s="188">
        <f>1000000*K20/SER_summary!K$8</f>
        <v>473.36241852953475</v>
      </c>
      <c r="L68" s="188">
        <f>1000000*L20/SER_summary!L$8</f>
        <v>485.81979904121761</v>
      </c>
      <c r="M68" s="188">
        <f>1000000*M20/SER_summary!M$8</f>
        <v>502.24116472187296</v>
      </c>
      <c r="N68" s="188">
        <f>1000000*N20/SER_summary!N$8</f>
        <v>518.02694660652037</v>
      </c>
      <c r="O68" s="188">
        <f>1000000*O20/SER_summary!O$8</f>
        <v>535.49647505772271</v>
      </c>
      <c r="P68" s="188">
        <f>1000000*P20/SER_summary!P$8</f>
        <v>553.79157257102906</v>
      </c>
      <c r="Q68" s="188">
        <f>1000000*Q20/SER_summary!Q$8</f>
        <v>571.82045040646767</v>
      </c>
      <c r="R68" s="188">
        <f>1000000*R20/SER_summary!R$8</f>
        <v>584.27218508183967</v>
      </c>
      <c r="S68" s="188">
        <f>1000000*S20/SER_summary!S$8</f>
        <v>596.76450549600827</v>
      </c>
      <c r="T68" s="188">
        <f>1000000*T20/SER_summary!T$8</f>
        <v>609.08276477906259</v>
      </c>
      <c r="U68" s="188">
        <f>1000000*U20/SER_summary!U$8</f>
        <v>621.09677663344667</v>
      </c>
      <c r="V68" s="188">
        <f>1000000*V20/SER_summary!V$8</f>
        <v>632.56421770712984</v>
      </c>
      <c r="W68" s="188">
        <f>1000000*W20/SER_summary!W$8</f>
        <v>643.30735002514564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0.12061523492188216</v>
      </c>
      <c r="C69" s="188">
        <f>1000*C21/SER_summary!C$3</f>
        <v>0.12540051802767382</v>
      </c>
      <c r="D69" s="188">
        <f>1000*D21/SER_summary!D$3</f>
        <v>0.12996798816579513</v>
      </c>
      <c r="E69" s="188">
        <f>1000*E21/SER_summary!E$3</f>
        <v>0.13561844859481989</v>
      </c>
      <c r="F69" s="188">
        <f>1000*F21/SER_summary!F$3</f>
        <v>0.13994007093520588</v>
      </c>
      <c r="G69" s="188">
        <f>1000*G21/SER_summary!G$3</f>
        <v>0.14383868735673469</v>
      </c>
      <c r="H69" s="188">
        <f>1000*H21/SER_summary!H$3</f>
        <v>0.1487668002282127</v>
      </c>
      <c r="I69" s="188">
        <f>1000*I21/SER_summary!I$3</f>
        <v>0.1546371456915773</v>
      </c>
      <c r="J69" s="188">
        <f>1000*J21/SER_summary!J$3</f>
        <v>0.15876988039653361</v>
      </c>
      <c r="K69" s="188">
        <f>1000*K21/SER_summary!K$3</f>
        <v>0.16370195627647677</v>
      </c>
      <c r="L69" s="188">
        <f>1000*L21/SER_summary!L$3</f>
        <v>0.16968154558441151</v>
      </c>
      <c r="M69" s="188">
        <f>1000*M21/SER_summary!M$3</f>
        <v>0.17610731791282069</v>
      </c>
      <c r="N69" s="188">
        <f>1000*N21/SER_summary!N$3</f>
        <v>0.18335211538695975</v>
      </c>
      <c r="O69" s="188">
        <f>1000*O21/SER_summary!O$3</f>
        <v>0.19144613709669137</v>
      </c>
      <c r="P69" s="188">
        <f>1000*P21/SER_summary!P$3</f>
        <v>0.19842031185363082</v>
      </c>
      <c r="Q69" s="188">
        <f>1000*Q21/SER_summary!Q$3</f>
        <v>0.21171163183357436</v>
      </c>
      <c r="R69" s="188">
        <f>1000*R21/SER_summary!R$3</f>
        <v>0.21987224123070576</v>
      </c>
      <c r="S69" s="188">
        <f>1000*S21/SER_summary!S$3</f>
        <v>0.22873807671609586</v>
      </c>
      <c r="T69" s="188">
        <f>1000*T21/SER_summary!T$3</f>
        <v>0.23710613225880187</v>
      </c>
      <c r="U69" s="188">
        <f>1000*U21/SER_summary!U$3</f>
        <v>0.24726981388864377</v>
      </c>
      <c r="V69" s="188">
        <f>1000*V21/SER_summary!V$3</f>
        <v>0.25462121055525616</v>
      </c>
      <c r="W69" s="188">
        <f>1000*W21/SER_summary!W$3</f>
        <v>0.26177475960173041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197.40847166063375</v>
      </c>
      <c r="C70" s="188">
        <f>1000000*C22/SER_summary!C$8</f>
        <v>197.07525799432716</v>
      </c>
      <c r="D70" s="188">
        <f>1000000*D22/SER_summary!D$8</f>
        <v>198.02557860073972</v>
      </c>
      <c r="E70" s="188">
        <f>1000000*E22/SER_summary!E$8</f>
        <v>199.19813962545942</v>
      </c>
      <c r="F70" s="188">
        <f>1000000*F22/SER_summary!F$8</f>
        <v>200.94387528104932</v>
      </c>
      <c r="G70" s="188">
        <f>1000000*G22/SER_summary!G$8</f>
        <v>203.89055800819497</v>
      </c>
      <c r="H70" s="188">
        <f>1000000*H22/SER_summary!H$8</f>
        <v>207.79176604278865</v>
      </c>
      <c r="I70" s="188">
        <f>1000000*I22/SER_summary!I$8</f>
        <v>211.24589357163484</v>
      </c>
      <c r="J70" s="188">
        <f>1000000*J22/SER_summary!J$8</f>
        <v>215.76911652550231</v>
      </c>
      <c r="K70" s="188">
        <f>1000000*K22/SER_summary!K$8</f>
        <v>220.80854143392114</v>
      </c>
      <c r="L70" s="188">
        <f>1000000*L22/SER_summary!L$8</f>
        <v>228.1760774379087</v>
      </c>
      <c r="M70" s="188">
        <f>1000000*M22/SER_summary!M$8</f>
        <v>235.18902822531498</v>
      </c>
      <c r="N70" s="188">
        <f>1000000*N22/SER_summary!N$8</f>
        <v>242.20337815108002</v>
      </c>
      <c r="O70" s="188">
        <f>1000000*O22/SER_summary!O$8</f>
        <v>250.99603200914487</v>
      </c>
      <c r="P70" s="188">
        <f>1000000*P22/SER_summary!P$8</f>
        <v>261.68316345588119</v>
      </c>
      <c r="Q70" s="188">
        <f>1000000*Q22/SER_summary!Q$8</f>
        <v>272.01812644282279</v>
      </c>
      <c r="R70" s="188">
        <f>1000000*R22/SER_summary!R$8</f>
        <v>278.1098411678098</v>
      </c>
      <c r="S70" s="188">
        <f>1000000*S22/SER_summary!S$8</f>
        <v>284.28236898956561</v>
      </c>
      <c r="T70" s="188">
        <f>1000000*T22/SER_summary!T$8</f>
        <v>290.20154935173156</v>
      </c>
      <c r="U70" s="188">
        <f>1000000*U22/SER_summary!U$8</f>
        <v>295.66302797674069</v>
      </c>
      <c r="V70" s="188">
        <f>1000000*V22/SER_summary!V$8</f>
        <v>300.28596027520967</v>
      </c>
      <c r="W70" s="188">
        <f>1000000*W22/SER_summary!W$8</f>
        <v>303.60059958730443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1.8870868994584535E-2</v>
      </c>
      <c r="C71" s="188">
        <f>1000*C23/SER_summary!C$3</f>
        <v>1.9552802248840744E-2</v>
      </c>
      <c r="D71" s="188">
        <f>1000*D23/SER_summary!D$3</f>
        <v>2.0555653428358682E-2</v>
      </c>
      <c r="E71" s="188">
        <f>1000*E23/SER_summary!E$3</f>
        <v>2.1758303197332605E-2</v>
      </c>
      <c r="F71" s="188">
        <f>1000*F23/SER_summary!F$3</f>
        <v>2.3168617163701527E-2</v>
      </c>
      <c r="G71" s="188">
        <f>1000*G23/SER_summary!G$3</f>
        <v>2.4622767195662983E-2</v>
      </c>
      <c r="H71" s="188">
        <f>1000*H23/SER_summary!H$3</f>
        <v>2.6268641178199017E-2</v>
      </c>
      <c r="I71" s="188">
        <f>1000*I23/SER_summary!I$3</f>
        <v>2.7690661062877413E-2</v>
      </c>
      <c r="J71" s="188">
        <f>1000*J23/SER_summary!J$3</f>
        <v>2.9158335278539657E-2</v>
      </c>
      <c r="K71" s="188">
        <f>1000*K23/SER_summary!K$3</f>
        <v>3.0057955944093565E-2</v>
      </c>
      <c r="L71" s="188">
        <f>1000*L23/SER_summary!L$3</f>
        <v>3.0781444181435812E-2</v>
      </c>
      <c r="M71" s="188">
        <f>1000*M23/SER_summary!M$3</f>
        <v>3.1253428668573904E-2</v>
      </c>
      <c r="N71" s="188">
        <f>1000*N23/SER_summary!N$3</f>
        <v>3.1829098114136443E-2</v>
      </c>
      <c r="O71" s="188">
        <f>1000*O23/SER_summary!O$3</f>
        <v>3.2617571176427537E-2</v>
      </c>
      <c r="P71" s="188">
        <f>1000*P23/SER_summary!P$3</f>
        <v>3.3711546763220003E-2</v>
      </c>
      <c r="Q71" s="188">
        <f>1000*Q23/SER_summary!Q$3</f>
        <v>3.4916629840087067E-2</v>
      </c>
      <c r="R71" s="188">
        <f>1000*R23/SER_summary!R$3</f>
        <v>3.5609918742231385E-2</v>
      </c>
      <c r="S71" s="188">
        <f>1000*S23/SER_summary!S$3</f>
        <v>3.6409779460628365E-2</v>
      </c>
      <c r="T71" s="188">
        <f>1000*T23/SER_summary!T$3</f>
        <v>3.7152144175139255E-2</v>
      </c>
      <c r="U71" s="188">
        <f>1000*U23/SER_summary!U$3</f>
        <v>3.821074363206111E-2</v>
      </c>
      <c r="V71" s="188">
        <f>1000*V23/SER_summary!V$3</f>
        <v>3.8901656823192667E-2</v>
      </c>
      <c r="W71" s="188">
        <f>1000*W23/SER_summary!W$3</f>
        <v>3.9655809443543043E-2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76.186745173641413</v>
      </c>
      <c r="C72" s="188">
        <f>1000000*C24/SER_summary!C$8</f>
        <v>80.237498319224201</v>
      </c>
      <c r="D72" s="188">
        <f>1000000*D24/SER_summary!D$8</f>
        <v>85.118251359060267</v>
      </c>
      <c r="E72" s="188">
        <f>1000000*E24/SER_summary!E$8</f>
        <v>91.222801012345499</v>
      </c>
      <c r="F72" s="188">
        <f>1000000*F24/SER_summary!F$8</f>
        <v>99.23145396412248</v>
      </c>
      <c r="G72" s="188">
        <f>1000000*G24/SER_summary!G$8</f>
        <v>104.21411579109026</v>
      </c>
      <c r="H72" s="188">
        <f>1000000*H24/SER_summary!H$8</f>
        <v>114.43803349228503</v>
      </c>
      <c r="I72" s="188">
        <f>1000000*I24/SER_summary!I$8</f>
        <v>123.9794340797622</v>
      </c>
      <c r="J72" s="188">
        <f>1000000*J24/SER_summary!J$8</f>
        <v>130.45413264051976</v>
      </c>
      <c r="K72" s="188">
        <f>1000000*K24/SER_summary!K$8</f>
        <v>135.34876897021985</v>
      </c>
      <c r="L72" s="188">
        <f>1000000*L24/SER_summary!L$8</f>
        <v>139.81610917167387</v>
      </c>
      <c r="M72" s="188">
        <f>1000000*M24/SER_summary!M$8</f>
        <v>143.39060050028894</v>
      </c>
      <c r="N72" s="188">
        <f>1000000*N24/SER_summary!N$8</f>
        <v>147.51711209569007</v>
      </c>
      <c r="O72" s="188">
        <f>1000000*O24/SER_summary!O$8</f>
        <v>151.52117446665542</v>
      </c>
      <c r="P72" s="188">
        <f>1000000*P24/SER_summary!P$8</f>
        <v>155.20398911680729</v>
      </c>
      <c r="Q72" s="188">
        <f>1000000*Q24/SER_summary!Q$8</f>
        <v>158.33811724643158</v>
      </c>
      <c r="R72" s="188">
        <f>1000000*R24/SER_summary!R$8</f>
        <v>164.13128066295934</v>
      </c>
      <c r="S72" s="188">
        <f>1000000*S24/SER_summary!S$8</f>
        <v>169.94804001438919</v>
      </c>
      <c r="T72" s="188">
        <f>1000000*T24/SER_summary!T$8</f>
        <v>175.66360285590198</v>
      </c>
      <c r="U72" s="188">
        <f>1000000*U24/SER_summary!U$8</f>
        <v>181.20228084244897</v>
      </c>
      <c r="V72" s="188">
        <f>1000000*V24/SER_summary!V$8</f>
        <v>186.42319084096155</v>
      </c>
      <c r="W72" s="188">
        <f>1000000*W24/SER_summary!W$8</f>
        <v>191.22734932669405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0.12567753007770258</v>
      </c>
      <c r="C73" s="52">
        <f>1000*C25/SER_summary!C$3</f>
        <v>0.13772888861464117</v>
      </c>
      <c r="D73" s="52">
        <f>1000*D25/SER_summary!D$3</f>
        <v>0.15039417910571279</v>
      </c>
      <c r="E73" s="52">
        <f>1000*E25/SER_summary!E$3</f>
        <v>0.16592557875954514</v>
      </c>
      <c r="F73" s="52">
        <f>1000*F25/SER_summary!F$3</f>
        <v>0.1810429169832449</v>
      </c>
      <c r="G73" s="52">
        <f>1000*G25/SER_summary!G$3</f>
        <v>0.19930291156182281</v>
      </c>
      <c r="H73" s="52">
        <f>1000*H25/SER_summary!H$3</f>
        <v>0.21676141574328239</v>
      </c>
      <c r="I73" s="52">
        <f>1000*I25/SER_summary!I$3</f>
        <v>0.23428202497904868</v>
      </c>
      <c r="J73" s="52">
        <f>1000*J25/SER_summary!J$3</f>
        <v>0.24950057476201426</v>
      </c>
      <c r="K73" s="52">
        <f>1000*K25/SER_summary!K$3</f>
        <v>0.26958235835774191</v>
      </c>
      <c r="L73" s="52">
        <f>1000*L25/SER_summary!L$3</f>
        <v>0.28860860646299324</v>
      </c>
      <c r="M73" s="52">
        <f>1000*M25/SER_summary!M$3</f>
        <v>0.31768257610998563</v>
      </c>
      <c r="N73" s="52">
        <f>1000*N25/SER_summary!N$3</f>
        <v>0.35184284491617462</v>
      </c>
      <c r="O73" s="52">
        <f>1000*O25/SER_summary!O$3</f>
        <v>0.38986017005058832</v>
      </c>
      <c r="P73" s="52">
        <f>1000*P25/SER_summary!P$3</f>
        <v>0.42652278692878415</v>
      </c>
      <c r="Q73" s="52">
        <f>1000*Q25/SER_summary!Q$3</f>
        <v>0.46066056092504976</v>
      </c>
      <c r="R73" s="52">
        <f>1000*R25/SER_summary!R$3</f>
        <v>0.48851837275545856</v>
      </c>
      <c r="S73" s="52">
        <f>1000*S25/SER_summary!S$3</f>
        <v>0.5042351379587573</v>
      </c>
      <c r="T73" s="52">
        <f>1000*T25/SER_summary!T$3</f>
        <v>0.5435031065054905</v>
      </c>
      <c r="U73" s="52">
        <f>1000*U25/SER_summary!U$3</f>
        <v>0.5553897810156706</v>
      </c>
      <c r="V73" s="52">
        <f>1000*V25/SER_summary!V$3</f>
        <v>0.55540631626328163</v>
      </c>
      <c r="W73" s="52">
        <f>1000*W25/SER_summary!W$3</f>
        <v>0.57424905070830967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130.31734813577501</v>
      </c>
      <c r="C3" s="199">
        <f>'SER_se-appl'!C4</f>
        <v>132.98756110872105</v>
      </c>
      <c r="D3" s="199">
        <f>'SER_se-appl'!D4</f>
        <v>135.34710077192457</v>
      </c>
      <c r="E3" s="199">
        <f>'SER_se-appl'!E4</f>
        <v>138.16722232705257</v>
      </c>
      <c r="F3" s="199">
        <f>'SER_se-appl'!F4</f>
        <v>140.4487638025382</v>
      </c>
      <c r="G3" s="199">
        <f>'SER_se-appl'!G4</f>
        <v>141.79901241849677</v>
      </c>
      <c r="H3" s="199">
        <f>'SER_se-appl'!H4</f>
        <v>146.06214121640238</v>
      </c>
      <c r="I3" s="199">
        <f>'SER_se-appl'!I4</f>
        <v>149.96767458344706</v>
      </c>
      <c r="J3" s="199">
        <f>'SER_se-appl'!J4</f>
        <v>152.25828712396373</v>
      </c>
      <c r="K3" s="199">
        <f>'SER_se-appl'!K4</f>
        <v>154.44441159020025</v>
      </c>
      <c r="L3" s="199">
        <f>'SER_se-appl'!L4</f>
        <v>157.18321203664649</v>
      </c>
      <c r="M3" s="199">
        <f>'SER_se-appl'!M4</f>
        <v>161.20658491618912</v>
      </c>
      <c r="N3" s="199">
        <f>'SER_se-appl'!N4</f>
        <v>164.20156758035475</v>
      </c>
      <c r="O3" s="199">
        <f>'SER_se-appl'!O4</f>
        <v>166.37591543883292</v>
      </c>
      <c r="P3" s="199">
        <f>'SER_se-appl'!P4</f>
        <v>170.62693032566318</v>
      </c>
      <c r="Q3" s="199">
        <f>'SER_se-appl'!Q4</f>
        <v>173.2240070029942</v>
      </c>
      <c r="R3" s="199">
        <f>'SER_se-appl'!R4</f>
        <v>173.81273412194656</v>
      </c>
      <c r="S3" s="199">
        <f>'SER_se-appl'!S4</f>
        <v>174.89943684954548</v>
      </c>
      <c r="T3" s="199">
        <f>'SER_se-appl'!T4</f>
        <v>175.58931556731437</v>
      </c>
      <c r="U3" s="199">
        <f>'SER_se-appl'!U4</f>
        <v>176.92198923207718</v>
      </c>
      <c r="V3" s="199">
        <f>'SER_se-appl'!V4</f>
        <v>178.02539406023428</v>
      </c>
      <c r="W3" s="199">
        <f>'SER_se-appl'!W4</f>
        <v>178.7966606085046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173.01264370080636</v>
      </c>
      <c r="C5" s="59">
        <f>'SER_se-appl'!C12</f>
        <v>176.55768672310799</v>
      </c>
      <c r="D5" s="59">
        <f>'SER_se-appl'!D12</f>
        <v>179.69027191523776</v>
      </c>
      <c r="E5" s="59">
        <f>'SER_se-appl'!E12</f>
        <v>183.43433740452303</v>
      </c>
      <c r="F5" s="59">
        <f>'SER_se-appl'!F12</f>
        <v>186.46337020816432</v>
      </c>
      <c r="G5" s="59">
        <f>'SER_se-appl'!G12</f>
        <v>188.25599479761624</v>
      </c>
      <c r="H5" s="59">
        <f>'SER_se-appl'!H12</f>
        <v>193.91583360122826</v>
      </c>
      <c r="I5" s="59">
        <f>'SER_se-appl'!I12</f>
        <v>199.10091956683664</v>
      </c>
      <c r="J5" s="59">
        <f>'SER_se-appl'!J12</f>
        <v>202.14199534836746</v>
      </c>
      <c r="K5" s="59">
        <f>'SER_se-appl'!K12</f>
        <v>205.04435009064261</v>
      </c>
      <c r="L5" s="59">
        <f>'SER_se-appl'!L12</f>
        <v>208.68045159659809</v>
      </c>
      <c r="M5" s="59">
        <f>'SER_se-appl'!M12</f>
        <v>214.0219843122465</v>
      </c>
      <c r="N5" s="59">
        <f>'SER_se-appl'!N12</f>
        <v>217.99819988122451</v>
      </c>
      <c r="O5" s="59">
        <f>'SER_se-appl'!O12</f>
        <v>220.8849196979026</v>
      </c>
      <c r="P5" s="59">
        <f>'SER_se-appl'!P12</f>
        <v>226.52867576340898</v>
      </c>
      <c r="Q5" s="59">
        <f>'SER_se-appl'!Q12</f>
        <v>229.97662116950025</v>
      </c>
      <c r="R5" s="59">
        <f>'SER_se-appl'!R12</f>
        <v>230.75823034683083</v>
      </c>
      <c r="S5" s="59">
        <f>'SER_se-appl'!S12</f>
        <v>232.20096467582346</v>
      </c>
      <c r="T5" s="59">
        <f>'SER_se-appl'!T12</f>
        <v>233.11686530226785</v>
      </c>
      <c r="U5" s="59">
        <f>'SER_se-appl'!U12</f>
        <v>234.88615693710696</v>
      </c>
      <c r="V5" s="59">
        <f>'SER_se-appl'!V12</f>
        <v>236.35106540188639</v>
      </c>
      <c r="W5" s="59">
        <f>'SER_se-appl'!W12</f>
        <v>237.37501859325442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403.53473351232299</v>
      </c>
      <c r="C6" s="202">
        <f>'SER_se-appl'!C68</f>
        <v>408.08556517470402</v>
      </c>
      <c r="D6" s="202">
        <f>'SER_se-appl'!D68</f>
        <v>411.58879165597295</v>
      </c>
      <c r="E6" s="202">
        <f>'SER_se-appl'!E68</f>
        <v>419.25499202141719</v>
      </c>
      <c r="F6" s="202">
        <f>'SER_se-appl'!F68</f>
        <v>426.86583511591789</v>
      </c>
      <c r="G6" s="202">
        <f>'SER_se-appl'!G68</f>
        <v>432.63531972097087</v>
      </c>
      <c r="H6" s="202">
        <f>'SER_se-appl'!H68</f>
        <v>441.37998720530885</v>
      </c>
      <c r="I6" s="202">
        <f>'SER_se-appl'!I68</f>
        <v>450.93057715158727</v>
      </c>
      <c r="J6" s="202">
        <f>'SER_se-appl'!J68</f>
        <v>460.79311618384679</v>
      </c>
      <c r="K6" s="202">
        <f>'SER_se-appl'!K68</f>
        <v>473.36241852953475</v>
      </c>
      <c r="L6" s="202">
        <f>'SER_se-appl'!L68</f>
        <v>485.81979904121761</v>
      </c>
      <c r="M6" s="202">
        <f>'SER_se-appl'!M68</f>
        <v>502.24116472187296</v>
      </c>
      <c r="N6" s="202">
        <f>'SER_se-appl'!N68</f>
        <v>518.02694660652037</v>
      </c>
      <c r="O6" s="202">
        <f>'SER_se-appl'!O68</f>
        <v>535.49647505772271</v>
      </c>
      <c r="P6" s="202">
        <f>'SER_se-appl'!P68</f>
        <v>553.79157257102906</v>
      </c>
      <c r="Q6" s="202">
        <f>'SER_se-appl'!Q68</f>
        <v>571.82045040646767</v>
      </c>
      <c r="R6" s="202">
        <f>'SER_se-appl'!R68</f>
        <v>584.27218508183967</v>
      </c>
      <c r="S6" s="202">
        <f>'SER_se-appl'!S68</f>
        <v>596.76450549600827</v>
      </c>
      <c r="T6" s="202">
        <f>'SER_se-appl'!T68</f>
        <v>609.08276477906259</v>
      </c>
      <c r="U6" s="202">
        <f>'SER_se-appl'!U68</f>
        <v>621.09677663344667</v>
      </c>
      <c r="V6" s="202">
        <f>'SER_se-appl'!V68</f>
        <v>632.56421770712984</v>
      </c>
      <c r="W6" s="202">
        <f>'SER_se-appl'!W68</f>
        <v>643.30735002514564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226.23405126806816</v>
      </c>
      <c r="C8" s="34">
        <f>'SER_se-appl'!C20</f>
        <v>232.58049187005236</v>
      </c>
      <c r="D8" s="34">
        <f>'SER_se-appl'!D20</f>
        <v>238.55362430572472</v>
      </c>
      <c r="E8" s="34">
        <f>'SER_se-appl'!E20</f>
        <v>245.64966355632211</v>
      </c>
      <c r="F8" s="34">
        <f>'SER_se-appl'!F20</f>
        <v>251.88412911135362</v>
      </c>
      <c r="G8" s="34">
        <f>'SER_se-appl'!G20</f>
        <v>256.51615417050215</v>
      </c>
      <c r="H8" s="34">
        <f>'SER_se-appl'!H20</f>
        <v>267.45152353695374</v>
      </c>
      <c r="I8" s="34">
        <f>'SER_se-appl'!I20</f>
        <v>278.04748918934229</v>
      </c>
      <c r="J8" s="34">
        <f>'SER_se-appl'!J20</f>
        <v>285.6312483286369</v>
      </c>
      <c r="K8" s="34">
        <f>'SER_se-appl'!K20</f>
        <v>293.35857762715017</v>
      </c>
      <c r="L8" s="34">
        <f>'SER_se-appl'!L20</f>
        <v>302.71115652584513</v>
      </c>
      <c r="M8" s="34">
        <f>'SER_se-appl'!M20</f>
        <v>315.43844563304543</v>
      </c>
      <c r="N8" s="34">
        <f>'SER_se-appl'!N20</f>
        <v>326.53301196654434</v>
      </c>
      <c r="O8" s="34">
        <f>'SER_se-appl'!O20</f>
        <v>336.45490639672789</v>
      </c>
      <c r="P8" s="34">
        <f>'SER_se-appl'!P20</f>
        <v>352.22627322895829</v>
      </c>
      <c r="Q8" s="34">
        <f>'SER_se-appl'!Q20</f>
        <v>364.90426082473851</v>
      </c>
      <c r="R8" s="34">
        <f>'SER_se-appl'!R20</f>
        <v>372.92716251496313</v>
      </c>
      <c r="S8" s="34">
        <f>'SER_se-appl'!S20</f>
        <v>382.63464539189448</v>
      </c>
      <c r="T8" s="34">
        <f>'SER_se-appl'!T20</f>
        <v>391.80404804803919</v>
      </c>
      <c r="U8" s="34">
        <f>'SER_se-appl'!U20</f>
        <v>400.54566324064376</v>
      </c>
      <c r="V8" s="34">
        <f>'SER_se-appl'!V20</f>
        <v>408.64825665889742</v>
      </c>
      <c r="W8" s="34">
        <f>'SER_se-appl'!W20</f>
        <v>416.17751013106016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16.158964119254591</v>
      </c>
      <c r="D9" s="36">
        <f>'SER_se-appl'!D28</f>
        <v>16.063209012190782</v>
      </c>
      <c r="E9" s="36">
        <f>'SER_se-appl'!E28</f>
        <v>17.471519639593822</v>
      </c>
      <c r="F9" s="36">
        <f>'SER_se-appl'!F28</f>
        <v>16.903422572956799</v>
      </c>
      <c r="G9" s="36">
        <f>'SER_se-appl'!G28</f>
        <v>15.602759866864488</v>
      </c>
      <c r="H9" s="36">
        <f>'SER_se-appl'!H28</f>
        <v>22.216417928088333</v>
      </c>
      <c r="I9" s="36">
        <f>'SER_se-appl'!I28</f>
        <v>22.196105376894536</v>
      </c>
      <c r="J9" s="36">
        <f>'SER_se-appl'!J28</f>
        <v>19.512015709846821</v>
      </c>
      <c r="K9" s="36">
        <f>'SER_se-appl'!K28</f>
        <v>19.992983695101259</v>
      </c>
      <c r="L9" s="36">
        <f>'SER_se-appl'!L28</f>
        <v>21.965174619342974</v>
      </c>
      <c r="M9" s="36">
        <f>'SER_se-appl'!M28</f>
        <v>25.696639593445866</v>
      </c>
      <c r="N9" s="36">
        <f>'SER_se-appl'!N28</f>
        <v>24.430762605905556</v>
      </c>
      <c r="O9" s="36">
        <f>'SER_se-appl'!O28</f>
        <v>23.635312939828509</v>
      </c>
      <c r="P9" s="36">
        <f>'SER_se-appl'!P28</f>
        <v>29.872677534276306</v>
      </c>
      <c r="Q9" s="36">
        <f>'SER_se-appl'!Q28</f>
        <v>27.178162251412687</v>
      </c>
      <c r="R9" s="36">
        <f>'SER_se-appl'!R28</f>
        <v>22.933222403414845</v>
      </c>
      <c r="S9" s="36">
        <f>'SER_se-appl'!S28</f>
        <v>25.039550872666325</v>
      </c>
      <c r="T9" s="36">
        <f>'SER_se-appl'!T28</f>
        <v>24.935147306954718</v>
      </c>
      <c r="U9" s="36">
        <f>'SER_se-appl'!U28</f>
        <v>24.900579311859133</v>
      </c>
      <c r="V9" s="36">
        <f>'SER_se-appl'!V28</f>
        <v>24.165802430444444</v>
      </c>
      <c r="W9" s="36">
        <f>'SER_se-appl'!W28</f>
        <v>25.000773111756587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9.8125235172703924</v>
      </c>
      <c r="D10" s="38">
        <f>'SER_se-appl'!D36</f>
        <v>10.090076576518413</v>
      </c>
      <c r="E10" s="38">
        <f>'SER_se-appl'!E36</f>
        <v>10.375480388996408</v>
      </c>
      <c r="F10" s="38">
        <f>'SER_se-appl'!F36</f>
        <v>10.668957017925266</v>
      </c>
      <c r="G10" s="38">
        <f>'SER_se-appl'!G36</f>
        <v>10.970734807715928</v>
      </c>
      <c r="H10" s="38">
        <f>'SER_se-appl'!H36</f>
        <v>11.281048561636737</v>
      </c>
      <c r="I10" s="38">
        <f>'SER_se-appl'!I36</f>
        <v>11.600139724505993</v>
      </c>
      <c r="J10" s="38">
        <f>'SER_se-appl'!J36</f>
        <v>11.928256570552207</v>
      </c>
      <c r="K10" s="38">
        <f>'SER_se-appl'!K36</f>
        <v>12.265654396587991</v>
      </c>
      <c r="L10" s="38">
        <f>'SER_se-appl'!L36</f>
        <v>12.612595720648017</v>
      </c>
      <c r="M10" s="38">
        <f>'SER_se-appl'!M36</f>
        <v>12.96935048624556</v>
      </c>
      <c r="N10" s="38">
        <f>'SER_se-appl'!N36</f>
        <v>13.336196272406653</v>
      </c>
      <c r="O10" s="38">
        <f>'SER_se-appl'!O36</f>
        <v>13.713418509644953</v>
      </c>
      <c r="P10" s="38">
        <f>'SER_se-appl'!P36</f>
        <v>14.101310702045907</v>
      </c>
      <c r="Q10" s="38">
        <f>'SER_se-appl'!Q36</f>
        <v>14.500174655632463</v>
      </c>
      <c r="R10" s="38">
        <f>'SER_se-appl'!R36</f>
        <v>14.910320713190231</v>
      </c>
      <c r="S10" s="38">
        <f>'SER_se-appl'!S36</f>
        <v>15.332067995734974</v>
      </c>
      <c r="T10" s="38">
        <f>'SER_se-appl'!T36</f>
        <v>15.765744650810007</v>
      </c>
      <c r="U10" s="38">
        <f>'SER_se-appl'!U36</f>
        <v>16.158964119254563</v>
      </c>
      <c r="V10" s="38">
        <f>'SER_se-appl'!V36</f>
        <v>16.063209012190782</v>
      </c>
      <c r="W10" s="38">
        <f>'SER_se-appl'!W36</f>
        <v>17.471519639593851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8759.9999999999982</v>
      </c>
      <c r="D12" s="205">
        <f>'SER_se-appl'!D44</f>
        <v>8760</v>
      </c>
      <c r="E12" s="205">
        <f>'SER_se-appl'!E44</f>
        <v>8759.9999999999982</v>
      </c>
      <c r="F12" s="205">
        <f>'SER_se-appl'!F44</f>
        <v>8759.9999999999982</v>
      </c>
      <c r="G12" s="205">
        <f>'SER_se-appl'!G44</f>
        <v>8759.9999999999964</v>
      </c>
      <c r="H12" s="205">
        <f>'SER_se-appl'!H44</f>
        <v>8760</v>
      </c>
      <c r="I12" s="205">
        <f>'SER_se-appl'!I44</f>
        <v>8760.0000000000018</v>
      </c>
      <c r="J12" s="205">
        <f>'SER_se-appl'!J44</f>
        <v>8759.9999999999964</v>
      </c>
      <c r="K12" s="205">
        <f>'SER_se-appl'!K44</f>
        <v>8759.9999999999982</v>
      </c>
      <c r="L12" s="205">
        <f>'SER_se-appl'!L44</f>
        <v>8759.9999999999982</v>
      </c>
      <c r="M12" s="205">
        <f>'SER_se-appl'!M44</f>
        <v>8760</v>
      </c>
      <c r="N12" s="205">
        <f>'SER_se-appl'!N44</f>
        <v>8759.9999999999964</v>
      </c>
      <c r="O12" s="205">
        <f>'SER_se-appl'!O44</f>
        <v>8760</v>
      </c>
      <c r="P12" s="205">
        <f>'SER_se-appl'!P44</f>
        <v>8760</v>
      </c>
      <c r="Q12" s="205">
        <f>'SER_se-appl'!Q44</f>
        <v>8760.0000000000018</v>
      </c>
      <c r="R12" s="205">
        <f>'SER_se-appl'!R44</f>
        <v>8760.0000000000018</v>
      </c>
      <c r="S12" s="205">
        <f>'SER_se-appl'!S44</f>
        <v>8760.0000000000018</v>
      </c>
      <c r="T12" s="205">
        <f>'SER_se-appl'!T44</f>
        <v>8759.9999999999982</v>
      </c>
      <c r="U12" s="205">
        <f>'SER_se-appl'!U44</f>
        <v>8760.0000000000018</v>
      </c>
      <c r="V12" s="205">
        <f>'SER_se-appl'!V44</f>
        <v>8760</v>
      </c>
      <c r="W12" s="205">
        <f>'SER_se-appl'!W44</f>
        <v>8759.9999999999982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0.7647506762622619</v>
      </c>
      <c r="C14" s="59">
        <f>'SER_se-appl'!C52</f>
        <v>0.75912508957008529</v>
      </c>
      <c r="D14" s="59">
        <f>'SER_se-appl'!D52</f>
        <v>0.75324897049122563</v>
      </c>
      <c r="E14" s="59">
        <f>'SER_se-appl'!E52</f>
        <v>0.7467314823432093</v>
      </c>
      <c r="F14" s="59">
        <f>'SER_se-appl'!F52</f>
        <v>0.74027439071293011</v>
      </c>
      <c r="G14" s="59">
        <f>'SER_se-appl'!G52</f>
        <v>0.73389528003170323</v>
      </c>
      <c r="H14" s="59">
        <f>'SER_se-appl'!H52</f>
        <v>0.72505039805628524</v>
      </c>
      <c r="I14" s="59">
        <f>'SER_se-appl'!I52</f>
        <v>0.71606803624561655</v>
      </c>
      <c r="J14" s="59">
        <f>'SER_se-appl'!J52</f>
        <v>0.70770266394589376</v>
      </c>
      <c r="K14" s="59">
        <f>'SER_se-appl'!K52</f>
        <v>0.69895467775020281</v>
      </c>
      <c r="L14" s="59">
        <f>'SER_se-appl'!L52</f>
        <v>0.68937152495990417</v>
      </c>
      <c r="M14" s="59">
        <f>'SER_se-appl'!M52</f>
        <v>0.67849048610016827</v>
      </c>
      <c r="N14" s="59">
        <f>'SER_se-appl'!N52</f>
        <v>0.66761458073819502</v>
      </c>
      <c r="O14" s="59">
        <f>'SER_se-appl'!O52</f>
        <v>0.6565067576617476</v>
      </c>
      <c r="P14" s="59">
        <f>'SER_se-appl'!P52</f>
        <v>0.6431339538835541</v>
      </c>
      <c r="Q14" s="59">
        <f>'SER_se-appl'!Q52</f>
        <v>0.63023824564207198</v>
      </c>
      <c r="R14" s="59">
        <f>'SER_se-appl'!R52</f>
        <v>0.61877560430469314</v>
      </c>
      <c r="S14" s="59">
        <f>'SER_se-appl'!S52</f>
        <v>0.60684772660354158</v>
      </c>
      <c r="T14" s="59">
        <f>'SER_se-appl'!T52</f>
        <v>0.59498329959491725</v>
      </c>
      <c r="U14" s="59">
        <f>'SER_se-appl'!U52</f>
        <v>0.58641542898440957</v>
      </c>
      <c r="V14" s="59">
        <f>'SER_se-appl'!V52</f>
        <v>0.57837287092398115</v>
      </c>
      <c r="W14" s="59">
        <f>'SER_se-appl'!W52</f>
        <v>0.57036964471843199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0.68378003295443723</v>
      </c>
      <c r="D15" s="63">
        <f>'SER_se-appl'!D60</f>
        <v>0.67539294728261678</v>
      </c>
      <c r="E15" s="63">
        <f>'SER_se-appl'!E60</f>
        <v>0.66844335090634699</v>
      </c>
      <c r="F15" s="63">
        <f>'SER_se-appl'!F60</f>
        <v>0.66188518034283506</v>
      </c>
      <c r="G15" s="63">
        <f>'SER_se-appl'!G60</f>
        <v>0.65260899607711031</v>
      </c>
      <c r="H15" s="63">
        <f>'SER_se-appl'!H60</f>
        <v>0.64308424365783912</v>
      </c>
      <c r="I15" s="63">
        <f>'SER_se-appl'!I60</f>
        <v>0.6332777947293935</v>
      </c>
      <c r="J15" s="63">
        <f>'SER_se-appl'!J60</f>
        <v>0.62337065741250763</v>
      </c>
      <c r="K15" s="63">
        <f>'SER_se-appl'!K60</f>
        <v>0.61434163225344463</v>
      </c>
      <c r="L15" s="63">
        <f>'SER_se-appl'!L60</f>
        <v>0.60466592426028365</v>
      </c>
      <c r="M15" s="63">
        <f>'SER_se-appl'!M60</f>
        <v>0.59384621927682457</v>
      </c>
      <c r="N15" s="63">
        <f>'SER_se-appl'!N60</f>
        <v>0.58021441719714228</v>
      </c>
      <c r="O15" s="63">
        <f>'SER_se-appl'!O60</f>
        <v>0.56585101834042206</v>
      </c>
      <c r="P15" s="63">
        <f>'SER_se-appl'!P60</f>
        <v>0.54992536046462059</v>
      </c>
      <c r="Q15" s="63">
        <f>'SER_se-appl'!Q60</f>
        <v>0.53487662798655611</v>
      </c>
      <c r="R15" s="63">
        <f>'SER_se-appl'!R60</f>
        <v>0.53129415533927371</v>
      </c>
      <c r="S15" s="63">
        <f>'SER_se-appl'!S60</f>
        <v>0.52588577823112281</v>
      </c>
      <c r="T15" s="63">
        <f>'SER_se-appl'!T60</f>
        <v>0.52026019137698187</v>
      </c>
      <c r="U15" s="63">
        <f>'SER_se-appl'!U60</f>
        <v>0.5147859610923845</v>
      </c>
      <c r="V15" s="63">
        <f>'SER_se-appl'!V60</f>
        <v>0.50955835535700889</v>
      </c>
      <c r="W15" s="63">
        <f>'SER_se-appl'!W60</f>
        <v>0.50809126053429043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468.5026196595752</v>
      </c>
      <c r="C3" s="199">
        <f>'SER_se-appl'!C5</f>
        <v>480.69665277625228</v>
      </c>
      <c r="D3" s="199">
        <f>'SER_se-appl'!D5</f>
        <v>490.26486735271516</v>
      </c>
      <c r="E3" s="199">
        <f>'SER_se-appl'!E5</f>
        <v>503.37158558628693</v>
      </c>
      <c r="F3" s="199">
        <f>'SER_se-appl'!F5</f>
        <v>513.24746912437547</v>
      </c>
      <c r="G3" s="199">
        <f>'SER_se-appl'!G5</f>
        <v>519.90718747002018</v>
      </c>
      <c r="H3" s="199">
        <f>'SER_se-appl'!H5</f>
        <v>526.35707580151791</v>
      </c>
      <c r="I3" s="199">
        <f>'SER_se-appl'!I5</f>
        <v>534.04723572313867</v>
      </c>
      <c r="J3" s="199">
        <f>'SER_se-appl'!J5</f>
        <v>542.10868637553324</v>
      </c>
      <c r="K3" s="199">
        <f>'SER_se-appl'!K5</f>
        <v>552.33579431929513</v>
      </c>
      <c r="L3" s="199">
        <f>'SER_se-appl'!L5</f>
        <v>562.10291563756482</v>
      </c>
      <c r="M3" s="199">
        <f>'SER_se-appl'!M5</f>
        <v>570.44211052587025</v>
      </c>
      <c r="N3" s="199">
        <f>'SER_se-appl'!N5</f>
        <v>578.60414710476925</v>
      </c>
      <c r="O3" s="199">
        <f>'SER_se-appl'!O5</f>
        <v>588.19581122571367</v>
      </c>
      <c r="P3" s="199">
        <f>'SER_se-appl'!P5</f>
        <v>597.69999766114165</v>
      </c>
      <c r="Q3" s="199">
        <f>'SER_se-appl'!Q5</f>
        <v>610.85256848349673</v>
      </c>
      <c r="R3" s="199">
        <f>'SER_se-appl'!R5</f>
        <v>611.13459164921267</v>
      </c>
      <c r="S3" s="199">
        <f>'SER_se-appl'!S5</f>
        <v>617.31634949344357</v>
      </c>
      <c r="T3" s="199">
        <f>'SER_se-appl'!T5</f>
        <v>604.16117838638377</v>
      </c>
      <c r="U3" s="199">
        <f>'SER_se-appl'!U5</f>
        <v>588.50799093005855</v>
      </c>
      <c r="V3" s="199">
        <f>'SER_se-appl'!V5</f>
        <v>570.93593178657318</v>
      </c>
      <c r="W3" s="199">
        <f>'SER_se-appl'!W5</f>
        <v>553.14308193023419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1361.9213821060537</v>
      </c>
      <c r="C5" s="59">
        <f>'SER_se-appl'!C13</f>
        <v>1400.3360936978208</v>
      </c>
      <c r="D5" s="59">
        <f>'SER_se-appl'!D13</f>
        <v>1432.9008441331594</v>
      </c>
      <c r="E5" s="59">
        <f>'SER_se-appl'!E13</f>
        <v>1476.0731047475188</v>
      </c>
      <c r="F5" s="59">
        <f>'SER_se-appl'!F13</f>
        <v>1508.0944019400144</v>
      </c>
      <c r="G5" s="59">
        <f>'SER_se-appl'!G13</f>
        <v>1531.4431704035349</v>
      </c>
      <c r="H5" s="59">
        <f>'SER_se-appl'!H13</f>
        <v>1555.0261796497025</v>
      </c>
      <c r="I5" s="59">
        <f>'SER_se-appl'!I13</f>
        <v>1582.9210700633921</v>
      </c>
      <c r="J5" s="59">
        <f>'SER_se-appl'!J13</f>
        <v>1612.9923300082651</v>
      </c>
      <c r="K5" s="59">
        <f>'SER_se-appl'!K13</f>
        <v>1646.7051347056722</v>
      </c>
      <c r="L5" s="59">
        <f>'SER_se-appl'!L13</f>
        <v>1681.3071762485711</v>
      </c>
      <c r="M5" s="59">
        <f>'SER_se-appl'!M13</f>
        <v>1715.7545644946015</v>
      </c>
      <c r="N5" s="59">
        <f>'SER_se-appl'!N13</f>
        <v>1748.5492981568266</v>
      </c>
      <c r="O5" s="59">
        <f>'SER_se-appl'!O13</f>
        <v>1786.80724524981</v>
      </c>
      <c r="P5" s="59">
        <f>'SER_se-appl'!P13</f>
        <v>1825.2747033668111</v>
      </c>
      <c r="Q5" s="59">
        <f>'SER_se-appl'!Q13</f>
        <v>1874.9540200579427</v>
      </c>
      <c r="R5" s="59">
        <f>'SER_se-appl'!R13</f>
        <v>1869.0505963178771</v>
      </c>
      <c r="S5" s="59">
        <f>'SER_se-appl'!S13</f>
        <v>1856.9024392901149</v>
      </c>
      <c r="T5" s="59">
        <f>'SER_se-appl'!T13</f>
        <v>1833.9432586297155</v>
      </c>
      <c r="U5" s="59">
        <f>'SER_se-appl'!U13</f>
        <v>1802.0969415776333</v>
      </c>
      <c r="V5" s="59">
        <f>'SER_se-appl'!V13</f>
        <v>1755.7902533950032</v>
      </c>
      <c r="W5" s="59">
        <f>'SER_se-appl'!W13</f>
        <v>1703.0518001914243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0.12061523492188216</v>
      </c>
      <c r="C6" s="202">
        <f>'SER_se-appl'!C69</f>
        <v>0.12540051802767382</v>
      </c>
      <c r="D6" s="202">
        <f>'SER_se-appl'!D69</f>
        <v>0.12996798816579513</v>
      </c>
      <c r="E6" s="202">
        <f>'SER_se-appl'!E69</f>
        <v>0.13561844859481989</v>
      </c>
      <c r="F6" s="202">
        <f>'SER_se-appl'!F69</f>
        <v>0.13994007093520588</v>
      </c>
      <c r="G6" s="202">
        <f>'SER_se-appl'!G69</f>
        <v>0.14383868735673469</v>
      </c>
      <c r="H6" s="202">
        <f>'SER_se-appl'!H69</f>
        <v>0.1487668002282127</v>
      </c>
      <c r="I6" s="202">
        <f>'SER_se-appl'!I69</f>
        <v>0.1546371456915773</v>
      </c>
      <c r="J6" s="202">
        <f>'SER_se-appl'!J69</f>
        <v>0.15876988039653361</v>
      </c>
      <c r="K6" s="202">
        <f>'SER_se-appl'!K69</f>
        <v>0.16370195627647677</v>
      </c>
      <c r="L6" s="202">
        <f>'SER_se-appl'!L69</f>
        <v>0.16968154558441151</v>
      </c>
      <c r="M6" s="202">
        <f>'SER_se-appl'!M69</f>
        <v>0.17610731791282069</v>
      </c>
      <c r="N6" s="202">
        <f>'SER_se-appl'!N69</f>
        <v>0.18335211538695975</v>
      </c>
      <c r="O6" s="202">
        <f>'SER_se-appl'!O69</f>
        <v>0.19144613709669137</v>
      </c>
      <c r="P6" s="202">
        <f>'SER_se-appl'!P69</f>
        <v>0.19842031185363082</v>
      </c>
      <c r="Q6" s="202">
        <f>'SER_se-appl'!Q69</f>
        <v>0.21171163183357436</v>
      </c>
      <c r="R6" s="202">
        <f>'SER_se-appl'!R69</f>
        <v>0.21987224123070576</v>
      </c>
      <c r="S6" s="202">
        <f>'SER_se-appl'!S69</f>
        <v>0.22873807671609586</v>
      </c>
      <c r="T6" s="202">
        <f>'SER_se-appl'!T69</f>
        <v>0.23710613225880187</v>
      </c>
      <c r="U6" s="202">
        <f>'SER_se-appl'!U69</f>
        <v>0.24726981388864377</v>
      </c>
      <c r="V6" s="202">
        <f>'SER_se-appl'!V69</f>
        <v>0.25462121055525616</v>
      </c>
      <c r="W6" s="202">
        <f>'SER_se-appl'!W69</f>
        <v>0.26177475960173041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6865.8442198413977</v>
      </c>
      <c r="C8" s="34">
        <f>'SER_se-appl'!C21</f>
        <v>7142.9002840147759</v>
      </c>
      <c r="D8" s="34">
        <f>'SER_se-appl'!D21</f>
        <v>7406.5516353741677</v>
      </c>
      <c r="E8" s="34">
        <f>'SER_se-appl'!E21</f>
        <v>7747.9505911570495</v>
      </c>
      <c r="F8" s="34">
        <f>'SER_se-appl'!F21</f>
        <v>8045.9803244835039</v>
      </c>
      <c r="G8" s="34">
        <f>'SER_se-appl'!G21</f>
        <v>8324.6285026152436</v>
      </c>
      <c r="H8" s="34">
        <f>'SER_se-appl'!H21</f>
        <v>8638.0273245461922</v>
      </c>
      <c r="I8" s="34">
        <f>'SER_se-appl'!I21</f>
        <v>9003.5535836371</v>
      </c>
      <c r="J8" s="34">
        <f>'SER_se-appl'!J21</f>
        <v>9312.3099486628362</v>
      </c>
      <c r="K8" s="34">
        <f>'SER_se-appl'!K21</f>
        <v>9658.5113496585072</v>
      </c>
      <c r="L8" s="34">
        <f>'SER_se-appl'!L21</f>
        <v>10043.474947602335</v>
      </c>
      <c r="M8" s="34">
        <f>'SER_se-appl'!M21</f>
        <v>10454.556334626048</v>
      </c>
      <c r="N8" s="34">
        <f>'SER_se-appl'!N21</f>
        <v>10890.053495180971</v>
      </c>
      <c r="O8" s="34">
        <f>'SER_se-appl'!O21</f>
        <v>11426.506150889145</v>
      </c>
      <c r="P8" s="34">
        <f>'SER_se-appl'!P21</f>
        <v>12060.515939855706</v>
      </c>
      <c r="Q8" s="34">
        <f>'SER_se-appl'!Q21</f>
        <v>12871.138224840835</v>
      </c>
      <c r="R8" s="34">
        <f>'SER_se-appl'!R21</f>
        <v>13338.670663865683</v>
      </c>
      <c r="S8" s="34">
        <f>'SER_se-appl'!S21</f>
        <v>13859.113118595671</v>
      </c>
      <c r="T8" s="34">
        <f>'SER_se-appl'!T21</f>
        <v>14341.120901675802</v>
      </c>
      <c r="U8" s="34">
        <f>'SER_se-appl'!U21</f>
        <v>14790.857600147863</v>
      </c>
      <c r="V8" s="34">
        <f>'SER_se-appl'!V21</f>
        <v>15185.987873876784</v>
      </c>
      <c r="W8" s="34">
        <f>'SER_se-appl'!W21</f>
        <v>15506.5454177919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1138.3379757657658</v>
      </c>
      <c r="D9" s="36">
        <f>'SER_se-appl'!D29</f>
        <v>1162.0070407835246</v>
      </c>
      <c r="E9" s="36">
        <f>'SER_se-appl'!E29</f>
        <v>1278.424259412679</v>
      </c>
      <c r="F9" s="36">
        <f>'SER_se-appl'!F29</f>
        <v>1275.3891801234604</v>
      </c>
      <c r="G9" s="36">
        <f>'SER_se-appl'!G29</f>
        <v>1298.0779465094201</v>
      </c>
      <c r="H9" s="36">
        <f>'SER_se-appl'!H29</f>
        <v>1376.7098238968574</v>
      </c>
      <c r="I9" s="36">
        <f>'SER_se-appl'!I29</f>
        <v>1474.6073571453917</v>
      </c>
      <c r="J9" s="36">
        <f>'SER_se-appl'!J29</f>
        <v>1447.094340791502</v>
      </c>
      <c r="K9" s="36">
        <f>'SER_se-appl'!K29</f>
        <v>1508.2084417791957</v>
      </c>
      <c r="L9" s="36">
        <f>'SER_se-appl'!L29</f>
        <v>1663.3878573565071</v>
      </c>
      <c r="M9" s="36">
        <f>'SER_se-appl'!M29</f>
        <v>1686.4705671471729</v>
      </c>
      <c r="N9" s="36">
        <f>'SER_se-appl'!N29</f>
        <v>1733.5751070643437</v>
      </c>
      <c r="O9" s="36">
        <f>'SER_se-appl'!O29</f>
        <v>1913.162479605031</v>
      </c>
      <c r="P9" s="36">
        <f>'SER_se-appl'!P29</f>
        <v>2108.6171461119538</v>
      </c>
      <c r="Q9" s="36">
        <f>'SER_se-appl'!Q29</f>
        <v>2257.7166257766312</v>
      </c>
      <c r="R9" s="36">
        <f>'SER_se-appl'!R29</f>
        <v>1975.7408808040436</v>
      </c>
      <c r="S9" s="36">
        <f>'SER_se-appl'!S29</f>
        <v>2183.8303120864948</v>
      </c>
      <c r="T9" s="36">
        <f>'SER_se-appl'!T29</f>
        <v>2168.478350227304</v>
      </c>
      <c r="U9" s="36">
        <f>'SER_se-appl'!U29</f>
        <v>2183.3118055364048</v>
      </c>
      <c r="V9" s="36">
        <f>'SER_se-appl'!V29</f>
        <v>2308.2927533339516</v>
      </c>
      <c r="W9" s="36">
        <f>'SER_se-appl'!W29</f>
        <v>2429.17469002707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861.28191159238759</v>
      </c>
      <c r="D10" s="38">
        <f>'SER_se-appl'!D37</f>
        <v>898.35568942413192</v>
      </c>
      <c r="E10" s="38">
        <f>'SER_se-appl'!E37</f>
        <v>937.02530362979724</v>
      </c>
      <c r="F10" s="38">
        <f>'SER_se-appl'!F37</f>
        <v>977.35944679700515</v>
      </c>
      <c r="G10" s="38">
        <f>'SER_se-appl'!G37</f>
        <v>1019.4297683776804</v>
      </c>
      <c r="H10" s="38">
        <f>'SER_se-appl'!H37</f>
        <v>1063.3110019659089</v>
      </c>
      <c r="I10" s="38">
        <f>'SER_se-appl'!I37</f>
        <v>1109.0810980544829</v>
      </c>
      <c r="J10" s="38">
        <f>'SER_se-appl'!J37</f>
        <v>1138.3379757657658</v>
      </c>
      <c r="K10" s="38">
        <f>'SER_se-appl'!K37</f>
        <v>1162.0070407835246</v>
      </c>
      <c r="L10" s="38">
        <f>'SER_se-appl'!L37</f>
        <v>1278.424259412679</v>
      </c>
      <c r="M10" s="38">
        <f>'SER_se-appl'!M37</f>
        <v>1275.3891801234604</v>
      </c>
      <c r="N10" s="38">
        <f>'SER_se-appl'!N37</f>
        <v>1298.0779465094201</v>
      </c>
      <c r="O10" s="38">
        <f>'SER_se-appl'!O37</f>
        <v>1376.7098238968574</v>
      </c>
      <c r="P10" s="38">
        <f>'SER_se-appl'!P37</f>
        <v>1474.6073571453926</v>
      </c>
      <c r="Q10" s="38">
        <f>'SER_se-appl'!Q37</f>
        <v>1447.094340791502</v>
      </c>
      <c r="R10" s="38">
        <f>'SER_se-appl'!R37</f>
        <v>1508.2084417791957</v>
      </c>
      <c r="S10" s="38">
        <f>'SER_se-appl'!S37</f>
        <v>1663.3878573565071</v>
      </c>
      <c r="T10" s="38">
        <f>'SER_se-appl'!T37</f>
        <v>1686.4705671471729</v>
      </c>
      <c r="U10" s="38">
        <f>'SER_se-appl'!U37</f>
        <v>1733.5751070643437</v>
      </c>
      <c r="V10" s="38">
        <f>'SER_se-appl'!V37</f>
        <v>1913.162479605031</v>
      </c>
      <c r="W10" s="38">
        <f>'SER_se-appl'!W37</f>
        <v>2108.6171461119538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4000.7342114088106</v>
      </c>
      <c r="C12" s="205">
        <f>'SER_se-appl'!C45</f>
        <v>3992.257356607271</v>
      </c>
      <c r="D12" s="205">
        <f>'SER_se-appl'!D45</f>
        <v>3979.186997242226</v>
      </c>
      <c r="E12" s="205">
        <f>'SER_se-appl'!E45</f>
        <v>3966.0715458736549</v>
      </c>
      <c r="F12" s="205">
        <f>'SER_se-appl'!F45</f>
        <v>3958.020173165467</v>
      </c>
      <c r="G12" s="205">
        <f>'SER_se-appl'!G45</f>
        <v>3948.2500605511063</v>
      </c>
      <c r="H12" s="205">
        <f>'SER_se-appl'!H45</f>
        <v>3936.6107604378972</v>
      </c>
      <c r="I12" s="205">
        <f>'SER_se-appl'!I45</f>
        <v>3923.7391357810211</v>
      </c>
      <c r="J12" s="205">
        <f>'SER_se-appl'!J45</f>
        <v>3908.7129586754736</v>
      </c>
      <c r="K12" s="205">
        <f>'SER_se-appl'!K45</f>
        <v>3900.9201784517127</v>
      </c>
      <c r="L12" s="205">
        <f>'SER_se-appl'!L45</f>
        <v>3888.1990163458299</v>
      </c>
      <c r="M12" s="205">
        <f>'SER_se-appl'!M45</f>
        <v>3866.6612828566631</v>
      </c>
      <c r="N12" s="205">
        <f>'SER_se-appl'!N45</f>
        <v>3848.4280871701967</v>
      </c>
      <c r="O12" s="205">
        <f>'SER_se-appl'!O45</f>
        <v>3828.4584432601532</v>
      </c>
      <c r="P12" s="205">
        <f>'SER_se-appl'!P45</f>
        <v>3808.3314034743075</v>
      </c>
      <c r="Q12" s="205">
        <f>'SER_se-appl'!Q45</f>
        <v>3789.0077812380282</v>
      </c>
      <c r="R12" s="205">
        <f>'SER_se-appl'!R45</f>
        <v>3802.7302818246135</v>
      </c>
      <c r="S12" s="205">
        <f>'SER_se-appl'!S45</f>
        <v>3866.3254421451434</v>
      </c>
      <c r="T12" s="205">
        <f>'SER_se-appl'!T45</f>
        <v>3831.3041974284529</v>
      </c>
      <c r="U12" s="205">
        <f>'SER_se-appl'!U45</f>
        <v>3797.9909829516405</v>
      </c>
      <c r="V12" s="205">
        <f>'SER_se-appl'!V45</f>
        <v>3781.7642932228064</v>
      </c>
      <c r="W12" s="205">
        <f>'SER_se-appl'!W45</f>
        <v>3777.3683936833531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198.3618239065602</v>
      </c>
      <c r="C14" s="59">
        <f>'SER_se-appl'!C53</f>
        <v>196.04586904729132</v>
      </c>
      <c r="D14" s="59">
        <f>'SER_se-appl'!D53</f>
        <v>193.46396469978453</v>
      </c>
      <c r="E14" s="59">
        <f>'SER_se-appl'!E53</f>
        <v>190.51142458654832</v>
      </c>
      <c r="F14" s="59">
        <f>'SER_se-appl'!F53</f>
        <v>187.43451277788498</v>
      </c>
      <c r="G14" s="59">
        <f>'SER_se-appl'!G53</f>
        <v>183.96534691276861</v>
      </c>
      <c r="H14" s="59">
        <f>'SER_se-appl'!H53</f>
        <v>180.02098410025548</v>
      </c>
      <c r="I14" s="59">
        <f>'SER_se-appl'!I53</f>
        <v>175.81070133687714</v>
      </c>
      <c r="J14" s="59">
        <f>'SER_se-appl'!J53</f>
        <v>173.21076498746439</v>
      </c>
      <c r="K14" s="59">
        <f>'SER_se-appl'!K53</f>
        <v>170.49264375134729</v>
      </c>
      <c r="L14" s="59">
        <f>'SER_se-appl'!L53</f>
        <v>167.40293424537762</v>
      </c>
      <c r="M14" s="59">
        <f>'SER_se-appl'!M53</f>
        <v>164.11548319960082</v>
      </c>
      <c r="N14" s="59">
        <f>'SER_se-appl'!N53</f>
        <v>160.56388510217957</v>
      </c>
      <c r="O14" s="59">
        <f>'SER_se-appl'!O53</f>
        <v>156.3738925665192</v>
      </c>
      <c r="P14" s="59">
        <f>'SER_se-appl'!P53</f>
        <v>151.34300327359369</v>
      </c>
      <c r="Q14" s="59">
        <f>'SER_se-appl'!Q53</f>
        <v>145.6711898594445</v>
      </c>
      <c r="R14" s="59">
        <f>'SER_se-appl'!R53</f>
        <v>140.12270363501179</v>
      </c>
      <c r="S14" s="59">
        <f>'SER_se-appl'!S53</f>
        <v>133.98421842726634</v>
      </c>
      <c r="T14" s="59">
        <f>'SER_se-appl'!T53</f>
        <v>127.88005004653533</v>
      </c>
      <c r="U14" s="59">
        <f>'SER_se-appl'!U53</f>
        <v>121.83857016915759</v>
      </c>
      <c r="V14" s="59">
        <f>'SER_se-appl'!V53</f>
        <v>115.61910018480563</v>
      </c>
      <c r="W14" s="59">
        <f>'SER_se-appl'!W53</f>
        <v>109.82793099985872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183.82955407614443</v>
      </c>
      <c r="D15" s="63">
        <f>'SER_se-appl'!D61</f>
        <v>181.37947199031575</v>
      </c>
      <c r="E15" s="63">
        <f>'SER_se-appl'!E61</f>
        <v>179.15985808513113</v>
      </c>
      <c r="F15" s="63">
        <f>'SER_se-appl'!F61</f>
        <v>177.11621142151265</v>
      </c>
      <c r="G15" s="63">
        <f>'SER_se-appl'!G61</f>
        <v>173.76823731587999</v>
      </c>
      <c r="H15" s="63">
        <f>'SER_se-appl'!H61</f>
        <v>170.33605405114491</v>
      </c>
      <c r="I15" s="63">
        <f>'SER_se-appl'!I61</f>
        <v>168.10864172273764</v>
      </c>
      <c r="J15" s="63">
        <f>'SER_se-appl'!J61</f>
        <v>165.38757403123418</v>
      </c>
      <c r="K15" s="63">
        <f>'SER_se-appl'!K61</f>
        <v>162.0976394452143</v>
      </c>
      <c r="L15" s="63">
        <f>'SER_se-appl'!L61</f>
        <v>158.49842191998013</v>
      </c>
      <c r="M15" s="63">
        <f>'SER_se-appl'!M61</f>
        <v>154.36942273939349</v>
      </c>
      <c r="N15" s="63">
        <f>'SER_se-appl'!N61</f>
        <v>149.03274122532432</v>
      </c>
      <c r="O15" s="63">
        <f>'SER_se-appl'!O61</f>
        <v>142.57088406068468</v>
      </c>
      <c r="P15" s="63">
        <f>'SER_se-appl'!P61</f>
        <v>135.80544885973569</v>
      </c>
      <c r="Q15" s="63">
        <f>'SER_se-appl'!Q61</f>
        <v>128.01019216020939</v>
      </c>
      <c r="R15" s="63">
        <f>'SER_se-appl'!R61</f>
        <v>120.75146431479277</v>
      </c>
      <c r="S15" s="63">
        <f>'SER_se-appl'!S61</f>
        <v>115.16288239621251</v>
      </c>
      <c r="T15" s="63">
        <f>'SER_se-appl'!T61</f>
        <v>109.46860835949992</v>
      </c>
      <c r="U15" s="63">
        <f>'SER_se-appl'!U61</f>
        <v>103.74749621163312</v>
      </c>
      <c r="V15" s="63">
        <f>'SER_se-appl'!V61</f>
        <v>98.104790893318849</v>
      </c>
      <c r="W15" s="63">
        <f>'SER_se-appl'!W61</f>
        <v>96.173916909568362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942.58202880570582</v>
      </c>
      <c r="C3" s="199">
        <f>'SER_se-appl'!C6</f>
        <v>955.31278363845058</v>
      </c>
      <c r="D3" s="199">
        <f>'SER_se-appl'!D6</f>
        <v>968.32540775682833</v>
      </c>
      <c r="E3" s="199">
        <f>'SER_se-appl'!E6</f>
        <v>973.3175687588955</v>
      </c>
      <c r="F3" s="199">
        <f>'SER_se-appl'!F6</f>
        <v>975.16310916488044</v>
      </c>
      <c r="G3" s="199">
        <f>'SER_se-appl'!G6</f>
        <v>976.20153537864428</v>
      </c>
      <c r="H3" s="199">
        <f>'SER_se-appl'!H6</f>
        <v>993.06951495302746</v>
      </c>
      <c r="I3" s="199">
        <f>'SER_se-appl'!I6</f>
        <v>1008.6462772677439</v>
      </c>
      <c r="J3" s="199">
        <f>'SER_se-appl'!J6</f>
        <v>1015.370388946668</v>
      </c>
      <c r="K3" s="199">
        <f>'SER_se-appl'!K6</f>
        <v>1015.7019524084053</v>
      </c>
      <c r="L3" s="199">
        <f>'SER_se-appl'!L6</f>
        <v>1028.5032467617957</v>
      </c>
      <c r="M3" s="199">
        <f>'SER_se-appl'!M6</f>
        <v>1037.8529142074055</v>
      </c>
      <c r="N3" s="199">
        <f>'SER_se-appl'!N6</f>
        <v>1035.8708793278468</v>
      </c>
      <c r="O3" s="199">
        <f>'SER_se-appl'!O6</f>
        <v>1029.9281729418058</v>
      </c>
      <c r="P3" s="199">
        <f>'SER_se-appl'!P6</f>
        <v>1039.4135139077791</v>
      </c>
      <c r="Q3" s="199">
        <f>'SER_se-appl'!Q6</f>
        <v>1034.8882724983534</v>
      </c>
      <c r="R3" s="199">
        <f>'SER_se-appl'!R6</f>
        <v>1004.2757138960388</v>
      </c>
      <c r="S3" s="199">
        <f>'SER_se-appl'!S6</f>
        <v>994.76530414557749</v>
      </c>
      <c r="T3" s="199">
        <f>'SER_se-appl'!T6</f>
        <v>930.40184004953403</v>
      </c>
      <c r="U3" s="199">
        <f>'SER_se-appl'!U6</f>
        <v>866.34584157047914</v>
      </c>
      <c r="V3" s="199">
        <f>'SER_se-appl'!V6</f>
        <v>679.27357853995227</v>
      </c>
      <c r="W3" s="199">
        <f>'SER_se-appl'!W6</f>
        <v>670.66028204978579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4747.6171236174396</v>
      </c>
      <c r="C5" s="59">
        <f>'SER_se-appl'!C14</f>
        <v>4780.793848871479</v>
      </c>
      <c r="D5" s="59">
        <f>'SER_se-appl'!D14</f>
        <v>4823.3065182312539</v>
      </c>
      <c r="E5" s="59">
        <f>'SER_se-appl'!E14</f>
        <v>4828.5563434570922</v>
      </c>
      <c r="F5" s="59">
        <f>'SER_se-appl'!F14</f>
        <v>4812.1846014485154</v>
      </c>
      <c r="G5" s="59">
        <f>'SER_se-appl'!G14</f>
        <v>4796.6956704777722</v>
      </c>
      <c r="H5" s="59">
        <f>'SER_se-appl'!H14</f>
        <v>4858.5805037921291</v>
      </c>
      <c r="I5" s="59">
        <f>'SER_se-appl'!I14</f>
        <v>4918.3456246756614</v>
      </c>
      <c r="J5" s="59">
        <f>'SER_se-appl'!J14</f>
        <v>4941.1624433242123</v>
      </c>
      <c r="K5" s="59">
        <f>'SER_se-appl'!K14</f>
        <v>4936.8637423250693</v>
      </c>
      <c r="L5" s="59">
        <f>'SER_se-appl'!L14</f>
        <v>4988.1131304685314</v>
      </c>
      <c r="M5" s="59">
        <f>'SER_se-appl'!M14</f>
        <v>5016.4394745338559</v>
      </c>
      <c r="N5" s="59">
        <f>'SER_se-appl'!N14</f>
        <v>4985.6329867298946</v>
      </c>
      <c r="O5" s="59">
        <f>'SER_se-appl'!O14</f>
        <v>4942.4639481480899</v>
      </c>
      <c r="P5" s="59">
        <f>'SER_se-appl'!P14</f>
        <v>4965.6102392165585</v>
      </c>
      <c r="Q5" s="59">
        <f>'SER_se-appl'!Q14</f>
        <v>4920.595100348025</v>
      </c>
      <c r="R5" s="59">
        <f>'SER_se-appl'!R14</f>
        <v>4740.9222267453479</v>
      </c>
      <c r="S5" s="59">
        <f>'SER_se-appl'!S14</f>
        <v>4569.2291072512462</v>
      </c>
      <c r="T5" s="59">
        <f>'SER_se-appl'!T14</f>
        <v>4327.0506916967815</v>
      </c>
      <c r="U5" s="59">
        <f>'SER_se-appl'!U14</f>
        <v>4074.0407956305648</v>
      </c>
      <c r="V5" s="59">
        <f>'SER_se-appl'!V14</f>
        <v>3772.442330498568</v>
      </c>
      <c r="W5" s="59">
        <f>'SER_se-appl'!W14</f>
        <v>3519.9598305503982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197.40847166063375</v>
      </c>
      <c r="C6" s="202">
        <f>'SER_se-appl'!C70</f>
        <v>197.07525799432716</v>
      </c>
      <c r="D6" s="202">
        <f>'SER_se-appl'!D70</f>
        <v>198.02557860073972</v>
      </c>
      <c r="E6" s="202">
        <f>'SER_se-appl'!E70</f>
        <v>199.19813962545942</v>
      </c>
      <c r="F6" s="202">
        <f>'SER_se-appl'!F70</f>
        <v>200.94387528104932</v>
      </c>
      <c r="G6" s="202">
        <f>'SER_se-appl'!G70</f>
        <v>203.89055800819497</v>
      </c>
      <c r="H6" s="202">
        <f>'SER_se-appl'!H70</f>
        <v>207.79176604278865</v>
      </c>
      <c r="I6" s="202">
        <f>'SER_se-appl'!I70</f>
        <v>211.24589357163484</v>
      </c>
      <c r="J6" s="202">
        <f>'SER_se-appl'!J70</f>
        <v>215.76911652550231</v>
      </c>
      <c r="K6" s="202">
        <f>'SER_se-appl'!K70</f>
        <v>220.80854143392114</v>
      </c>
      <c r="L6" s="202">
        <f>'SER_se-appl'!L70</f>
        <v>228.1760774379087</v>
      </c>
      <c r="M6" s="202">
        <f>'SER_se-appl'!M70</f>
        <v>235.18902822531498</v>
      </c>
      <c r="N6" s="202">
        <f>'SER_se-appl'!N70</f>
        <v>242.20337815108002</v>
      </c>
      <c r="O6" s="202">
        <f>'SER_se-appl'!O70</f>
        <v>250.99603200914487</v>
      </c>
      <c r="P6" s="202">
        <f>'SER_se-appl'!P70</f>
        <v>261.68316345588119</v>
      </c>
      <c r="Q6" s="202">
        <f>'SER_se-appl'!Q70</f>
        <v>272.01812644282279</v>
      </c>
      <c r="R6" s="202">
        <f>'SER_se-appl'!R70</f>
        <v>278.1098411678098</v>
      </c>
      <c r="S6" s="202">
        <f>'SER_se-appl'!S70</f>
        <v>284.28236898956561</v>
      </c>
      <c r="T6" s="202">
        <f>'SER_se-appl'!T70</f>
        <v>290.20154935173156</v>
      </c>
      <c r="U6" s="202">
        <f>'SER_se-appl'!U70</f>
        <v>295.66302797674069</v>
      </c>
      <c r="V6" s="202">
        <f>'SER_se-appl'!V70</f>
        <v>300.28596027520967</v>
      </c>
      <c r="W6" s="202">
        <f>'SER_se-appl'!W70</f>
        <v>303.60059958730443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110.67329424087598</v>
      </c>
      <c r="C8" s="34">
        <f>'SER_se-appl'!C22</f>
        <v>112.31923976560027</v>
      </c>
      <c r="D8" s="34">
        <f>'SER_se-appl'!D22</f>
        <v>114.77406683107641</v>
      </c>
      <c r="E8" s="34">
        <f>'SER_se-appl'!E22</f>
        <v>116.71406879167151</v>
      </c>
      <c r="F8" s="34">
        <f>'SER_se-appl'!F22</f>
        <v>118.5725557344801</v>
      </c>
      <c r="G8" s="34">
        <f>'SER_se-appl'!G22</f>
        <v>120.88985671736566</v>
      </c>
      <c r="H8" s="34">
        <f>'SER_se-appl'!H22</f>
        <v>125.91015908641008</v>
      </c>
      <c r="I8" s="34">
        <f>'SER_se-appl'!I22</f>
        <v>130.25594910900651</v>
      </c>
      <c r="J8" s="34">
        <f>'SER_se-appl'!J22</f>
        <v>133.74853039114652</v>
      </c>
      <c r="K8" s="34">
        <f>'SER_se-appl'!K22</f>
        <v>136.84246384451652</v>
      </c>
      <c r="L8" s="34">
        <f>'SER_se-appl'!L22</f>
        <v>142.17502956667278</v>
      </c>
      <c r="M8" s="34">
        <f>'SER_se-appl'!M22</f>
        <v>147.71322365505989</v>
      </c>
      <c r="N8" s="34">
        <f>'SER_se-appl'!N22</f>
        <v>152.67043364100664</v>
      </c>
      <c r="O8" s="34">
        <f>'SER_se-appl'!O22</f>
        <v>157.70196516510023</v>
      </c>
      <c r="P8" s="34">
        <f>'SER_se-appl'!P22</f>
        <v>166.43750103114374</v>
      </c>
      <c r="Q8" s="34">
        <f>'SER_se-appl'!Q22</f>
        <v>173.58695949050269</v>
      </c>
      <c r="R8" s="34">
        <f>'SER_se-appl'!R22</f>
        <v>177.51095565103952</v>
      </c>
      <c r="S8" s="34">
        <f>'SER_se-appl'!S22</f>
        <v>182.27673135331563</v>
      </c>
      <c r="T8" s="34">
        <f>'SER_se-appl'!T22</f>
        <v>186.67765427095171</v>
      </c>
      <c r="U8" s="34">
        <f>'SER_se-appl'!U22</f>
        <v>190.67325430119328</v>
      </c>
      <c r="V8" s="34">
        <f>'SER_se-appl'!V22</f>
        <v>193.99031865950619</v>
      </c>
      <c r="W8" s="34">
        <f>'SER_se-appl'!W22</f>
        <v>196.40960359865699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18.929361955135548</v>
      </c>
      <c r="D9" s="36">
        <f>'SER_se-appl'!D30</f>
        <v>20.187238173150959</v>
      </c>
      <c r="E9" s="36">
        <f>'SER_se-appl'!E30</f>
        <v>20.133071887343789</v>
      </c>
      <c r="F9" s="36">
        <f>'SER_se-appl'!F30</f>
        <v>20.524182845624196</v>
      </c>
      <c r="G9" s="36">
        <f>'SER_se-appl'!G30</f>
        <v>21.467900905778919</v>
      </c>
      <c r="H9" s="36">
        <f>'SER_se-appl'!H30</f>
        <v>24.668403319376637</v>
      </c>
      <c r="I9" s="36">
        <f>'SER_se-appl'!I30</f>
        <v>23.27515197773198</v>
      </c>
      <c r="J9" s="36">
        <f>'SER_se-appl'!J30</f>
        <v>23.679819455290968</v>
      </c>
      <c r="K9" s="36">
        <f>'SER_se-appl'!K30</f>
        <v>23.227005340713788</v>
      </c>
      <c r="L9" s="36">
        <f>'SER_se-appl'!L30</f>
        <v>25.856748567780457</v>
      </c>
      <c r="M9" s="36">
        <f>'SER_se-appl'!M30</f>
        <v>27.006094994166034</v>
      </c>
      <c r="N9" s="36">
        <f>'SER_se-appl'!N30</f>
        <v>29.625613305323384</v>
      </c>
      <c r="O9" s="36">
        <f>'SER_se-appl'!O30</f>
        <v>28.306683501825574</v>
      </c>
      <c r="P9" s="36">
        <f>'SER_se-appl'!P30</f>
        <v>32.415355321334488</v>
      </c>
      <c r="Q9" s="36">
        <f>'SER_se-appl'!Q30</f>
        <v>30.376463800072742</v>
      </c>
      <c r="R9" s="36">
        <f>'SER_se-appl'!R30</f>
        <v>29.780744728317302</v>
      </c>
      <c r="S9" s="36">
        <f>'SER_se-appl'!S30</f>
        <v>31.771870696442136</v>
      </c>
      <c r="T9" s="36">
        <f>'SER_se-appl'!T30</f>
        <v>34.026536222959464</v>
      </c>
      <c r="U9" s="36">
        <f>'SER_se-appl'!U30</f>
        <v>32.30228353206715</v>
      </c>
      <c r="V9" s="36">
        <f>'SER_se-appl'!V30</f>
        <v>35.732419679647393</v>
      </c>
      <c r="W9" s="36">
        <f>'SER_se-appl'!W30</f>
        <v>32.795748739223541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17.283416430411265</v>
      </c>
      <c r="D10" s="38">
        <f>'SER_se-appl'!D38</f>
        <v>17.732411107674821</v>
      </c>
      <c r="E10" s="38">
        <f>'SER_se-appl'!E38</f>
        <v>18.193069926748677</v>
      </c>
      <c r="F10" s="38">
        <f>'SER_se-appl'!F38</f>
        <v>18.665695902815614</v>
      </c>
      <c r="G10" s="38">
        <f>'SER_se-appl'!G38</f>
        <v>19.150599922893377</v>
      </c>
      <c r="H10" s="38">
        <f>'SER_se-appl'!H38</f>
        <v>19.648100950332221</v>
      </c>
      <c r="I10" s="38">
        <f>'SER_se-appl'!I38</f>
        <v>18.929361955135562</v>
      </c>
      <c r="J10" s="38">
        <f>'SER_se-appl'!J38</f>
        <v>20.187238173150945</v>
      </c>
      <c r="K10" s="38">
        <f>'SER_se-appl'!K38</f>
        <v>20.133071887343789</v>
      </c>
      <c r="L10" s="38">
        <f>'SER_se-appl'!L38</f>
        <v>20.524182845624182</v>
      </c>
      <c r="M10" s="38">
        <f>'SER_se-appl'!M38</f>
        <v>21.467900905778919</v>
      </c>
      <c r="N10" s="38">
        <f>'SER_se-appl'!N38</f>
        <v>24.668403319376637</v>
      </c>
      <c r="O10" s="38">
        <f>'SER_se-appl'!O38</f>
        <v>23.27515197773198</v>
      </c>
      <c r="P10" s="38">
        <f>'SER_se-appl'!P38</f>
        <v>23.679819455290982</v>
      </c>
      <c r="Q10" s="38">
        <f>'SER_se-appl'!Q38</f>
        <v>23.227005340713788</v>
      </c>
      <c r="R10" s="38">
        <f>'SER_se-appl'!R38</f>
        <v>25.856748567780471</v>
      </c>
      <c r="S10" s="38">
        <f>'SER_se-appl'!S38</f>
        <v>27.006094994166034</v>
      </c>
      <c r="T10" s="38">
        <f>'SER_se-appl'!T38</f>
        <v>29.625613305323384</v>
      </c>
      <c r="U10" s="38">
        <f>'SER_se-appl'!U38</f>
        <v>28.306683501825574</v>
      </c>
      <c r="V10" s="38">
        <f>'SER_se-appl'!V38</f>
        <v>32.415355321334488</v>
      </c>
      <c r="W10" s="38">
        <f>'SER_se-appl'!W38</f>
        <v>30.376463800072742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2308.9960099094315</v>
      </c>
      <c r="C12" s="205">
        <f>'SER_se-appl'!C46</f>
        <v>2323.9420115004118</v>
      </c>
      <c r="D12" s="205">
        <f>'SER_se-appl'!D46</f>
        <v>2334.8349207426368</v>
      </c>
      <c r="E12" s="205">
        <f>'SER_se-appl'!E46</f>
        <v>2344.3204385519134</v>
      </c>
      <c r="F12" s="205">
        <f>'SER_se-appl'!F46</f>
        <v>2356.7564212257694</v>
      </c>
      <c r="G12" s="205">
        <f>'SER_se-appl'!G46</f>
        <v>2366.8843379681834</v>
      </c>
      <c r="H12" s="205">
        <f>'SER_se-appl'!H46</f>
        <v>2377.1137372097442</v>
      </c>
      <c r="I12" s="205">
        <f>'SER_se-appl'!I46</f>
        <v>2385.0613803492975</v>
      </c>
      <c r="J12" s="205">
        <f>'SER_se-appl'!J46</f>
        <v>2389.8743987670437</v>
      </c>
      <c r="K12" s="205">
        <f>'SER_se-appl'!K46</f>
        <v>2392.736426010104</v>
      </c>
      <c r="L12" s="205">
        <f>'SER_se-appl'!L46</f>
        <v>2397.9994933908297</v>
      </c>
      <c r="M12" s="205">
        <f>'SER_se-appl'!M46</f>
        <v>2406.1347602232818</v>
      </c>
      <c r="N12" s="205">
        <f>'SER_se-appl'!N46</f>
        <v>2416.3788948461429</v>
      </c>
      <c r="O12" s="205">
        <f>'SER_se-appl'!O46</f>
        <v>2423.5006622155142</v>
      </c>
      <c r="P12" s="205">
        <f>'SER_se-appl'!P46</f>
        <v>2434.4196552677272</v>
      </c>
      <c r="Q12" s="205">
        <f>'SER_se-appl'!Q46</f>
        <v>2445.9949180343215</v>
      </c>
      <c r="R12" s="205">
        <f>'SER_se-appl'!R46</f>
        <v>2463.598007729624</v>
      </c>
      <c r="S12" s="205">
        <f>'SER_se-appl'!S46</f>
        <v>2531.9633171497521</v>
      </c>
      <c r="T12" s="205">
        <f>'SER_se-appl'!T46</f>
        <v>2500.680988216704</v>
      </c>
      <c r="U12" s="205">
        <f>'SER_se-appl'!U46</f>
        <v>2473.1225441509623</v>
      </c>
      <c r="V12" s="205">
        <f>'SER_se-appl'!V46</f>
        <v>2094.1212684822099</v>
      </c>
      <c r="W12" s="205">
        <f>'SER_se-appl'!W46</f>
        <v>2215.8716166426811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42.897585692935479</v>
      </c>
      <c r="C14" s="59">
        <f>'SER_se-appl'!C54</f>
        <v>42.56433589515516</v>
      </c>
      <c r="D14" s="59">
        <f>'SER_se-appl'!D54</f>
        <v>42.024358388643314</v>
      </c>
      <c r="E14" s="59">
        <f>'SER_se-appl'!E54</f>
        <v>41.370816675715524</v>
      </c>
      <c r="F14" s="59">
        <f>'SER_se-appl'!F54</f>
        <v>40.58430360752665</v>
      </c>
      <c r="G14" s="59">
        <f>'SER_se-appl'!G54</f>
        <v>39.678231083458087</v>
      </c>
      <c r="H14" s="59">
        <f>'SER_se-appl'!H54</f>
        <v>38.587676634240175</v>
      </c>
      <c r="I14" s="59">
        <f>'SER_se-appl'!I54</f>
        <v>37.75908630906121</v>
      </c>
      <c r="J14" s="59">
        <f>'SER_se-appl'!J54</f>
        <v>36.943676531426718</v>
      </c>
      <c r="K14" s="59">
        <f>'SER_se-appl'!K54</f>
        <v>36.076986657697461</v>
      </c>
      <c r="L14" s="59">
        <f>'SER_se-appl'!L54</f>
        <v>35.084312242955171</v>
      </c>
      <c r="M14" s="59">
        <f>'SER_se-appl'!M54</f>
        <v>33.960666150298444</v>
      </c>
      <c r="N14" s="59">
        <f>'SER_se-appl'!N54</f>
        <v>32.656178854205955</v>
      </c>
      <c r="O14" s="59">
        <f>'SER_se-appl'!O54</f>
        <v>31.340534932293078</v>
      </c>
      <c r="P14" s="59">
        <f>'SER_se-appl'!P54</f>
        <v>29.834683941135328</v>
      </c>
      <c r="Q14" s="59">
        <f>'SER_se-appl'!Q54</f>
        <v>28.346571164046694</v>
      </c>
      <c r="R14" s="59">
        <f>'SER_se-appl'!R54</f>
        <v>26.707772539207692</v>
      </c>
      <c r="S14" s="59">
        <f>'SER_se-appl'!S54</f>
        <v>25.067539193439305</v>
      </c>
      <c r="T14" s="59">
        <f>'SER_se-appl'!T54</f>
        <v>23.179264323818426</v>
      </c>
      <c r="U14" s="59">
        <f>'SER_se-appl'!U54</f>
        <v>21.36660860256303</v>
      </c>
      <c r="V14" s="59">
        <f>'SER_se-appl'!V54</f>
        <v>19.446549480234619</v>
      </c>
      <c r="W14" s="59">
        <f>'SER_se-appl'!W54</f>
        <v>17.921526066225752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40.920215085968501</v>
      </c>
      <c r="D15" s="63">
        <f>'SER_se-appl'!D62</f>
        <v>39.787032158854757</v>
      </c>
      <c r="E15" s="63">
        <f>'SER_se-appl'!E62</f>
        <v>39.024775047866079</v>
      </c>
      <c r="F15" s="63">
        <f>'SER_se-appl'!F62</f>
        <v>38.215482360504986</v>
      </c>
      <c r="G15" s="63">
        <f>'SER_se-appl'!G62</f>
        <v>37.545616305491976</v>
      </c>
      <c r="H15" s="63">
        <f>'SER_se-appl'!H62</f>
        <v>36.676104076181574</v>
      </c>
      <c r="I15" s="63">
        <f>'SER_se-appl'!I62</f>
        <v>35.847614843764845</v>
      </c>
      <c r="J15" s="63">
        <f>'SER_se-appl'!J62</f>
        <v>34.882323093794028</v>
      </c>
      <c r="K15" s="63">
        <f>'SER_se-appl'!K62</f>
        <v>33.641439736412948</v>
      </c>
      <c r="L15" s="63">
        <f>'SER_se-appl'!L62</f>
        <v>32.316164325680276</v>
      </c>
      <c r="M15" s="63">
        <f>'SER_se-appl'!M62</f>
        <v>30.894948512114205</v>
      </c>
      <c r="N15" s="63">
        <f>'SER_se-appl'!N62</f>
        <v>29.499285997015356</v>
      </c>
      <c r="O15" s="63">
        <f>'SER_se-appl'!O62</f>
        <v>27.95063027765152</v>
      </c>
      <c r="P15" s="63">
        <f>'SER_se-appl'!P62</f>
        <v>26.196023325764969</v>
      </c>
      <c r="Q15" s="63">
        <f>'SER_se-appl'!Q62</f>
        <v>24.241622277200943</v>
      </c>
      <c r="R15" s="63">
        <f>'SER_se-appl'!R62</f>
        <v>22.024904616231037</v>
      </c>
      <c r="S15" s="63">
        <f>'SER_se-appl'!S62</f>
        <v>20.856776146269809</v>
      </c>
      <c r="T15" s="63">
        <f>'SER_se-appl'!T62</f>
        <v>18.566568752007559</v>
      </c>
      <c r="U15" s="63">
        <f>'SER_se-appl'!U62</f>
        <v>16.660733856340116</v>
      </c>
      <c r="V15" s="63">
        <f>'SER_se-appl'!V62</f>
        <v>15.323757637676019</v>
      </c>
      <c r="W15" s="63">
        <f>'SER_se-appl'!W62</f>
        <v>14.754725237650364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526.8493603710034</v>
      </c>
      <c r="C3" s="199">
        <f>'SER_se-appl'!C7</f>
        <v>539.7088437744876</v>
      </c>
      <c r="D3" s="199">
        <f>'SER_se-appl'!D7</f>
        <v>558.82839427409021</v>
      </c>
      <c r="E3" s="199">
        <f>'SER_se-appl'!E7</f>
        <v>582.7868683413609</v>
      </c>
      <c r="F3" s="199">
        <f>'SER_se-appl'!F7</f>
        <v>613.08921400186091</v>
      </c>
      <c r="G3" s="199">
        <f>'SER_se-appl'!G7</f>
        <v>643.69519607506993</v>
      </c>
      <c r="H3" s="199">
        <f>'SER_se-appl'!H7</f>
        <v>675.80808978980099</v>
      </c>
      <c r="I3" s="199">
        <f>'SER_se-appl'!I7</f>
        <v>700.86780889867384</v>
      </c>
      <c r="J3" s="199">
        <f>'SER_se-appl'!J7</f>
        <v>728.70583678993376</v>
      </c>
      <c r="K3" s="199">
        <f>'SER_se-appl'!K7</f>
        <v>741.33338005359724</v>
      </c>
      <c r="L3" s="199">
        <f>'SER_se-appl'!L7</f>
        <v>746.70045182798219</v>
      </c>
      <c r="M3" s="199">
        <f>'SER_se-appl'!M7</f>
        <v>748.78761419062687</v>
      </c>
      <c r="N3" s="199">
        <f>'SER_se-appl'!N7</f>
        <v>750.74824542774104</v>
      </c>
      <c r="O3" s="199">
        <f>'SER_se-appl'!O7</f>
        <v>758.13485440317754</v>
      </c>
      <c r="P3" s="199">
        <f>'SER_se-appl'!P7</f>
        <v>778.91067978764227</v>
      </c>
      <c r="Q3" s="199">
        <f>'SER_se-appl'!Q7</f>
        <v>789.21183038323375</v>
      </c>
      <c r="R3" s="199">
        <f>'SER_se-appl'!R7</f>
        <v>786.57404215891449</v>
      </c>
      <c r="S3" s="199">
        <f>'SER_se-appl'!S7</f>
        <v>787.4197881149405</v>
      </c>
      <c r="T3" s="199">
        <f>'SER_se-appl'!T7</f>
        <v>785.59160206141644</v>
      </c>
      <c r="U3" s="199">
        <f>'SER_se-appl'!U7</f>
        <v>785.19372626595509</v>
      </c>
      <c r="V3" s="199">
        <f>'SER_se-appl'!V7</f>
        <v>784.5017599993231</v>
      </c>
      <c r="W3" s="199">
        <f>'SER_se-appl'!W7</f>
        <v>782.31820612068907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699.4586827756591</v>
      </c>
      <c r="C5" s="59">
        <f>'SER_se-appl'!C15</f>
        <v>716.53126176909745</v>
      </c>
      <c r="D5" s="59">
        <f>'SER_se-appl'!D15</f>
        <v>741.91486591411797</v>
      </c>
      <c r="E5" s="59">
        <f>'SER_se-appl'!E15</f>
        <v>773.72274872260596</v>
      </c>
      <c r="F5" s="59">
        <f>'SER_se-appl'!F15</f>
        <v>813.95291767598667</v>
      </c>
      <c r="G5" s="59">
        <f>'SER_se-appl'!G15</f>
        <v>854.58620209509854</v>
      </c>
      <c r="H5" s="59">
        <f>'SER_se-appl'!H15</f>
        <v>897.2201009423959</v>
      </c>
      <c r="I5" s="59">
        <f>'SER_se-appl'!I15</f>
        <v>930.49002482780577</v>
      </c>
      <c r="J5" s="59">
        <f>'SER_se-appl'!J15</f>
        <v>967.44850249622459</v>
      </c>
      <c r="K5" s="59">
        <f>'SER_se-appl'!K15</f>
        <v>984.21315182914771</v>
      </c>
      <c r="L5" s="59">
        <f>'SER_se-appl'!L15</f>
        <v>991.33861355701265</v>
      </c>
      <c r="M5" s="59">
        <f>'SER_se-appl'!M15</f>
        <v>994.10958368002139</v>
      </c>
      <c r="N5" s="59">
        <f>'SER_se-appl'!N15</f>
        <v>996.71256784527725</v>
      </c>
      <c r="O5" s="59">
        <f>'SER_se-appl'!O15</f>
        <v>1006.5192188023918</v>
      </c>
      <c r="P5" s="59">
        <f>'SER_se-appl'!P15</f>
        <v>1034.1017358367897</v>
      </c>
      <c r="Q5" s="59">
        <f>'SER_se-appl'!Q15</f>
        <v>1047.7778067759148</v>
      </c>
      <c r="R5" s="59">
        <f>'SER_se-appl'!R15</f>
        <v>1044.2758116790158</v>
      </c>
      <c r="S5" s="59">
        <f>'SER_se-appl'!S15</f>
        <v>1045.3986456366165</v>
      </c>
      <c r="T5" s="59">
        <f>'SER_se-appl'!T15</f>
        <v>1042.9714990838213</v>
      </c>
      <c r="U5" s="59">
        <f>'SER_se-appl'!U15</f>
        <v>1042.4432690037738</v>
      </c>
      <c r="V5" s="59">
        <f>'SER_se-appl'!V15</f>
        <v>1041.5245968940785</v>
      </c>
      <c r="W5" s="59">
        <f>'SER_se-appl'!W15</f>
        <v>1038.6256549296365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1.8870868994584535E-2</v>
      </c>
      <c r="C6" s="202">
        <f>'SER_se-appl'!C71</f>
        <v>1.9552802248840744E-2</v>
      </c>
      <c r="D6" s="202">
        <f>'SER_se-appl'!D71</f>
        <v>2.0555653428358682E-2</v>
      </c>
      <c r="E6" s="202">
        <f>'SER_se-appl'!E71</f>
        <v>2.1758303197332605E-2</v>
      </c>
      <c r="F6" s="202">
        <f>'SER_se-appl'!F71</f>
        <v>2.3168617163701527E-2</v>
      </c>
      <c r="G6" s="202">
        <f>'SER_se-appl'!G71</f>
        <v>2.4622767195662983E-2</v>
      </c>
      <c r="H6" s="202">
        <f>'SER_se-appl'!H71</f>
        <v>2.6268641178199017E-2</v>
      </c>
      <c r="I6" s="202">
        <f>'SER_se-appl'!I71</f>
        <v>2.7690661062877413E-2</v>
      </c>
      <c r="J6" s="202">
        <f>'SER_se-appl'!J71</f>
        <v>2.9158335278539657E-2</v>
      </c>
      <c r="K6" s="202">
        <f>'SER_se-appl'!K71</f>
        <v>3.0057955944093565E-2</v>
      </c>
      <c r="L6" s="202">
        <f>'SER_se-appl'!L71</f>
        <v>3.0781444181435812E-2</v>
      </c>
      <c r="M6" s="202">
        <f>'SER_se-appl'!M71</f>
        <v>3.1253428668573904E-2</v>
      </c>
      <c r="N6" s="202">
        <f>'SER_se-appl'!N71</f>
        <v>3.1829098114136443E-2</v>
      </c>
      <c r="O6" s="202">
        <f>'SER_se-appl'!O71</f>
        <v>3.2617571176427537E-2</v>
      </c>
      <c r="P6" s="202">
        <f>'SER_se-appl'!P71</f>
        <v>3.3711546763220003E-2</v>
      </c>
      <c r="Q6" s="202">
        <f>'SER_se-appl'!Q71</f>
        <v>3.4916629840087067E-2</v>
      </c>
      <c r="R6" s="202">
        <f>'SER_se-appl'!R71</f>
        <v>3.5609918742231385E-2</v>
      </c>
      <c r="S6" s="202">
        <f>'SER_se-appl'!S71</f>
        <v>3.6409779460628365E-2</v>
      </c>
      <c r="T6" s="202">
        <f>'SER_se-appl'!T71</f>
        <v>3.7152144175139255E-2</v>
      </c>
      <c r="U6" s="202">
        <f>'SER_se-appl'!U71</f>
        <v>3.821074363206111E-2</v>
      </c>
      <c r="V6" s="202">
        <f>'SER_se-appl'!V71</f>
        <v>3.8901656823192667E-2</v>
      </c>
      <c r="W6" s="202">
        <f>'SER_se-appl'!W71</f>
        <v>3.9655809443543043E-2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1074.1963641140887</v>
      </c>
      <c r="C8" s="34">
        <f>'SER_se-appl'!C23</f>
        <v>1113.7411466331248</v>
      </c>
      <c r="D8" s="34">
        <f>'SER_se-appl'!D23</f>
        <v>1171.4154436381643</v>
      </c>
      <c r="E8" s="34">
        <f>'SER_se-appl'!E23</f>
        <v>1243.0628713650297</v>
      </c>
      <c r="F8" s="34">
        <f>'SER_se-appl'!F23</f>
        <v>1332.1004955824667</v>
      </c>
      <c r="G8" s="34">
        <f>'SER_se-appl'!G23</f>
        <v>1425.0365696254978</v>
      </c>
      <c r="H8" s="34">
        <f>'SER_se-appl'!H23</f>
        <v>1525.2680028601599</v>
      </c>
      <c r="I8" s="34">
        <f>'SER_se-appl'!I23</f>
        <v>1612.2539609157425</v>
      </c>
      <c r="J8" s="34">
        <f>'SER_se-appl'!J23</f>
        <v>1710.2201943002767</v>
      </c>
      <c r="K8" s="34">
        <f>'SER_se-appl'!K23</f>
        <v>1773.4370146637034</v>
      </c>
      <c r="L8" s="34">
        <f>'SER_se-appl'!L23</f>
        <v>1821.9580828457038</v>
      </c>
      <c r="M8" s="34">
        <f>'SER_se-appl'!M23</f>
        <v>1855.3501043470028</v>
      </c>
      <c r="N8" s="34">
        <f>'SER_se-appl'!N23</f>
        <v>1890.4640420143294</v>
      </c>
      <c r="O8" s="34">
        <f>'SER_se-appl'!O23</f>
        <v>1946.7871398537345</v>
      </c>
      <c r="P8" s="34">
        <f>'SER_se-appl'!P23</f>
        <v>2049.0777546752761</v>
      </c>
      <c r="Q8" s="34">
        <f>'SER_se-appl'!Q23</f>
        <v>2122.7778801055556</v>
      </c>
      <c r="R8" s="34">
        <f>'SER_se-appl'!R23</f>
        <v>2160.2953415626939</v>
      </c>
      <c r="S8" s="34">
        <f>'SER_se-appl'!S23</f>
        <v>2206.0483300918718</v>
      </c>
      <c r="T8" s="34">
        <f>'SER_se-appl'!T23</f>
        <v>2247.10928518123</v>
      </c>
      <c r="U8" s="34">
        <f>'SER_se-appl'!U23</f>
        <v>2285.639556925832</v>
      </c>
      <c r="V8" s="34">
        <f>'SER_se-appl'!V23</f>
        <v>2320.1526986005638</v>
      </c>
      <c r="W8" s="34">
        <f>'SER_se-appl'!W23</f>
        <v>2349.0599748851268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137.17108065584364</v>
      </c>
      <c r="D9" s="36">
        <f>'SER_se-appl'!D31</f>
        <v>157.35701356558093</v>
      </c>
      <c r="E9" s="36">
        <f>'SER_se-appl'!E31</f>
        <v>173.42987948965401</v>
      </c>
      <c r="F9" s="36">
        <f>'SER_se-appl'!F31</f>
        <v>192.96404039363074</v>
      </c>
      <c r="G9" s="36">
        <f>'SER_se-appl'!G31</f>
        <v>199.05161549608283</v>
      </c>
      <c r="H9" s="36">
        <f>'SER_se-appl'!H31</f>
        <v>208.58221210481565</v>
      </c>
      <c r="I9" s="36">
        <f>'SER_se-appl'!I31</f>
        <v>197.61905779774406</v>
      </c>
      <c r="J9" s="36">
        <f>'SER_se-appl'!J31</f>
        <v>210.9297292282231</v>
      </c>
      <c r="K9" s="36">
        <f>'SER_se-appl'!K31</f>
        <v>178.55980020370021</v>
      </c>
      <c r="L9" s="36">
        <f>'SER_se-appl'!L31</f>
        <v>166.29365391042825</v>
      </c>
      <c r="M9" s="36">
        <f>'SER_se-appl'!M31</f>
        <v>170.56310215714257</v>
      </c>
      <c r="N9" s="36">
        <f>'SER_se-appl'!N31</f>
        <v>192.47095123290751</v>
      </c>
      <c r="O9" s="36">
        <f>'SER_se-appl'!O31</f>
        <v>229.75297732905915</v>
      </c>
      <c r="P9" s="36">
        <f>'SER_se-appl'!P31</f>
        <v>295.25465521517231</v>
      </c>
      <c r="Q9" s="36">
        <f>'SER_se-appl'!Q31</f>
        <v>272.75174092636234</v>
      </c>
      <c r="R9" s="36">
        <f>'SER_se-appl'!R31</f>
        <v>246.09967356195398</v>
      </c>
      <c r="S9" s="36">
        <f>'SER_se-appl'!S31</f>
        <v>243.37204632692192</v>
      </c>
      <c r="T9" s="36">
        <f>'SER_se-appl'!T31</f>
        <v>251.99068431758133</v>
      </c>
      <c r="U9" s="36">
        <f>'SER_se-appl'!U31</f>
        <v>217.09007194830247</v>
      </c>
      <c r="V9" s="36">
        <f>'SER_se-appl'!V31</f>
        <v>200.80679558516022</v>
      </c>
      <c r="W9" s="36">
        <f>'SER_se-appl'!W31</f>
        <v>199.47037844170563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97.626298136807463</v>
      </c>
      <c r="D10" s="38">
        <f>'SER_se-appl'!D39</f>
        <v>99.682716560541394</v>
      </c>
      <c r="E10" s="38">
        <f>'SER_se-appl'!E39</f>
        <v>101.7824517627887</v>
      </c>
      <c r="F10" s="38">
        <f>'SER_se-appl'!F39</f>
        <v>103.9264161761937</v>
      </c>
      <c r="G10" s="38">
        <f>'SER_se-appl'!G39</f>
        <v>106.11554145305172</v>
      </c>
      <c r="H10" s="38">
        <f>'SER_se-appl'!H39</f>
        <v>108.35077887015359</v>
      </c>
      <c r="I10" s="38">
        <f>'SER_se-appl'!I39</f>
        <v>110.63309974216145</v>
      </c>
      <c r="J10" s="38">
        <f>'SER_se-appl'!J39</f>
        <v>112.96349584368886</v>
      </c>
      <c r="K10" s="38">
        <f>'SER_se-appl'!K39</f>
        <v>115.34297984027353</v>
      </c>
      <c r="L10" s="38">
        <f>'SER_se-appl'!L39</f>
        <v>117.77258572842788</v>
      </c>
      <c r="M10" s="38">
        <f>'SER_se-appl'!M39</f>
        <v>137.17108065584353</v>
      </c>
      <c r="N10" s="38">
        <f>'SER_se-appl'!N39</f>
        <v>157.35701356558093</v>
      </c>
      <c r="O10" s="38">
        <f>'SER_se-appl'!O39</f>
        <v>173.42987948965401</v>
      </c>
      <c r="P10" s="38">
        <f>'SER_se-appl'!P39</f>
        <v>192.96404039363097</v>
      </c>
      <c r="Q10" s="38">
        <f>'SER_se-appl'!Q39</f>
        <v>199.05161549608283</v>
      </c>
      <c r="R10" s="38">
        <f>'SER_se-appl'!R39</f>
        <v>208.58221210481543</v>
      </c>
      <c r="S10" s="38">
        <f>'SER_se-appl'!S39</f>
        <v>197.61905779774406</v>
      </c>
      <c r="T10" s="38">
        <f>'SER_se-appl'!T39</f>
        <v>210.9297292282231</v>
      </c>
      <c r="U10" s="38">
        <f>'SER_se-appl'!U39</f>
        <v>178.55980020370043</v>
      </c>
      <c r="V10" s="38">
        <f>'SER_se-appl'!V39</f>
        <v>166.29365391042847</v>
      </c>
      <c r="W10" s="38">
        <f>'SER_se-appl'!W39</f>
        <v>170.56310215714257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8759.9999999999945</v>
      </c>
      <c r="C12" s="205">
        <f>'SER_se-appl'!C47</f>
        <v>8759.9999999999964</v>
      </c>
      <c r="D12" s="205">
        <f>'SER_se-appl'!D47</f>
        <v>8759.9999999999945</v>
      </c>
      <c r="E12" s="205">
        <f>'SER_se-appl'!E47</f>
        <v>8759.9999999999982</v>
      </c>
      <c r="F12" s="205">
        <f>'SER_se-appl'!F47</f>
        <v>8760</v>
      </c>
      <c r="G12" s="205">
        <f>'SER_se-appl'!G47</f>
        <v>8760</v>
      </c>
      <c r="H12" s="205">
        <f>'SER_se-appl'!H47</f>
        <v>8759.9999999999964</v>
      </c>
      <c r="I12" s="205">
        <f>'SER_se-appl'!I47</f>
        <v>8759.9999999999982</v>
      </c>
      <c r="J12" s="205">
        <f>'SER_se-appl'!J47</f>
        <v>8760.0000000000036</v>
      </c>
      <c r="K12" s="205">
        <f>'SER_se-appl'!K47</f>
        <v>8760.0000000000018</v>
      </c>
      <c r="L12" s="205">
        <f>'SER_se-appl'!L47</f>
        <v>8760.0000000000018</v>
      </c>
      <c r="M12" s="205">
        <f>'SER_se-appl'!M47</f>
        <v>8760.0000000000018</v>
      </c>
      <c r="N12" s="205">
        <f>'SER_se-appl'!N47</f>
        <v>8760</v>
      </c>
      <c r="O12" s="205">
        <f>'SER_se-appl'!O47</f>
        <v>8760.0000000000018</v>
      </c>
      <c r="P12" s="205">
        <f>'SER_se-appl'!P47</f>
        <v>8760.0000000000018</v>
      </c>
      <c r="Q12" s="205">
        <f>'SER_se-appl'!Q47</f>
        <v>8759.9999999999964</v>
      </c>
      <c r="R12" s="205">
        <f>'SER_se-appl'!R47</f>
        <v>8759.9999999999982</v>
      </c>
      <c r="S12" s="205">
        <f>'SER_se-appl'!S47</f>
        <v>8759.9999999999982</v>
      </c>
      <c r="T12" s="205">
        <f>'SER_se-appl'!T47</f>
        <v>8759.9999999999982</v>
      </c>
      <c r="U12" s="205">
        <f>'SER_se-appl'!U47</f>
        <v>8760</v>
      </c>
      <c r="V12" s="205">
        <f>'SER_se-appl'!V47</f>
        <v>8760</v>
      </c>
      <c r="W12" s="205">
        <f>'SER_se-appl'!W47</f>
        <v>8759.9999999999982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651.1460158892985</v>
      </c>
      <c r="C14" s="59">
        <f>'SER_se-appl'!C55</f>
        <v>643.35529304560077</v>
      </c>
      <c r="D14" s="59">
        <f>'SER_se-appl'!D55</f>
        <v>633.34905642859724</v>
      </c>
      <c r="E14" s="59">
        <f>'SER_se-appl'!E55</f>
        <v>622.43251451390154</v>
      </c>
      <c r="F14" s="59">
        <f>'SER_se-appl'!F55</f>
        <v>611.02966358411436</v>
      </c>
      <c r="G14" s="59">
        <f>'SER_se-appl'!G55</f>
        <v>599.69422561533656</v>
      </c>
      <c r="H14" s="59">
        <f>'SER_se-appl'!H55</f>
        <v>588.23767315641715</v>
      </c>
      <c r="I14" s="59">
        <f>'SER_se-appl'!I55</f>
        <v>577.13613821689592</v>
      </c>
      <c r="J14" s="59">
        <f>'SER_se-appl'!J55</f>
        <v>565.68651552617678</v>
      </c>
      <c r="K14" s="59">
        <f>'SER_se-appl'!K55</f>
        <v>554.97496877033655</v>
      </c>
      <c r="L14" s="59">
        <f>'SER_se-appl'!L55</f>
        <v>544.10615858332358</v>
      </c>
      <c r="M14" s="59">
        <f>'SER_se-appl'!M55</f>
        <v>535.80700556238241</v>
      </c>
      <c r="N14" s="59">
        <f>'SER_se-appl'!N55</f>
        <v>527.23169851104865</v>
      </c>
      <c r="O14" s="59">
        <f>'SER_se-appl'!O55</f>
        <v>517.01554741008476</v>
      </c>
      <c r="P14" s="59">
        <f>'SER_se-appl'!P55</f>
        <v>504.6669085530466</v>
      </c>
      <c r="Q14" s="59">
        <f>'SER_se-appl'!Q55</f>
        <v>493.58805581854551</v>
      </c>
      <c r="R14" s="59">
        <f>'SER_se-appl'!R55</f>
        <v>483.39492827106574</v>
      </c>
      <c r="S14" s="59">
        <f>'SER_se-appl'!S55</f>
        <v>473.87839666825454</v>
      </c>
      <c r="T14" s="59">
        <f>'SER_se-appl'!T55</f>
        <v>464.13919695040789</v>
      </c>
      <c r="U14" s="59">
        <f>'SER_se-appl'!U55</f>
        <v>456.08384132354286</v>
      </c>
      <c r="V14" s="59">
        <f>'SER_se-appl'!V55</f>
        <v>448.9034698114009</v>
      </c>
      <c r="W14" s="59">
        <f>'SER_se-appl'!W55</f>
        <v>442.14522661577729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587.89034602393883</v>
      </c>
      <c r="D15" s="63">
        <f>'SER_se-appl'!D63</f>
        <v>573.80097550471601</v>
      </c>
      <c r="E15" s="63">
        <f>'SER_se-appl'!E63</f>
        <v>565.54914902725125</v>
      </c>
      <c r="F15" s="63">
        <f>'SER_se-appl'!F63</f>
        <v>559.17900854507639</v>
      </c>
      <c r="G15" s="63">
        <f>'SER_se-appl'!G63</f>
        <v>551.26403363634802</v>
      </c>
      <c r="H15" s="63">
        <f>'SER_se-appl'!H63</f>
        <v>542.64491533066325</v>
      </c>
      <c r="I15" s="63">
        <f>'SER_se-appl'!I63</f>
        <v>532.88497162951273</v>
      </c>
      <c r="J15" s="63">
        <f>'SER_se-appl'!J63</f>
        <v>523.93850943784798</v>
      </c>
      <c r="K15" s="63">
        <f>'SER_se-appl'!K63</f>
        <v>514.50422218165761</v>
      </c>
      <c r="L15" s="63">
        <f>'SER_se-appl'!L63</f>
        <v>504.00366902188688</v>
      </c>
      <c r="M15" s="63">
        <f>'SER_se-appl'!M63</f>
        <v>489.04202104275004</v>
      </c>
      <c r="N15" s="63">
        <f>'SER_se-appl'!N63</f>
        <v>482.64214135505716</v>
      </c>
      <c r="O15" s="63">
        <f>'SER_se-appl'!O63</f>
        <v>469.59030943857567</v>
      </c>
      <c r="P15" s="63">
        <f>'SER_se-appl'!P63</f>
        <v>458.87153829233927</v>
      </c>
      <c r="Q15" s="63">
        <f>'SER_se-appl'!Q63</f>
        <v>452.44832161362535</v>
      </c>
      <c r="R15" s="63">
        <f>'SER_se-appl'!R63</f>
        <v>445.68966769713785</v>
      </c>
      <c r="S15" s="63">
        <f>'SER_se-appl'!S63</f>
        <v>437.3183427263192</v>
      </c>
      <c r="T15" s="63">
        <f>'SER_se-appl'!T63</f>
        <v>428.93276657381392</v>
      </c>
      <c r="U15" s="63">
        <f>'SER_se-appl'!U63</f>
        <v>420.75411471797656</v>
      </c>
      <c r="V15" s="63">
        <f>'SER_se-appl'!V63</f>
        <v>412.80445392627018</v>
      </c>
      <c r="W15" s="63">
        <f>'SER_se-appl'!W63</f>
        <v>403.63678486396265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161.61619623788332</v>
      </c>
      <c r="C3" s="199">
        <f>'SER_se-appl'!C8</f>
        <v>172.94062630639542</v>
      </c>
      <c r="D3" s="199">
        <f>'SER_se-appl'!D8</f>
        <v>186.21462254852412</v>
      </c>
      <c r="E3" s="199">
        <f>'SER_se-appl'!E8</f>
        <v>201.15470173414818</v>
      </c>
      <c r="F3" s="199">
        <f>'SER_se-appl'!F8</f>
        <v>219.43881713011501</v>
      </c>
      <c r="G3" s="199">
        <f>'SER_se-appl'!G8</f>
        <v>230.93873649195032</v>
      </c>
      <c r="H3" s="199">
        <f>'SER_se-appl'!H8</f>
        <v>257.25660429011856</v>
      </c>
      <c r="I3" s="199">
        <f>'SER_se-appl'!I8</f>
        <v>281.6356321998224</v>
      </c>
      <c r="J3" s="199">
        <f>'SER_se-appl'!J8</f>
        <v>296.4077281485666</v>
      </c>
      <c r="K3" s="199">
        <f>'SER_se-appl'!K8</f>
        <v>305.99078219819597</v>
      </c>
      <c r="L3" s="199">
        <f>'SER_se-appl'!L8</f>
        <v>315.90541169957686</v>
      </c>
      <c r="M3" s="199">
        <f>'SER_se-appl'!M8</f>
        <v>323.84955552657368</v>
      </c>
      <c r="N3" s="199">
        <f>'SER_se-appl'!N8</f>
        <v>330.94509632956493</v>
      </c>
      <c r="O3" s="199">
        <f>'SER_se-appl'!O8</f>
        <v>334.84508600801212</v>
      </c>
      <c r="P3" s="199">
        <f>'SER_se-appl'!P8</f>
        <v>341.6623050629089</v>
      </c>
      <c r="Q3" s="199">
        <f>'SER_se-appl'!Q8</f>
        <v>343.70274689668503</v>
      </c>
      <c r="R3" s="199">
        <f>'SER_se-appl'!R8</f>
        <v>352.95447596965215</v>
      </c>
      <c r="S3" s="199">
        <f>'SER_se-appl'!S8</f>
        <v>368.93487165461954</v>
      </c>
      <c r="T3" s="199">
        <f>'SER_se-appl'!T8</f>
        <v>374.47343311950556</v>
      </c>
      <c r="U3" s="199">
        <f>'SER_se-appl'!U8</f>
        <v>377.66935959476831</v>
      </c>
      <c r="V3" s="199">
        <f>'SER_se-appl'!V8</f>
        <v>324.54667964228474</v>
      </c>
      <c r="W3" s="199">
        <f>'SER_se-appl'!W8</f>
        <v>344.33510942159603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2092.7482549726633</v>
      </c>
      <c r="C5" s="59">
        <f>'SER_se-appl'!C16</f>
        <v>2228.740477170737</v>
      </c>
      <c r="D5" s="59">
        <f>'SER_se-appl'!D16</f>
        <v>2389.3888136512523</v>
      </c>
      <c r="E5" s="59">
        <f>'SER_se-appl'!E16</f>
        <v>2570.7812745082438</v>
      </c>
      <c r="F5" s="59">
        <f>'SER_se-appl'!F16</f>
        <v>2794.0820748185479</v>
      </c>
      <c r="G5" s="59">
        <f>'SER_se-appl'!G16</f>
        <v>2930.3826194749254</v>
      </c>
      <c r="H5" s="59">
        <f>'SER_se-appl'!H16</f>
        <v>3253.8133825400564</v>
      </c>
      <c r="I5" s="59">
        <f>'SER_se-appl'!I16</f>
        <v>3551.3809574022057</v>
      </c>
      <c r="J5" s="59">
        <f>'SER_se-appl'!J16</f>
        <v>3726.9880889737392</v>
      </c>
      <c r="K5" s="59">
        <f>'SER_se-appl'!K16</f>
        <v>3837.0969384030145</v>
      </c>
      <c r="L5" s="59">
        <f>'SER_se-appl'!L16</f>
        <v>3951.2787910568736</v>
      </c>
      <c r="M5" s="59">
        <f>'SER_se-appl'!M16</f>
        <v>4044.0601168259741</v>
      </c>
      <c r="N5" s="59">
        <f>'SER_se-appl'!N16</f>
        <v>4126.2620144205639</v>
      </c>
      <c r="O5" s="59">
        <f>'SER_se-appl'!O16</f>
        <v>4168.7060838116586</v>
      </c>
      <c r="P5" s="59">
        <f>'SER_se-appl'!P16</f>
        <v>4247.5480383893109</v>
      </c>
      <c r="Q5" s="59">
        <f>'SER_se-appl'!Q16</f>
        <v>4267.1044819822728</v>
      </c>
      <c r="R5" s="59">
        <f>'SER_se-appl'!R16</f>
        <v>4360.331583526051</v>
      </c>
      <c r="S5" s="59">
        <f>'SER_se-appl'!S16</f>
        <v>4461.0647471163129</v>
      </c>
      <c r="T5" s="59">
        <f>'SER_se-appl'!T16</f>
        <v>4545.7734446005861</v>
      </c>
      <c r="U5" s="59">
        <f>'SER_se-appl'!U16</f>
        <v>4609.2128203020638</v>
      </c>
      <c r="V5" s="59">
        <f>'SER_se-appl'!V16</f>
        <v>4677.7390238473818</v>
      </c>
      <c r="W5" s="59">
        <f>'SER_se-appl'!W16</f>
        <v>4690.2647511032937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76.186745173641413</v>
      </c>
      <c r="C6" s="202">
        <f>'SER_se-appl'!C72</f>
        <v>80.237498319224201</v>
      </c>
      <c r="D6" s="202">
        <f>'SER_se-appl'!D72</f>
        <v>85.118251359060267</v>
      </c>
      <c r="E6" s="202">
        <f>'SER_se-appl'!E72</f>
        <v>91.222801012345499</v>
      </c>
      <c r="F6" s="202">
        <f>'SER_se-appl'!F72</f>
        <v>99.23145396412248</v>
      </c>
      <c r="G6" s="202">
        <f>'SER_se-appl'!G72</f>
        <v>104.21411579109026</v>
      </c>
      <c r="H6" s="202">
        <f>'SER_se-appl'!H72</f>
        <v>114.43803349228503</v>
      </c>
      <c r="I6" s="202">
        <f>'SER_se-appl'!I72</f>
        <v>123.9794340797622</v>
      </c>
      <c r="J6" s="202">
        <f>'SER_se-appl'!J72</f>
        <v>130.45413264051976</v>
      </c>
      <c r="K6" s="202">
        <f>'SER_se-appl'!K72</f>
        <v>135.34876897021985</v>
      </c>
      <c r="L6" s="202">
        <f>'SER_se-appl'!L72</f>
        <v>139.81610917167387</v>
      </c>
      <c r="M6" s="202">
        <f>'SER_se-appl'!M72</f>
        <v>143.39060050028894</v>
      </c>
      <c r="N6" s="202">
        <f>'SER_se-appl'!N72</f>
        <v>147.51711209569007</v>
      </c>
      <c r="O6" s="202">
        <f>'SER_se-appl'!O72</f>
        <v>151.52117446665542</v>
      </c>
      <c r="P6" s="202">
        <f>'SER_se-appl'!P72</f>
        <v>155.20398911680729</v>
      </c>
      <c r="Q6" s="202">
        <f>'SER_se-appl'!Q72</f>
        <v>158.33811724643158</v>
      </c>
      <c r="R6" s="202">
        <f>'SER_se-appl'!R72</f>
        <v>164.13128066295934</v>
      </c>
      <c r="S6" s="202">
        <f>'SER_se-appl'!S72</f>
        <v>169.94804001438919</v>
      </c>
      <c r="T6" s="202">
        <f>'SER_se-appl'!T72</f>
        <v>175.66360285590198</v>
      </c>
      <c r="U6" s="202">
        <f>'SER_se-appl'!U72</f>
        <v>181.20228084244897</v>
      </c>
      <c r="V6" s="202">
        <f>'SER_se-appl'!V72</f>
        <v>186.42319084096155</v>
      </c>
      <c r="W6" s="202">
        <f>'SER_se-appl'!W72</f>
        <v>191.22734932669405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42.712645485408977</v>
      </c>
      <c r="C8" s="34">
        <f>'SER_se-appl'!C24</f>
        <v>45.729813593182314</v>
      </c>
      <c r="D8" s="34">
        <f>'SER_se-appl'!D24</f>
        <v>49.333868579302056</v>
      </c>
      <c r="E8" s="34">
        <f>'SER_se-appl'!E24</f>
        <v>53.449215403029143</v>
      </c>
      <c r="F8" s="34">
        <f>'SER_se-appl'!F24</f>
        <v>58.554295767003417</v>
      </c>
      <c r="G8" s="34">
        <f>'SER_se-appl'!G24</f>
        <v>61.790156684967677</v>
      </c>
      <c r="H8" s="34">
        <f>'SER_se-appl'!H24</f>
        <v>69.343031617443572</v>
      </c>
      <c r="I8" s="34">
        <f>'SER_se-appl'!I24</f>
        <v>76.446735048985374</v>
      </c>
      <c r="J8" s="34">
        <f>'SER_se-appl'!J24</f>
        <v>80.864438827412016</v>
      </c>
      <c r="K8" s="34">
        <f>'SER_se-appl'!K24</f>
        <v>83.880174670461443</v>
      </c>
      <c r="L8" s="34">
        <f>'SER_se-appl'!L24</f>
        <v>87.118508121383499</v>
      </c>
      <c r="M8" s="34">
        <f>'SER_se-appl'!M24</f>
        <v>90.058146000931117</v>
      </c>
      <c r="N8" s="34">
        <f>'SER_se-appl'!N24</f>
        <v>92.985909796310423</v>
      </c>
      <c r="O8" s="34">
        <f>'SER_se-appl'!O24</f>
        <v>95.20145313151788</v>
      </c>
      <c r="P8" s="34">
        <f>'SER_se-appl'!P24</f>
        <v>98.713894151701425</v>
      </c>
      <c r="Q8" s="34">
        <f>'SER_se-appl'!Q24</f>
        <v>101.04265000162081</v>
      </c>
      <c r="R8" s="34">
        <f>'SER_se-appl'!R24</f>
        <v>104.7611273314523</v>
      </c>
      <c r="S8" s="34">
        <f>'SER_se-appl'!S24</f>
        <v>108.96762027075397</v>
      </c>
      <c r="T8" s="34">
        <f>'SER_se-appl'!T24</f>
        <v>112.99894640527415</v>
      </c>
      <c r="U8" s="34">
        <f>'SER_se-appl'!U24</f>
        <v>116.85745360676796</v>
      </c>
      <c r="V8" s="34">
        <f>'SER_se-appl'!V24</f>
        <v>120.43285061884271</v>
      </c>
      <c r="W8" s="34">
        <f>'SER_se-appl'!W24</f>
        <v>123.71150758441543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4.2337290913085539</v>
      </c>
      <c r="D9" s="36">
        <f>'SER_se-appl'!D32</f>
        <v>4.9575173728935695</v>
      </c>
      <c r="E9" s="36">
        <f>'SER_se-appl'!E32</f>
        <v>5.6211163307256484</v>
      </c>
      <c r="F9" s="36">
        <f>'SER_se-appl'!F32</f>
        <v>6.7802963362564626</v>
      </c>
      <c r="G9" s="36">
        <f>'SER_se-appl'!G32</f>
        <v>5.0995914163877742</v>
      </c>
      <c r="H9" s="36">
        <f>'SER_se-appl'!H32</f>
        <v>9.6263337749330447</v>
      </c>
      <c r="I9" s="36">
        <f>'SER_se-appl'!I32</f>
        <v>9.4104916581659666</v>
      </c>
      <c r="J9" s="36">
        <f>'SER_se-appl'!J32</f>
        <v>6.9840782892348301</v>
      </c>
      <c r="K9" s="36">
        <f>'SER_se-appl'!K32</f>
        <v>5.870908265775256</v>
      </c>
      <c r="L9" s="36">
        <f>'SER_se-appl'!L32</f>
        <v>6.4148026408872028</v>
      </c>
      <c r="M9" s="36">
        <f>'SER_se-appl'!M32</f>
        <v>6.473559836234557</v>
      </c>
      <c r="N9" s="36">
        <f>'SER_se-appl'!N32</f>
        <v>6.8593632062620031</v>
      </c>
      <c r="O9" s="36">
        <f>'SER_se-appl'!O32</f>
        <v>6.5895714312168678</v>
      </c>
      <c r="P9" s="36">
        <f>'SER_se-appl'!P32</f>
        <v>8.3786849543243989</v>
      </c>
      <c r="Q9" s="36">
        <f>'SER_se-appl'!Q32</f>
        <v>7.7426053970146853</v>
      </c>
      <c r="R9" s="36">
        <f>'SER_se-appl'!R32</f>
        <v>7.9522064211400476</v>
      </c>
      <c r="S9" s="36">
        <f>'SER_se-appl'!S32</f>
        <v>9.164010312195245</v>
      </c>
      <c r="T9" s="36">
        <f>'SER_se-appl'!T32</f>
        <v>9.6524424652458265</v>
      </c>
      <c r="U9" s="36">
        <f>'SER_se-appl'!U32</f>
        <v>10.638803537750277</v>
      </c>
      <c r="V9" s="36">
        <f>'SER_se-appl'!V32</f>
        <v>8.6749884284625125</v>
      </c>
      <c r="W9" s="36">
        <f>'SER_se-appl'!W32</f>
        <v>12.904990740505767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1.2165609835352171</v>
      </c>
      <c r="D10" s="38">
        <f>'SER_se-appl'!D40</f>
        <v>1.3534623867738276</v>
      </c>
      <c r="E10" s="38">
        <f>'SER_se-appl'!E40</f>
        <v>1.5057695069985613</v>
      </c>
      <c r="F10" s="38">
        <f>'SER_se-appl'!F40</f>
        <v>1.6752159722821887</v>
      </c>
      <c r="G10" s="38">
        <f>'SER_se-appl'!G40</f>
        <v>1.8637304984235143</v>
      </c>
      <c r="H10" s="38">
        <f>'SER_se-appl'!H40</f>
        <v>2.0734588424571569</v>
      </c>
      <c r="I10" s="38">
        <f>'SER_se-appl'!I40</f>
        <v>2.3067882266241639</v>
      </c>
      <c r="J10" s="38">
        <f>'SER_se-appl'!J40</f>
        <v>2.5663745108081883</v>
      </c>
      <c r="K10" s="38">
        <f>'SER_se-appl'!K40</f>
        <v>2.8551724227258291</v>
      </c>
      <c r="L10" s="38">
        <f>'SER_se-appl'!L40</f>
        <v>3.1764691899651467</v>
      </c>
      <c r="M10" s="38">
        <f>'SER_se-appl'!M40</f>
        <v>3.5339219566869389</v>
      </c>
      <c r="N10" s="38">
        <f>'SER_se-appl'!N40</f>
        <v>3.931599410882697</v>
      </c>
      <c r="O10" s="38">
        <f>'SER_se-appl'!O40</f>
        <v>4.3740280960094111</v>
      </c>
      <c r="P10" s="38">
        <f>'SER_se-appl'!P40</f>
        <v>4.8662439341408543</v>
      </c>
      <c r="Q10" s="38">
        <f>'SER_se-appl'!Q40</f>
        <v>5.4138495470952961</v>
      </c>
      <c r="R10" s="38">
        <f>'SER_se-appl'!R40</f>
        <v>4.233729091308561</v>
      </c>
      <c r="S10" s="38">
        <f>'SER_se-appl'!S40</f>
        <v>4.9575173728935766</v>
      </c>
      <c r="T10" s="38">
        <f>'SER_se-appl'!T40</f>
        <v>5.6211163307256413</v>
      </c>
      <c r="U10" s="38">
        <f>'SER_se-appl'!U40</f>
        <v>6.7802963362564697</v>
      </c>
      <c r="V10" s="38">
        <f>'SER_se-appl'!V40</f>
        <v>5.0995914163877671</v>
      </c>
      <c r="W10" s="38">
        <f>'SER_se-appl'!W40</f>
        <v>9.6263337749330589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898.14738002069691</v>
      </c>
      <c r="C12" s="205">
        <f>'SER_se-appl'!C48</f>
        <v>902.43772415198941</v>
      </c>
      <c r="D12" s="205">
        <f>'SER_se-appl'!D48</f>
        <v>906.37239442413772</v>
      </c>
      <c r="E12" s="205">
        <f>'SER_se-appl'!E48</f>
        <v>910.00708787084386</v>
      </c>
      <c r="F12" s="205">
        <f>'SER_se-appl'!F48</f>
        <v>913.3852817795173</v>
      </c>
      <c r="G12" s="205">
        <f>'SER_se-appl'!G48</f>
        <v>916.54157636337436</v>
      </c>
      <c r="H12" s="205">
        <f>'SER_se-appl'!H48</f>
        <v>919.50396539290352</v>
      </c>
      <c r="I12" s="205">
        <f>'SER_se-appl'!I48</f>
        <v>922.29542304013148</v>
      </c>
      <c r="J12" s="205">
        <f>'SER_se-appl'!J48</f>
        <v>924.93504032556598</v>
      </c>
      <c r="K12" s="205">
        <f>'SER_se-appl'!K48</f>
        <v>927.43885653462928</v>
      </c>
      <c r="L12" s="205">
        <f>'SER_se-appl'!L48</f>
        <v>929.82047897545999</v>
      </c>
      <c r="M12" s="205">
        <f>'SER_se-appl'!M48</f>
        <v>931.33391244691245</v>
      </c>
      <c r="N12" s="205">
        <f>'SER_se-appl'!N48</f>
        <v>932.77922169305725</v>
      </c>
      <c r="O12" s="205">
        <f>'SER_se-appl'!O48</f>
        <v>934.16236884526847</v>
      </c>
      <c r="P12" s="205">
        <f>'SER_se-appl'!P48</f>
        <v>935.48856233499168</v>
      </c>
      <c r="Q12" s="205">
        <f>'SER_se-appl'!Q48</f>
        <v>936.76237909963913</v>
      </c>
      <c r="R12" s="205">
        <f>'SER_se-appl'!R48</f>
        <v>941.41018335298111</v>
      </c>
      <c r="S12" s="205">
        <f>'SER_se-appl'!S48</f>
        <v>961.81355810107766</v>
      </c>
      <c r="T12" s="205">
        <f>'SER_se-appl'!T48</f>
        <v>958.06051055025944</v>
      </c>
      <c r="U12" s="205">
        <f>'SER_se-appl'!U48</f>
        <v>952.93813137474251</v>
      </c>
      <c r="V12" s="205">
        <f>'SER_se-appl'!V48</f>
        <v>806.90219462805999</v>
      </c>
      <c r="W12" s="205">
        <f>'SER_se-appl'!W48</f>
        <v>853.81477061207545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48.995987749987648</v>
      </c>
      <c r="C14" s="59">
        <f>'SER_se-appl'!C56</f>
        <v>48.737143278078257</v>
      </c>
      <c r="D14" s="59">
        <f>'SER_se-appl'!D56</f>
        <v>48.433031555399175</v>
      </c>
      <c r="E14" s="59">
        <f>'SER_se-appl'!E56</f>
        <v>48.09764287695323</v>
      </c>
      <c r="F14" s="59">
        <f>'SER_se-appl'!F56</f>
        <v>47.717798296757458</v>
      </c>
      <c r="G14" s="59">
        <f>'SER_se-appl'!G56</f>
        <v>47.424748158760202</v>
      </c>
      <c r="H14" s="59">
        <f>'SER_se-appl'!H56</f>
        <v>46.923437101667531</v>
      </c>
      <c r="I14" s="59">
        <f>'SER_se-appl'!I56</f>
        <v>46.455626327619612</v>
      </c>
      <c r="J14" s="59">
        <f>'SER_se-appl'!J56</f>
        <v>46.089333494642858</v>
      </c>
      <c r="K14" s="59">
        <f>'SER_se-appl'!K56</f>
        <v>45.744980306463944</v>
      </c>
      <c r="L14" s="59">
        <f>'SER_se-appl'!L56</f>
        <v>45.355216431754073</v>
      </c>
      <c r="M14" s="59">
        <f>'SER_se-appl'!M56</f>
        <v>44.904989680602156</v>
      </c>
      <c r="N14" s="59">
        <f>'SER_se-appl'!N56</f>
        <v>44.375131925463926</v>
      </c>
      <c r="O14" s="59">
        <f>'SER_se-appl'!O56</f>
        <v>43.78826106837591</v>
      </c>
      <c r="P14" s="59">
        <f>'SER_se-appl'!P56</f>
        <v>43.028877291192352</v>
      </c>
      <c r="Q14" s="59">
        <f>'SER_se-appl'!Q56</f>
        <v>42.230726152904985</v>
      </c>
      <c r="R14" s="59">
        <f>'SER_se-appl'!R56</f>
        <v>41.621655804929027</v>
      </c>
      <c r="S14" s="59">
        <f>'SER_se-appl'!S56</f>
        <v>40.939361032495881</v>
      </c>
      <c r="T14" s="59">
        <f>'SER_se-appl'!T56</f>
        <v>40.228458664535076</v>
      </c>
      <c r="U14" s="59">
        <f>'SER_se-appl'!U56</f>
        <v>39.443036606054498</v>
      </c>
      <c r="V14" s="59">
        <f>'SER_se-appl'!V56</f>
        <v>38.841055408145515</v>
      </c>
      <c r="W14" s="59">
        <f>'SER_se-appl'!W56</f>
        <v>37.91292210955281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46.200128781509491</v>
      </c>
      <c r="D15" s="63">
        <f>'SER_se-appl'!D64</f>
        <v>45.781496247280437</v>
      </c>
      <c r="E15" s="63">
        <f>'SER_se-appl'!E64</f>
        <v>45.394741927224409</v>
      </c>
      <c r="F15" s="63">
        <f>'SER_se-appl'!F64</f>
        <v>45.039279468341427</v>
      </c>
      <c r="G15" s="63">
        <f>'SER_se-appl'!G64</f>
        <v>44.634136882998085</v>
      </c>
      <c r="H15" s="63">
        <f>'SER_se-appl'!H64</f>
        <v>44.152003976531667</v>
      </c>
      <c r="I15" s="63">
        <f>'SER_se-appl'!I64</f>
        <v>43.631189258783543</v>
      </c>
      <c r="J15" s="63">
        <f>'SER_se-appl'!J64</f>
        <v>43.148025148782651</v>
      </c>
      <c r="K15" s="63">
        <f>'SER_se-appl'!K64</f>
        <v>42.582992470627396</v>
      </c>
      <c r="L15" s="63">
        <f>'SER_se-appl'!L64</f>
        <v>42.061480809063177</v>
      </c>
      <c r="M15" s="63">
        <f>'SER_se-appl'!M64</f>
        <v>41.079302485142009</v>
      </c>
      <c r="N15" s="63">
        <f>'SER_se-appl'!N64</f>
        <v>40.067056649975477</v>
      </c>
      <c r="O15" s="63">
        <f>'SER_se-appl'!O64</f>
        <v>38.963671474134109</v>
      </c>
      <c r="P15" s="63">
        <f>'SER_se-appl'!P64</f>
        <v>37.866131080572664</v>
      </c>
      <c r="Q15" s="63">
        <f>'SER_se-appl'!Q64</f>
        <v>36.785207960170041</v>
      </c>
      <c r="R15" s="63">
        <f>'SER_se-appl'!R64</f>
        <v>36.320225544000515</v>
      </c>
      <c r="S15" s="63">
        <f>'SER_se-appl'!S64</f>
        <v>35.758987106019234</v>
      </c>
      <c r="T15" s="63">
        <f>'SER_se-appl'!T64</f>
        <v>35.211587521419617</v>
      </c>
      <c r="U15" s="63">
        <f>'SER_se-appl'!U64</f>
        <v>34.667341676120103</v>
      </c>
      <c r="V15" s="63">
        <f>'SER_se-appl'!V64</f>
        <v>34.137459353846992</v>
      </c>
      <c r="W15" s="63">
        <f>'SER_se-appl'!W64</f>
        <v>33.905305564677093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367.46355419466494</v>
      </c>
      <c r="C3" s="199">
        <f>'SER_se-appl'!C9</f>
        <v>397.33807515139927</v>
      </c>
      <c r="D3" s="199">
        <f>'SER_se-appl'!D9</f>
        <v>428.98648283799344</v>
      </c>
      <c r="E3" s="199">
        <f>'SER_se-appl'!E9</f>
        <v>465.23928033393486</v>
      </c>
      <c r="F3" s="199">
        <f>'SER_se-appl'!F9</f>
        <v>498.7437390773128</v>
      </c>
      <c r="G3" s="199">
        <f>'SER_se-appl'!G9</f>
        <v>536.02142828468595</v>
      </c>
      <c r="H3" s="199">
        <f>'SER_se-appl'!H9</f>
        <v>564.57615870304812</v>
      </c>
      <c r="I3" s="199">
        <f>'SER_se-appl'!I9</f>
        <v>588.97692443349695</v>
      </c>
      <c r="J3" s="199">
        <f>'SER_se-appl'!J9</f>
        <v>603.35033287450096</v>
      </c>
      <c r="K3" s="199">
        <f>'SER_se-appl'!K9</f>
        <v>623.86851046511231</v>
      </c>
      <c r="L3" s="199">
        <f>'SER_se-appl'!L9</f>
        <v>633.69014828157674</v>
      </c>
      <c r="M3" s="199">
        <f>'SER_se-appl'!M9</f>
        <v>652.45751009496541</v>
      </c>
      <c r="N3" s="199">
        <f>'SER_se-appl'!N9</f>
        <v>675.3232447276863</v>
      </c>
      <c r="O3" s="199">
        <f>'SER_se-appl'!O9</f>
        <v>710.2167240352137</v>
      </c>
      <c r="P3" s="199">
        <f>'SER_se-appl'!P9</f>
        <v>759.42849792228424</v>
      </c>
      <c r="Q3" s="199">
        <f>'SER_se-appl'!Q9</f>
        <v>804.71841529534208</v>
      </c>
      <c r="R3" s="199">
        <f>'SER_se-appl'!R9</f>
        <v>843.49700784162053</v>
      </c>
      <c r="S3" s="199">
        <f>'SER_se-appl'!S9</f>
        <v>878.05908246224851</v>
      </c>
      <c r="T3" s="199">
        <f>'SER_se-appl'!T9</f>
        <v>930.45560868885013</v>
      </c>
      <c r="U3" s="199">
        <f>'SER_se-appl'!U9</f>
        <v>924.84842414921252</v>
      </c>
      <c r="V3" s="199">
        <f>'SER_se-appl'!V9</f>
        <v>819.84495164170539</v>
      </c>
      <c r="W3" s="199">
        <f>'SER_se-appl'!W9</f>
        <v>846.21095841009367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2635.3624677501871</v>
      </c>
      <c r="C5" s="59">
        <f>'SER_se-appl'!C17</f>
        <v>2821.0082735115861</v>
      </c>
      <c r="D5" s="59">
        <f>'SER_se-appl'!D17</f>
        <v>2989.8294249432547</v>
      </c>
      <c r="E5" s="59">
        <f>'SER_se-appl'!E17</f>
        <v>3187.7563351295044</v>
      </c>
      <c r="F5" s="59">
        <f>'SER_se-appl'!F17</f>
        <v>3359.5844607376162</v>
      </c>
      <c r="G5" s="59">
        <f>'SER_se-appl'!G17</f>
        <v>3555.1882332892355</v>
      </c>
      <c r="H5" s="59">
        <f>'SER_se-appl'!H17</f>
        <v>3685.4973260510078</v>
      </c>
      <c r="I5" s="59">
        <f>'SER_se-appl'!I17</f>
        <v>3798.5218754412667</v>
      </c>
      <c r="J5" s="59">
        <f>'SER_se-appl'!J17</f>
        <v>3852.8732747649919</v>
      </c>
      <c r="K5" s="59">
        <f>'SER_se-appl'!K17</f>
        <v>3942.8282210760885</v>
      </c>
      <c r="L5" s="59">
        <f>'SER_se-appl'!L17</f>
        <v>3956.371287894498</v>
      </c>
      <c r="M5" s="59">
        <f>'SER_se-appl'!M17</f>
        <v>4027.1804626623125</v>
      </c>
      <c r="N5" s="59">
        <f>'SER_se-appl'!N17</f>
        <v>4133.7452819048576</v>
      </c>
      <c r="O5" s="59">
        <f>'SER_se-appl'!O17</f>
        <v>4309.7922706919071</v>
      </c>
      <c r="P5" s="59">
        <f>'SER_se-appl'!P17</f>
        <v>4563.2477568809982</v>
      </c>
      <c r="Q5" s="59">
        <f>'SER_se-appl'!Q17</f>
        <v>4785.8029285343046</v>
      </c>
      <c r="R5" s="59">
        <f>'SER_se-appl'!R17</f>
        <v>4943.4717227736392</v>
      </c>
      <c r="S5" s="59">
        <f>'SER_se-appl'!S17</f>
        <v>5005.0926146255897</v>
      </c>
      <c r="T5" s="59">
        <f>'SER_se-appl'!T17</f>
        <v>5287.1398672421374</v>
      </c>
      <c r="U5" s="59">
        <f>'SER_se-appl'!U17</f>
        <v>5240.3012878336076</v>
      </c>
      <c r="V5" s="59">
        <f>'SER_se-appl'!V17</f>
        <v>5115.7240348826317</v>
      </c>
      <c r="W5" s="59">
        <f>'SER_se-appl'!W17</f>
        <v>5113.8964824576224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0.12567753007770258</v>
      </c>
      <c r="C6" s="202">
        <f>'SER_se-appl'!C73</f>
        <v>0.13772888861464117</v>
      </c>
      <c r="D6" s="202">
        <f>'SER_se-appl'!D73</f>
        <v>0.15039417910571279</v>
      </c>
      <c r="E6" s="202">
        <f>'SER_se-appl'!E73</f>
        <v>0.16592557875954514</v>
      </c>
      <c r="F6" s="202">
        <f>'SER_se-appl'!F73</f>
        <v>0.1810429169832449</v>
      </c>
      <c r="G6" s="202">
        <f>'SER_se-appl'!G73</f>
        <v>0.19930291156182281</v>
      </c>
      <c r="H6" s="202">
        <f>'SER_se-appl'!H73</f>
        <v>0.21676141574328239</v>
      </c>
      <c r="I6" s="202">
        <f>'SER_se-appl'!I73</f>
        <v>0.23428202497904868</v>
      </c>
      <c r="J6" s="202">
        <f>'SER_se-appl'!J73</f>
        <v>0.24950057476201426</v>
      </c>
      <c r="K6" s="202">
        <f>'SER_se-appl'!K73</f>
        <v>0.26958235835774191</v>
      </c>
      <c r="L6" s="202">
        <f>'SER_se-appl'!L73</f>
        <v>0.28860860646299324</v>
      </c>
      <c r="M6" s="202">
        <f>'SER_se-appl'!M73</f>
        <v>0.31768257610998563</v>
      </c>
      <c r="N6" s="202">
        <f>'SER_se-appl'!N73</f>
        <v>0.35184284491617462</v>
      </c>
      <c r="O6" s="202">
        <f>'SER_se-appl'!O73</f>
        <v>0.38986017005058832</v>
      </c>
      <c r="P6" s="202">
        <f>'SER_se-appl'!P73</f>
        <v>0.42652278692878415</v>
      </c>
      <c r="Q6" s="202">
        <f>'SER_se-appl'!Q73</f>
        <v>0.46066056092504976</v>
      </c>
      <c r="R6" s="202">
        <f>'SER_se-appl'!R73</f>
        <v>0.48851837275545856</v>
      </c>
      <c r="S6" s="202">
        <f>'SER_se-appl'!S73</f>
        <v>0.5042351379587573</v>
      </c>
      <c r="T6" s="202">
        <f>'SER_se-appl'!T73</f>
        <v>0.5435031065054905</v>
      </c>
      <c r="U6" s="202">
        <f>'SER_se-appl'!U73</f>
        <v>0.5553897810156706</v>
      </c>
      <c r="V6" s="202">
        <f>'SER_se-appl'!V73</f>
        <v>0.55540631626328163</v>
      </c>
      <c r="W6" s="202">
        <f>'SER_se-appl'!W73</f>
        <v>0.57424905070830967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7154.0078996388247</v>
      </c>
      <c r="C8" s="34">
        <f>'SER_se-appl'!C25</f>
        <v>7845.1328038808824</v>
      </c>
      <c r="D8" s="34">
        <f>'SER_se-appl'!D25</f>
        <v>8570.5893345460609</v>
      </c>
      <c r="E8" s="34">
        <f>'SER_se-appl'!E25</f>
        <v>9479.4122728756665</v>
      </c>
      <c r="F8" s="34">
        <f>'SER_se-appl'!F25</f>
        <v>10409.225450576951</v>
      </c>
      <c r="G8" s="34">
        <f>'SER_se-appl'!G25</f>
        <v>11534.60677882134</v>
      </c>
      <c r="H8" s="34">
        <f>'SER_se-appl'!H25</f>
        <v>12586.081230660917</v>
      </c>
      <c r="I8" s="34">
        <f>'SER_se-appl'!I25</f>
        <v>13640.776646181735</v>
      </c>
      <c r="J8" s="34">
        <f>'SER_se-appl'!J25</f>
        <v>14633.926023944578</v>
      </c>
      <c r="K8" s="34">
        <f>'SER_se-appl'!K25</f>
        <v>15905.517118368769</v>
      </c>
      <c r="L8" s="34">
        <f>'SER_se-appl'!L25</f>
        <v>17082.784687575295</v>
      </c>
      <c r="M8" s="34">
        <f>'SER_se-appl'!M25</f>
        <v>18859.127649170703</v>
      </c>
      <c r="N8" s="34">
        <f>'SER_se-appl'!N25</f>
        <v>20897.426762420175</v>
      </c>
      <c r="O8" s="34">
        <f>'SER_se-appl'!O25</f>
        <v>23268.892747727965</v>
      </c>
      <c r="P8" s="34">
        <f>'SER_se-appl'!P25</f>
        <v>25925.192952327026</v>
      </c>
      <c r="Q8" s="34">
        <f>'SER_se-appl'!Q25</f>
        <v>28006.140725701687</v>
      </c>
      <c r="R8" s="34">
        <f>'SER_se-appl'!R25</f>
        <v>29636.236256833283</v>
      </c>
      <c r="S8" s="34">
        <f>'SER_se-appl'!S25</f>
        <v>30551.327158419535</v>
      </c>
      <c r="T8" s="34">
        <f>'SER_se-appl'!T25</f>
        <v>32873.227219294211</v>
      </c>
      <c r="U8" s="34">
        <f>'SER_se-appl'!U25</f>
        <v>33221.568918555975</v>
      </c>
      <c r="V8" s="34">
        <f>'SER_se-appl'!V25</f>
        <v>33125.259146540717</v>
      </c>
      <c r="W8" s="34">
        <f>'SER_se-appl'!W25</f>
        <v>34016.339082805229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2121.9264841698223</v>
      </c>
      <c r="D9" s="36">
        <f>'SER_se-appl'!D33</f>
        <v>2156.2581105929439</v>
      </c>
      <c r="E9" s="36">
        <f>'SER_se-appl'!E33</f>
        <v>2339.6245182573712</v>
      </c>
      <c r="F9" s="36">
        <f>'SER_se-appl'!F33</f>
        <v>2360.6147576290496</v>
      </c>
      <c r="G9" s="36">
        <f>'SER_se-appl'!G33</f>
        <v>2556.1829081721553</v>
      </c>
      <c r="H9" s="36">
        <f>'SER_se-appl'!H33</f>
        <v>3173.4009360093987</v>
      </c>
      <c r="I9" s="36">
        <f>'SER_se-appl'!I33</f>
        <v>3210.9535261137626</v>
      </c>
      <c r="J9" s="36">
        <f>'SER_se-appl'!J33</f>
        <v>3332.7738960202132</v>
      </c>
      <c r="K9" s="36">
        <f>'SER_se-appl'!K33</f>
        <v>3632.205852053241</v>
      </c>
      <c r="L9" s="36">
        <f>'SER_se-appl'!L33</f>
        <v>3733.4504773786812</v>
      </c>
      <c r="M9" s="36">
        <f>'SER_se-appl'!M33</f>
        <v>4949.743897604807</v>
      </c>
      <c r="N9" s="36">
        <f>'SER_se-appl'!N33</f>
        <v>5249.2526393632343</v>
      </c>
      <c r="O9" s="36">
        <f>'SER_se-appl'!O33</f>
        <v>5704.2398813280015</v>
      </c>
      <c r="P9" s="36">
        <f>'SER_se-appl'!P33</f>
        <v>6288.5060566523025</v>
      </c>
      <c r="Q9" s="36">
        <f>'SER_se-appl'!Q33</f>
        <v>5814.3982507533401</v>
      </c>
      <c r="R9" s="36">
        <f>'SER_se-appl'!R33</f>
        <v>6579.8394287364026</v>
      </c>
      <c r="S9" s="36">
        <f>'SER_se-appl'!S33</f>
        <v>6164.3435409494887</v>
      </c>
      <c r="T9" s="36">
        <f>'SER_se-appl'!T33</f>
        <v>8026.139942202677</v>
      </c>
      <c r="U9" s="36">
        <f>'SER_se-appl'!U33</f>
        <v>6636.8477559140665</v>
      </c>
      <c r="V9" s="36">
        <f>'SER_se-appl'!V33</f>
        <v>5718.0884787380819</v>
      </c>
      <c r="W9" s="36">
        <f>'SER_se-appl'!W33</f>
        <v>7470.9193650009147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1430.8015799277637</v>
      </c>
      <c r="D10" s="38">
        <f>'SER_se-appl'!D41</f>
        <v>1430.8015799277655</v>
      </c>
      <c r="E10" s="38">
        <f>'SER_se-appl'!E41</f>
        <v>1430.8015799277655</v>
      </c>
      <c r="F10" s="38">
        <f>'SER_se-appl'!F41</f>
        <v>1430.8015799277655</v>
      </c>
      <c r="G10" s="38">
        <f>'SER_se-appl'!G41</f>
        <v>1430.8015799277655</v>
      </c>
      <c r="H10" s="38">
        <f>'SER_se-appl'!H41</f>
        <v>2121.9264841698223</v>
      </c>
      <c r="I10" s="38">
        <f>'SER_se-appl'!I41</f>
        <v>2156.2581105929439</v>
      </c>
      <c r="J10" s="38">
        <f>'SER_se-appl'!J41</f>
        <v>2339.6245182573712</v>
      </c>
      <c r="K10" s="38">
        <f>'SER_se-appl'!K41</f>
        <v>2360.6147576290477</v>
      </c>
      <c r="L10" s="38">
        <f>'SER_se-appl'!L41</f>
        <v>2556.1829081721553</v>
      </c>
      <c r="M10" s="38">
        <f>'SER_se-appl'!M41</f>
        <v>3173.4009360093987</v>
      </c>
      <c r="N10" s="38">
        <f>'SER_se-appl'!N41</f>
        <v>3210.9535261137644</v>
      </c>
      <c r="O10" s="38">
        <f>'SER_se-appl'!O41</f>
        <v>3332.7738960202114</v>
      </c>
      <c r="P10" s="38">
        <f>'SER_se-appl'!P41</f>
        <v>3632.205852053241</v>
      </c>
      <c r="Q10" s="38">
        <f>'SER_se-appl'!Q41</f>
        <v>3733.4504773786794</v>
      </c>
      <c r="R10" s="38">
        <f>'SER_se-appl'!R41</f>
        <v>4949.743897604807</v>
      </c>
      <c r="S10" s="38">
        <f>'SER_se-appl'!S41</f>
        <v>5249.2526393632397</v>
      </c>
      <c r="T10" s="38">
        <f>'SER_se-appl'!T41</f>
        <v>5704.2398813280015</v>
      </c>
      <c r="U10" s="38">
        <f>'SER_se-appl'!U41</f>
        <v>6288.5060566523025</v>
      </c>
      <c r="V10" s="38">
        <f>'SER_se-appl'!V41</f>
        <v>5814.3982507533365</v>
      </c>
      <c r="W10" s="38">
        <f>'SER_se-appl'!W41</f>
        <v>6579.839428736399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1621.6369427664854</v>
      </c>
      <c r="C12" s="205">
        <f>'SER_se-appl'!C49</f>
        <v>1638.0816240069048</v>
      </c>
      <c r="D12" s="205">
        <f>'SER_se-appl'!D49</f>
        <v>1668.6947936839422</v>
      </c>
      <c r="E12" s="205">
        <f>'SER_se-appl'!E49</f>
        <v>1697.3483106775311</v>
      </c>
      <c r="F12" s="205">
        <f>'SER_se-appl'!F49</f>
        <v>1726.5199768770328</v>
      </c>
      <c r="G12" s="205">
        <f>'SER_se-appl'!G49</f>
        <v>1753.4737408779363</v>
      </c>
      <c r="H12" s="205">
        <f>'SER_se-appl'!H49</f>
        <v>1781.5833644226</v>
      </c>
      <c r="I12" s="205">
        <f>'SER_se-appl'!I49</f>
        <v>1803.2808170588307</v>
      </c>
      <c r="J12" s="205">
        <f>'SER_se-appl'!J49</f>
        <v>1821.2289558779869</v>
      </c>
      <c r="K12" s="205">
        <f>'SER_se-appl'!K49</f>
        <v>1840.1995648517088</v>
      </c>
      <c r="L12" s="205">
        <f>'SER_se-appl'!L49</f>
        <v>1862.7716885582818</v>
      </c>
      <c r="M12" s="205">
        <f>'SER_se-appl'!M49</f>
        <v>1884.2167399143752</v>
      </c>
      <c r="N12" s="205">
        <f>'SER_se-appl'!N49</f>
        <v>1899.9741881927982</v>
      </c>
      <c r="O12" s="205">
        <f>'SER_se-appl'!O49</f>
        <v>1916.5240414716041</v>
      </c>
      <c r="P12" s="205">
        <f>'SER_se-appl'!P49</f>
        <v>1935.4972382373962</v>
      </c>
      <c r="Q12" s="205">
        <f>'SER_se-appl'!Q49</f>
        <v>1955.5496349598056</v>
      </c>
      <c r="R12" s="205">
        <f>'SER_se-appl'!R49</f>
        <v>1984.4090856241435</v>
      </c>
      <c r="S12" s="205">
        <f>'SER_se-appl'!S49</f>
        <v>2040.287346371083</v>
      </c>
      <c r="T12" s="205">
        <f>'SER_se-appl'!T49</f>
        <v>2046.7018086842952</v>
      </c>
      <c r="U12" s="205">
        <f>'SER_se-appl'!U49</f>
        <v>2052.5512908632727</v>
      </c>
      <c r="V12" s="205">
        <f>'SER_se-appl'!V49</f>
        <v>1863.821567109178</v>
      </c>
      <c r="W12" s="205">
        <f>'SER_se-appl'!W49</f>
        <v>1924.4490927942718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368.37567203179009</v>
      </c>
      <c r="C14" s="59">
        <f>'SER_se-appl'!C57</f>
        <v>359.58706423887065</v>
      </c>
      <c r="D14" s="59">
        <f>'SER_se-appl'!D57</f>
        <v>348.84758891572892</v>
      </c>
      <c r="E14" s="59">
        <f>'SER_se-appl'!E57</f>
        <v>336.28206510765773</v>
      </c>
      <c r="F14" s="59">
        <f>'SER_se-appl'!F57</f>
        <v>322.75066734685868</v>
      </c>
      <c r="G14" s="59">
        <f>'SER_se-appl'!G57</f>
        <v>308.21928319367652</v>
      </c>
      <c r="H14" s="59">
        <f>'SER_se-appl'!H57</f>
        <v>292.82325916289005</v>
      </c>
      <c r="I14" s="59">
        <f>'SER_se-appl'!I57</f>
        <v>278.46815280158785</v>
      </c>
      <c r="J14" s="59">
        <f>'SER_se-appl'!J57</f>
        <v>263.28363751878862</v>
      </c>
      <c r="K14" s="59">
        <f>'SER_se-appl'!K57</f>
        <v>247.89060247042477</v>
      </c>
      <c r="L14" s="59">
        <f>'SER_se-appl'!L57</f>
        <v>231.59990366044119</v>
      </c>
      <c r="M14" s="59">
        <f>'SER_se-appl'!M57</f>
        <v>213.54012431425485</v>
      </c>
      <c r="N14" s="59">
        <f>'SER_se-appl'!N57</f>
        <v>197.81121038971978</v>
      </c>
      <c r="O14" s="59">
        <f>'SER_se-appl'!O57</f>
        <v>185.21690384742206</v>
      </c>
      <c r="P14" s="59">
        <f>'SER_se-appl'!P57</f>
        <v>176.01596120315105</v>
      </c>
      <c r="Q14" s="59">
        <f>'SER_se-appl'!Q57</f>
        <v>170.88405630063468</v>
      </c>
      <c r="R14" s="59">
        <f>'SER_se-appl'!R57</f>
        <v>166.80497752591015</v>
      </c>
      <c r="S14" s="59">
        <f>'SER_se-appl'!S57</f>
        <v>163.82570186468163</v>
      </c>
      <c r="T14" s="59">
        <f>'SER_se-appl'!T57</f>
        <v>160.83422025991314</v>
      </c>
      <c r="U14" s="59">
        <f>'SER_se-appl'!U57</f>
        <v>157.73792323536614</v>
      </c>
      <c r="V14" s="59">
        <f>'SER_se-appl'!V57</f>
        <v>154.43574380056944</v>
      </c>
      <c r="W14" s="59">
        <f>'SER_se-appl'!W57</f>
        <v>150.33647418697748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335.88265410160017</v>
      </c>
      <c r="D15" s="63">
        <f>'SER_se-appl'!D65</f>
        <v>322.73207069368146</v>
      </c>
      <c r="E15" s="63">
        <f>'SER_se-appl'!E65</f>
        <v>309.87852883175049</v>
      </c>
      <c r="F15" s="63">
        <f>'SER_se-appl'!F65</f>
        <v>296.06720745070237</v>
      </c>
      <c r="G15" s="63">
        <f>'SER_se-appl'!G65</f>
        <v>282.71696199487496</v>
      </c>
      <c r="H15" s="63">
        <f>'SER_se-appl'!H65</f>
        <v>265.65423313113695</v>
      </c>
      <c r="I15" s="63">
        <f>'SER_se-appl'!I65</f>
        <v>251.92460363978057</v>
      </c>
      <c r="J15" s="63">
        <f>'SER_se-appl'!J65</f>
        <v>233.84448731750572</v>
      </c>
      <c r="K15" s="63">
        <f>'SER_se-appl'!K65</f>
        <v>217.18360621640295</v>
      </c>
      <c r="L15" s="63">
        <f>'SER_se-appl'!L65</f>
        <v>197.19541946006433</v>
      </c>
      <c r="M15" s="63">
        <f>'SER_se-appl'!M65</f>
        <v>184.62299984514985</v>
      </c>
      <c r="N15" s="63">
        <f>'SER_se-appl'!N65</f>
        <v>174.40254384966394</v>
      </c>
      <c r="O15" s="63">
        <f>'SER_se-appl'!O65</f>
        <v>167.48906282402635</v>
      </c>
      <c r="P15" s="63">
        <f>'SER_se-appl'!P65</f>
        <v>165.74859629112206</v>
      </c>
      <c r="Q15" s="63">
        <f>'SER_se-appl'!Q65</f>
        <v>164.89660034022418</v>
      </c>
      <c r="R15" s="63">
        <f>'SER_se-appl'!R65</f>
        <v>162.84673397966657</v>
      </c>
      <c r="S15" s="63">
        <f>'SER_se-appl'!S65</f>
        <v>158.50899596617199</v>
      </c>
      <c r="T15" s="63">
        <f>'SER_se-appl'!T65</f>
        <v>154.17685878574488</v>
      </c>
      <c r="U15" s="63">
        <f>'SER_se-appl'!U65</f>
        <v>149.99175947086454</v>
      </c>
      <c r="V15" s="63">
        <f>'SER_se-appl'!V65</f>
        <v>145.88743331346492</v>
      </c>
      <c r="W15" s="63">
        <f>'SER_se-appl'!W65</f>
        <v>143.17887215681623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42166.931637519869</v>
      </c>
      <c r="C3" s="220">
        <v>41462.704483634923</v>
      </c>
      <c r="D3" s="220">
        <v>39629.446273422611</v>
      </c>
      <c r="E3" s="220">
        <v>39303.829237976868</v>
      </c>
      <c r="F3" s="220">
        <v>39841.505464321192</v>
      </c>
      <c r="G3" s="220">
        <v>34839.534777023313</v>
      </c>
      <c r="H3" s="220">
        <v>34170.417788233157</v>
      </c>
      <c r="I3" s="220">
        <v>33754.781247588711</v>
      </c>
      <c r="J3" s="220">
        <v>32977.464123055768</v>
      </c>
      <c r="K3" s="220">
        <v>29935.042375111861</v>
      </c>
      <c r="L3" s="220">
        <v>30155.793778789699</v>
      </c>
      <c r="M3" s="220">
        <v>32271.343206027541</v>
      </c>
      <c r="N3" s="220">
        <v>32885.877772413012</v>
      </c>
      <c r="O3" s="220">
        <v>35132.507846861758</v>
      </c>
      <c r="P3" s="220">
        <v>32790.378700015128</v>
      </c>
      <c r="Q3" s="220">
        <v>34187</v>
      </c>
      <c r="R3" s="220">
        <v>32389.833698160681</v>
      </c>
      <c r="S3" s="220">
        <v>33700.100340370278</v>
      </c>
      <c r="T3" s="220">
        <v>33532.485477138049</v>
      </c>
      <c r="U3" s="220">
        <v>33053.988096960573</v>
      </c>
      <c r="V3" s="220">
        <v>31611.124271568679</v>
      </c>
      <c r="W3" s="220">
        <v>32548.383761479101</v>
      </c>
      <c r="DA3" s="211" t="s">
        <v>972</v>
      </c>
    </row>
    <row r="5" spans="1:105" x14ac:dyDescent="0.25">
      <c r="A5" s="219" t="s">
        <v>120</v>
      </c>
      <c r="B5" s="220">
        <v>25022.774842114941</v>
      </c>
      <c r="C5" s="220">
        <v>26848.44591352253</v>
      </c>
      <c r="D5" s="220">
        <v>25382.473692280611</v>
      </c>
      <c r="E5" s="220">
        <v>24249.37041027104</v>
      </c>
      <c r="F5" s="220">
        <v>24282.821072095499</v>
      </c>
      <c r="G5" s="220">
        <v>21508.535048916568</v>
      </c>
      <c r="H5" s="220">
        <v>22375.00014426529</v>
      </c>
      <c r="I5" s="220">
        <v>23146.653038993671</v>
      </c>
      <c r="J5" s="220">
        <v>22145.241382569031</v>
      </c>
      <c r="K5" s="220">
        <v>19967.21785695076</v>
      </c>
      <c r="L5" s="220">
        <v>20336.215179231731</v>
      </c>
      <c r="M5" s="220">
        <v>22020.01852760039</v>
      </c>
      <c r="N5" s="220">
        <v>20908.489201936241</v>
      </c>
      <c r="O5" s="220">
        <v>20947.695782574559</v>
      </c>
      <c r="P5" s="220">
        <v>21327.169163114759</v>
      </c>
      <c r="Q5" s="220">
        <v>21452.887319135702</v>
      </c>
      <c r="R5" s="220">
        <v>21205.097506403919</v>
      </c>
      <c r="S5" s="220">
        <v>23359.42683714964</v>
      </c>
      <c r="T5" s="220">
        <v>21465.802965020739</v>
      </c>
      <c r="U5" s="220">
        <v>20623.603638357901</v>
      </c>
      <c r="V5" s="220">
        <v>19923.551945280451</v>
      </c>
      <c r="W5" s="220">
        <v>21084.316644408129</v>
      </c>
      <c r="DA5" s="211" t="s">
        <v>973</v>
      </c>
    </row>
    <row r="6" spans="1:105" x14ac:dyDescent="0.25">
      <c r="A6" s="221" t="s">
        <v>119</v>
      </c>
      <c r="B6" s="222">
        <v>31278.46855264367</v>
      </c>
      <c r="C6" s="222">
        <v>29714.545125011489</v>
      </c>
      <c r="D6" s="222">
        <v>29714.545125011489</v>
      </c>
      <c r="E6" s="222">
        <v>28150.621697379302</v>
      </c>
      <c r="F6" s="222">
        <v>26586.698269747121</v>
      </c>
      <c r="G6" s="222">
        <v>26586.698269747121</v>
      </c>
      <c r="H6" s="222">
        <v>25022.77484211493</v>
      </c>
      <c r="I6" s="222">
        <v>25022.77484211493</v>
      </c>
      <c r="J6" s="222">
        <v>25022.77484211493</v>
      </c>
      <c r="K6" s="222">
        <v>23458.85141448275</v>
      </c>
      <c r="L6" s="222">
        <v>21894.927986850569</v>
      </c>
      <c r="M6" s="222">
        <v>23458.85141448275</v>
      </c>
      <c r="N6" s="222">
        <v>23458.85141448275</v>
      </c>
      <c r="O6" s="222">
        <v>23458.85141448275</v>
      </c>
      <c r="P6" s="222">
        <v>23458.85141448275</v>
      </c>
      <c r="Q6" s="222">
        <v>23458.85141448275</v>
      </c>
      <c r="R6" s="222">
        <v>23458.85141448275</v>
      </c>
      <c r="S6" s="222">
        <v>25022.77484211493</v>
      </c>
      <c r="T6" s="222">
        <v>23458.85141448275</v>
      </c>
      <c r="U6" s="222">
        <v>21894.927986850569</v>
      </c>
      <c r="V6" s="222">
        <v>21894.927986850569</v>
      </c>
      <c r="W6" s="222">
        <v>23458.85141448275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1563.923427632184</v>
      </c>
      <c r="J7" s="226">
        <v>0</v>
      </c>
      <c r="K7" s="226">
        <v>0</v>
      </c>
      <c r="L7" s="226">
        <v>0</v>
      </c>
      <c r="M7" s="226">
        <v>1563.923427632184</v>
      </c>
      <c r="N7" s="226">
        <v>1563.923427632184</v>
      </c>
      <c r="O7" s="226">
        <v>1563.923427632184</v>
      </c>
      <c r="P7" s="226">
        <v>0</v>
      </c>
      <c r="Q7" s="226">
        <v>1563.923427632184</v>
      </c>
      <c r="R7" s="226">
        <v>1563.923427632184</v>
      </c>
      <c r="S7" s="226">
        <v>1563.923427632184</v>
      </c>
      <c r="T7" s="226">
        <v>0</v>
      </c>
      <c r="U7" s="226">
        <v>0</v>
      </c>
      <c r="V7" s="226">
        <v>0</v>
      </c>
      <c r="W7" s="226">
        <v>3127.8468552643681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1563.9234276321804</v>
      </c>
      <c r="D8" s="228">
        <f t="shared" ref="D8" si="1">IF(C6=0,0,C6+D7-D6)</f>
        <v>0</v>
      </c>
      <c r="E8" s="228">
        <f t="shared" ref="E8" si="2">IF(D6=0,0,D6+E7-E6)</f>
        <v>1563.9234276321877</v>
      </c>
      <c r="F8" s="228">
        <f t="shared" ref="F8" si="3">IF(E6=0,0,E6+F7-F6)</f>
        <v>1563.9234276321804</v>
      </c>
      <c r="G8" s="228">
        <f t="shared" ref="G8" si="4">IF(F6=0,0,F6+G7-G6)</f>
        <v>0</v>
      </c>
      <c r="H8" s="228">
        <f t="shared" ref="H8" si="5">IF(G6=0,0,G6+H7-H6)</f>
        <v>1563.9234276321913</v>
      </c>
      <c r="I8" s="228">
        <f t="shared" ref="I8" si="6">IF(H6=0,0,H6+I7-I6)</f>
        <v>1563.923427632184</v>
      </c>
      <c r="J8" s="228">
        <f t="shared" ref="J8" si="7">IF(I6=0,0,I6+J7-J6)</f>
        <v>0</v>
      </c>
      <c r="K8" s="228">
        <f t="shared" ref="K8" si="8">IF(J6=0,0,J6+K7-K6)</f>
        <v>1563.9234276321804</v>
      </c>
      <c r="L8" s="228">
        <f t="shared" ref="L8" si="9">IF(K6=0,0,K6+L7-L6)</f>
        <v>1563.9234276321804</v>
      </c>
      <c r="M8" s="228">
        <f t="shared" ref="M8" si="10">IF(L6=0,0,L6+M7-M6)</f>
        <v>3.637978807091713E-12</v>
      </c>
      <c r="N8" s="228">
        <f t="shared" ref="N8" si="11">IF(M6=0,0,M6+N7-N6)</f>
        <v>1563.923427632184</v>
      </c>
      <c r="O8" s="228">
        <f t="shared" ref="O8" si="12">IF(N6=0,0,N6+O7-O6)</f>
        <v>1563.923427632184</v>
      </c>
      <c r="P8" s="228">
        <f t="shared" ref="P8" si="13">IF(O6=0,0,O6+P7-P6)</f>
        <v>0</v>
      </c>
      <c r="Q8" s="228">
        <f t="shared" ref="Q8" si="14">IF(P6=0,0,P6+Q7-Q6)</f>
        <v>1563.923427632184</v>
      </c>
      <c r="R8" s="228">
        <f t="shared" ref="R8" si="15">IF(Q6=0,0,Q6+R7-R6)</f>
        <v>1563.923427632184</v>
      </c>
      <c r="S8" s="228">
        <f t="shared" ref="S8" si="16">IF(R6=0,0,R6+S7-S6)</f>
        <v>3.637978807091713E-12</v>
      </c>
      <c r="T8" s="228">
        <f t="shared" ref="T8" si="17">IF(S6=0,0,S6+T7-T6)</f>
        <v>1563.9234276321804</v>
      </c>
      <c r="U8" s="228">
        <f t="shared" ref="U8" si="18">IF(T6=0,0,T6+U7-U6)</f>
        <v>1563.9234276321804</v>
      </c>
      <c r="V8" s="228">
        <f t="shared" ref="V8" si="19">IF(U6=0,0,U6+V7-V6)</f>
        <v>0</v>
      </c>
      <c r="W8" s="228">
        <f t="shared" ref="W8" si="20">IF(V6=0,0,V6+W7-W6)</f>
        <v>1563.9234276321877</v>
      </c>
      <c r="DA8" s="214" t="s">
        <v>976</v>
      </c>
    </row>
    <row r="9" spans="1:105" x14ac:dyDescent="0.25">
      <c r="A9" s="223" t="s">
        <v>116</v>
      </c>
      <c r="B9" s="224">
        <f>B6-B5</f>
        <v>6255.6937105287288</v>
      </c>
      <c r="C9" s="224">
        <f t="shared" ref="C9:W9" si="21">C6-C5</f>
        <v>2866.0992114889596</v>
      </c>
      <c r="D9" s="224">
        <f t="shared" si="21"/>
        <v>4332.0714327308779</v>
      </c>
      <c r="E9" s="224">
        <f t="shared" si="21"/>
        <v>3901.2512871082617</v>
      </c>
      <c r="F9" s="224">
        <f t="shared" si="21"/>
        <v>2303.8771976516218</v>
      </c>
      <c r="G9" s="224">
        <f t="shared" si="21"/>
        <v>5078.1632208305527</v>
      </c>
      <c r="H9" s="224">
        <f t="shared" si="21"/>
        <v>2647.7746978496398</v>
      </c>
      <c r="I9" s="224">
        <f t="shared" si="21"/>
        <v>1876.1218031212593</v>
      </c>
      <c r="J9" s="224">
        <f t="shared" si="21"/>
        <v>2877.5334595458989</v>
      </c>
      <c r="K9" s="224">
        <f t="shared" si="21"/>
        <v>3491.6335575319899</v>
      </c>
      <c r="L9" s="224">
        <f t="shared" si="21"/>
        <v>1558.7128076188383</v>
      </c>
      <c r="M9" s="224">
        <f t="shared" si="21"/>
        <v>1438.8328868823592</v>
      </c>
      <c r="N9" s="224">
        <f t="shared" si="21"/>
        <v>2550.3622125465081</v>
      </c>
      <c r="O9" s="224">
        <f t="shared" si="21"/>
        <v>2511.1556319081901</v>
      </c>
      <c r="P9" s="224">
        <f t="shared" si="21"/>
        <v>2131.6822513679908</v>
      </c>
      <c r="Q9" s="224">
        <f t="shared" si="21"/>
        <v>2005.964095347048</v>
      </c>
      <c r="R9" s="224">
        <f t="shared" si="21"/>
        <v>2253.7539080788301</v>
      </c>
      <c r="S9" s="224">
        <f t="shared" si="21"/>
        <v>1663.3480049652899</v>
      </c>
      <c r="T9" s="224">
        <f t="shared" si="21"/>
        <v>1993.0484494620105</v>
      </c>
      <c r="U9" s="224">
        <f t="shared" si="21"/>
        <v>1271.3243484926679</v>
      </c>
      <c r="V9" s="224">
        <f t="shared" si="21"/>
        <v>1971.3760415701181</v>
      </c>
      <c r="W9" s="224">
        <f t="shared" si="21"/>
        <v>2374.5347700746206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3164.3521926053309</v>
      </c>
      <c r="C12" s="230">
        <f t="shared" ref="C12:W12" si="22">SUM(C13,C14,C18,C19,C26,C27)</f>
        <v>3284.8546001719683</v>
      </c>
      <c r="D12" s="230">
        <f t="shared" si="22"/>
        <v>3244.148237317283</v>
      </c>
      <c r="E12" s="230">
        <f t="shared" si="22"/>
        <v>3284.162080825452</v>
      </c>
      <c r="F12" s="230">
        <f t="shared" si="22"/>
        <v>3274.3837489251937</v>
      </c>
      <c r="G12" s="230">
        <f t="shared" si="22"/>
        <v>3321.4889939810837</v>
      </c>
      <c r="H12" s="230">
        <f t="shared" si="22"/>
        <v>3287.5632846087692</v>
      </c>
      <c r="I12" s="230">
        <f t="shared" si="22"/>
        <v>3176.6122098022361</v>
      </c>
      <c r="J12" s="230">
        <f t="shared" si="22"/>
        <v>3085.4351676698193</v>
      </c>
      <c r="K12" s="230">
        <f t="shared" si="22"/>
        <v>3122.0788478073941</v>
      </c>
      <c r="L12" s="230">
        <f t="shared" si="22"/>
        <v>2940.3291487532242</v>
      </c>
      <c r="M12" s="230">
        <f t="shared" si="22"/>
        <v>2924.2643164230435</v>
      </c>
      <c r="N12" s="230">
        <f t="shared" si="22"/>
        <v>2823.5453998280309</v>
      </c>
      <c r="O12" s="230">
        <f t="shared" si="22"/>
        <v>2785.0004299226134</v>
      </c>
      <c r="P12" s="230">
        <f t="shared" si="22"/>
        <v>2775.9314703353402</v>
      </c>
      <c r="Q12" s="230">
        <f t="shared" si="22"/>
        <v>2851.4785038693026</v>
      </c>
      <c r="R12" s="230">
        <f t="shared" si="22"/>
        <v>2870.8607910576097</v>
      </c>
      <c r="S12" s="230">
        <f t="shared" si="22"/>
        <v>2917.6417024935508</v>
      </c>
      <c r="T12" s="230">
        <f t="shared" si="22"/>
        <v>3032.6855546001711</v>
      </c>
      <c r="U12" s="230">
        <f t="shared" si="22"/>
        <v>2928.7988822012044</v>
      </c>
      <c r="V12" s="230">
        <f t="shared" si="22"/>
        <v>2961.1580395528804</v>
      </c>
      <c r="W12" s="230">
        <f t="shared" si="22"/>
        <v>3005.3614789337917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2546.0447119518481</v>
      </c>
      <c r="C14" s="55">
        <f t="shared" ref="C14:W14" si="23">SUM(C15:C17)</f>
        <v>2638.0576096302657</v>
      </c>
      <c r="D14" s="55">
        <f t="shared" si="23"/>
        <v>2622.4610490111781</v>
      </c>
      <c r="E14" s="55">
        <f t="shared" si="23"/>
        <v>2626.7460017196909</v>
      </c>
      <c r="F14" s="55">
        <f t="shared" si="23"/>
        <v>2609.735425623388</v>
      </c>
      <c r="G14" s="55">
        <f t="shared" si="23"/>
        <v>2610.8006878761826</v>
      </c>
      <c r="H14" s="55">
        <f t="shared" si="23"/>
        <v>2584.245743766121</v>
      </c>
      <c r="I14" s="55">
        <f t="shared" si="23"/>
        <v>2450.6449699054174</v>
      </c>
      <c r="J14" s="55">
        <f t="shared" si="23"/>
        <v>2380.276182287188</v>
      </c>
      <c r="K14" s="55">
        <f t="shared" si="23"/>
        <v>2401.4139294926908</v>
      </c>
      <c r="L14" s="55">
        <f t="shared" si="23"/>
        <v>2266.2510748065347</v>
      </c>
      <c r="M14" s="55">
        <f t="shared" si="23"/>
        <v>2228.3748925193463</v>
      </c>
      <c r="N14" s="55">
        <f t="shared" si="23"/>
        <v>2129.1917454858126</v>
      </c>
      <c r="O14" s="55">
        <f t="shared" si="23"/>
        <v>2106.644711951848</v>
      </c>
      <c r="P14" s="55">
        <f t="shared" si="23"/>
        <v>2112.1811693895102</v>
      </c>
      <c r="Q14" s="55">
        <f t="shared" si="23"/>
        <v>2143.3219260533101</v>
      </c>
      <c r="R14" s="55">
        <f t="shared" si="23"/>
        <v>2169.0456577815994</v>
      </c>
      <c r="S14" s="55">
        <f t="shared" si="23"/>
        <v>2170.9181427343074</v>
      </c>
      <c r="T14" s="55">
        <f t="shared" si="23"/>
        <v>2299.2023215821146</v>
      </c>
      <c r="U14" s="55">
        <f t="shared" si="23"/>
        <v>2166.5369733447983</v>
      </c>
      <c r="V14" s="55">
        <f t="shared" si="23"/>
        <v>2186.7154772141016</v>
      </c>
      <c r="W14" s="55">
        <f t="shared" si="23"/>
        <v>2151.3948409286322</v>
      </c>
      <c r="DA14" s="10"/>
    </row>
    <row r="15" spans="1:105" x14ac:dyDescent="0.25">
      <c r="A15" s="61" t="s">
        <v>52</v>
      </c>
      <c r="B15" s="55">
        <v>76.908340498710217</v>
      </c>
      <c r="C15" s="55">
        <v>73.612295786758381</v>
      </c>
      <c r="D15" s="55">
        <v>73.612295786758381</v>
      </c>
      <c r="E15" s="55">
        <v>73.612295786758381</v>
      </c>
      <c r="F15" s="55">
        <v>72.513671539122953</v>
      </c>
      <c r="G15" s="55">
        <v>73.612381771281164</v>
      </c>
      <c r="H15" s="55">
        <v>73.612381771281164</v>
      </c>
      <c r="I15" s="55">
        <v>70.31625107480653</v>
      </c>
      <c r="J15" s="55">
        <v>68.118916595012891</v>
      </c>
      <c r="K15" s="55">
        <v>65.921496130696482</v>
      </c>
      <c r="L15" s="55">
        <v>68.118916595012891</v>
      </c>
      <c r="M15" s="55">
        <v>65.921496130696468</v>
      </c>
      <c r="N15" s="55">
        <v>59.329320722269991</v>
      </c>
      <c r="O15" s="55">
        <v>57.131986242476351</v>
      </c>
      <c r="P15" s="55">
        <v>49.441100601891655</v>
      </c>
      <c r="Q15" s="55">
        <v>58.230696474634563</v>
      </c>
      <c r="R15" s="55">
        <v>23.072570937231294</v>
      </c>
      <c r="S15" s="55">
        <v>20.875150472914871</v>
      </c>
      <c r="T15" s="55">
        <v>21.973860705073083</v>
      </c>
      <c r="U15" s="55">
        <v>23.616337059329322</v>
      </c>
      <c r="V15" s="55">
        <v>25.16878761822872</v>
      </c>
      <c r="W15" s="55">
        <v>27.56070507308684</v>
      </c>
      <c r="DA15" s="10" t="s">
        <v>980</v>
      </c>
    </row>
    <row r="16" spans="1:105" x14ac:dyDescent="0.25">
      <c r="A16" s="61" t="s">
        <v>172</v>
      </c>
      <c r="B16" s="55">
        <v>2414.4883920894235</v>
      </c>
      <c r="C16" s="55">
        <v>2520.3066208082537</v>
      </c>
      <c r="D16" s="55">
        <v>2515.2192605331043</v>
      </c>
      <c r="E16" s="55">
        <v>2544.726311263973</v>
      </c>
      <c r="F16" s="55">
        <v>2517.2542562338781</v>
      </c>
      <c r="G16" s="55">
        <v>2518.2717110920039</v>
      </c>
      <c r="H16" s="55">
        <v>2494.8695614789331</v>
      </c>
      <c r="I16" s="55">
        <v>2366.6667239896819</v>
      </c>
      <c r="J16" s="55">
        <v>2298.4952708512465</v>
      </c>
      <c r="K16" s="55">
        <v>2323.9323301805671</v>
      </c>
      <c r="L16" s="55">
        <v>2186.5720550300948</v>
      </c>
      <c r="M16" s="55">
        <v>2152.9950988822011</v>
      </c>
      <c r="N16" s="55">
        <v>2060.4041272570939</v>
      </c>
      <c r="O16" s="55">
        <v>2040.0544282029232</v>
      </c>
      <c r="P16" s="55">
        <v>2053.2817712811698</v>
      </c>
      <c r="Q16" s="55">
        <v>2076.6838349097161</v>
      </c>
      <c r="R16" s="55">
        <v>2142.8202923473773</v>
      </c>
      <c r="S16" s="55">
        <v>2146.8901977644018</v>
      </c>
      <c r="T16" s="55">
        <v>2274.0756663800507</v>
      </c>
      <c r="U16" s="55">
        <v>2139.7678417884781</v>
      </c>
      <c r="V16" s="55">
        <v>2158.3938950988822</v>
      </c>
      <c r="W16" s="55">
        <v>2121.6261392949264</v>
      </c>
      <c r="DA16" s="10" t="s">
        <v>981</v>
      </c>
    </row>
    <row r="17" spans="1:105" x14ac:dyDescent="0.25">
      <c r="A17" s="61" t="s">
        <v>113</v>
      </c>
      <c r="B17" s="55">
        <v>54.647979363714533</v>
      </c>
      <c r="C17" s="55">
        <v>44.138693035253652</v>
      </c>
      <c r="D17" s="55">
        <v>33.629492691315562</v>
      </c>
      <c r="E17" s="55">
        <v>8.4073946689595864</v>
      </c>
      <c r="F17" s="55">
        <v>19.967497850386934</v>
      </c>
      <c r="G17" s="55">
        <v>18.916595012897673</v>
      </c>
      <c r="H17" s="55">
        <v>15.763800515907141</v>
      </c>
      <c r="I17" s="55">
        <v>13.66199484092863</v>
      </c>
      <c r="J17" s="55">
        <v>13.661994840928632</v>
      </c>
      <c r="K17" s="55">
        <v>11.560103181427341</v>
      </c>
      <c r="L17" s="55">
        <v>11.560103181427342</v>
      </c>
      <c r="M17" s="55">
        <v>9.4582975064488384</v>
      </c>
      <c r="N17" s="55">
        <v>9.4582975064488384</v>
      </c>
      <c r="O17" s="55">
        <v>9.4582975064488384</v>
      </c>
      <c r="P17" s="55">
        <v>9.4582975064488384</v>
      </c>
      <c r="Q17" s="55">
        <v>8.4073946689595864</v>
      </c>
      <c r="R17" s="55">
        <v>3.1527944969905422</v>
      </c>
      <c r="S17" s="55">
        <v>3.1527944969905422</v>
      </c>
      <c r="T17" s="55">
        <v>3.1527944969905422</v>
      </c>
      <c r="U17" s="55">
        <v>3.1527944969905422</v>
      </c>
      <c r="V17" s="55">
        <v>3.1527944969905422</v>
      </c>
      <c r="W17" s="55">
        <v>2.2079965606190881</v>
      </c>
      <c r="DA17" s="10" t="s">
        <v>982</v>
      </c>
    </row>
    <row r="18" spans="1:105" x14ac:dyDescent="0.25">
      <c r="A18" s="60" t="s">
        <v>153</v>
      </c>
      <c r="B18" s="55">
        <v>117.13241616509031</v>
      </c>
      <c r="C18" s="55">
        <v>122.0335339638865</v>
      </c>
      <c r="D18" s="55">
        <v>120.4213241616509</v>
      </c>
      <c r="E18" s="55">
        <v>132.73860705073079</v>
      </c>
      <c r="F18" s="55">
        <v>138.32760103181431</v>
      </c>
      <c r="G18" s="55">
        <v>168.8091143594153</v>
      </c>
      <c r="H18" s="55">
        <v>148.30180567497851</v>
      </c>
      <c r="I18" s="55">
        <v>156.1908856405847</v>
      </c>
      <c r="J18" s="55">
        <v>136.80137575236461</v>
      </c>
      <c r="K18" s="55">
        <v>141.70249355116081</v>
      </c>
      <c r="L18" s="55">
        <v>142.23989681857259</v>
      </c>
      <c r="M18" s="55">
        <v>130.20206362854691</v>
      </c>
      <c r="N18" s="55">
        <v>128.58985382631121</v>
      </c>
      <c r="O18" s="55">
        <v>128.2889079965606</v>
      </c>
      <c r="P18" s="55">
        <v>121.2166809974205</v>
      </c>
      <c r="Q18" s="55">
        <v>138.41358555460019</v>
      </c>
      <c r="R18" s="55">
        <v>129.8796216680997</v>
      </c>
      <c r="S18" s="55">
        <v>135.9699914015477</v>
      </c>
      <c r="T18" s="55">
        <v>136.7858125537403</v>
      </c>
      <c r="U18" s="55">
        <v>141.68744625967329</v>
      </c>
      <c r="V18" s="55">
        <v>135.903611349957</v>
      </c>
      <c r="W18" s="55">
        <v>174.51711092003441</v>
      </c>
      <c r="DA18" s="10" t="s">
        <v>983</v>
      </c>
    </row>
    <row r="19" spans="1:105" x14ac:dyDescent="0.25">
      <c r="A19" s="60" t="s">
        <v>51</v>
      </c>
      <c r="B19" s="55">
        <f>SUM(B20:B25)</f>
        <v>79.249011177987953</v>
      </c>
      <c r="C19" s="55">
        <f t="shared" ref="C19:W19" si="24">SUM(C20:C25)</f>
        <v>80.825365434221837</v>
      </c>
      <c r="D19" s="55">
        <f t="shared" si="24"/>
        <v>80.801547721410145</v>
      </c>
      <c r="E19" s="55">
        <f t="shared" si="24"/>
        <v>80.825365434221837</v>
      </c>
      <c r="F19" s="55">
        <f t="shared" si="24"/>
        <v>79.320636285468609</v>
      </c>
      <c r="G19" s="55">
        <f t="shared" si="24"/>
        <v>79.440068787618216</v>
      </c>
      <c r="H19" s="55">
        <f t="shared" si="24"/>
        <v>79.678933791917444</v>
      </c>
      <c r="I19" s="55">
        <f t="shared" si="24"/>
        <v>79.750558899398101</v>
      </c>
      <c r="J19" s="55">
        <f t="shared" si="24"/>
        <v>79.893895098882197</v>
      </c>
      <c r="K19" s="55">
        <f t="shared" si="24"/>
        <v>80.419346517626821</v>
      </c>
      <c r="L19" s="55">
        <f t="shared" si="24"/>
        <v>48.151332760103173</v>
      </c>
      <c r="M19" s="55">
        <f t="shared" si="24"/>
        <v>48.414015477214093</v>
      </c>
      <c r="N19" s="55">
        <f t="shared" si="24"/>
        <v>40.938177128116941</v>
      </c>
      <c r="O19" s="55">
        <f t="shared" si="24"/>
        <v>41.630782459157345</v>
      </c>
      <c r="P19" s="55">
        <f t="shared" si="24"/>
        <v>58.063370593293193</v>
      </c>
      <c r="Q19" s="55">
        <f t="shared" si="24"/>
        <v>71.032760103181417</v>
      </c>
      <c r="R19" s="55">
        <f t="shared" si="24"/>
        <v>82.33009458297505</v>
      </c>
      <c r="S19" s="55">
        <f t="shared" si="24"/>
        <v>85.185296646603604</v>
      </c>
      <c r="T19" s="55">
        <f t="shared" si="24"/>
        <v>83.547807394668951</v>
      </c>
      <c r="U19" s="55">
        <f t="shared" si="24"/>
        <v>86.443164230438526</v>
      </c>
      <c r="V19" s="55">
        <f t="shared" si="24"/>
        <v>81.502321582115215</v>
      </c>
      <c r="W19" s="55">
        <f t="shared" si="24"/>
        <v>83.277558039552872</v>
      </c>
      <c r="DA19" s="10"/>
    </row>
    <row r="20" spans="1:105" x14ac:dyDescent="0.25">
      <c r="A20" s="61" t="s">
        <v>171</v>
      </c>
      <c r="B20" s="55">
        <v>0.5493551160791057</v>
      </c>
      <c r="C20" s="55">
        <v>0.5970765262252794</v>
      </c>
      <c r="D20" s="55">
        <v>0.5493551160791057</v>
      </c>
      <c r="E20" s="55">
        <v>0.5493551160791057</v>
      </c>
      <c r="F20" s="55">
        <v>0.5493551160791057</v>
      </c>
      <c r="G20" s="55">
        <v>0.57325881341358553</v>
      </c>
      <c r="H20" s="55">
        <v>0.74041272570937233</v>
      </c>
      <c r="I20" s="55">
        <v>0.62098022355975924</v>
      </c>
      <c r="J20" s="55">
        <v>0.62098022355975924</v>
      </c>
      <c r="K20" s="55">
        <v>0.95537403267411869</v>
      </c>
      <c r="L20" s="55">
        <v>1.5525365434221841</v>
      </c>
      <c r="M20" s="55">
        <v>1.6002579535683581</v>
      </c>
      <c r="N20" s="55">
        <v>1.6002579535683581</v>
      </c>
      <c r="O20" s="55">
        <v>1.791315563198624</v>
      </c>
      <c r="P20" s="55">
        <v>21.352794496990541</v>
      </c>
      <c r="Q20" s="55">
        <v>34.178847807394668</v>
      </c>
      <c r="R20" s="55">
        <v>34.919260533104037</v>
      </c>
      <c r="S20" s="55">
        <v>35.271109200343943</v>
      </c>
      <c r="T20" s="55">
        <v>34.234651762682716</v>
      </c>
      <c r="U20" s="55">
        <v>34.44987102321582</v>
      </c>
      <c r="V20" s="55">
        <v>34.66371453138435</v>
      </c>
      <c r="W20" s="55">
        <v>38.153052450558903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0.14333619948409279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0.1194325021496131</v>
      </c>
      <c r="C23" s="55">
        <v>0.1194325021496131</v>
      </c>
      <c r="D23" s="55">
        <v>0.14333619948409279</v>
      </c>
      <c r="E23" s="55">
        <v>0.16715391229578669</v>
      </c>
      <c r="F23" s="55">
        <v>0.19105760963026661</v>
      </c>
      <c r="G23" s="55">
        <v>0.28658641444539978</v>
      </c>
      <c r="H23" s="55">
        <v>0.35829750644883918</v>
      </c>
      <c r="I23" s="55">
        <v>0.5493551160791057</v>
      </c>
      <c r="J23" s="55">
        <v>0.69269131556319852</v>
      </c>
      <c r="K23" s="55">
        <v>0.88374892519346515</v>
      </c>
      <c r="L23" s="55">
        <v>1.337575236457438</v>
      </c>
      <c r="M23" s="55">
        <v>1.4092003439380909</v>
      </c>
      <c r="N23" s="55">
        <v>1.5525365434221841</v>
      </c>
      <c r="O23" s="55">
        <v>1.671883061049011</v>
      </c>
      <c r="P23" s="55">
        <v>1.791315563198624</v>
      </c>
      <c r="Q23" s="55">
        <v>1.9107480653482369</v>
      </c>
      <c r="R23" s="55">
        <v>2.00627687016337</v>
      </c>
      <c r="S23" s="55">
        <v>2.0877042132416159</v>
      </c>
      <c r="T23" s="55">
        <v>2.1842648323301801</v>
      </c>
      <c r="U23" s="55">
        <v>2.2794496990541702</v>
      </c>
      <c r="V23" s="55">
        <v>2.5261392949269128</v>
      </c>
      <c r="W23" s="55">
        <v>2.6847807394668961</v>
      </c>
      <c r="DA23" s="10" t="s">
        <v>987</v>
      </c>
    </row>
    <row r="24" spans="1:105" x14ac:dyDescent="0.25">
      <c r="A24" s="61" t="s">
        <v>25</v>
      </c>
      <c r="B24" s="55">
        <v>78.580223559759233</v>
      </c>
      <c r="C24" s="55">
        <v>80.10885640584695</v>
      </c>
      <c r="D24" s="55">
        <v>80.10885640584695</v>
      </c>
      <c r="E24" s="55">
        <v>80.10885640584695</v>
      </c>
      <c r="F24" s="55">
        <v>78.580223559759233</v>
      </c>
      <c r="G24" s="55">
        <v>78.580223559759233</v>
      </c>
      <c r="H24" s="55">
        <v>78.580223559759233</v>
      </c>
      <c r="I24" s="55">
        <v>78.580223559759233</v>
      </c>
      <c r="J24" s="55">
        <v>78.580223559759233</v>
      </c>
      <c r="K24" s="55">
        <v>78.580223559759233</v>
      </c>
      <c r="L24" s="55">
        <v>45.261220980223548</v>
      </c>
      <c r="M24" s="55">
        <v>45.261220980223548</v>
      </c>
      <c r="N24" s="55">
        <v>37.785382631126396</v>
      </c>
      <c r="O24" s="55">
        <v>38.167583834909706</v>
      </c>
      <c r="P24" s="55">
        <v>34.91926053310403</v>
      </c>
      <c r="Q24" s="55">
        <v>34.943164230438512</v>
      </c>
      <c r="R24" s="55">
        <v>45.404557179707638</v>
      </c>
      <c r="S24" s="55">
        <v>47.826483233018052</v>
      </c>
      <c r="T24" s="55">
        <v>47.128890799656055</v>
      </c>
      <c r="U24" s="55">
        <v>49.71384350816853</v>
      </c>
      <c r="V24" s="55">
        <v>44.312467755803951</v>
      </c>
      <c r="W24" s="55">
        <v>42.439724849527082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1.1703353396388649</v>
      </c>
      <c r="G26" s="55">
        <v>1.218142734307825</v>
      </c>
      <c r="H26" s="55">
        <v>2.07798796216681</v>
      </c>
      <c r="I26" s="55">
        <v>3.4393809114359408</v>
      </c>
      <c r="J26" s="55">
        <v>0.93147033533963886</v>
      </c>
      <c r="K26" s="55">
        <v>12.73052450558899</v>
      </c>
      <c r="L26" s="55">
        <v>1.3136715391229581</v>
      </c>
      <c r="M26" s="55">
        <v>9.3627687016337049</v>
      </c>
      <c r="N26" s="55">
        <v>15.45331040412726</v>
      </c>
      <c r="O26" s="55">
        <v>20.30189165950129</v>
      </c>
      <c r="P26" s="55">
        <v>22.475408426483231</v>
      </c>
      <c r="Q26" s="55">
        <v>9.4582975064488384</v>
      </c>
      <c r="R26" s="55">
        <v>10.84359415305245</v>
      </c>
      <c r="S26" s="55">
        <v>10.486156491831469</v>
      </c>
      <c r="T26" s="55">
        <v>10.71306964746346</v>
      </c>
      <c r="U26" s="55">
        <v>13.71908856405847</v>
      </c>
      <c r="V26" s="55">
        <v>14.427429062768701</v>
      </c>
      <c r="W26" s="55">
        <v>18.892691315563198</v>
      </c>
      <c r="DA26" s="10" t="s">
        <v>990</v>
      </c>
    </row>
    <row r="27" spans="1:105" x14ac:dyDescent="0.25">
      <c r="A27" s="62" t="s">
        <v>24</v>
      </c>
      <c r="B27" s="63">
        <v>421.92605331040409</v>
      </c>
      <c r="C27" s="63">
        <v>443.93809114359408</v>
      </c>
      <c r="D27" s="63">
        <v>420.46431642304378</v>
      </c>
      <c r="E27" s="63">
        <v>443.85210662080817</v>
      </c>
      <c r="F27" s="63">
        <v>445.82975064488386</v>
      </c>
      <c r="G27" s="63">
        <v>461.22098022355965</v>
      </c>
      <c r="H27" s="63">
        <v>473.25881341358547</v>
      </c>
      <c r="I27" s="63">
        <v>486.58641444539984</v>
      </c>
      <c r="J27" s="63">
        <v>487.5322441960447</v>
      </c>
      <c r="K27" s="63">
        <v>485.81255374032668</v>
      </c>
      <c r="L27" s="63">
        <v>482.37317282889069</v>
      </c>
      <c r="M27" s="63">
        <v>507.91057609630258</v>
      </c>
      <c r="N27" s="63">
        <v>509.37231298366282</v>
      </c>
      <c r="O27" s="63">
        <v>488.13413585554605</v>
      </c>
      <c r="P27" s="63">
        <v>461.99484092863281</v>
      </c>
      <c r="Q27" s="63">
        <v>489.25193465176255</v>
      </c>
      <c r="R27" s="63">
        <v>478.76182287188306</v>
      </c>
      <c r="S27" s="63">
        <v>515.08211521926046</v>
      </c>
      <c r="T27" s="63">
        <v>502.43654342218406</v>
      </c>
      <c r="U27" s="63">
        <v>520.41220980223568</v>
      </c>
      <c r="V27" s="63">
        <v>542.60920034393803</v>
      </c>
      <c r="W27" s="63">
        <v>577.27927773000863</v>
      </c>
      <c r="DA27" s="11" t="s">
        <v>991</v>
      </c>
    </row>
    <row r="29" spans="1:105" x14ac:dyDescent="0.25">
      <c r="A29" s="219" t="s">
        <v>84</v>
      </c>
      <c r="B29" s="220">
        <v>8127.6145999199989</v>
      </c>
      <c r="C29" s="220">
        <v>8428.2188637599993</v>
      </c>
      <c r="D29" s="220">
        <v>8378.157047040002</v>
      </c>
      <c r="E29" s="220">
        <v>8425.4503291200017</v>
      </c>
      <c r="F29" s="220">
        <v>8383.9865749200017</v>
      </c>
      <c r="G29" s="220">
        <v>8458.5914719200027</v>
      </c>
      <c r="H29" s="220">
        <v>8328.673059839999</v>
      </c>
      <c r="I29" s="220">
        <v>7934.6577560400001</v>
      </c>
      <c r="J29" s="220">
        <v>7671.8143043999999</v>
      </c>
      <c r="K29" s="220">
        <v>7750.3385959199977</v>
      </c>
      <c r="L29" s="220">
        <v>7331.2570468800013</v>
      </c>
      <c r="M29" s="220">
        <v>7186.909276800001</v>
      </c>
      <c r="N29" s="220">
        <v>6878.4508800000012</v>
      </c>
      <c r="O29" s="220">
        <v>6808.8056572799997</v>
      </c>
      <c r="P29" s="220">
        <v>6812.9128789200013</v>
      </c>
      <c r="Q29" s="220">
        <v>6946.0797131999998</v>
      </c>
      <c r="R29" s="220">
        <v>7023.0889746000003</v>
      </c>
      <c r="S29" s="220">
        <v>7044.215253479998</v>
      </c>
      <c r="T29" s="220">
        <v>7443.6166893599975</v>
      </c>
      <c r="U29" s="220">
        <v>7042.7897114400021</v>
      </c>
      <c r="V29" s="220">
        <v>7091.091861840001</v>
      </c>
      <c r="W29" s="220">
        <v>7071.295922639998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75.043453951240551</v>
      </c>
      <c r="C31" s="59">
        <f t="shared" si="25"/>
        <v>79.224320774070108</v>
      </c>
      <c r="D31" s="59">
        <f t="shared" si="25"/>
        <v>81.862063247978384</v>
      </c>
      <c r="E31" s="59">
        <f t="shared" si="25"/>
        <v>83.558323565383503</v>
      </c>
      <c r="F31" s="59">
        <f t="shared" si="25"/>
        <v>82.185241515470977</v>
      </c>
      <c r="G31" s="59">
        <f t="shared" si="25"/>
        <v>95.336778037909014</v>
      </c>
      <c r="H31" s="59">
        <f t="shared" si="25"/>
        <v>96.210801547204568</v>
      </c>
      <c r="I31" s="59">
        <f t="shared" si="25"/>
        <v>94.108511221033567</v>
      </c>
      <c r="J31" s="59">
        <f t="shared" si="25"/>
        <v>93.561929327145478</v>
      </c>
      <c r="K31" s="59">
        <f t="shared" si="25"/>
        <v>104.29512037046941</v>
      </c>
      <c r="L31" s="59">
        <f t="shared" si="25"/>
        <v>97.504617862897248</v>
      </c>
      <c r="M31" s="59">
        <f t="shared" si="25"/>
        <v>90.614893150058251</v>
      </c>
      <c r="N31" s="59">
        <f t="shared" si="25"/>
        <v>85.858903307018281</v>
      </c>
      <c r="O31" s="59">
        <f t="shared" si="25"/>
        <v>79.271324497018114</v>
      </c>
      <c r="P31" s="59">
        <f t="shared" si="25"/>
        <v>84.656889623969477</v>
      </c>
      <c r="Q31" s="59">
        <f t="shared" si="25"/>
        <v>83.408269338324587</v>
      </c>
      <c r="R31" s="59">
        <f t="shared" si="25"/>
        <v>88.634625846215357</v>
      </c>
      <c r="S31" s="59">
        <f t="shared" si="25"/>
        <v>86.5766473400801</v>
      </c>
      <c r="T31" s="59">
        <f t="shared" si="25"/>
        <v>90.440225693016743</v>
      </c>
      <c r="U31" s="59">
        <f t="shared" si="25"/>
        <v>88.606520750532894</v>
      </c>
      <c r="V31" s="59">
        <f t="shared" si="25"/>
        <v>93.674556276891792</v>
      </c>
      <c r="W31" s="59">
        <f t="shared" si="25"/>
        <v>92.335198606409037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122.34803499436492</v>
      </c>
      <c r="D32" s="55">
        <f t="shared" si="26"/>
        <v>127.81056238438663</v>
      </c>
      <c r="E32" s="55">
        <f t="shared" si="26"/>
        <v>135.43288032890189</v>
      </c>
      <c r="F32" s="55">
        <f t="shared" si="26"/>
        <v>134.84363036747561</v>
      </c>
      <c r="G32" s="55">
        <f t="shared" si="26"/>
        <v>154.4265560823676</v>
      </c>
      <c r="H32" s="55">
        <f t="shared" si="26"/>
        <v>146.93020171673032</v>
      </c>
      <c r="I32" s="55">
        <f t="shared" si="26"/>
        <v>137.23851152262932</v>
      </c>
      <c r="J32" s="55">
        <f t="shared" si="26"/>
        <v>139.32723127138402</v>
      </c>
      <c r="K32" s="55">
        <f t="shared" si="26"/>
        <v>156.36023356757096</v>
      </c>
      <c r="L32" s="55">
        <f t="shared" si="26"/>
        <v>144.5858594059342</v>
      </c>
      <c r="M32" s="55">
        <f t="shared" si="26"/>
        <v>132.80026593791027</v>
      </c>
      <c r="N32" s="55">
        <f t="shared" si="26"/>
        <v>135.04301399101351</v>
      </c>
      <c r="O32" s="55">
        <f t="shared" si="26"/>
        <v>132.95020410976795</v>
      </c>
      <c r="P32" s="55">
        <f t="shared" si="26"/>
        <v>130.15939664117735</v>
      </c>
      <c r="Q32" s="55">
        <f t="shared" si="26"/>
        <v>132.918169076748</v>
      </c>
      <c r="R32" s="55">
        <f t="shared" si="26"/>
        <v>135.38540863538179</v>
      </c>
      <c r="S32" s="55">
        <f t="shared" si="26"/>
        <v>124.90211009173746</v>
      </c>
      <c r="T32" s="55">
        <f t="shared" si="26"/>
        <v>141.27985612939969</v>
      </c>
      <c r="U32" s="55">
        <f t="shared" si="26"/>
        <v>142.0119845958406</v>
      </c>
      <c r="V32" s="55">
        <f t="shared" si="26"/>
        <v>148.62601044661255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48.157410708725131</v>
      </c>
      <c r="C33" s="55">
        <f>IF(AGR_ued!C$5=0,"",AGR_ued!C$5/C$5*1000)</f>
        <v>46.655851208002346</v>
      </c>
      <c r="D33" s="55">
        <f>IF(AGR_ued!D$5=0,"",AGR_ued!D$5/D$5*1000)</f>
        <v>48.624227026675698</v>
      </c>
      <c r="E33" s="55">
        <f>IF(AGR_ued!E$5=0,"",AGR_ued!E$5/E$5*1000)</f>
        <v>51.725700827044093</v>
      </c>
      <c r="F33" s="55">
        <f>IF(AGR_ued!F$5=0,"",AGR_ued!F$5/F$5*1000)</f>
        <v>51.525244475551183</v>
      </c>
      <c r="G33" s="55">
        <f>IF(AGR_ued!G$5=0,"",AGR_ued!G$5/G$5*1000)</f>
        <v>59.145383347584577</v>
      </c>
      <c r="H33" s="55">
        <f>IF(AGR_ued!H$5=0,"",AGR_ued!H$5/H$5*1000)</f>
        <v>56.392959153887666</v>
      </c>
      <c r="I33" s="55">
        <f>IF(AGR_ued!I$5=0,"",AGR_ued!I$5/I$5*1000)</f>
        <v>52.95873795384972</v>
      </c>
      <c r="J33" s="55">
        <f>IF(AGR_ued!J$5=0,"",AGR_ued!J$5/J$5*1000)</f>
        <v>53.85206550681567</v>
      </c>
      <c r="K33" s="55">
        <f>IF(AGR_ued!K$5=0,"",AGR_ued!K$5/K$5*1000)</f>
        <v>60.474104775797819</v>
      </c>
      <c r="L33" s="55">
        <f>IF(AGR_ued!L$5=0,"",AGR_ued!L$5/L$5*1000)</f>
        <v>56.087171712232049</v>
      </c>
      <c r="M33" s="55">
        <f>IF(AGR_ued!M$5=0,"",AGR_ued!M$5/M$5*1000)</f>
        <v>51.831758034358302</v>
      </c>
      <c r="N33" s="55">
        <f>IF(AGR_ued!N$5=0,"",AGR_ued!N$5/N$5*1000)</f>
        <v>52.963642015197372</v>
      </c>
      <c r="O33" s="55">
        <f>IF(AGR_ued!O$5=0,"",AGR_ued!O$5/O$5*1000)</f>
        <v>52.041191446795445</v>
      </c>
      <c r="P33" s="55">
        <f>IF(AGR_ued!P$5=0,"",AGR_ued!P$5/P$5*1000)</f>
        <v>50.662068738884386</v>
      </c>
      <c r="Q33" s="55">
        <f>IF(AGR_ued!Q$5=0,"",AGR_ued!Q$5/Q$5*1000)</f>
        <v>51.760717238470349</v>
      </c>
      <c r="R33" s="55">
        <f>IF(AGR_ued!R$5=0,"",AGR_ued!R$5/R$5*1000)</f>
        <v>52.602223881868099</v>
      </c>
      <c r="S33" s="55">
        <f>IF(AGR_ued!S$5=0,"",AGR_ued!S$5/S$5*1000)</f>
        <v>48.791806497655116</v>
      </c>
      <c r="T33" s="55">
        <f>IF(AGR_ued!T$5=0,"",AGR_ued!T$5/T$5*1000)</f>
        <v>54.861772555964656</v>
      </c>
      <c r="U33" s="55">
        <f>IF(AGR_ued!U$5=0,"",AGR_ued!U$5/U$5*1000)</f>
        <v>55.549792698476843</v>
      </c>
      <c r="V33" s="55">
        <f>IF(AGR_ued!V$5=0,"",AGR_ued!V$5/V$5*1000)</f>
        <v>58.306396963535171</v>
      </c>
      <c r="W33" s="55">
        <f>IF(AGR_ued!W$5=0,"",AGR_ued!W$5/W$5*1000)</f>
        <v>56.298820900501866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2.568492413364464</v>
      </c>
      <c r="C34" s="218">
        <f t="shared" si="27"/>
        <v>2.5657814088084039</v>
      </c>
      <c r="D34" s="218">
        <f t="shared" si="27"/>
        <v>2.5825444567133089</v>
      </c>
      <c r="E34" s="218">
        <f t="shared" si="27"/>
        <v>2.5654794500892359</v>
      </c>
      <c r="F34" s="218">
        <f t="shared" si="27"/>
        <v>2.560477701390993</v>
      </c>
      <c r="G34" s="218">
        <f t="shared" si="27"/>
        <v>2.5466263736679342</v>
      </c>
      <c r="H34" s="218">
        <f t="shared" si="27"/>
        <v>2.5333879042973733</v>
      </c>
      <c r="I34" s="218">
        <f t="shared" si="27"/>
        <v>2.4978364471293091</v>
      </c>
      <c r="J34" s="218">
        <f t="shared" si="27"/>
        <v>2.4864610298047207</v>
      </c>
      <c r="K34" s="218">
        <f t="shared" si="27"/>
        <v>2.4824288474850613</v>
      </c>
      <c r="L34" s="218">
        <f t="shared" si="27"/>
        <v>2.4933457024662169</v>
      </c>
      <c r="M34" s="218">
        <f t="shared" si="27"/>
        <v>2.4576811461390125</v>
      </c>
      <c r="N34" s="218">
        <f t="shared" si="27"/>
        <v>2.4361042257081951</v>
      </c>
      <c r="O34" s="218">
        <f t="shared" si="27"/>
        <v>2.4448131440572869</v>
      </c>
      <c r="P34" s="218">
        <f t="shared" si="27"/>
        <v>2.4542799243156326</v>
      </c>
      <c r="Q34" s="218">
        <f t="shared" si="27"/>
        <v>2.4359572424531848</v>
      </c>
      <c r="R34" s="218">
        <f t="shared" si="27"/>
        <v>2.4463356065456354</v>
      </c>
      <c r="S34" s="218">
        <f t="shared" si="27"/>
        <v>2.4143524023048091</v>
      </c>
      <c r="T34" s="218">
        <f t="shared" si="27"/>
        <v>2.4544637270649585</v>
      </c>
      <c r="U34" s="218">
        <f t="shared" si="27"/>
        <v>2.4046682598249407</v>
      </c>
      <c r="V34" s="218">
        <f t="shared" si="27"/>
        <v>2.3947022641556543</v>
      </c>
      <c r="W34" s="218">
        <f t="shared" si="27"/>
        <v>2.3528936443108579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3164.3521926053313</v>
      </c>
      <c r="C5" s="80">
        <f t="shared" ref="C5:W5" si="1">SUM(C6:C9,C16:C17,C25:C27)</f>
        <v>3284.8546001719674</v>
      </c>
      <c r="D5" s="80">
        <f t="shared" si="1"/>
        <v>3244.1482373172835</v>
      </c>
      <c r="E5" s="80">
        <f t="shared" si="1"/>
        <v>3284.1620808254506</v>
      </c>
      <c r="F5" s="80">
        <f t="shared" si="1"/>
        <v>3274.3837489251928</v>
      </c>
      <c r="G5" s="80">
        <f t="shared" si="1"/>
        <v>3321.4889939810832</v>
      </c>
      <c r="H5" s="80">
        <f t="shared" si="1"/>
        <v>3287.5632846087697</v>
      </c>
      <c r="I5" s="80">
        <f t="shared" si="1"/>
        <v>3176.6122098022347</v>
      </c>
      <c r="J5" s="80">
        <f t="shared" si="1"/>
        <v>3085.4351676698184</v>
      </c>
      <c r="K5" s="80">
        <f t="shared" si="1"/>
        <v>3122.0788478073951</v>
      </c>
      <c r="L5" s="80">
        <f t="shared" si="1"/>
        <v>2940.3291487532224</v>
      </c>
      <c r="M5" s="80">
        <f t="shared" si="1"/>
        <v>2924.2643164230421</v>
      </c>
      <c r="N5" s="80">
        <f t="shared" si="1"/>
        <v>2823.5453998280309</v>
      </c>
      <c r="O5" s="80">
        <f t="shared" si="1"/>
        <v>2785.0004299226125</v>
      </c>
      <c r="P5" s="80">
        <f t="shared" si="1"/>
        <v>2775.9314703353393</v>
      </c>
      <c r="Q5" s="80">
        <f t="shared" si="1"/>
        <v>2851.4785038693026</v>
      </c>
      <c r="R5" s="80">
        <f t="shared" si="1"/>
        <v>2870.8607910576088</v>
      </c>
      <c r="S5" s="80">
        <f t="shared" si="1"/>
        <v>2917.6417024935486</v>
      </c>
      <c r="T5" s="80">
        <f t="shared" si="1"/>
        <v>3032.6855546001702</v>
      </c>
      <c r="U5" s="80">
        <f t="shared" si="1"/>
        <v>2928.7988822012044</v>
      </c>
      <c r="V5" s="80">
        <f t="shared" si="1"/>
        <v>2961.1580395528795</v>
      </c>
      <c r="W5" s="80">
        <f t="shared" si="1"/>
        <v>3005.3614789337894</v>
      </c>
      <c r="DA5" s="103"/>
    </row>
    <row r="6" spans="1:105" x14ac:dyDescent="0.25">
      <c r="A6" s="239" t="s">
        <v>125</v>
      </c>
      <c r="B6" s="240">
        <v>73.571159276252004</v>
      </c>
      <c r="C6" s="240">
        <v>77.23239414006737</v>
      </c>
      <c r="D6" s="240">
        <v>73.890221672962554</v>
      </c>
      <c r="E6" s="240">
        <v>77.352057776617514</v>
      </c>
      <c r="F6" s="240">
        <v>77.527937872256018</v>
      </c>
      <c r="G6" s="240">
        <v>79.841507512617028</v>
      </c>
      <c r="H6" s="240">
        <v>81.195583231903541</v>
      </c>
      <c r="I6" s="240">
        <v>82.143579702696357</v>
      </c>
      <c r="J6" s="240">
        <v>81.566784276618733</v>
      </c>
      <c r="K6" s="240">
        <v>81.726789145878968</v>
      </c>
      <c r="L6" s="240">
        <v>79.802198433887085</v>
      </c>
      <c r="M6" s="240">
        <v>82.63858513043381</v>
      </c>
      <c r="N6" s="240">
        <v>81.944239061300706</v>
      </c>
      <c r="O6" s="240">
        <v>79.306646348813658</v>
      </c>
      <c r="P6" s="240">
        <v>76.212968374713597</v>
      </c>
      <c r="Q6" s="240">
        <v>79.763949793839686</v>
      </c>
      <c r="R6" s="240">
        <v>78.97350155448666</v>
      </c>
      <c r="S6" s="240">
        <v>83.491265113219114</v>
      </c>
      <c r="T6" s="240">
        <v>83.064667849136328</v>
      </c>
      <c r="U6" s="240">
        <v>84.199193811452005</v>
      </c>
      <c r="V6" s="240">
        <v>86.902167228993108</v>
      </c>
      <c r="W6" s="240">
        <v>91.029168015713893</v>
      </c>
      <c r="DA6" s="268" t="s">
        <v>993</v>
      </c>
    </row>
    <row r="7" spans="1:105" x14ac:dyDescent="0.25">
      <c r="A7" s="241" t="s">
        <v>124</v>
      </c>
      <c r="B7" s="242">
        <v>47.821253529563798</v>
      </c>
      <c r="C7" s="242">
        <v>50.201056191043783</v>
      </c>
      <c r="D7" s="242">
        <v>48.028644087425661</v>
      </c>
      <c r="E7" s="242">
        <v>50.278837554801378</v>
      </c>
      <c r="F7" s="242">
        <v>50.393159616966393</v>
      </c>
      <c r="G7" s="242">
        <v>51.896979883201062</v>
      </c>
      <c r="H7" s="242">
        <v>52.777129100737298</v>
      </c>
      <c r="I7" s="242">
        <v>53.393326806752619</v>
      </c>
      <c r="J7" s="242">
        <v>53.018409779802191</v>
      </c>
      <c r="K7" s="242">
        <v>53.122412944821313</v>
      </c>
      <c r="L7" s="242">
        <v>51.8714289820266</v>
      </c>
      <c r="M7" s="242">
        <v>53.715080334781973</v>
      </c>
      <c r="N7" s="242">
        <v>53.26375538984545</v>
      </c>
      <c r="O7" s="242">
        <v>51.549320126728873</v>
      </c>
      <c r="P7" s="242">
        <v>49.538429443563807</v>
      </c>
      <c r="Q7" s="242">
        <v>51.846567365995803</v>
      </c>
      <c r="R7" s="242">
        <v>51.332776010416318</v>
      </c>
      <c r="S7" s="242">
        <v>54.269322323592419</v>
      </c>
      <c r="T7" s="242">
        <v>53.992034101938593</v>
      </c>
      <c r="U7" s="242">
        <v>54.729475977443791</v>
      </c>
      <c r="V7" s="242">
        <v>56.486408698845509</v>
      </c>
      <c r="W7" s="242">
        <v>59.168959210213998</v>
      </c>
      <c r="DA7" s="269" t="s">
        <v>994</v>
      </c>
    </row>
    <row r="8" spans="1:105" x14ac:dyDescent="0.25">
      <c r="A8" s="241" t="s">
        <v>123</v>
      </c>
      <c r="B8" s="242">
        <v>66.214043348626788</v>
      </c>
      <c r="C8" s="242">
        <v>69.509154726060615</v>
      </c>
      <c r="D8" s="242">
        <v>66.501199505666321</v>
      </c>
      <c r="E8" s="242">
        <v>69.616851998955738</v>
      </c>
      <c r="F8" s="242">
        <v>69.775144085030391</v>
      </c>
      <c r="G8" s="242">
        <v>71.857356761355319</v>
      </c>
      <c r="H8" s="242">
        <v>73.07602490871318</v>
      </c>
      <c r="I8" s="242">
        <v>73.929221732426726</v>
      </c>
      <c r="J8" s="242">
        <v>73.41010584895686</v>
      </c>
      <c r="K8" s="242">
        <v>73.554110231291048</v>
      </c>
      <c r="L8" s="242">
        <v>71.821978590498361</v>
      </c>
      <c r="M8" s="242">
        <v>74.374726617390408</v>
      </c>
      <c r="N8" s="242">
        <v>73.749815155170637</v>
      </c>
      <c r="O8" s="242">
        <v>71.375981713932319</v>
      </c>
      <c r="P8" s="242">
        <v>68.591671537242235</v>
      </c>
      <c r="Q8" s="242">
        <v>71.787554814455731</v>
      </c>
      <c r="R8" s="242">
        <v>71.076151399037997</v>
      </c>
      <c r="S8" s="242">
        <v>75.142138601897216</v>
      </c>
      <c r="T8" s="242">
        <v>74.758201064222675</v>
      </c>
      <c r="U8" s="242">
        <v>75.779274430306828</v>
      </c>
      <c r="V8" s="242">
        <v>78.211950506093785</v>
      </c>
      <c r="W8" s="242">
        <v>81.926251214142468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624.18974632835489</v>
      </c>
      <c r="C9" s="244">
        <f t="shared" ref="C9:W9" si="3">SUM(C10:C15)</f>
        <v>648.60556153715538</v>
      </c>
      <c r="D9" s="244">
        <f t="shared" si="3"/>
        <v>642.95854267564857</v>
      </c>
      <c r="E9" s="244">
        <f t="shared" si="3"/>
        <v>651.07355972660196</v>
      </c>
      <c r="F9" s="244">
        <f t="shared" si="3"/>
        <v>648.65359968830489</v>
      </c>
      <c r="G9" s="244">
        <f t="shared" si="3"/>
        <v>658.0867390941205</v>
      </c>
      <c r="H9" s="244">
        <f t="shared" si="3"/>
        <v>649.91485316788999</v>
      </c>
      <c r="I9" s="244">
        <f t="shared" si="3"/>
        <v>627.180227856383</v>
      </c>
      <c r="J9" s="244">
        <f t="shared" si="3"/>
        <v>607.30761470775747</v>
      </c>
      <c r="K9" s="244">
        <f t="shared" si="3"/>
        <v>619.00640425081701</v>
      </c>
      <c r="L9" s="244">
        <f t="shared" si="3"/>
        <v>577.56762160084372</v>
      </c>
      <c r="M9" s="244">
        <f t="shared" si="3"/>
        <v>576.34069369374322</v>
      </c>
      <c r="N9" s="244">
        <f t="shared" si="3"/>
        <v>558.6592336861587</v>
      </c>
      <c r="O9" s="244">
        <f t="shared" si="3"/>
        <v>552.86348918380384</v>
      </c>
      <c r="P9" s="244">
        <f t="shared" si="3"/>
        <v>551.19485087050532</v>
      </c>
      <c r="Q9" s="244">
        <f t="shared" si="3"/>
        <v>560.75569807973693</v>
      </c>
      <c r="R9" s="244">
        <f t="shared" si="3"/>
        <v>567.64307622105048</v>
      </c>
      <c r="S9" s="244">
        <f t="shared" si="3"/>
        <v>576.59083172192595</v>
      </c>
      <c r="T9" s="244">
        <f t="shared" si="3"/>
        <v>599.75745010796368</v>
      </c>
      <c r="U9" s="244">
        <f t="shared" si="3"/>
        <v>579.93391809907894</v>
      </c>
      <c r="V9" s="244">
        <f t="shared" si="3"/>
        <v>586.1287248115774</v>
      </c>
      <c r="W9" s="244">
        <f t="shared" si="3"/>
        <v>597.49131562747039</v>
      </c>
      <c r="DA9" s="270"/>
    </row>
    <row r="10" spans="1:105" x14ac:dyDescent="0.25">
      <c r="A10" s="254" t="s">
        <v>173</v>
      </c>
      <c r="B10" s="255">
        <v>501.1247419827663</v>
      </c>
      <c r="C10" s="255">
        <v>520.1993645347161</v>
      </c>
      <c r="D10" s="255">
        <v>521.74451776299202</v>
      </c>
      <c r="E10" s="255">
        <v>520.59276550078641</v>
      </c>
      <c r="F10" s="255">
        <v>514.32430548960531</v>
      </c>
      <c r="G10" s="255">
        <v>509.59613818336459</v>
      </c>
      <c r="H10" s="255">
        <v>502.84628783013687</v>
      </c>
      <c r="I10" s="255">
        <v>468.35611837107831</v>
      </c>
      <c r="J10" s="255">
        <v>453.94119121179762</v>
      </c>
      <c r="K10" s="255">
        <v>455.1985622839947</v>
      </c>
      <c r="L10" s="255">
        <v>429.73071185409498</v>
      </c>
      <c r="M10" s="255">
        <v>414.22955973015439</v>
      </c>
      <c r="N10" s="255">
        <v>389.38044603646631</v>
      </c>
      <c r="O10" s="255">
        <v>386.5952858524729</v>
      </c>
      <c r="P10" s="255">
        <v>395.93976663756888</v>
      </c>
      <c r="Q10" s="255">
        <v>402.60086722594963</v>
      </c>
      <c r="R10" s="255">
        <v>414.70875802889071</v>
      </c>
      <c r="S10" s="255">
        <v>408.28002148138108</v>
      </c>
      <c r="T10" s="255">
        <v>440.85803469645828</v>
      </c>
      <c r="U10" s="255">
        <v>404.28122819604312</v>
      </c>
      <c r="V10" s="255">
        <v>405.06968436841282</v>
      </c>
      <c r="W10" s="255">
        <v>387.10630289498778</v>
      </c>
      <c r="DA10" s="271" t="s">
        <v>996</v>
      </c>
    </row>
    <row r="11" spans="1:105" x14ac:dyDescent="0.25">
      <c r="A11" s="254" t="s">
        <v>176</v>
      </c>
      <c r="B11" s="256">
        <v>41.267609414707913</v>
      </c>
      <c r="C11" s="256">
        <v>42.614259696456351</v>
      </c>
      <c r="D11" s="256">
        <v>42.126512052823188</v>
      </c>
      <c r="E11" s="256">
        <v>45.731840528618967</v>
      </c>
      <c r="F11" s="256">
        <v>47.767485711311153</v>
      </c>
      <c r="G11" s="256">
        <v>58.110205660895197</v>
      </c>
      <c r="H11" s="256">
        <v>50.714967918062179</v>
      </c>
      <c r="I11" s="256">
        <v>52.77784790760743</v>
      </c>
      <c r="J11" s="256">
        <v>46.051157081766</v>
      </c>
      <c r="K11" s="256">
        <v>47.347283640833773</v>
      </c>
      <c r="L11" s="256">
        <v>47.575113786949558</v>
      </c>
      <c r="M11" s="256">
        <v>42.730851264438961</v>
      </c>
      <c r="N11" s="256">
        <v>41.483745383194908</v>
      </c>
      <c r="O11" s="256">
        <v>41.483055867749691</v>
      </c>
      <c r="P11" s="256">
        <v>39.797092928367498</v>
      </c>
      <c r="Q11" s="256">
        <v>46.012965148227352</v>
      </c>
      <c r="R11" s="256">
        <v>42.633584220849457</v>
      </c>
      <c r="S11" s="256">
        <v>44.034081244112024</v>
      </c>
      <c r="T11" s="256">
        <v>44.889766873196493</v>
      </c>
      <c r="U11" s="256">
        <v>45.734672397991247</v>
      </c>
      <c r="V11" s="256">
        <v>43.530606915746219</v>
      </c>
      <c r="W11" s="256">
        <v>55.109374097229981</v>
      </c>
      <c r="DA11" s="272" t="s">
        <v>997</v>
      </c>
    </row>
    <row r="12" spans="1:105" x14ac:dyDescent="0.25">
      <c r="A12" s="254" t="s">
        <v>158</v>
      </c>
      <c r="B12" s="256">
        <v>27.727138001296101</v>
      </c>
      <c r="C12" s="256">
        <v>28.01581686177704</v>
      </c>
      <c r="D12" s="256">
        <v>28.07430480099794</v>
      </c>
      <c r="E12" s="256">
        <v>27.65713595849326</v>
      </c>
      <c r="F12" s="256">
        <v>27.201411863241169</v>
      </c>
      <c r="G12" s="256">
        <v>27.148809854319079</v>
      </c>
      <c r="H12" s="256">
        <v>26.99471220293756</v>
      </c>
      <c r="I12" s="256">
        <v>26.7383647337568</v>
      </c>
      <c r="J12" s="256">
        <v>26.68547326498533</v>
      </c>
      <c r="K12" s="256">
        <v>26.551425808989531</v>
      </c>
      <c r="L12" s="256">
        <v>15.58594376071005</v>
      </c>
      <c r="M12" s="256">
        <v>15.299863552396589</v>
      </c>
      <c r="N12" s="256">
        <v>12.690614184427741</v>
      </c>
      <c r="O12" s="256">
        <v>12.88235169193838</v>
      </c>
      <c r="P12" s="256">
        <v>12.05258382210245</v>
      </c>
      <c r="Q12" s="256">
        <v>12.25138251600985</v>
      </c>
      <c r="R12" s="256">
        <v>15.562824717885301</v>
      </c>
      <c r="S12" s="256">
        <v>16.164782850882911</v>
      </c>
      <c r="T12" s="256">
        <v>16.18337471389308</v>
      </c>
      <c r="U12" s="256">
        <v>16.782688195022001</v>
      </c>
      <c r="V12" s="256">
        <v>15.002640266535559</v>
      </c>
      <c r="W12" s="256">
        <v>14.249509668973859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1.1703353396387211</v>
      </c>
      <c r="G14" s="255">
        <v>1.218142734307708</v>
      </c>
      <c r="H14" s="255">
        <v>2.0779879621666888</v>
      </c>
      <c r="I14" s="255">
        <v>3.439380911435765</v>
      </c>
      <c r="J14" s="255">
        <v>0.9314703353395769</v>
      </c>
      <c r="K14" s="255">
        <v>12.730524505588511</v>
      </c>
      <c r="L14" s="255">
        <v>1.3136715391229219</v>
      </c>
      <c r="M14" s="255">
        <v>9.3627687016335628</v>
      </c>
      <c r="N14" s="255">
        <v>15.45331040412742</v>
      </c>
      <c r="O14" s="255">
        <v>20.30189165950118</v>
      </c>
      <c r="P14" s="255">
        <v>22.475408426482399</v>
      </c>
      <c r="Q14" s="255">
        <v>9.4582975064487496</v>
      </c>
      <c r="R14" s="255">
        <v>10.843594153052001</v>
      </c>
      <c r="S14" s="255">
        <v>10.486156491831419</v>
      </c>
      <c r="T14" s="255">
        <v>10.713069647463231</v>
      </c>
      <c r="U14" s="255">
        <v>13.71908856405844</v>
      </c>
      <c r="V14" s="255">
        <v>14.42742906276845</v>
      </c>
      <c r="W14" s="255">
        <v>18.892691315562431</v>
      </c>
      <c r="DA14" s="271" t="s">
        <v>1000</v>
      </c>
    </row>
    <row r="15" spans="1:105" x14ac:dyDescent="0.25">
      <c r="A15" s="254" t="s">
        <v>24</v>
      </c>
      <c r="B15" s="256">
        <v>54.070256929584637</v>
      </c>
      <c r="C15" s="256">
        <v>57.776120444205922</v>
      </c>
      <c r="D15" s="256">
        <v>51.013208058835382</v>
      </c>
      <c r="E15" s="256">
        <v>57.091817738703249</v>
      </c>
      <c r="F15" s="256">
        <v>58.190061284508459</v>
      </c>
      <c r="G15" s="256">
        <v>62.013442661233988</v>
      </c>
      <c r="H15" s="256">
        <v>67.280897254586648</v>
      </c>
      <c r="I15" s="256">
        <v>75.868515932504536</v>
      </c>
      <c r="J15" s="256">
        <v>79.698322813868899</v>
      </c>
      <c r="K15" s="256">
        <v>77.178608011410418</v>
      </c>
      <c r="L15" s="256">
        <v>83.362180659966256</v>
      </c>
      <c r="M15" s="256">
        <v>94.717650445119673</v>
      </c>
      <c r="N15" s="256">
        <v>99.651117677942381</v>
      </c>
      <c r="O15" s="256">
        <v>91.60090411214172</v>
      </c>
      <c r="P15" s="256">
        <v>80.929999055984155</v>
      </c>
      <c r="Q15" s="256">
        <v>90.432185683101366</v>
      </c>
      <c r="R15" s="256">
        <v>83.894315100373063</v>
      </c>
      <c r="S15" s="256">
        <v>97.625789653718527</v>
      </c>
      <c r="T15" s="256">
        <v>87.113204176952493</v>
      </c>
      <c r="U15" s="256">
        <v>99.416240745964117</v>
      </c>
      <c r="V15" s="256">
        <v>108.0983641981144</v>
      </c>
      <c r="W15" s="256">
        <v>122.1334376507163</v>
      </c>
      <c r="DA15" s="272" t="s">
        <v>1001</v>
      </c>
    </row>
    <row r="16" spans="1:105" x14ac:dyDescent="0.25">
      <c r="A16" s="257" t="s">
        <v>175</v>
      </c>
      <c r="B16" s="258">
        <v>832.20065456665043</v>
      </c>
      <c r="C16" s="258">
        <v>864.5017366321955</v>
      </c>
      <c r="D16" s="258">
        <v>858.76113777052478</v>
      </c>
      <c r="E16" s="258">
        <v>867.06916097638748</v>
      </c>
      <c r="F16" s="258">
        <v>862.17309723609731</v>
      </c>
      <c r="G16" s="258">
        <v>870.60917994480985</v>
      </c>
      <c r="H16" s="258">
        <v>859.31167511691285</v>
      </c>
      <c r="I16" s="258">
        <v>822.55226682869295</v>
      </c>
      <c r="J16" s="258">
        <v>796.87379951319019</v>
      </c>
      <c r="K16" s="258">
        <v>806.60362858912163</v>
      </c>
      <c r="L16" s="258">
        <v>756.41360587968052</v>
      </c>
      <c r="M16" s="258">
        <v>746.07279247604345</v>
      </c>
      <c r="N16" s="258">
        <v>715.85820574304898</v>
      </c>
      <c r="O16" s="258">
        <v>708.36620142145898</v>
      </c>
      <c r="P16" s="258">
        <v>710.72909536432371</v>
      </c>
      <c r="Q16" s="258">
        <v>726.08039780087131</v>
      </c>
      <c r="R16" s="258">
        <v>737.6914483130497</v>
      </c>
      <c r="S16" s="258">
        <v>743.3481790377532</v>
      </c>
      <c r="T16" s="258">
        <v>780.69789733281391</v>
      </c>
      <c r="U16" s="258">
        <v>744.27357558336121</v>
      </c>
      <c r="V16" s="258">
        <v>749.69614648822846</v>
      </c>
      <c r="W16" s="258">
        <v>751.37734471213378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1180.1917042225111</v>
      </c>
      <c r="C17" s="258">
        <f t="shared" ref="C17:W17" si="5">SUM(C18:C24)</f>
        <v>1219.4641180884885</v>
      </c>
      <c r="D17" s="258">
        <f t="shared" si="5"/>
        <v>1207.9593392043491</v>
      </c>
      <c r="E17" s="258">
        <f t="shared" si="5"/>
        <v>1212.644506041637</v>
      </c>
      <c r="F17" s="258">
        <f t="shared" si="5"/>
        <v>1210.2436168919201</v>
      </c>
      <c r="G17" s="258">
        <f t="shared" si="5"/>
        <v>1226.2907280350032</v>
      </c>
      <c r="H17" s="258">
        <f t="shared" si="5"/>
        <v>1207.2349405233654</v>
      </c>
      <c r="I17" s="258">
        <f t="shared" si="5"/>
        <v>1158.1015436079824</v>
      </c>
      <c r="J17" s="258">
        <f t="shared" si="5"/>
        <v>1120.293890562047</v>
      </c>
      <c r="K17" s="258">
        <f t="shared" si="5"/>
        <v>1132.8392599916692</v>
      </c>
      <c r="L17" s="258">
        <f t="shared" si="5"/>
        <v>1061.9857509903475</v>
      </c>
      <c r="M17" s="258">
        <f t="shared" si="5"/>
        <v>1045.2937999611768</v>
      </c>
      <c r="N17" s="258">
        <f t="shared" si="5"/>
        <v>1001.7486450932181</v>
      </c>
      <c r="O17" s="258">
        <f t="shared" si="5"/>
        <v>991.11903864087901</v>
      </c>
      <c r="P17" s="258">
        <f t="shared" si="5"/>
        <v>996.3701635317093</v>
      </c>
      <c r="Q17" s="258">
        <f t="shared" si="5"/>
        <v>1026.3002596275437</v>
      </c>
      <c r="R17" s="258">
        <f t="shared" si="5"/>
        <v>1028.9051992399041</v>
      </c>
      <c r="S17" s="258">
        <f t="shared" si="5"/>
        <v>1037.4058187062117</v>
      </c>
      <c r="T17" s="258">
        <f t="shared" si="5"/>
        <v>1086.8892608194644</v>
      </c>
      <c r="U17" s="258">
        <f t="shared" si="5"/>
        <v>1040.5770493417026</v>
      </c>
      <c r="V17" s="258">
        <f t="shared" si="5"/>
        <v>1046.7619697987204</v>
      </c>
      <c r="W17" s="258">
        <f t="shared" si="5"/>
        <v>1056.963559956861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76.908340498695878</v>
      </c>
      <c r="C19" s="55">
        <v>73.612295786729746</v>
      </c>
      <c r="D19" s="55">
        <v>73.612295786740233</v>
      </c>
      <c r="E19" s="55">
        <v>73.612295786728822</v>
      </c>
      <c r="F19" s="55">
        <v>72.513671539095938</v>
      </c>
      <c r="G19" s="55">
        <v>73.612381771258356</v>
      </c>
      <c r="H19" s="55">
        <v>73.612381771265177</v>
      </c>
      <c r="I19" s="55">
        <v>70.316251074788184</v>
      </c>
      <c r="J19" s="55">
        <v>68.118916594983901</v>
      </c>
      <c r="K19" s="55">
        <v>65.921496130682115</v>
      </c>
      <c r="L19" s="55">
        <v>68.118916594995582</v>
      </c>
      <c r="M19" s="55">
        <v>65.921496130663101</v>
      </c>
      <c r="N19" s="55">
        <v>59.329320722244837</v>
      </c>
      <c r="O19" s="55">
        <v>57.13198624245576</v>
      </c>
      <c r="P19" s="55">
        <v>49.441100601867433</v>
      </c>
      <c r="Q19" s="55">
        <v>58.230696474618092</v>
      </c>
      <c r="R19" s="55">
        <v>23.072570937220402</v>
      </c>
      <c r="S19" s="55">
        <v>20.875150472908889</v>
      </c>
      <c r="T19" s="55">
        <v>21.973860705068319</v>
      </c>
      <c r="U19" s="55">
        <v>23.616337059317271</v>
      </c>
      <c r="V19" s="55">
        <v>25.168787618239911</v>
      </c>
      <c r="W19" s="55">
        <v>27.560705073097239</v>
      </c>
      <c r="DA19" s="101" t="s">
        <v>1004</v>
      </c>
    </row>
    <row r="20" spans="1:105" x14ac:dyDescent="0.25">
      <c r="A20" s="61" t="s">
        <v>173</v>
      </c>
      <c r="B20" s="55">
        <v>921.24870443306486</v>
      </c>
      <c r="C20" s="55">
        <v>969.4843064267078</v>
      </c>
      <c r="D20" s="55">
        <v>969.69549569710068</v>
      </c>
      <c r="E20" s="55">
        <v>990.44981958817812</v>
      </c>
      <c r="F20" s="55">
        <v>975.08310775977623</v>
      </c>
      <c r="G20" s="55">
        <v>970.77158361909255</v>
      </c>
      <c r="H20" s="55">
        <v>967.58769889033749</v>
      </c>
      <c r="I20" s="55">
        <v>917.69806579369549</v>
      </c>
      <c r="J20" s="55">
        <v>894.55433862171105</v>
      </c>
      <c r="K20" s="55">
        <v>907.1345300606331</v>
      </c>
      <c r="L20" s="55">
        <v>855.07655918294518</v>
      </c>
      <c r="M20" s="55">
        <v>849.32864203520626</v>
      </c>
      <c r="N20" s="55">
        <v>817.60735547777131</v>
      </c>
      <c r="O20" s="55">
        <v>808.97447199598992</v>
      </c>
      <c r="P20" s="55">
        <v>810.04039058321825</v>
      </c>
      <c r="Q20" s="55">
        <v>808.48017049046734</v>
      </c>
      <c r="R20" s="55">
        <v>848.66652649342984</v>
      </c>
      <c r="S20" s="55">
        <v>852.42144978320323</v>
      </c>
      <c r="T20" s="55">
        <v>902.50212725612266</v>
      </c>
      <c r="U20" s="55">
        <v>848.19466788838236</v>
      </c>
      <c r="V20" s="55">
        <v>859.56770193362843</v>
      </c>
      <c r="W20" s="55">
        <v>838.75907312969218</v>
      </c>
      <c r="DA20" s="101" t="s">
        <v>1005</v>
      </c>
    </row>
    <row r="21" spans="1:105" x14ac:dyDescent="0.25">
      <c r="A21" s="61" t="s">
        <v>129</v>
      </c>
      <c r="B21" s="55">
        <v>54.647979363704337</v>
      </c>
      <c r="C21" s="55">
        <v>44.138693035236479</v>
      </c>
      <c r="D21" s="55">
        <v>33.62949269130727</v>
      </c>
      <c r="E21" s="55">
        <v>8.4073946689562131</v>
      </c>
      <c r="F21" s="55">
        <v>19.967497850379491</v>
      </c>
      <c r="G21" s="55">
        <v>18.916595012891811</v>
      </c>
      <c r="H21" s="55">
        <v>15.76380051590372</v>
      </c>
      <c r="I21" s="55">
        <v>13.661994840925059</v>
      </c>
      <c r="J21" s="55">
        <v>13.66199484092281</v>
      </c>
      <c r="K21" s="55">
        <v>11.56010318142482</v>
      </c>
      <c r="L21" s="55">
        <v>11.56010318142441</v>
      </c>
      <c r="M21" s="55">
        <v>9.4582975064440493</v>
      </c>
      <c r="N21" s="55">
        <v>9.4582975064448256</v>
      </c>
      <c r="O21" s="55">
        <v>9.4582975064454278</v>
      </c>
      <c r="P21" s="55">
        <v>9.4582975064442039</v>
      </c>
      <c r="Q21" s="55">
        <v>8.4073946689572061</v>
      </c>
      <c r="R21" s="55">
        <v>3.1527944969890531</v>
      </c>
      <c r="S21" s="55">
        <v>3.1527944969896389</v>
      </c>
      <c r="T21" s="55">
        <v>3.1527944969898591</v>
      </c>
      <c r="U21" s="55">
        <v>3.1527944969889341</v>
      </c>
      <c r="V21" s="55">
        <v>3.152794496991945</v>
      </c>
      <c r="W21" s="55">
        <v>2.2079965606199208</v>
      </c>
      <c r="DA21" s="101" t="s">
        <v>1006</v>
      </c>
    </row>
    <row r="22" spans="1:105" x14ac:dyDescent="0.25">
      <c r="A22" s="61" t="s">
        <v>176</v>
      </c>
      <c r="B22" s="55">
        <v>75.864806750365659</v>
      </c>
      <c r="C22" s="55">
        <v>79.419274267393817</v>
      </c>
      <c r="D22" s="55">
        <v>78.294812108804507</v>
      </c>
      <c r="E22" s="55">
        <v>87.006766522070635</v>
      </c>
      <c r="F22" s="55">
        <v>90.560115320463538</v>
      </c>
      <c r="G22" s="55">
        <v>110.6989086984802</v>
      </c>
      <c r="H22" s="55">
        <v>97.586837756892194</v>
      </c>
      <c r="I22" s="55">
        <v>103.4130377329476</v>
      </c>
      <c r="J22" s="55">
        <v>90.750218670556876</v>
      </c>
      <c r="K22" s="55">
        <v>94.355209910304708</v>
      </c>
      <c r="L22" s="55">
        <v>94.664783031597679</v>
      </c>
      <c r="M22" s="55">
        <v>87.614548563547032</v>
      </c>
      <c r="N22" s="55">
        <v>87.106108443079776</v>
      </c>
      <c r="O22" s="55">
        <v>86.805852128779378</v>
      </c>
      <c r="P22" s="55">
        <v>81.419588069011638</v>
      </c>
      <c r="Q22" s="55">
        <v>92.400620406346263</v>
      </c>
      <c r="R22" s="55">
        <v>87.246037447207243</v>
      </c>
      <c r="S22" s="55">
        <v>91.935910157409126</v>
      </c>
      <c r="T22" s="55">
        <v>91.89604568052286</v>
      </c>
      <c r="U22" s="55">
        <v>95.952773861632977</v>
      </c>
      <c r="V22" s="55">
        <v>92.373004434251115</v>
      </c>
      <c r="W22" s="55">
        <v>119.4077368228472</v>
      </c>
      <c r="DA22" s="101" t="s">
        <v>1007</v>
      </c>
    </row>
    <row r="23" spans="1:105" x14ac:dyDescent="0.25">
      <c r="A23" s="61" t="s">
        <v>171</v>
      </c>
      <c r="B23" s="55">
        <v>0.54935511607900311</v>
      </c>
      <c r="C23" s="55">
        <v>0.59707652622504725</v>
      </c>
      <c r="D23" s="55">
        <v>0.54935511607897025</v>
      </c>
      <c r="E23" s="55">
        <v>0.54935511607888521</v>
      </c>
      <c r="F23" s="55">
        <v>0.54935511607890097</v>
      </c>
      <c r="G23" s="55">
        <v>0.5732588134134079</v>
      </c>
      <c r="H23" s="55">
        <v>0.74041272570921146</v>
      </c>
      <c r="I23" s="55">
        <v>0.62098022355959714</v>
      </c>
      <c r="J23" s="55">
        <v>0.62098022355949489</v>
      </c>
      <c r="K23" s="55">
        <v>0.95537403267391074</v>
      </c>
      <c r="L23" s="55">
        <v>1.552536543421789</v>
      </c>
      <c r="M23" s="55">
        <v>1.6002579535675481</v>
      </c>
      <c r="N23" s="55">
        <v>1.6002579535676791</v>
      </c>
      <c r="O23" s="55">
        <v>1.791315563197978</v>
      </c>
      <c r="P23" s="55">
        <v>21.352794496980081</v>
      </c>
      <c r="Q23" s="55">
        <v>34.178847807384997</v>
      </c>
      <c r="R23" s="55">
        <v>34.919260533087552</v>
      </c>
      <c r="S23" s="55">
        <v>35.271109200333854</v>
      </c>
      <c r="T23" s="55">
        <v>34.234651762675291</v>
      </c>
      <c r="U23" s="55">
        <v>34.449871023198241</v>
      </c>
      <c r="V23" s="55">
        <v>34.663714531399769</v>
      </c>
      <c r="W23" s="55">
        <v>38.153052450573298</v>
      </c>
      <c r="DA23" s="101" t="s">
        <v>1008</v>
      </c>
    </row>
    <row r="24" spans="1:105" x14ac:dyDescent="0.25">
      <c r="A24" s="61" t="s">
        <v>158</v>
      </c>
      <c r="B24" s="55">
        <v>50.972518060601509</v>
      </c>
      <c r="C24" s="55">
        <v>52.212472046195629</v>
      </c>
      <c r="D24" s="55">
        <v>52.177887804317621</v>
      </c>
      <c r="E24" s="55">
        <v>52.618874359624542</v>
      </c>
      <c r="F24" s="55">
        <v>51.569869306125753</v>
      </c>
      <c r="G24" s="55">
        <v>51.7180001198669</v>
      </c>
      <c r="H24" s="55">
        <v>51.943808863257637</v>
      </c>
      <c r="I24" s="55">
        <v>52.391213942066493</v>
      </c>
      <c r="J24" s="55">
        <v>52.587441610312922</v>
      </c>
      <c r="K24" s="55">
        <v>52.91254667595063</v>
      </c>
      <c r="L24" s="55">
        <v>31.01285245596263</v>
      </c>
      <c r="M24" s="55">
        <v>31.370557771748949</v>
      </c>
      <c r="N24" s="55">
        <v>26.647304990109671</v>
      </c>
      <c r="O24" s="55">
        <v>26.957115204010549</v>
      </c>
      <c r="P24" s="55">
        <v>24.657992274187681</v>
      </c>
      <c r="Q24" s="55">
        <v>24.60252977976981</v>
      </c>
      <c r="R24" s="55">
        <v>31.848009331970019</v>
      </c>
      <c r="S24" s="55">
        <v>33.749404595367011</v>
      </c>
      <c r="T24" s="55">
        <v>33.129780918085608</v>
      </c>
      <c r="U24" s="55">
        <v>35.210605012182697</v>
      </c>
      <c r="V24" s="55">
        <v>31.835966784209191</v>
      </c>
      <c r="W24" s="55">
        <v>30.874995920031179</v>
      </c>
      <c r="DA24" s="101" t="s">
        <v>1009</v>
      </c>
    </row>
    <row r="25" spans="1:105" x14ac:dyDescent="0.25">
      <c r="A25" s="257" t="s">
        <v>174</v>
      </c>
      <c r="B25" s="258">
        <v>159.91429110655511</v>
      </c>
      <c r="C25" s="258">
        <v>166.12121321379141</v>
      </c>
      <c r="D25" s="258">
        <v>165.01810930194799</v>
      </c>
      <c r="E25" s="258">
        <v>166.61456519773691</v>
      </c>
      <c r="F25" s="258">
        <v>165.67374574759029</v>
      </c>
      <c r="G25" s="258">
        <v>167.29480934406459</v>
      </c>
      <c r="H25" s="258">
        <v>165.1238996410834</v>
      </c>
      <c r="I25" s="258">
        <v>158.0602729956945</v>
      </c>
      <c r="J25" s="258">
        <v>153.12594150373019</v>
      </c>
      <c r="K25" s="258">
        <v>154.99560924639229</v>
      </c>
      <c r="L25" s="258">
        <v>145.3511781129157</v>
      </c>
      <c r="M25" s="258">
        <v>143.3641046399095</v>
      </c>
      <c r="N25" s="258">
        <v>137.55811999910159</v>
      </c>
      <c r="O25" s="258">
        <v>136.11846893240281</v>
      </c>
      <c r="P25" s="258">
        <v>136.57251869523299</v>
      </c>
      <c r="Q25" s="258">
        <v>139.52239939195169</v>
      </c>
      <c r="R25" s="258">
        <v>141.7535595111712</v>
      </c>
      <c r="S25" s="258">
        <v>142.84054746156241</v>
      </c>
      <c r="T25" s="258">
        <v>150.01760709424721</v>
      </c>
      <c r="U25" s="258">
        <v>143.01837011980149</v>
      </c>
      <c r="V25" s="258">
        <v>144.06036230938761</v>
      </c>
      <c r="W25" s="258">
        <v>144.38341855875501</v>
      </c>
      <c r="DA25" s="273" t="s">
        <v>1010</v>
      </c>
    </row>
    <row r="26" spans="1:105" x14ac:dyDescent="0.25">
      <c r="A26" s="257" t="s">
        <v>177</v>
      </c>
      <c r="B26" s="258">
        <v>73.571159276252004</v>
      </c>
      <c r="C26" s="258">
        <v>77.23239414006737</v>
      </c>
      <c r="D26" s="258">
        <v>73.890221672962554</v>
      </c>
      <c r="E26" s="258">
        <v>77.352057776617514</v>
      </c>
      <c r="F26" s="258">
        <v>77.527937872256018</v>
      </c>
      <c r="G26" s="258">
        <v>79.841507512617028</v>
      </c>
      <c r="H26" s="258">
        <v>81.195583231903541</v>
      </c>
      <c r="I26" s="258">
        <v>82.143579702696357</v>
      </c>
      <c r="J26" s="258">
        <v>81.566784276618733</v>
      </c>
      <c r="K26" s="258">
        <v>81.726789145878968</v>
      </c>
      <c r="L26" s="258">
        <v>79.802198433887085</v>
      </c>
      <c r="M26" s="258">
        <v>82.63858513043381</v>
      </c>
      <c r="N26" s="258">
        <v>81.944239061300706</v>
      </c>
      <c r="O26" s="258">
        <v>79.306646348813658</v>
      </c>
      <c r="P26" s="258">
        <v>76.212968374713597</v>
      </c>
      <c r="Q26" s="258">
        <v>79.763949793839686</v>
      </c>
      <c r="R26" s="258">
        <v>78.97350155448666</v>
      </c>
      <c r="S26" s="258">
        <v>83.491265113219114</v>
      </c>
      <c r="T26" s="258">
        <v>83.064667849136328</v>
      </c>
      <c r="U26" s="258">
        <v>84.199193811452005</v>
      </c>
      <c r="V26" s="258">
        <v>86.902167228993108</v>
      </c>
      <c r="W26" s="258">
        <v>91.029168015713893</v>
      </c>
      <c r="DA26" s="273" t="s">
        <v>1011</v>
      </c>
    </row>
    <row r="27" spans="1:105" x14ac:dyDescent="0.25">
      <c r="A27" s="129" t="s">
        <v>33</v>
      </c>
      <c r="B27" s="259">
        <v>106.67818095056541</v>
      </c>
      <c r="C27" s="259">
        <v>111.98697150309771</v>
      </c>
      <c r="D27" s="259">
        <v>107.14082142579571</v>
      </c>
      <c r="E27" s="259">
        <v>112.1604837760954</v>
      </c>
      <c r="F27" s="259">
        <v>112.41550991477121</v>
      </c>
      <c r="G27" s="259">
        <v>115.77018589329469</v>
      </c>
      <c r="H27" s="259">
        <v>117.7335956862601</v>
      </c>
      <c r="I27" s="259">
        <v>119.10819056890971</v>
      </c>
      <c r="J27" s="259">
        <v>118.2718372010972</v>
      </c>
      <c r="K27" s="259">
        <v>118.50384426152451</v>
      </c>
      <c r="L27" s="259">
        <v>115.71318772913629</v>
      </c>
      <c r="M27" s="259">
        <v>119.82594843912899</v>
      </c>
      <c r="N27" s="259">
        <v>118.819146638886</v>
      </c>
      <c r="O27" s="259">
        <v>114.9946372057798</v>
      </c>
      <c r="P27" s="259">
        <v>110.5088041433347</v>
      </c>
      <c r="Q27" s="259">
        <v>115.6577272010676</v>
      </c>
      <c r="R27" s="259">
        <v>114.5115772540056</v>
      </c>
      <c r="S27" s="259">
        <v>121.06233441416769</v>
      </c>
      <c r="T27" s="259">
        <v>120.44376838124769</v>
      </c>
      <c r="U27" s="259">
        <v>122.0888310266054</v>
      </c>
      <c r="V27" s="259">
        <v>126.00814248204</v>
      </c>
      <c r="W27" s="259">
        <v>131.9922936227851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1</v>
      </c>
      <c r="E31" s="236">
        <f t="shared" si="6"/>
        <v>1.0000000000000002</v>
      </c>
      <c r="F31" s="236">
        <f t="shared" si="6"/>
        <v>1</v>
      </c>
      <c r="G31" s="236">
        <f t="shared" si="6"/>
        <v>1</v>
      </c>
      <c r="H31" s="236">
        <f t="shared" si="6"/>
        <v>0.99999999999999978</v>
      </c>
      <c r="I31" s="236">
        <f t="shared" si="6"/>
        <v>0.99999999999999989</v>
      </c>
      <c r="J31" s="236">
        <f t="shared" si="6"/>
        <v>1</v>
      </c>
      <c r="K31" s="236">
        <f t="shared" si="6"/>
        <v>0.99999999999999989</v>
      </c>
      <c r="L31" s="236">
        <f t="shared" si="6"/>
        <v>1.0000000000000002</v>
      </c>
      <c r="M31" s="236">
        <f t="shared" si="6"/>
        <v>1</v>
      </c>
      <c r="N31" s="236">
        <f t="shared" si="6"/>
        <v>0.99999999999999989</v>
      </c>
      <c r="O31" s="236">
        <f t="shared" si="6"/>
        <v>1.0000000000000002</v>
      </c>
      <c r="P31" s="236">
        <f t="shared" si="6"/>
        <v>1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1.0000000000000002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2.3249990771627121E-2</v>
      </c>
      <c r="C32" s="245">
        <f t="shared" si="8"/>
        <v>2.3511662932059193E-2</v>
      </c>
      <c r="D32" s="245">
        <f t="shared" si="8"/>
        <v>2.277646280863705E-2</v>
      </c>
      <c r="E32" s="245">
        <f t="shared" si="8"/>
        <v>2.3553057331803681E-2</v>
      </c>
      <c r="F32" s="245">
        <f t="shared" si="8"/>
        <v>2.3677108065816764E-2</v>
      </c>
      <c r="G32" s="245">
        <f t="shared" si="8"/>
        <v>2.4037866046613114E-2</v>
      </c>
      <c r="H32" s="245">
        <f t="shared" si="8"/>
        <v>2.4697800833837352E-2</v>
      </c>
      <c r="I32" s="245">
        <f t="shared" si="8"/>
        <v>2.5858862926114088E-2</v>
      </c>
      <c r="J32" s="245">
        <f t="shared" si="8"/>
        <v>2.6436071362413226E-2</v>
      </c>
      <c r="K32" s="245">
        <f t="shared" si="8"/>
        <v>2.6177042006250061E-2</v>
      </c>
      <c r="L32" s="245">
        <f t="shared" si="8"/>
        <v>2.7140566377653785E-2</v>
      </c>
      <c r="M32" s="245">
        <f t="shared" si="8"/>
        <v>2.8259615475360746E-2</v>
      </c>
      <c r="N32" s="245">
        <f t="shared" si="8"/>
        <v>2.9021753666964786E-2</v>
      </c>
      <c r="O32" s="245">
        <f t="shared" si="8"/>
        <v>2.8476349768828357E-2</v>
      </c>
      <c r="P32" s="245">
        <f t="shared" si="8"/>
        <v>2.7454917093290808E-2</v>
      </c>
      <c r="Q32" s="245">
        <f t="shared" si="8"/>
        <v>2.7972839243081898E-2</v>
      </c>
      <c r="R32" s="245">
        <f t="shared" si="8"/>
        <v>2.7508648904356406E-2</v>
      </c>
      <c r="S32" s="245">
        <f t="shared" si="8"/>
        <v>2.8616010335286785E-2</v>
      </c>
      <c r="T32" s="245">
        <f t="shared" si="8"/>
        <v>2.738980562067787E-2</v>
      </c>
      <c r="U32" s="245">
        <f t="shared" si="8"/>
        <v>2.8748711399456086E-2</v>
      </c>
      <c r="V32" s="245">
        <f t="shared" si="8"/>
        <v>2.9347358725275909E-2</v>
      </c>
      <c r="W32" s="245">
        <f t="shared" si="8"/>
        <v>3.0288924861048085E-2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1.5112494001557628E-2</v>
      </c>
      <c r="C33" s="246">
        <f t="shared" si="9"/>
        <v>1.5282580905838474E-2</v>
      </c>
      <c r="D33" s="246">
        <f t="shared" si="9"/>
        <v>1.4804700825614085E-2</v>
      </c>
      <c r="E33" s="246">
        <f t="shared" si="9"/>
        <v>1.530948726567239E-2</v>
      </c>
      <c r="F33" s="246">
        <f t="shared" si="9"/>
        <v>1.5390120242780891E-2</v>
      </c>
      <c r="G33" s="246">
        <f t="shared" si="9"/>
        <v>1.5624612930298522E-2</v>
      </c>
      <c r="H33" s="246">
        <f t="shared" si="9"/>
        <v>1.6053570541994279E-2</v>
      </c>
      <c r="I33" s="246">
        <f t="shared" si="9"/>
        <v>1.6808260901974154E-2</v>
      </c>
      <c r="J33" s="246">
        <f t="shared" si="9"/>
        <v>1.7183446385568599E-2</v>
      </c>
      <c r="K33" s="246">
        <f t="shared" si="9"/>
        <v>1.7015077304062536E-2</v>
      </c>
      <c r="L33" s="246">
        <f t="shared" si="9"/>
        <v>1.7641368145474959E-2</v>
      </c>
      <c r="M33" s="246">
        <f t="shared" si="9"/>
        <v>1.8368750058984484E-2</v>
      </c>
      <c r="N33" s="246">
        <f t="shared" si="9"/>
        <v>1.8864139883527108E-2</v>
      </c>
      <c r="O33" s="246">
        <f t="shared" si="9"/>
        <v>1.850962734973843E-2</v>
      </c>
      <c r="P33" s="246">
        <f t="shared" si="9"/>
        <v>1.7845696110639016E-2</v>
      </c>
      <c r="Q33" s="246">
        <f t="shared" si="9"/>
        <v>1.8182345508003236E-2</v>
      </c>
      <c r="R33" s="246">
        <f t="shared" si="9"/>
        <v>1.788062178783166E-2</v>
      </c>
      <c r="S33" s="246">
        <f t="shared" si="9"/>
        <v>1.8600406717936408E-2</v>
      </c>
      <c r="T33" s="246">
        <f t="shared" si="9"/>
        <v>1.7803373653440608E-2</v>
      </c>
      <c r="U33" s="246">
        <f t="shared" si="9"/>
        <v>1.8686662409646452E-2</v>
      </c>
      <c r="V33" s="246">
        <f t="shared" si="9"/>
        <v>1.9075783171429338E-2</v>
      </c>
      <c r="W33" s="246">
        <f t="shared" si="9"/>
        <v>1.9687801159681245E-2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2.0924991694464407E-2</v>
      </c>
      <c r="C34" s="246">
        <f t="shared" si="10"/>
        <v>2.116049663885327E-2</v>
      </c>
      <c r="D34" s="246">
        <f t="shared" si="10"/>
        <v>2.0498816527773352E-2</v>
      </c>
      <c r="E34" s="246">
        <f t="shared" si="10"/>
        <v>2.1197751598623304E-2</v>
      </c>
      <c r="F34" s="246">
        <f t="shared" si="10"/>
        <v>2.1309397259235082E-2</v>
      </c>
      <c r="G34" s="246">
        <f t="shared" si="10"/>
        <v>2.1634079441951799E-2</v>
      </c>
      <c r="H34" s="246">
        <f t="shared" si="10"/>
        <v>2.2228020750453617E-2</v>
      </c>
      <c r="I34" s="246">
        <f t="shared" si="10"/>
        <v>2.3272976633502682E-2</v>
      </c>
      <c r="J34" s="246">
        <f t="shared" si="10"/>
        <v>2.3792464226171903E-2</v>
      </c>
      <c r="K34" s="246">
        <f t="shared" si="10"/>
        <v>2.3559337805625045E-2</v>
      </c>
      <c r="L34" s="246">
        <f t="shared" si="10"/>
        <v>2.4426509739888403E-2</v>
      </c>
      <c r="M34" s="246">
        <f t="shared" si="10"/>
        <v>2.5433653927824661E-2</v>
      </c>
      <c r="N34" s="246">
        <f t="shared" si="10"/>
        <v>2.6119578300268308E-2</v>
      </c>
      <c r="O34" s="246">
        <f t="shared" si="10"/>
        <v>2.562871479194553E-2</v>
      </c>
      <c r="P34" s="246">
        <f t="shared" si="10"/>
        <v>2.4709425383961727E-2</v>
      </c>
      <c r="Q34" s="246">
        <f t="shared" si="10"/>
        <v>2.5175555318773715E-2</v>
      </c>
      <c r="R34" s="246">
        <f t="shared" si="10"/>
        <v>2.4757784013920769E-2</v>
      </c>
      <c r="S34" s="246">
        <f t="shared" si="10"/>
        <v>2.575440930175811E-2</v>
      </c>
      <c r="T34" s="246">
        <f t="shared" si="10"/>
        <v>2.4650825058610076E-2</v>
      </c>
      <c r="U34" s="246">
        <f t="shared" si="10"/>
        <v>2.5873840259510485E-2</v>
      </c>
      <c r="V34" s="246">
        <f t="shared" si="10"/>
        <v>2.6412622852748317E-2</v>
      </c>
      <c r="W34" s="246">
        <f t="shared" si="10"/>
        <v>2.7260032374943264E-2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0.19725672375755235</v>
      </c>
      <c r="C35" s="247">
        <f t="shared" si="11"/>
        <v>0.19745335501400879</v>
      </c>
      <c r="D35" s="247">
        <f t="shared" si="11"/>
        <v>0.19819024768342178</v>
      </c>
      <c r="E35" s="247">
        <f t="shared" si="11"/>
        <v>0.19824647617968943</v>
      </c>
      <c r="F35" s="247">
        <f t="shared" si="11"/>
        <v>0.19809944387282755</v>
      </c>
      <c r="G35" s="247">
        <f t="shared" si="11"/>
        <v>0.19813003754841541</v>
      </c>
      <c r="H35" s="247">
        <f t="shared" si="11"/>
        <v>0.19768892547576675</v>
      </c>
      <c r="I35" s="247">
        <f t="shared" si="11"/>
        <v>0.19743682465271048</v>
      </c>
      <c r="J35" s="247">
        <f t="shared" si="11"/>
        <v>0.1968304571981683</v>
      </c>
      <c r="K35" s="247">
        <f t="shared" si="11"/>
        <v>0.19826738350491663</v>
      </c>
      <c r="L35" s="247">
        <f t="shared" si="11"/>
        <v>0.19642958062900806</v>
      </c>
      <c r="M35" s="247">
        <f t="shared" si="11"/>
        <v>0.19708912441906848</v>
      </c>
      <c r="N35" s="247">
        <f t="shared" si="11"/>
        <v>0.19785735824194081</v>
      </c>
      <c r="O35" s="247">
        <f t="shared" si="11"/>
        <v>0.19851468719491952</v>
      </c>
      <c r="P35" s="247">
        <f t="shared" si="11"/>
        <v>0.19856212473570886</v>
      </c>
      <c r="Q35" s="247">
        <f t="shared" si="11"/>
        <v>0.19665436625905533</v>
      </c>
      <c r="R35" s="247">
        <f t="shared" si="11"/>
        <v>0.19772574065213869</v>
      </c>
      <c r="S35" s="247">
        <f t="shared" si="11"/>
        <v>0.19762222044918859</v>
      </c>
      <c r="T35" s="247">
        <f t="shared" si="11"/>
        <v>0.19776446957984598</v>
      </c>
      <c r="U35" s="247">
        <f t="shared" si="11"/>
        <v>0.19801083701015912</v>
      </c>
      <c r="V35" s="247">
        <f t="shared" si="11"/>
        <v>0.19793902148501336</v>
      </c>
      <c r="W35" s="247">
        <f t="shared" si="11"/>
        <v>0.19880846940230368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0.26299242432981773</v>
      </c>
      <c r="C36" s="260">
        <f t="shared" si="12"/>
        <v>0.26317808300767331</v>
      </c>
      <c r="D36" s="260">
        <f t="shared" si="12"/>
        <v>0.26471081928138673</v>
      </c>
      <c r="E36" s="260">
        <f t="shared" si="12"/>
        <v>0.26401533774437097</v>
      </c>
      <c r="F36" s="260">
        <f t="shared" si="12"/>
        <v>0.26330850729365585</v>
      </c>
      <c r="G36" s="260">
        <f t="shared" si="12"/>
        <v>0.26211412457559036</v>
      </c>
      <c r="H36" s="260">
        <f t="shared" si="12"/>
        <v>0.26138255015193529</v>
      </c>
      <c r="I36" s="260">
        <f t="shared" si="12"/>
        <v>0.25894009482507857</v>
      </c>
      <c r="J36" s="260">
        <f t="shared" si="12"/>
        <v>0.25826950047860026</v>
      </c>
      <c r="K36" s="260">
        <f t="shared" si="12"/>
        <v>0.25835466300141374</v>
      </c>
      <c r="L36" s="260">
        <f t="shared" si="12"/>
        <v>0.25725473836846463</v>
      </c>
      <c r="M36" s="260">
        <f t="shared" si="12"/>
        <v>0.25513179102381522</v>
      </c>
      <c r="N36" s="260">
        <f t="shared" si="12"/>
        <v>0.25353167892630613</v>
      </c>
      <c r="O36" s="260">
        <f t="shared" si="12"/>
        <v>0.25435048189243636</v>
      </c>
      <c r="P36" s="260">
        <f t="shared" si="12"/>
        <v>0.25603265172769768</v>
      </c>
      <c r="Q36" s="260">
        <f t="shared" si="12"/>
        <v>0.25463295508474615</v>
      </c>
      <c r="R36" s="260">
        <f t="shared" si="12"/>
        <v>0.25695827906768282</v>
      </c>
      <c r="S36" s="260">
        <f t="shared" si="12"/>
        <v>0.25477706135145184</v>
      </c>
      <c r="T36" s="260">
        <f t="shared" si="12"/>
        <v>0.25742790779894792</v>
      </c>
      <c r="U36" s="260">
        <f t="shared" si="12"/>
        <v>0.25412245958793378</v>
      </c>
      <c r="V36" s="260">
        <f t="shared" si="12"/>
        <v>0.25317667496106655</v>
      </c>
      <c r="W36" s="260">
        <f t="shared" si="12"/>
        <v>0.25001230300546062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0.37296471201292375</v>
      </c>
      <c r="C37" s="260">
        <f t="shared" si="13"/>
        <v>0.37123838541427301</v>
      </c>
      <c r="D37" s="260">
        <f t="shared" si="13"/>
        <v>0.37235022903986015</v>
      </c>
      <c r="E37" s="260">
        <f t="shared" si="13"/>
        <v>0.36924015203806493</v>
      </c>
      <c r="F37" s="260">
        <f t="shared" si="13"/>
        <v>0.36960958448721204</v>
      </c>
      <c r="G37" s="260">
        <f t="shared" si="13"/>
        <v>0.36919909421864167</v>
      </c>
      <c r="H37" s="260">
        <f t="shared" si="13"/>
        <v>0.36721268490106956</v>
      </c>
      <c r="I37" s="260">
        <f t="shared" si="13"/>
        <v>0.36457126873540602</v>
      </c>
      <c r="J37" s="260">
        <f t="shared" si="13"/>
        <v>0.36309104864715569</v>
      </c>
      <c r="K37" s="260">
        <f t="shared" si="13"/>
        <v>0.36284774190992997</v>
      </c>
      <c r="L37" s="260">
        <f t="shared" si="13"/>
        <v>0.36117920724646002</v>
      </c>
      <c r="M37" s="260">
        <f t="shared" si="13"/>
        <v>0.35745530733684816</v>
      </c>
      <c r="N37" s="260">
        <f t="shared" si="13"/>
        <v>0.35478396952789565</v>
      </c>
      <c r="O37" s="260">
        <f t="shared" si="13"/>
        <v>0.35587751728584816</v>
      </c>
      <c r="P37" s="260">
        <f t="shared" si="13"/>
        <v>0.35893183033489851</v>
      </c>
      <c r="Q37" s="260">
        <f t="shared" si="13"/>
        <v>0.35991863808017827</v>
      </c>
      <c r="R37" s="260">
        <f t="shared" si="13"/>
        <v>0.35839606101585342</v>
      </c>
      <c r="S37" s="260">
        <f t="shared" si="13"/>
        <v>0.35556313094222564</v>
      </c>
      <c r="T37" s="260">
        <f t="shared" si="13"/>
        <v>0.35839167670080457</v>
      </c>
      <c r="U37" s="260">
        <f t="shared" si="13"/>
        <v>0.3552913980080577</v>
      </c>
      <c r="V37" s="260">
        <f t="shared" si="13"/>
        <v>0.35349750192893331</v>
      </c>
      <c r="W37" s="260">
        <f t="shared" si="13"/>
        <v>0.35169265573066422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5.0536186041570674E-2</v>
      </c>
      <c r="C38" s="260">
        <f t="shared" si="14"/>
        <v>5.0571861903749009E-2</v>
      </c>
      <c r="D38" s="260">
        <f t="shared" si="14"/>
        <v>5.0866389952145985E-2</v>
      </c>
      <c r="E38" s="260">
        <f t="shared" si="14"/>
        <v>5.0732747378856385E-2</v>
      </c>
      <c r="F38" s="260">
        <f t="shared" si="14"/>
        <v>5.0596924017220712E-2</v>
      </c>
      <c r="G38" s="260">
        <f t="shared" si="14"/>
        <v>5.0367413424287077E-2</v>
      </c>
      <c r="H38" s="260">
        <f t="shared" si="14"/>
        <v>5.0226835302041542E-2</v>
      </c>
      <c r="I38" s="260">
        <f t="shared" si="14"/>
        <v>4.9757497156234509E-2</v>
      </c>
      <c r="J38" s="260">
        <f t="shared" si="14"/>
        <v>4.9628636864009666E-2</v>
      </c>
      <c r="K38" s="260">
        <f t="shared" si="14"/>
        <v>4.9645001552489354E-2</v>
      </c>
      <c r="L38" s="260">
        <f t="shared" si="14"/>
        <v>4.9433641867798528E-2</v>
      </c>
      <c r="M38" s="260">
        <f t="shared" si="14"/>
        <v>4.9025699843464339E-2</v>
      </c>
      <c r="N38" s="260">
        <f t="shared" si="14"/>
        <v>4.8718224969033476E-2</v>
      </c>
      <c r="O38" s="260">
        <f t="shared" si="14"/>
        <v>4.8875564782654327E-2</v>
      </c>
      <c r="P38" s="260">
        <f t="shared" si="14"/>
        <v>4.9198807735240921E-2</v>
      </c>
      <c r="Q38" s="260">
        <f t="shared" si="14"/>
        <v>4.8929844360610583E-2</v>
      </c>
      <c r="R38" s="260">
        <f t="shared" si="14"/>
        <v>4.9376674742542981E-2</v>
      </c>
      <c r="S38" s="260">
        <f t="shared" si="14"/>
        <v>4.895753558070013E-2</v>
      </c>
      <c r="T38" s="260">
        <f t="shared" si="14"/>
        <v>4.9466917817012374E-2</v>
      </c>
      <c r="U38" s="260">
        <f t="shared" si="14"/>
        <v>4.8831748396568911E-2</v>
      </c>
      <c r="V38" s="260">
        <f t="shared" si="14"/>
        <v>4.8650007998607206E-2</v>
      </c>
      <c r="W38" s="260">
        <f t="shared" si="14"/>
        <v>4.8041947556331177E-2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2.3249990771627121E-2</v>
      </c>
      <c r="C39" s="260">
        <f t="shared" si="15"/>
        <v>2.3511662932059193E-2</v>
      </c>
      <c r="D39" s="260">
        <f t="shared" si="15"/>
        <v>2.277646280863705E-2</v>
      </c>
      <c r="E39" s="260">
        <f t="shared" si="15"/>
        <v>2.3553057331803681E-2</v>
      </c>
      <c r="F39" s="260">
        <f t="shared" si="15"/>
        <v>2.3677108065816764E-2</v>
      </c>
      <c r="G39" s="260">
        <f t="shared" si="15"/>
        <v>2.4037866046613114E-2</v>
      </c>
      <c r="H39" s="260">
        <f t="shared" si="15"/>
        <v>2.4697800833837352E-2</v>
      </c>
      <c r="I39" s="260">
        <f t="shared" si="15"/>
        <v>2.5858862926114088E-2</v>
      </c>
      <c r="J39" s="260">
        <f t="shared" si="15"/>
        <v>2.6436071362413226E-2</v>
      </c>
      <c r="K39" s="260">
        <f t="shared" si="15"/>
        <v>2.6177042006250061E-2</v>
      </c>
      <c r="L39" s="260">
        <f t="shared" si="15"/>
        <v>2.7140566377653785E-2</v>
      </c>
      <c r="M39" s="260">
        <f t="shared" si="15"/>
        <v>2.8259615475360746E-2</v>
      </c>
      <c r="N39" s="260">
        <f t="shared" si="15"/>
        <v>2.9021753666964786E-2</v>
      </c>
      <c r="O39" s="260">
        <f t="shared" si="15"/>
        <v>2.8476349768828357E-2</v>
      </c>
      <c r="P39" s="260">
        <f t="shared" si="15"/>
        <v>2.7454917093290808E-2</v>
      </c>
      <c r="Q39" s="260">
        <f t="shared" si="15"/>
        <v>2.7972839243081898E-2</v>
      </c>
      <c r="R39" s="260">
        <f t="shared" si="15"/>
        <v>2.7508648904356406E-2</v>
      </c>
      <c r="S39" s="260">
        <f t="shared" si="15"/>
        <v>2.8616010335286785E-2</v>
      </c>
      <c r="T39" s="260">
        <f t="shared" si="15"/>
        <v>2.738980562067787E-2</v>
      </c>
      <c r="U39" s="260">
        <f t="shared" si="15"/>
        <v>2.8748711399456086E-2</v>
      </c>
      <c r="V39" s="260">
        <f t="shared" si="15"/>
        <v>2.9347358725275909E-2</v>
      </c>
      <c r="W39" s="260">
        <f t="shared" si="15"/>
        <v>3.0288924861048085E-2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3.3712486618859325E-2</v>
      </c>
      <c r="C40" s="262">
        <f t="shared" si="16"/>
        <v>3.4091911251485835E-2</v>
      </c>
      <c r="D40" s="262">
        <f t="shared" si="16"/>
        <v>3.3025871072523728E-2</v>
      </c>
      <c r="E40" s="262">
        <f t="shared" si="16"/>
        <v>3.4151933131115343E-2</v>
      </c>
      <c r="F40" s="262">
        <f t="shared" si="16"/>
        <v>3.43318066954343E-2</v>
      </c>
      <c r="G40" s="262">
        <f t="shared" si="16"/>
        <v>3.4854905767589019E-2</v>
      </c>
      <c r="H40" s="262">
        <f t="shared" si="16"/>
        <v>3.5811811209064154E-2</v>
      </c>
      <c r="I40" s="262">
        <f t="shared" si="16"/>
        <v>3.7495351242865425E-2</v>
      </c>
      <c r="J40" s="262">
        <f t="shared" si="16"/>
        <v>3.8332303475499187E-2</v>
      </c>
      <c r="K40" s="262">
        <f t="shared" si="16"/>
        <v>3.7956710909062587E-2</v>
      </c>
      <c r="L40" s="262">
        <f t="shared" si="16"/>
        <v>3.9353821247597995E-2</v>
      </c>
      <c r="M40" s="262">
        <f t="shared" si="16"/>
        <v>4.0976442439273071E-2</v>
      </c>
      <c r="N40" s="262">
        <f t="shared" si="16"/>
        <v>4.208154281709893E-2</v>
      </c>
      <c r="O40" s="262">
        <f t="shared" si="16"/>
        <v>4.1290707164801113E-2</v>
      </c>
      <c r="P40" s="262">
        <f t="shared" si="16"/>
        <v>3.9809629785271666E-2</v>
      </c>
      <c r="Q40" s="262">
        <f t="shared" si="16"/>
        <v>4.0560616902468774E-2</v>
      </c>
      <c r="R40" s="262">
        <f t="shared" si="16"/>
        <v>3.9887540911316771E-2</v>
      </c>
      <c r="S40" s="262">
        <f t="shared" si="16"/>
        <v>4.149321498616583E-2</v>
      </c>
      <c r="T40" s="262">
        <f t="shared" si="16"/>
        <v>3.9715218149982918E-2</v>
      </c>
      <c r="U40" s="262">
        <f t="shared" si="16"/>
        <v>4.1685631529211321E-2</v>
      </c>
      <c r="V40" s="262">
        <f t="shared" si="16"/>
        <v>4.2553670151650069E-2</v>
      </c>
      <c r="W40" s="262">
        <f t="shared" si="16"/>
        <v>4.3918941048519705E-2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126.45888445910975</v>
      </c>
      <c r="C44" s="237">
        <f t="shared" si="17"/>
        <v>122.34803499436489</v>
      </c>
      <c r="D44" s="237">
        <f t="shared" si="17"/>
        <v>127.81056238438661</v>
      </c>
      <c r="E44" s="237">
        <f t="shared" si="17"/>
        <v>135.43288032890183</v>
      </c>
      <c r="F44" s="237">
        <f t="shared" si="17"/>
        <v>134.84363036747555</v>
      </c>
      <c r="G44" s="237">
        <f t="shared" si="17"/>
        <v>154.42655608236757</v>
      </c>
      <c r="H44" s="237">
        <f t="shared" si="17"/>
        <v>146.93020171673032</v>
      </c>
      <c r="I44" s="237">
        <f t="shared" si="17"/>
        <v>137.23851152262927</v>
      </c>
      <c r="J44" s="237">
        <f t="shared" si="17"/>
        <v>139.32723127138399</v>
      </c>
      <c r="K44" s="237">
        <f t="shared" si="17"/>
        <v>156.36023356757099</v>
      </c>
      <c r="L44" s="237">
        <f t="shared" si="17"/>
        <v>144.58585940593414</v>
      </c>
      <c r="M44" s="237">
        <f t="shared" si="17"/>
        <v>132.80026593791021</v>
      </c>
      <c r="N44" s="237">
        <f t="shared" si="17"/>
        <v>135.04301399101351</v>
      </c>
      <c r="O44" s="237">
        <f t="shared" si="17"/>
        <v>132.95020410976795</v>
      </c>
      <c r="P44" s="237">
        <f t="shared" si="17"/>
        <v>130.1593966411773</v>
      </c>
      <c r="Q44" s="237">
        <f t="shared" si="17"/>
        <v>132.918169076748</v>
      </c>
      <c r="R44" s="237">
        <f t="shared" si="17"/>
        <v>135.38540863538171</v>
      </c>
      <c r="S44" s="237">
        <f t="shared" si="17"/>
        <v>124.90211009173737</v>
      </c>
      <c r="T44" s="237">
        <f t="shared" si="17"/>
        <v>141.27985612939966</v>
      </c>
      <c r="U44" s="237">
        <f t="shared" si="17"/>
        <v>142.01198459584063</v>
      </c>
      <c r="V44" s="237">
        <f t="shared" si="17"/>
        <v>148.62601044661253</v>
      </c>
      <c r="W44" s="237">
        <f t="shared" si="17"/>
        <v>142.54014154785784</v>
      </c>
      <c r="DA44" s="281"/>
    </row>
    <row r="45" spans="1:105" x14ac:dyDescent="0.25">
      <c r="A45" s="239" t="s">
        <v>125</v>
      </c>
      <c r="B45" s="248">
        <f>IF(B$6=0,0,B$6/AGR!B$5*1000)</f>
        <v>2.9401678966645619</v>
      </c>
      <c r="C45" s="248">
        <f>IF(C$6=0,0,C$6/AGR!C$5*1000)</f>
        <v>2.87660575918729</v>
      </c>
      <c r="D45" s="248">
        <f>IF(D$6=0,0,D$6/AGR!D$5*1000)</f>
        <v>2.9110725206989678</v>
      </c>
      <c r="E45" s="248">
        <f>IF(E$6=0,0,E$6/AGR!E$5*1000)</f>
        <v>3.1898583949979318</v>
      </c>
      <c r="F45" s="248">
        <f>IF(F$6=0,0,F$6/AGR!F$5*1000)</f>
        <v>3.1927072081977705</v>
      </c>
      <c r="G45" s="248">
        <f>IF(G$6=0,0,G$6/AGR!G$5*1000)</f>
        <v>3.7120848691477395</v>
      </c>
      <c r="H45" s="248">
        <f>IF(H$6=0,0,H$6/AGR!H$5*1000)</f>
        <v>3.6288528584753532</v>
      </c>
      <c r="I45" s="248">
        <f>IF(I$6=0,0,I$6/AGR!I$5*1000)</f>
        <v>3.5488318576475995</v>
      </c>
      <c r="J45" s="248">
        <f>IF(J$6=0,0,J$6/AGR!J$5*1000)</f>
        <v>3.6832646286177586</v>
      </c>
      <c r="K45" s="248">
        <f>IF(K$6=0,0,K$6/AGR!K$5*1000)</f>
        <v>4.093048402205377</v>
      </c>
      <c r="L45" s="248">
        <f>IF(L$6=0,0,L$6/AGR!L$5*1000)</f>
        <v>3.9241421144768727</v>
      </c>
      <c r="M45" s="248">
        <f>IF(M$6=0,0,M$6/AGR!M$5*1000)</f>
        <v>3.7528844504309902</v>
      </c>
      <c r="N45" s="248">
        <f>IF(N$6=0,0,N$6/AGR!N$5*1000)</f>
        <v>3.9191850864916735</v>
      </c>
      <c r="O45" s="248">
        <f>IF(O$6=0,0,O$6/AGR!O$5*1000)</f>
        <v>3.7859365140668726</v>
      </c>
      <c r="P45" s="248">
        <f>IF(P$6=0,0,P$6/AGR!P$5*1000)</f>
        <v>3.573515443696277</v>
      </c>
      <c r="Q45" s="248">
        <f>IF(Q$6=0,0,Q$6/AGR!Q$5*1000)</f>
        <v>3.7180985760686514</v>
      </c>
      <c r="R45" s="248">
        <f>IF(R$6=0,0,R$6/AGR!R$5*1000)</f>
        <v>3.7242696729235383</v>
      </c>
      <c r="S45" s="248">
        <f>IF(S$6=0,0,S$6/AGR!S$5*1000)</f>
        <v>3.5742000732842842</v>
      </c>
      <c r="T45" s="248">
        <f>IF(T$6=0,0,T$6/AGR!T$5*1000)</f>
        <v>3.8696277975015914</v>
      </c>
      <c r="U45" s="248">
        <f>IF(U$6=0,0,U$6/AGR!U$5*1000)</f>
        <v>4.0826615604098251</v>
      </c>
      <c r="V45" s="248">
        <f>IF(V$6=0,0,V$6/AGR!V$5*1000)</f>
        <v>4.3617808444833424</v>
      </c>
      <c r="W45" s="248">
        <f>IF(W$6=0,0,W$6/AGR!W$5*1000)</f>
        <v>4.3173876370262239</v>
      </c>
      <c r="DA45" s="282"/>
    </row>
    <row r="46" spans="1:105" x14ac:dyDescent="0.25">
      <c r="A46" s="241" t="s">
        <v>124</v>
      </c>
      <c r="B46" s="249">
        <f>IF(B$7=0,0,B$7/AGR!B$5*1000)</f>
        <v>1.9111091328319652</v>
      </c>
      <c r="C46" s="249">
        <f>IF(C$7=0,0,C$7/AGR!C$5*1000)</f>
        <v>1.8697937434717382</v>
      </c>
      <c r="D46" s="249">
        <f>IF(D$7=0,0,D$7/AGR!D$5*1000)</f>
        <v>1.8921971384543292</v>
      </c>
      <c r="E46" s="249">
        <f>IF(E$7=0,0,E$7/AGR!E$5*1000)</f>
        <v>2.0734079567486554</v>
      </c>
      <c r="F46" s="249">
        <f>IF(F$7=0,0,F$7/AGR!F$5*1000)</f>
        <v>2.0752596853285503</v>
      </c>
      <c r="G46" s="249">
        <f>IF(G$7=0,0,G$7/AGR!G$5*1000)</f>
        <v>2.4128551649460306</v>
      </c>
      <c r="H46" s="249">
        <f>IF(H$7=0,0,H$7/AGR!H$5*1000)</f>
        <v>2.3587543580089796</v>
      </c>
      <c r="I46" s="249">
        <f>IF(I$7=0,0,I$7/AGR!I$5*1000)</f>
        <v>2.3067407074709387</v>
      </c>
      <c r="J46" s="249">
        <f>IF(J$7=0,0,J$7/AGR!J$5*1000)</f>
        <v>2.3941220086015433</v>
      </c>
      <c r="K46" s="249">
        <f>IF(K$7=0,0,K$7/AGR!K$5*1000)</f>
        <v>2.660481461433494</v>
      </c>
      <c r="L46" s="249">
        <f>IF(L$7=0,0,L$7/AGR!L$5*1000)</f>
        <v>2.5506923744099672</v>
      </c>
      <c r="M46" s="249">
        <f>IF(M$7=0,0,M$7/AGR!M$5*1000)</f>
        <v>2.4393748927801435</v>
      </c>
      <c r="N46" s="249">
        <f>IF(N$7=0,0,N$7/AGR!N$5*1000)</f>
        <v>2.5474703062195871</v>
      </c>
      <c r="O46" s="249">
        <f>IF(O$7=0,0,O$7/AGR!O$5*1000)</f>
        <v>2.4608587341434673</v>
      </c>
      <c r="P46" s="249">
        <f>IF(P$7=0,0,P$7/AGR!P$5*1000)</f>
        <v>2.322785038402579</v>
      </c>
      <c r="Q46" s="249">
        <f>IF(Q$7=0,0,Q$7/AGR!Q$5*1000)</f>
        <v>2.4167640744446235</v>
      </c>
      <c r="R46" s="249">
        <f>IF(R$7=0,0,R$7/AGR!R$5*1000)</f>
        <v>2.4207752874002995</v>
      </c>
      <c r="S46" s="249">
        <f>IF(S$7=0,0,S$7/AGR!S$5*1000)</f>
        <v>2.3232300476347847</v>
      </c>
      <c r="T46" s="249">
        <f>IF(T$7=0,0,T$7/AGR!T$5*1000)</f>
        <v>2.5152580683760335</v>
      </c>
      <c r="U46" s="249">
        <f>IF(U$7=0,0,U$7/AGR!U$5*1000)</f>
        <v>2.6537300142663853</v>
      </c>
      <c r="V46" s="249">
        <f>IF(V$7=0,0,V$7/AGR!V$5*1000)</f>
        <v>2.835157548914172</v>
      </c>
      <c r="W46" s="249">
        <f>IF(W$7=0,0,W$7/AGR!W$5*1000)</f>
        <v>2.8063019640670439</v>
      </c>
      <c r="DA46" s="283"/>
    </row>
    <row r="47" spans="1:105" x14ac:dyDescent="0.25">
      <c r="A47" s="241" t="s">
        <v>123</v>
      </c>
      <c r="B47" s="249">
        <f>IF(B$8=0,0,B$8/AGR!B$5*1000)</f>
        <v>2.6461511069981052</v>
      </c>
      <c r="C47" s="249">
        <f>IF(C$8=0,0,C$8/AGR!C$5*1000)</f>
        <v>2.5889451832685602</v>
      </c>
      <c r="D47" s="249">
        <f>IF(D$8=0,0,D$8/AGR!D$5*1000)</f>
        <v>2.619965268629072</v>
      </c>
      <c r="E47" s="249">
        <f>IF(E$8=0,0,E$8/AGR!E$5*1000)</f>
        <v>2.8708725554981376</v>
      </c>
      <c r="F47" s="249">
        <f>IF(F$8=0,0,F$8/AGR!F$5*1000)</f>
        <v>2.8734364873779925</v>
      </c>
      <c r="G47" s="249">
        <f>IF(G$8=0,0,G$8/AGR!G$5*1000)</f>
        <v>3.3408763822329655</v>
      </c>
      <c r="H47" s="249">
        <f>IF(H$8=0,0,H$8/AGR!H$5*1000)</f>
        <v>3.2659675726278179</v>
      </c>
      <c r="I47" s="249">
        <f>IF(I$8=0,0,I$8/AGR!I$5*1000)</f>
        <v>3.1939486718828394</v>
      </c>
      <c r="J47" s="249">
        <f>IF(J$8=0,0,J$8/AGR!J$5*1000)</f>
        <v>3.3149381657559824</v>
      </c>
      <c r="K47" s="249">
        <f>IF(K$8=0,0,K$8/AGR!K$5*1000)</f>
        <v>3.6837435619848375</v>
      </c>
      <c r="L47" s="249">
        <f>IF(L$8=0,0,L$8/AGR!L$5*1000)</f>
        <v>3.5317279030291848</v>
      </c>
      <c r="M47" s="249">
        <f>IF(M$8=0,0,M$8/AGR!M$5*1000)</f>
        <v>3.3775960053878902</v>
      </c>
      <c r="N47" s="249">
        <f>IF(N$8=0,0,N$8/AGR!N$5*1000)</f>
        <v>3.5272665778425059</v>
      </c>
      <c r="O47" s="249">
        <f>IF(O$8=0,0,O$8/AGR!O$5*1000)</f>
        <v>3.4073428626601867</v>
      </c>
      <c r="P47" s="249">
        <f>IF(P$8=0,0,P$8/AGR!P$5*1000)</f>
        <v>3.2161638993266495</v>
      </c>
      <c r="Q47" s="249">
        <f>IF(Q$8=0,0,Q$8/AGR!Q$5*1000)</f>
        <v>3.3462887184617873</v>
      </c>
      <c r="R47" s="249">
        <f>IF(R$8=0,0,R$8/AGR!R$5*1000)</f>
        <v>3.3518427056311846</v>
      </c>
      <c r="S47" s="249">
        <f>IF(S$8=0,0,S$8/AGR!S$5*1000)</f>
        <v>3.2167800659558559</v>
      </c>
      <c r="T47" s="249">
        <f>IF(T$8=0,0,T$8/AGR!T$5*1000)</f>
        <v>3.4826650177514313</v>
      </c>
      <c r="U47" s="249">
        <f>IF(U$8=0,0,U$8/AGR!U$5*1000)</f>
        <v>3.6743954043688429</v>
      </c>
      <c r="V47" s="249">
        <f>IF(V$8=0,0,V$8/AGR!V$5*1000)</f>
        <v>3.9256027600350074</v>
      </c>
      <c r="W47" s="249">
        <f>IF(W$8=0,0,W$8/AGR!W$5*1000)</f>
        <v>3.8856488733235999</v>
      </c>
      <c r="DA47" s="283"/>
    </row>
    <row r="48" spans="1:105" x14ac:dyDescent="0.25">
      <c r="A48" s="243" t="s">
        <v>122</v>
      </c>
      <c r="B48" s="250">
        <f>IF(B$9=0,0,B$9/AGR!B$5*1000)</f>
        <v>24.944865238438837</v>
      </c>
      <c r="C48" s="250">
        <f>IF(C$9=0,0,C$9/AGR!C$5*1000)</f>
        <v>24.158029989008703</v>
      </c>
      <c r="D48" s="250">
        <f>IF(D$9=0,0,D$9/AGR!D$5*1000)</f>
        <v>25.330807015519017</v>
      </c>
      <c r="E48" s="250">
        <f>IF(E$9=0,0,E$9/AGR!E$5*1000)</f>
        <v>26.849091284070361</v>
      </c>
      <c r="F48" s="250">
        <f>IF(F$9=0,0,F$9/AGR!F$5*1000)</f>
        <v>26.712448185590038</v>
      </c>
      <c r="G48" s="250">
        <f>IF(G$9=0,0,G$9/AGR!G$5*1000)</f>
        <v>30.596539355071965</v>
      </c>
      <c r="H48" s="250">
        <f>IF(H$9=0,0,H$9/AGR!H$5*1000)</f>
        <v>29.046473697318078</v>
      </c>
      <c r="I48" s="250">
        <f>IF(I$9=0,0,I$9/AGR!I$5*1000)</f>
        <v>27.095935935092342</v>
      </c>
      <c r="J48" s="250">
        <f>IF(J$9=0,0,J$9/AGR!J$5*1000)</f>
        <v>27.423842631301444</v>
      </c>
      <c r="K48" s="250">
        <f>IF(K$9=0,0,K$9/AGR!K$5*1000)</f>
        <v>31.001134393659935</v>
      </c>
      <c r="L48" s="250">
        <f>IF(L$9=0,0,L$9/AGR!L$5*1000)</f>
        <v>28.400939727992363</v>
      </c>
      <c r="M48" s="250">
        <f>IF(M$9=0,0,M$9/AGR!M$5*1000)</f>
        <v>26.17348813632217</v>
      </c>
      <c r="N48" s="250">
        <f>IF(N$9=0,0,N$9/AGR!N$5*1000)</f>
        <v>26.719253997291386</v>
      </c>
      <c r="O48" s="250">
        <f>IF(O$9=0,0,O$9/AGR!O$5*1000)</f>
        <v>26.392568181351287</v>
      </c>
      <c r="P48" s="250">
        <f>IF(P$9=0,0,P$9/AGR!P$5*1000)</f>
        <v>25.844726351390051</v>
      </c>
      <c r="Q48" s="250">
        <f>IF(Q$9=0,0,Q$9/AGR!Q$5*1000)</f>
        <v>26.138938304101845</v>
      </c>
      <c r="R48" s="250">
        <f>IF(R$9=0,0,R$9/AGR!R$5*1000)</f>
        <v>26.769180195923305</v>
      </c>
      <c r="S48" s="250">
        <f>IF(S$9=0,0,S$9/AGR!S$5*1000)</f>
        <v>24.683432335118145</v>
      </c>
      <c r="T48" s="250">
        <f>IF(T$9=0,0,T$9/AGR!T$5*1000)</f>
        <v>27.94013580974767</v>
      </c>
      <c r="U48" s="250">
        <f>IF(U$9=0,0,U$9/AGR!U$5*1000)</f>
        <v>28.119911935296223</v>
      </c>
      <c r="V48" s="250">
        <f>IF(V$9=0,0,V$9/AGR!V$5*1000)</f>
        <v>29.418887075023854</v>
      </c>
      <c r="W48" s="250">
        <f>IF(W$9=0,0,W$9/AGR!W$5*1000)</f>
        <v>28.338187369517328</v>
      </c>
      <c r="DA48" s="284"/>
    </row>
    <row r="49" spans="1:105" x14ac:dyDescent="0.25">
      <c r="A49" s="128" t="s">
        <v>175</v>
      </c>
      <c r="B49" s="263">
        <f>IF(B$16=0,0,B$16/AGR!B$5*1000)</f>
        <v>33.257728601945587</v>
      </c>
      <c r="C49" s="263">
        <f>IF(C$16=0,0,C$16/AGR!C$5*1000)</f>
        <v>32.199321309572674</v>
      </c>
      <c r="D49" s="263">
        <f>IF(D$16=0,0,D$16/AGR!D$5*1000)</f>
        <v>33.832838681585777</v>
      </c>
      <c r="E49" s="263">
        <f>IF(E$16=0,0,E$16/AGR!E$5*1000)</f>
        <v>35.756357641727988</v>
      </c>
      <c r="F49" s="263">
        <f>IF(F$16=0,0,F$16/AGR!F$5*1000)</f>
        <v>35.505475030117481</v>
      </c>
      <c r="G49" s="263">
        <f>IF(G$16=0,0,G$16/AGR!G$5*1000)</f>
        <v>40.477381558753088</v>
      </c>
      <c r="H49" s="263">
        <f>IF(H$16=0,0,H$16/AGR!H$5*1000)</f>
        <v>38.40499081905724</v>
      </c>
      <c r="I49" s="263">
        <f>IF(I$16=0,0,I$16/AGR!I$5*1000)</f>
        <v>35.536553187322262</v>
      </c>
      <c r="J49" s="263">
        <f>IF(J$16=0,0,J$16/AGR!J$5*1000)</f>
        <v>35.983974423526753</v>
      </c>
      <c r="K49" s="263">
        <f>IF(K$16=0,0,K$16/AGR!K$5*1000)</f>
        <v>40.396395450172143</v>
      </c>
      <c r="L49" s="263">
        <f>IF(L$16=0,0,L$16/AGR!L$5*1000)</f>
        <v>37.195397433253191</v>
      </c>
      <c r="M49" s="263">
        <f>IF(M$16=0,0,M$16/AGR!M$5*1000)</f>
        <v>33.881569697177994</v>
      </c>
      <c r="N49" s="263">
        <f>IF(N$16=0,0,N$16/AGR!N$5*1000)</f>
        <v>34.237682064410301</v>
      </c>
      <c r="O49" s="263">
        <f>IF(O$16=0,0,O$16/AGR!O$5*1000)</f>
        <v>33.815948483017252</v>
      </c>
      <c r="P49" s="263">
        <f>IF(P$16=0,0,P$16/AGR!P$5*1000)</f>
        <v>33.32505546931781</v>
      </c>
      <c r="Q49" s="263">
        <f>IF(Q$16=0,0,Q$16/AGR!Q$5*1000)</f>
        <v>33.845346176466272</v>
      </c>
      <c r="R49" s="263">
        <f>IF(R$16=0,0,R$16/AGR!R$5*1000)</f>
        <v>34.7884016138227</v>
      </c>
      <c r="S49" s="263">
        <f>IF(S$16=0,0,S$16/AGR!S$5*1000)</f>
        <v>31.822192565768361</v>
      </c>
      <c r="T49" s="263">
        <f>IF(T$16=0,0,T$16/AGR!T$5*1000)</f>
        <v>36.369377777527717</v>
      </c>
      <c r="U49" s="263">
        <f>IF(U$16=0,0,U$16/AGR!U$5*1000)</f>
        <v>36.088434816458779</v>
      </c>
      <c r="V49" s="263">
        <f>IF(V$16=0,0,V$16/AGR!V$5*1000)</f>
        <v>37.6286391376021</v>
      </c>
      <c r="W49" s="263">
        <f>IF(W$16=0,0,W$16/AGR!W$5*1000)</f>
        <v>35.636789059104274</v>
      </c>
      <c r="DA49" s="285"/>
    </row>
    <row r="50" spans="1:105" x14ac:dyDescent="0.25">
      <c r="A50" s="128" t="s">
        <v>121</v>
      </c>
      <c r="B50" s="263">
        <f>IF(B$17=0,0,B$17/AGR!B$5*1000)</f>
        <v>47.164701423767461</v>
      </c>
      <c r="C50" s="263">
        <f>IF(C$17=0,0,C$17/AGR!C$5*1000)</f>
        <v>45.420286969916994</v>
      </c>
      <c r="D50" s="263">
        <f>IF(D$17=0,0,D$17/AGR!D$5*1000)</f>
        <v>47.590292177539695</v>
      </c>
      <c r="E50" s="263">
        <f>IF(E$17=0,0,E$17/AGR!E$5*1000)</f>
        <v>50.007257323596761</v>
      </c>
      <c r="F50" s="263">
        <f>IF(F$17=0,0,F$17/AGR!F$5*1000)</f>
        <v>49.839498190869861</v>
      </c>
      <c r="G50" s="263">
        <f>IF(G$17=0,0,G$17/AGR!G$5*1000)</f>
        <v>57.014144628914373</v>
      </c>
      <c r="H50" s="263">
        <f>IF(H$17=0,0,H$17/AGR!H$5*1000)</f>
        <v>53.954633865456294</v>
      </c>
      <c r="I50" s="263">
        <f>IF(I$17=0,0,I$17/AGR!I$5*1000)</f>
        <v>50.03321826516359</v>
      </c>
      <c r="J50" s="263">
        <f>IF(J$17=0,0,J$17/AGR!J$5*1000)</f>
        <v>50.588470507431587</v>
      </c>
      <c r="K50" s="263">
        <f>IF(K$17=0,0,K$17/AGR!K$5*1000)</f>
        <v>56.734957674502368</v>
      </c>
      <c r="L50" s="263">
        <f>IF(L$17=0,0,L$17/AGR!L$5*1000)</f>
        <v>52.221406079283412</v>
      </c>
      <c r="M50" s="263">
        <f>IF(M$17=0,0,M$17/AGR!M$5*1000)</f>
        <v>47.470159875250872</v>
      </c>
      <c r="N50" s="263">
        <f>IF(N$17=0,0,N$17/AGR!N$5*1000)</f>
        <v>47.911096560742926</v>
      </c>
      <c r="O50" s="263">
        <f>IF(O$17=0,0,O$17/AGR!O$5*1000)</f>
        <v>47.313988561230971</v>
      </c>
      <c r="P50" s="263">
        <f>IF(P$17=0,0,P$17/AGR!P$5*1000)</f>
        <v>46.718350471703808</v>
      </c>
      <c r="Q50" s="263">
        <f>IF(Q$17=0,0,Q$17/AGR!Q$5*1000)</f>
        <v>47.839726390214011</v>
      </c>
      <c r="R50" s="263">
        <f>IF(R$17=0,0,R$17/AGR!R$5*1000)</f>
        <v>48.521597173942517</v>
      </c>
      <c r="S50" s="263">
        <f>IF(S$17=0,0,S$17/AGR!S$5*1000)</f>
        <v>44.410585325508691</v>
      </c>
      <c r="T50" s="263">
        <f>IF(T$17=0,0,T$17/AGR!T$5*1000)</f>
        <v>50.633524522263983</v>
      </c>
      <c r="U50" s="263">
        <f>IF(U$17=0,0,U$17/AGR!U$5*1000)</f>
        <v>50.455636540954963</v>
      </c>
      <c r="V50" s="263">
        <f>IF(V$17=0,0,V$17/AGR!V$5*1000)</f>
        <v>52.538923414541067</v>
      </c>
      <c r="W50" s="263">
        <f>IF(W$17=0,0,W$17/AGR!W$5*1000)</f>
        <v>50.130320929190901</v>
      </c>
      <c r="DA50" s="285"/>
    </row>
    <row r="51" spans="1:105" x14ac:dyDescent="0.25">
      <c r="A51" s="128" t="s">
        <v>174</v>
      </c>
      <c r="B51" s="263">
        <f>IF(B$25=0,0,B$25/AGR!B$5*1000)</f>
        <v>6.3907497116350607</v>
      </c>
      <c r="C51" s="263">
        <f>IF(C$25=0,0,C$25/AGR!C$5*1000)</f>
        <v>6.1873679299300726</v>
      </c>
      <c r="D51" s="263">
        <f>IF(D$25=0,0,D$25/AGR!D$5*1000)</f>
        <v>6.5012619062472918</v>
      </c>
      <c r="E51" s="263">
        <f>IF(E$25=0,0,E$25/AGR!E$5*1000)</f>
        <v>6.8708821045170643</v>
      </c>
      <c r="F51" s="263">
        <f>IF(F$25=0,0,F$25/AGR!F$5*1000)</f>
        <v>6.8226729199093583</v>
      </c>
      <c r="G51" s="263">
        <f>IF(G$25=0,0,G$25/AGR!G$5*1000)</f>
        <v>7.7780661938894617</v>
      </c>
      <c r="H51" s="263">
        <f>IF(H$25=0,0,H$25/AGR!H$5*1000)</f>
        <v>7.3798390425219562</v>
      </c>
      <c r="I51" s="263">
        <f>IF(I$25=0,0,I$25/AGR!I$5*1000)</f>
        <v>6.8286448468130825</v>
      </c>
      <c r="J51" s="263">
        <f>IF(J$25=0,0,J$25/AGR!J$5*1000)</f>
        <v>6.9146205660354063</v>
      </c>
      <c r="K51" s="263">
        <f>IF(K$25=0,0,K$25/AGR!K$5*1000)</f>
        <v>7.7625040382096593</v>
      </c>
      <c r="L51" s="263">
        <f>IF(L$25=0,0,L$25/AGR!L$5*1000)</f>
        <v>7.1474055930208165</v>
      </c>
      <c r="M51" s="263">
        <f>IF(M$25=0,0,M$25/AGR!M$5*1000)</f>
        <v>6.5106259770042287</v>
      </c>
      <c r="N51" s="263">
        <f>IF(N$25=0,0,N$25/AGR!N$5*1000)</f>
        <v>6.5790559361105325</v>
      </c>
      <c r="O51" s="263">
        <f>IF(O$25=0,0,O$25/AGR!O$5*1000)</f>
        <v>6.4980163138340785</v>
      </c>
      <c r="P51" s="263">
        <f>IF(P$25=0,0,P$25/AGR!P$5*1000)</f>
        <v>6.4036871302842453</v>
      </c>
      <c r="Q51" s="263">
        <f>IF(Q$25=0,0,Q$25/AGR!Q$5*1000)</f>
        <v>6.5036653256226025</v>
      </c>
      <c r="R51" s="263">
        <f>IF(R$25=0,0,R$25/AGR!R$5*1000)</f>
        <v>6.6848812870755134</v>
      </c>
      <c r="S51" s="263">
        <f>IF(S$25=0,0,S$25/AGR!S$5*1000)</f>
        <v>6.1148994989207566</v>
      </c>
      <c r="T51" s="263">
        <f>IF(T$25=0,0,T$25/AGR!T$5*1000)</f>
        <v>6.9886790323523442</v>
      </c>
      <c r="U51" s="263">
        <f>IF(U$25=0,0,U$25/AGR!U$5*1000)</f>
        <v>6.9346935010815081</v>
      </c>
      <c r="V51" s="263">
        <f>IF(V$25=0,0,V$25/AGR!V$5*1000)</f>
        <v>7.2306565970287764</v>
      </c>
      <c r="W51" s="263">
        <f>IF(W$25=0,0,W$25/AGR!W$5*1000)</f>
        <v>6.8479060049142078</v>
      </c>
      <c r="DA51" s="285"/>
    </row>
    <row r="52" spans="1:105" x14ac:dyDescent="0.25">
      <c r="A52" s="128" t="s">
        <v>177</v>
      </c>
      <c r="B52" s="263">
        <f>IF(B$26=0,0,B$26/AGR!B$5*1000)</f>
        <v>2.9401678966645619</v>
      </c>
      <c r="C52" s="263">
        <f>IF(C$26=0,0,C$26/AGR!C$5*1000)</f>
        <v>2.87660575918729</v>
      </c>
      <c r="D52" s="263">
        <f>IF(D$26=0,0,D$26/AGR!D$5*1000)</f>
        <v>2.9110725206989678</v>
      </c>
      <c r="E52" s="263">
        <f>IF(E$26=0,0,E$26/AGR!E$5*1000)</f>
        <v>3.1898583949979318</v>
      </c>
      <c r="F52" s="263">
        <f>IF(F$26=0,0,F$26/AGR!F$5*1000)</f>
        <v>3.1927072081977705</v>
      </c>
      <c r="G52" s="263">
        <f>IF(G$26=0,0,G$26/AGR!G$5*1000)</f>
        <v>3.7120848691477395</v>
      </c>
      <c r="H52" s="263">
        <f>IF(H$26=0,0,H$26/AGR!H$5*1000)</f>
        <v>3.6288528584753532</v>
      </c>
      <c r="I52" s="263">
        <f>IF(I$26=0,0,I$26/AGR!I$5*1000)</f>
        <v>3.5488318576475995</v>
      </c>
      <c r="J52" s="263">
        <f>IF(J$26=0,0,J$26/AGR!J$5*1000)</f>
        <v>3.6832646286177586</v>
      </c>
      <c r="K52" s="263">
        <f>IF(K$26=0,0,K$26/AGR!K$5*1000)</f>
        <v>4.093048402205377</v>
      </c>
      <c r="L52" s="263">
        <f>IF(L$26=0,0,L$26/AGR!L$5*1000)</f>
        <v>3.9241421144768727</v>
      </c>
      <c r="M52" s="263">
        <f>IF(M$26=0,0,M$26/AGR!M$5*1000)</f>
        <v>3.7528844504309902</v>
      </c>
      <c r="N52" s="263">
        <f>IF(N$26=0,0,N$26/AGR!N$5*1000)</f>
        <v>3.9191850864916735</v>
      </c>
      <c r="O52" s="263">
        <f>IF(O$26=0,0,O$26/AGR!O$5*1000)</f>
        <v>3.7859365140668726</v>
      </c>
      <c r="P52" s="263">
        <f>IF(P$26=0,0,P$26/AGR!P$5*1000)</f>
        <v>3.573515443696277</v>
      </c>
      <c r="Q52" s="263">
        <f>IF(Q$26=0,0,Q$26/AGR!Q$5*1000)</f>
        <v>3.7180985760686514</v>
      </c>
      <c r="R52" s="263">
        <f>IF(R$26=0,0,R$26/AGR!R$5*1000)</f>
        <v>3.7242696729235383</v>
      </c>
      <c r="S52" s="263">
        <f>IF(S$26=0,0,S$26/AGR!S$5*1000)</f>
        <v>3.5742000732842842</v>
      </c>
      <c r="T52" s="263">
        <f>IF(T$26=0,0,T$26/AGR!T$5*1000)</f>
        <v>3.8696277975015914</v>
      </c>
      <c r="U52" s="263">
        <f>IF(U$26=0,0,U$26/AGR!U$5*1000)</f>
        <v>4.0826615604098251</v>
      </c>
      <c r="V52" s="263">
        <f>IF(V$26=0,0,V$26/AGR!V$5*1000)</f>
        <v>4.3617808444833424</v>
      </c>
      <c r="W52" s="263">
        <f>IF(W$26=0,0,W$26/AGR!W$5*1000)</f>
        <v>4.3173876370262239</v>
      </c>
      <c r="DA52" s="285"/>
    </row>
    <row r="53" spans="1:105" x14ac:dyDescent="0.25">
      <c r="A53" s="261" t="s">
        <v>33</v>
      </c>
      <c r="B53" s="264">
        <f>IF(B$27=0,0,B$27/AGR!B$5*1000)</f>
        <v>4.2632434501636149</v>
      </c>
      <c r="C53" s="264">
        <f>IF(C$27=0,0,C$27/AGR!C$5*1000)</f>
        <v>4.1710783508215714</v>
      </c>
      <c r="D53" s="264">
        <f>IF(D$27=0,0,D$27/AGR!D$5*1000)</f>
        <v>4.2210551550135031</v>
      </c>
      <c r="E53" s="264">
        <f>IF(E$27=0,0,E$27/AGR!E$5*1000)</f>
        <v>4.6252946727470015</v>
      </c>
      <c r="F53" s="264">
        <f>IF(F$27=0,0,F$27/AGR!F$5*1000)</f>
        <v>4.6294254518867666</v>
      </c>
      <c r="G53" s="264">
        <f>IF(G$27=0,0,G$27/AGR!G$5*1000)</f>
        <v>5.3825230602642229</v>
      </c>
      <c r="H53" s="264">
        <f>IF(H$27=0,0,H$27/AGR!H$5*1000)</f>
        <v>5.2618366447892608</v>
      </c>
      <c r="I53" s="264">
        <f>IF(I$27=0,0,I$27/AGR!I$5*1000)</f>
        <v>5.145806193589018</v>
      </c>
      <c r="J53" s="264">
        <f>IF(J$27=0,0,J$27/AGR!J$5*1000)</f>
        <v>5.3407337114957514</v>
      </c>
      <c r="K53" s="264">
        <f>IF(K$27=0,0,K$27/AGR!K$5*1000)</f>
        <v>5.9349201831977965</v>
      </c>
      <c r="L53" s="264">
        <f>IF(L$27=0,0,L$27/AGR!L$5*1000)</f>
        <v>5.6900060659914669</v>
      </c>
      <c r="M53" s="264">
        <f>IF(M$27=0,0,M$27/AGR!M$5*1000)</f>
        <v>5.4416824531249341</v>
      </c>
      <c r="N53" s="264">
        <f>IF(N$27=0,0,N$27/AGR!N$5*1000)</f>
        <v>5.6828183754129249</v>
      </c>
      <c r="O53" s="264">
        <f>IF(O$27=0,0,O$27/AGR!O$5*1000)</f>
        <v>5.4896079453969655</v>
      </c>
      <c r="P53" s="264">
        <f>IF(P$27=0,0,P$27/AGR!P$5*1000)</f>
        <v>5.1815973933596018</v>
      </c>
      <c r="Q53" s="264">
        <f>IF(Q$27=0,0,Q$27/AGR!Q$5*1000)</f>
        <v>5.3912429352995481</v>
      </c>
      <c r="R53" s="264">
        <f>IF(R$27=0,0,R$27/AGR!R$5*1000)</f>
        <v>5.4001910257391277</v>
      </c>
      <c r="S53" s="264">
        <f>IF(S$27=0,0,S$27/AGR!S$5*1000)</f>
        <v>5.1825901062622108</v>
      </c>
      <c r="T53" s="264">
        <f>IF(T$27=0,0,T$27/AGR!T$5*1000)</f>
        <v>5.6109603063773079</v>
      </c>
      <c r="U53" s="264">
        <f>IF(U$27=0,0,U$27/AGR!U$5*1000)</f>
        <v>5.9198592625942457</v>
      </c>
      <c r="V53" s="264">
        <f>IF(V$27=0,0,V$27/AGR!V$5*1000)</f>
        <v>6.3245822245008467</v>
      </c>
      <c r="W53" s="264">
        <f>IF(W$27=0,0,W$27/AGR!W$5*1000)</f>
        <v>6.260212073688022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1205.0320451436839</v>
      </c>
      <c r="C5" s="80">
        <f t="shared" ref="C5:W5" si="1">SUM(C6:C9,C16:C17,C25:C27)</f>
        <v>1252.6370977074059</v>
      </c>
      <c r="D5" s="80">
        <f t="shared" si="1"/>
        <v>1234.2031633120757</v>
      </c>
      <c r="E5" s="80">
        <f t="shared" si="1"/>
        <v>1254.3156790858552</v>
      </c>
      <c r="F5" s="80">
        <f t="shared" si="1"/>
        <v>1251.1782922957866</v>
      </c>
      <c r="G5" s="80">
        <f t="shared" si="1"/>
        <v>1272.1305507131292</v>
      </c>
      <c r="H5" s="80">
        <f t="shared" si="1"/>
        <v>1261.7924692037832</v>
      </c>
      <c r="I5" s="80">
        <f t="shared" si="1"/>
        <v>1225.8175328007451</v>
      </c>
      <c r="J5" s="80">
        <f t="shared" si="1"/>
        <v>1192.5669895983526</v>
      </c>
      <c r="K5" s="80">
        <f t="shared" si="1"/>
        <v>1207.4996247624215</v>
      </c>
      <c r="L5" s="80">
        <f t="shared" si="1"/>
        <v>1140.6007927344699</v>
      </c>
      <c r="M5" s="80">
        <f t="shared" si="1"/>
        <v>1141.3362722346701</v>
      </c>
      <c r="N5" s="80">
        <f t="shared" si="1"/>
        <v>1107.3897371699709</v>
      </c>
      <c r="O5" s="80">
        <f t="shared" si="1"/>
        <v>1090.1430465901922</v>
      </c>
      <c r="P5" s="80">
        <f t="shared" si="1"/>
        <v>1080.4785101475354</v>
      </c>
      <c r="Q5" s="80">
        <f t="shared" si="1"/>
        <v>1110.4168344745492</v>
      </c>
      <c r="R5" s="80">
        <f t="shared" si="1"/>
        <v>1115.4352864687019</v>
      </c>
      <c r="S5" s="80">
        <f t="shared" si="1"/>
        <v>1139.7486341343372</v>
      </c>
      <c r="T5" s="80">
        <f t="shared" si="1"/>
        <v>1177.6519999981197</v>
      </c>
      <c r="U5" s="80">
        <f t="shared" si="1"/>
        <v>1145.6369068063341</v>
      </c>
      <c r="V5" s="80">
        <f t="shared" si="1"/>
        <v>1161.6705286451354</v>
      </c>
      <c r="W5" s="80">
        <f t="shared" si="1"/>
        <v>1187.0221665730037</v>
      </c>
      <c r="DA5" s="103"/>
    </row>
    <row r="6" spans="1:105" x14ac:dyDescent="0.25">
      <c r="A6" s="239" t="s">
        <v>125</v>
      </c>
      <c r="B6" s="240">
        <v>34.152284901654028</v>
      </c>
      <c r="C6" s="240">
        <v>35.851857633563561</v>
      </c>
      <c r="D6" s="240">
        <v>34.300396063433432</v>
      </c>
      <c r="E6" s="240">
        <v>35.907406392724504</v>
      </c>
      <c r="F6" s="240">
        <v>35.989051254568018</v>
      </c>
      <c r="G6" s="240">
        <v>37.063027664274138</v>
      </c>
      <c r="H6" s="240">
        <v>37.69159978680711</v>
      </c>
      <c r="I6" s="240">
        <v>38.131666871175177</v>
      </c>
      <c r="J6" s="240">
        <v>37.863914100726006</v>
      </c>
      <c r="K6" s="240">
        <v>37.938189563208638</v>
      </c>
      <c r="L6" s="240">
        <v>37.044780094584972</v>
      </c>
      <c r="M6" s="240">
        <v>38.361452109878243</v>
      </c>
      <c r="N6" s="240">
        <v>38.039131447724003</v>
      </c>
      <c r="O6" s="240">
        <v>36.814741093439324</v>
      </c>
      <c r="P6" s="240">
        <v>35.37863253398725</v>
      </c>
      <c r="Q6" s="240">
        <v>37.027024788499673</v>
      </c>
      <c r="R6" s="240">
        <v>36.660092776880433</v>
      </c>
      <c r="S6" s="240">
        <v>38.757272564367412</v>
      </c>
      <c r="T6" s="240">
        <v>38.559242909207093</v>
      </c>
      <c r="U6" s="240">
        <v>39.085898385000782</v>
      </c>
      <c r="V6" s="240">
        <v>40.340638953799441</v>
      </c>
      <c r="W6" s="240">
        <v>42.256423726582469</v>
      </c>
      <c r="DA6" s="268" t="s">
        <v>1014</v>
      </c>
    </row>
    <row r="7" spans="1:105" x14ac:dyDescent="0.25">
      <c r="A7" s="241" t="s">
        <v>124</v>
      </c>
      <c r="B7" s="242">
        <v>22.013133367834499</v>
      </c>
      <c r="C7" s="242">
        <v>23.108606813420771</v>
      </c>
      <c r="D7" s="242">
        <v>22.108599623369191</v>
      </c>
      <c r="E7" s="242">
        <v>23.14441121852424</v>
      </c>
      <c r="F7" s="242">
        <v>23.197036079137082</v>
      </c>
      <c r="G7" s="242">
        <v>23.889276320422489</v>
      </c>
      <c r="H7" s="242">
        <v>24.294427601060551</v>
      </c>
      <c r="I7" s="242">
        <v>24.578076424173972</v>
      </c>
      <c r="J7" s="242">
        <v>24.405494195416001</v>
      </c>
      <c r="K7" s="242">
        <v>24.453369049654771</v>
      </c>
      <c r="L7" s="242">
        <v>23.877514700772061</v>
      </c>
      <c r="M7" s="242">
        <v>24.726186371139342</v>
      </c>
      <c r="N7" s="242">
        <v>24.518431963384721</v>
      </c>
      <c r="O7" s="242">
        <v>23.72924118915768</v>
      </c>
      <c r="P7" s="242">
        <v>22.803585721567689</v>
      </c>
      <c r="Q7" s="242">
        <v>23.866070373636479</v>
      </c>
      <c r="R7" s="242">
        <v>23.629561357271619</v>
      </c>
      <c r="S7" s="242">
        <v>24.98131566862201</v>
      </c>
      <c r="T7" s="242">
        <v>24.853674041644961</v>
      </c>
      <c r="U7" s="242">
        <v>25.193134117623242</v>
      </c>
      <c r="V7" s="242">
        <v>26.001887369785869</v>
      </c>
      <c r="W7" s="242">
        <v>27.236722047137039</v>
      </c>
      <c r="DA7" s="269" t="s">
        <v>1015</v>
      </c>
    </row>
    <row r="8" spans="1:105" x14ac:dyDescent="0.25">
      <c r="A8" s="241" t="s">
        <v>123</v>
      </c>
      <c r="B8" s="242">
        <v>43.745208165447814</v>
      </c>
      <c r="C8" s="242">
        <v>45.922168306293329</v>
      </c>
      <c r="D8" s="242">
        <v>43.934921785556242</v>
      </c>
      <c r="E8" s="242">
        <v>45.993319974178092</v>
      </c>
      <c r="F8" s="242">
        <v>46.097897793415306</v>
      </c>
      <c r="G8" s="242">
        <v>47.473539913486171</v>
      </c>
      <c r="H8" s="242">
        <v>48.278669597382383</v>
      </c>
      <c r="I8" s="242">
        <v>48.842345681365593</v>
      </c>
      <c r="J8" s="242">
        <v>48.499384713632281</v>
      </c>
      <c r="K8" s="242">
        <v>48.594523167098693</v>
      </c>
      <c r="L8" s="242">
        <v>47.450166843811168</v>
      </c>
      <c r="M8" s="242">
        <v>49.136674541919369</v>
      </c>
      <c r="N8" s="242">
        <v>48.723818286398988</v>
      </c>
      <c r="O8" s="242">
        <v>47.155512942314843</v>
      </c>
      <c r="P8" s="242">
        <v>45.316020560990431</v>
      </c>
      <c r="Q8" s="242">
        <v>47.427424308048828</v>
      </c>
      <c r="R8" s="242">
        <v>46.957425967467131</v>
      </c>
      <c r="S8" s="242">
        <v>49.643675705315417</v>
      </c>
      <c r="T8" s="242">
        <v>49.390022149986187</v>
      </c>
      <c r="U8" s="242">
        <v>50.064608154595007</v>
      </c>
      <c r="V8" s="242">
        <v>51.671788685379077</v>
      </c>
      <c r="W8" s="242">
        <v>54.125691957939601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390.81779317715097</v>
      </c>
      <c r="C9" s="244">
        <f t="shared" ref="C9:W9" si="3">SUM(C10:C15)</f>
        <v>406.32152305618808</v>
      </c>
      <c r="D9" s="244">
        <f t="shared" si="3"/>
        <v>401.40092406558887</v>
      </c>
      <c r="E9" s="244">
        <f t="shared" si="3"/>
        <v>407.77951247836893</v>
      </c>
      <c r="F9" s="244">
        <f t="shared" si="3"/>
        <v>406.74606350390656</v>
      </c>
      <c r="G9" s="244">
        <f t="shared" si="3"/>
        <v>413.89706242097344</v>
      </c>
      <c r="H9" s="244">
        <f t="shared" si="3"/>
        <v>409.79857925468986</v>
      </c>
      <c r="I9" s="244">
        <f t="shared" si="3"/>
        <v>398.43199533247906</v>
      </c>
      <c r="J9" s="244">
        <f t="shared" si="3"/>
        <v>386.82479625475469</v>
      </c>
      <c r="K9" s="244">
        <f t="shared" si="3"/>
        <v>394.255522186593</v>
      </c>
      <c r="L9" s="244">
        <f t="shared" si="3"/>
        <v>368.31011847846503</v>
      </c>
      <c r="M9" s="244">
        <f t="shared" si="3"/>
        <v>370.47098317392039</v>
      </c>
      <c r="N9" s="244">
        <f t="shared" si="3"/>
        <v>361.07885134939067</v>
      </c>
      <c r="O9" s="244">
        <f t="shared" si="3"/>
        <v>356.23305671565845</v>
      </c>
      <c r="P9" s="244">
        <f t="shared" si="3"/>
        <v>352.75027742145608</v>
      </c>
      <c r="Q9" s="244">
        <f t="shared" si="3"/>
        <v>359.95495208639585</v>
      </c>
      <c r="R9" s="244">
        <f t="shared" si="3"/>
        <v>362.99307423504445</v>
      </c>
      <c r="S9" s="244">
        <f t="shared" si="3"/>
        <v>371.59865540731107</v>
      </c>
      <c r="T9" s="244">
        <f t="shared" si="3"/>
        <v>383.06814358297476</v>
      </c>
      <c r="U9" s="244">
        <f t="shared" si="3"/>
        <v>374.47376162364719</v>
      </c>
      <c r="V9" s="244">
        <f t="shared" si="3"/>
        <v>379.76367969899064</v>
      </c>
      <c r="W9" s="244">
        <f t="shared" si="3"/>
        <v>390.72062961036613</v>
      </c>
      <c r="DA9" s="270"/>
    </row>
    <row r="10" spans="1:105" x14ac:dyDescent="0.25">
      <c r="A10" s="254" t="s">
        <v>173</v>
      </c>
      <c r="B10" s="255">
        <v>298.15293271568282</v>
      </c>
      <c r="C10" s="255">
        <v>309.5017131247414</v>
      </c>
      <c r="D10" s="255">
        <v>310.42102907127162</v>
      </c>
      <c r="E10" s="255">
        <v>309.73577391228702</v>
      </c>
      <c r="F10" s="255">
        <v>306.00624395822831</v>
      </c>
      <c r="G10" s="255">
        <v>303.19313809730369</v>
      </c>
      <c r="H10" s="255">
        <v>299.17719653703631</v>
      </c>
      <c r="I10" s="255">
        <v>278.65666679150468</v>
      </c>
      <c r="J10" s="255">
        <v>270.08025368043491</v>
      </c>
      <c r="K10" s="255">
        <v>270.82834859828728</v>
      </c>
      <c r="L10" s="255">
        <v>255.67580540994871</v>
      </c>
      <c r="M10" s="255">
        <v>246.4531237520078</v>
      </c>
      <c r="N10" s="255">
        <v>231.6687088100424</v>
      </c>
      <c r="O10" s="255">
        <v>230.01162903055479</v>
      </c>
      <c r="P10" s="255">
        <v>235.57129136085251</v>
      </c>
      <c r="Q10" s="255">
        <v>239.5344296957945</v>
      </c>
      <c r="R10" s="255">
        <v>246.7382311636978</v>
      </c>
      <c r="S10" s="255">
        <v>242.9133418802181</v>
      </c>
      <c r="T10" s="255">
        <v>262.29620081409121</v>
      </c>
      <c r="U10" s="255">
        <v>240.53418985385841</v>
      </c>
      <c r="V10" s="255">
        <v>241.0032956481156</v>
      </c>
      <c r="W10" s="255">
        <v>230.31566756054369</v>
      </c>
      <c r="DA10" s="271" t="s">
        <v>1017</v>
      </c>
    </row>
    <row r="11" spans="1:105" x14ac:dyDescent="0.25">
      <c r="A11" s="254" t="s">
        <v>176</v>
      </c>
      <c r="B11" s="256">
        <v>27.23941049976834</v>
      </c>
      <c r="C11" s="256">
        <v>28.128290673454892</v>
      </c>
      <c r="D11" s="256">
        <v>27.80634427351433</v>
      </c>
      <c r="E11" s="256">
        <v>30.186104665055311</v>
      </c>
      <c r="F11" s="256">
        <v>31.52976802597356</v>
      </c>
      <c r="G11" s="256">
        <v>38.35666200860522</v>
      </c>
      <c r="H11" s="256">
        <v>33.475305431923687</v>
      </c>
      <c r="I11" s="256">
        <v>34.836945605511133</v>
      </c>
      <c r="J11" s="256">
        <v>30.396875165065008</v>
      </c>
      <c r="K11" s="256">
        <v>31.252406268097982</v>
      </c>
      <c r="L11" s="256">
        <v>31.402789558099229</v>
      </c>
      <c r="M11" s="256">
        <v>28.205248985945801</v>
      </c>
      <c r="N11" s="256">
        <v>27.38207484240613</v>
      </c>
      <c r="O11" s="256">
        <v>27.381619715624499</v>
      </c>
      <c r="P11" s="256">
        <v>26.268770261910809</v>
      </c>
      <c r="Q11" s="256">
        <v>30.37166590845446</v>
      </c>
      <c r="R11" s="256">
        <v>28.141046165234581</v>
      </c>
      <c r="S11" s="256">
        <v>29.065468826527781</v>
      </c>
      <c r="T11" s="256">
        <v>29.630279156953101</v>
      </c>
      <c r="U11" s="256">
        <v>30.187973890179009</v>
      </c>
      <c r="V11" s="256">
        <v>28.73314175207496</v>
      </c>
      <c r="W11" s="256">
        <v>36.375910422490669</v>
      </c>
      <c r="DA11" s="272" t="s">
        <v>1018</v>
      </c>
    </row>
    <row r="12" spans="1:105" x14ac:dyDescent="0.25">
      <c r="A12" s="254" t="s">
        <v>158</v>
      </c>
      <c r="B12" s="256">
        <v>20.955251296920729</v>
      </c>
      <c r="C12" s="256">
        <v>21.173425205284591</v>
      </c>
      <c r="D12" s="256">
        <v>21.217628449923669</v>
      </c>
      <c r="E12" s="256">
        <v>20.902346074673751</v>
      </c>
      <c r="F12" s="256">
        <v>20.557924918129459</v>
      </c>
      <c r="G12" s="256">
        <v>20.518170064396141</v>
      </c>
      <c r="H12" s="256">
        <v>20.40170817031915</v>
      </c>
      <c r="I12" s="256">
        <v>20.207969255189809</v>
      </c>
      <c r="J12" s="256">
        <v>20.16799563730261</v>
      </c>
      <c r="K12" s="256">
        <v>20.06668701590889</v>
      </c>
      <c r="L12" s="256">
        <v>11.779339367448801</v>
      </c>
      <c r="M12" s="256">
        <v>11.56312943420564</v>
      </c>
      <c r="N12" s="256">
        <v>9.5911453008427703</v>
      </c>
      <c r="O12" s="256">
        <v>9.7360541498102648</v>
      </c>
      <c r="P12" s="256">
        <v>9.1089431140549735</v>
      </c>
      <c r="Q12" s="256">
        <v>9.2591885735082577</v>
      </c>
      <c r="R12" s="256">
        <v>11.7618667616532</v>
      </c>
      <c r="S12" s="256">
        <v>12.216806753894749</v>
      </c>
      <c r="T12" s="256">
        <v>12.230857867335949</v>
      </c>
      <c r="U12" s="256">
        <v>12.68379911940827</v>
      </c>
      <c r="V12" s="256">
        <v>11.33849793252584</v>
      </c>
      <c r="W12" s="256">
        <v>10.76930680538651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0.79358601783542015</v>
      </c>
      <c r="G14" s="255">
        <v>0.82600346151456228</v>
      </c>
      <c r="H14" s="255">
        <v>1.4090510097002309</v>
      </c>
      <c r="I14" s="255">
        <v>2.3321901927425679</v>
      </c>
      <c r="J14" s="255">
        <v>0.6316154089494963</v>
      </c>
      <c r="K14" s="255">
        <v>8.6323687794174546</v>
      </c>
      <c r="L14" s="255">
        <v>0.8907800441180449</v>
      </c>
      <c r="M14" s="255">
        <v>6.3487464474388648</v>
      </c>
      <c r="N14" s="255">
        <v>10.47864714550264</v>
      </c>
      <c r="O14" s="255">
        <v>13.766393964966641</v>
      </c>
      <c r="P14" s="255">
        <v>15.240221557269891</v>
      </c>
      <c r="Q14" s="255">
        <v>6.4135230300423292</v>
      </c>
      <c r="R14" s="255">
        <v>7.3528709349240184</v>
      </c>
      <c r="S14" s="255">
        <v>7.1104980691435067</v>
      </c>
      <c r="T14" s="255">
        <v>7.2643643171095844</v>
      </c>
      <c r="U14" s="255">
        <v>9.3026985455668285</v>
      </c>
      <c r="V14" s="255">
        <v>9.7830131157620333</v>
      </c>
      <c r="W14" s="255">
        <v>12.810837338244699</v>
      </c>
      <c r="DA14" s="271" t="s">
        <v>1021</v>
      </c>
    </row>
    <row r="15" spans="1:105" x14ac:dyDescent="0.25">
      <c r="A15" s="254" t="s">
        <v>24</v>
      </c>
      <c r="B15" s="256">
        <v>44.470198664779133</v>
      </c>
      <c r="C15" s="256">
        <v>47.518094052707177</v>
      </c>
      <c r="D15" s="256">
        <v>41.955922270879213</v>
      </c>
      <c r="E15" s="256">
        <v>46.955287826352823</v>
      </c>
      <c r="F15" s="256">
        <v>47.858540583739789</v>
      </c>
      <c r="G15" s="256">
        <v>51.003088789153843</v>
      </c>
      <c r="H15" s="256">
        <v>55.335318105710471</v>
      </c>
      <c r="I15" s="256">
        <v>62.398223487530878</v>
      </c>
      <c r="J15" s="256">
        <v>65.548056363002658</v>
      </c>
      <c r="K15" s="256">
        <v>63.475711524881433</v>
      </c>
      <c r="L15" s="256">
        <v>68.561404098850204</v>
      </c>
      <c r="M15" s="256">
        <v>77.900734554322298</v>
      </c>
      <c r="N15" s="256">
        <v>81.958275250596699</v>
      </c>
      <c r="O15" s="256">
        <v>75.337359854702257</v>
      </c>
      <c r="P15" s="256">
        <v>66.561051127367946</v>
      </c>
      <c r="Q15" s="256">
        <v>74.376144878596321</v>
      </c>
      <c r="R15" s="256">
        <v>68.999059209534806</v>
      </c>
      <c r="S15" s="256">
        <v>80.292539877526949</v>
      </c>
      <c r="T15" s="256">
        <v>71.646441427484888</v>
      </c>
      <c r="U15" s="256">
        <v>81.7651002146347</v>
      </c>
      <c r="V15" s="256">
        <v>88.905731250512204</v>
      </c>
      <c r="W15" s="256">
        <v>100.44890748370059</v>
      </c>
      <c r="DA15" s="272" t="s">
        <v>1022</v>
      </c>
    </row>
    <row r="16" spans="1:105" x14ac:dyDescent="0.25">
      <c r="A16" s="257" t="s">
        <v>175</v>
      </c>
      <c r="B16" s="258">
        <v>276.438314497107</v>
      </c>
      <c r="C16" s="258">
        <v>287.16800646938952</v>
      </c>
      <c r="D16" s="258">
        <v>285.26110881818471</v>
      </c>
      <c r="E16" s="258">
        <v>288.02084701260787</v>
      </c>
      <c r="F16" s="258">
        <v>286.39448490797702</v>
      </c>
      <c r="G16" s="258">
        <v>289.19676158507121</v>
      </c>
      <c r="H16" s="258">
        <v>285.44398492536891</v>
      </c>
      <c r="I16" s="258">
        <v>273.2333373930162</v>
      </c>
      <c r="J16" s="258">
        <v>264.70352888515941</v>
      </c>
      <c r="K16" s="258">
        <v>267.93555896749092</v>
      </c>
      <c r="L16" s="258">
        <v>251.26356381075291</v>
      </c>
      <c r="M16" s="258">
        <v>247.82857849543959</v>
      </c>
      <c r="N16" s="258">
        <v>237.7919732802647</v>
      </c>
      <c r="O16" s="258">
        <v>235.30329818069529</v>
      </c>
      <c r="P16" s="258">
        <v>236.08819833105761</v>
      </c>
      <c r="Q16" s="258">
        <v>241.18755525610629</v>
      </c>
      <c r="R16" s="258">
        <v>245.0444847304033</v>
      </c>
      <c r="S16" s="258">
        <v>246.92352327539859</v>
      </c>
      <c r="T16" s="258">
        <v>259.33025849697179</v>
      </c>
      <c r="U16" s="258">
        <v>247.23091916592759</v>
      </c>
      <c r="V16" s="258">
        <v>249.0321750925564</v>
      </c>
      <c r="W16" s="258">
        <v>249.5906312783352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315.20047992726455</v>
      </c>
      <c r="C17" s="258">
        <f t="shared" ref="C17:W17" si="5">SUM(C18:C24)</f>
        <v>325.90292772980439</v>
      </c>
      <c r="D17" s="258">
        <f t="shared" si="5"/>
        <v>322.97490810634605</v>
      </c>
      <c r="E17" s="258">
        <f t="shared" si="5"/>
        <v>324.85442319251069</v>
      </c>
      <c r="F17" s="258">
        <f t="shared" si="5"/>
        <v>324.15241163832894</v>
      </c>
      <c r="G17" s="258">
        <f t="shared" si="5"/>
        <v>328.94450805621148</v>
      </c>
      <c r="H17" s="258">
        <f t="shared" si="5"/>
        <v>323.55034845602211</v>
      </c>
      <c r="I17" s="258">
        <f t="shared" si="5"/>
        <v>310.40625744010185</v>
      </c>
      <c r="J17" s="258">
        <f t="shared" si="5"/>
        <v>299.89353670442165</v>
      </c>
      <c r="K17" s="258">
        <f t="shared" si="5"/>
        <v>303.32547751285756</v>
      </c>
      <c r="L17" s="258">
        <f t="shared" si="5"/>
        <v>286.13637255287517</v>
      </c>
      <c r="M17" s="258">
        <f t="shared" si="5"/>
        <v>281.46062211001436</v>
      </c>
      <c r="N17" s="258">
        <f t="shared" si="5"/>
        <v>270.04253458602642</v>
      </c>
      <c r="O17" s="258">
        <f t="shared" si="5"/>
        <v>267.11152107146353</v>
      </c>
      <c r="P17" s="258">
        <f t="shared" si="5"/>
        <v>267.83502619987831</v>
      </c>
      <c r="Q17" s="258">
        <f t="shared" si="5"/>
        <v>275.83530406138277</v>
      </c>
      <c r="R17" s="258">
        <f t="shared" si="5"/>
        <v>275.43175126535948</v>
      </c>
      <c r="S17" s="258">
        <f t="shared" si="5"/>
        <v>277.62344371138022</v>
      </c>
      <c r="T17" s="258">
        <f t="shared" si="5"/>
        <v>291.05672568931413</v>
      </c>
      <c r="U17" s="258">
        <f t="shared" si="5"/>
        <v>278.50396104901034</v>
      </c>
      <c r="V17" s="258">
        <f t="shared" si="5"/>
        <v>280.39291444545574</v>
      </c>
      <c r="W17" s="258">
        <f t="shared" si="5"/>
        <v>283.75442410116528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21.67558473912748</v>
      </c>
      <c r="C19" s="55">
        <v>20.746638723715972</v>
      </c>
      <c r="D19" s="55">
        <v>20.746638723718931</v>
      </c>
      <c r="E19" s="55">
        <v>20.746638723715709</v>
      </c>
      <c r="F19" s="55">
        <v>20.4370062076373</v>
      </c>
      <c r="G19" s="55">
        <v>20.746662957302661</v>
      </c>
      <c r="H19" s="55">
        <v>20.746662957304579</v>
      </c>
      <c r="I19" s="55">
        <v>19.817692708311391</v>
      </c>
      <c r="J19" s="55">
        <v>19.19840344256508</v>
      </c>
      <c r="K19" s="55">
        <v>18.579089943240859</v>
      </c>
      <c r="L19" s="55">
        <v>19.198403442568381</v>
      </c>
      <c r="M19" s="55">
        <v>18.579089943235498</v>
      </c>
      <c r="N19" s="55">
        <v>16.721173678837818</v>
      </c>
      <c r="O19" s="55">
        <v>16.101884413095789</v>
      </c>
      <c r="P19" s="55">
        <v>13.934311399030589</v>
      </c>
      <c r="Q19" s="55">
        <v>16.411541162761129</v>
      </c>
      <c r="R19" s="55">
        <v>6.502694808604419</v>
      </c>
      <c r="S19" s="55">
        <v>5.8833813092774543</v>
      </c>
      <c r="T19" s="55">
        <v>6.1930380589419727</v>
      </c>
      <c r="U19" s="55">
        <v>6.6559480004084639</v>
      </c>
      <c r="V19" s="55">
        <v>7.0934853783447886</v>
      </c>
      <c r="W19" s="55">
        <v>7.7676152470374742</v>
      </c>
      <c r="DA19" s="101" t="s">
        <v>1025</v>
      </c>
    </row>
    <row r="20" spans="1:105" x14ac:dyDescent="0.25">
      <c r="A20" s="61" t="s">
        <v>173</v>
      </c>
      <c r="B20" s="55">
        <v>248.19623618651681</v>
      </c>
      <c r="C20" s="55">
        <v>261.19152704272551</v>
      </c>
      <c r="D20" s="55">
        <v>261.24842414530178</v>
      </c>
      <c r="E20" s="55">
        <v>266.83990563078328</v>
      </c>
      <c r="F20" s="55">
        <v>262.69991604923018</v>
      </c>
      <c r="G20" s="55">
        <v>261.53833605590643</v>
      </c>
      <c r="H20" s="55">
        <v>260.68055660685411</v>
      </c>
      <c r="I20" s="55">
        <v>247.23964852228539</v>
      </c>
      <c r="J20" s="55">
        <v>241.00443109644479</v>
      </c>
      <c r="K20" s="55">
        <v>244.3936962868558</v>
      </c>
      <c r="L20" s="55">
        <v>230.36861014760231</v>
      </c>
      <c r="M20" s="55">
        <v>228.8200474249457</v>
      </c>
      <c r="N20" s="55">
        <v>220.27392530540959</v>
      </c>
      <c r="O20" s="55">
        <v>217.94811558941831</v>
      </c>
      <c r="P20" s="55">
        <v>218.2352877505929</v>
      </c>
      <c r="Q20" s="55">
        <v>217.81494441357651</v>
      </c>
      <c r="R20" s="55">
        <v>228.64166499184299</v>
      </c>
      <c r="S20" s="55">
        <v>229.65328956532269</v>
      </c>
      <c r="T20" s="55">
        <v>243.14566745919319</v>
      </c>
      <c r="U20" s="55">
        <v>228.51454022171151</v>
      </c>
      <c r="V20" s="55">
        <v>231.57858170200669</v>
      </c>
      <c r="W20" s="55">
        <v>225.97246977534999</v>
      </c>
      <c r="DA20" s="101" t="s">
        <v>1026</v>
      </c>
    </row>
    <row r="21" spans="1:105" x14ac:dyDescent="0.25">
      <c r="A21" s="61" t="s">
        <v>129</v>
      </c>
      <c r="B21" s="55">
        <v>13.72449665051945</v>
      </c>
      <c r="C21" s="55">
        <v>11.08515542155164</v>
      </c>
      <c r="D21" s="55">
        <v>8.4458357870604477</v>
      </c>
      <c r="E21" s="55">
        <v>2.1114643453829451</v>
      </c>
      <c r="F21" s="55">
        <v>5.0147116244301611</v>
      </c>
      <c r="G21" s="55">
        <v>4.7507839798757407</v>
      </c>
      <c r="H21" s="55">
        <v>3.9589794517392738</v>
      </c>
      <c r="I21" s="55">
        <v>3.4311241626296072</v>
      </c>
      <c r="J21" s="55">
        <v>3.431124162629041</v>
      </c>
      <c r="K21" s="55">
        <v>2.903247279047604</v>
      </c>
      <c r="L21" s="55">
        <v>2.9032472790475001</v>
      </c>
      <c r="M21" s="55">
        <v>2.3753919899374041</v>
      </c>
      <c r="N21" s="55">
        <v>2.375391989937599</v>
      </c>
      <c r="O21" s="55">
        <v>2.37539198993775</v>
      </c>
      <c r="P21" s="55">
        <v>2.3753919899374432</v>
      </c>
      <c r="Q21" s="55">
        <v>2.1114643453831938</v>
      </c>
      <c r="R21" s="55">
        <v>0.79180452813670688</v>
      </c>
      <c r="S21" s="55">
        <v>0.79180452813685409</v>
      </c>
      <c r="T21" s="55">
        <v>0.79180452813690949</v>
      </c>
      <c r="U21" s="55">
        <v>0.79180452813667701</v>
      </c>
      <c r="V21" s="55">
        <v>0.79180452813743318</v>
      </c>
      <c r="W21" s="55">
        <v>0.55452446281505907</v>
      </c>
      <c r="DA21" s="101" t="s">
        <v>1027</v>
      </c>
    </row>
    <row r="22" spans="1:105" x14ac:dyDescent="0.25">
      <c r="A22" s="61" t="s">
        <v>176</v>
      </c>
      <c r="B22" s="55">
        <v>22.13237669111227</v>
      </c>
      <c r="C22" s="55">
        <v>23.169337271293411</v>
      </c>
      <c r="D22" s="55">
        <v>22.84129293644536</v>
      </c>
      <c r="E22" s="55">
        <v>25.382870053021541</v>
      </c>
      <c r="F22" s="55">
        <v>26.41950426445139</v>
      </c>
      <c r="G22" s="55">
        <v>32.29468381395435</v>
      </c>
      <c r="H22" s="55">
        <v>28.46944117892431</v>
      </c>
      <c r="I22" s="55">
        <v>30.169144349224489</v>
      </c>
      <c r="J22" s="55">
        <v>26.47496395827692</v>
      </c>
      <c r="K22" s="55">
        <v>27.526664048264621</v>
      </c>
      <c r="L22" s="55">
        <v>27.616977188538531</v>
      </c>
      <c r="M22" s="55">
        <v>25.560181004755879</v>
      </c>
      <c r="N22" s="55">
        <v>25.411851512425081</v>
      </c>
      <c r="O22" s="55">
        <v>25.324256405594479</v>
      </c>
      <c r="P22" s="55">
        <v>23.752897692181499</v>
      </c>
      <c r="Q22" s="55">
        <v>26.956442979614831</v>
      </c>
      <c r="R22" s="55">
        <v>25.452673621674659</v>
      </c>
      <c r="S22" s="55">
        <v>26.820870996738229</v>
      </c>
      <c r="T22" s="55">
        <v>26.809241156014529</v>
      </c>
      <c r="U22" s="55">
        <v>27.99272846829648</v>
      </c>
      <c r="V22" s="55">
        <v>26.948386449541381</v>
      </c>
      <c r="W22" s="55">
        <v>34.835348884398407</v>
      </c>
      <c r="DA22" s="101" t="s">
        <v>1028</v>
      </c>
    </row>
    <row r="23" spans="1:105" x14ac:dyDescent="0.25">
      <c r="A23" s="61" t="s">
        <v>171</v>
      </c>
      <c r="B23" s="55">
        <v>0.1290906108169006</v>
      </c>
      <c r="C23" s="55">
        <v>0.14030446102870189</v>
      </c>
      <c r="D23" s="55">
        <v>0.12909061081689291</v>
      </c>
      <c r="E23" s="55">
        <v>0.1290906108168729</v>
      </c>
      <c r="F23" s="55">
        <v>0.12909061081687659</v>
      </c>
      <c r="G23" s="55">
        <v>0.13470763849055731</v>
      </c>
      <c r="H23" s="55">
        <v>0.17398642193524769</v>
      </c>
      <c r="I23" s="55">
        <v>0.14592148870239269</v>
      </c>
      <c r="J23" s="55">
        <v>0.14592148870236871</v>
      </c>
      <c r="K23" s="55">
        <v>0.22449926072727161</v>
      </c>
      <c r="L23" s="55">
        <v>0.36482392689150112</v>
      </c>
      <c r="M23" s="55">
        <v>0.37603777710323533</v>
      </c>
      <c r="N23" s="55">
        <v>0.37603777710326619</v>
      </c>
      <c r="O23" s="55">
        <v>0.42093358822163451</v>
      </c>
      <c r="P23" s="55">
        <v>5.0176019182945151</v>
      </c>
      <c r="Q23" s="55">
        <v>8.0315413679312986</v>
      </c>
      <c r="R23" s="55">
        <v>8.2055277898649805</v>
      </c>
      <c r="S23" s="55">
        <v>8.2882072044012869</v>
      </c>
      <c r="T23" s="55">
        <v>8.0446545008822383</v>
      </c>
      <c r="U23" s="55">
        <v>8.0952279550784372</v>
      </c>
      <c r="V23" s="55">
        <v>8.1454781271165064</v>
      </c>
      <c r="W23" s="55">
        <v>8.9654227315240966</v>
      </c>
      <c r="DA23" s="101" t="s">
        <v>1029</v>
      </c>
    </row>
    <row r="24" spans="1:105" x14ac:dyDescent="0.25">
      <c r="A24" s="61" t="s">
        <v>158</v>
      </c>
      <c r="B24" s="55">
        <v>9.3426950491717342</v>
      </c>
      <c r="C24" s="55">
        <v>9.5699648094892069</v>
      </c>
      <c r="D24" s="55">
        <v>9.5636259030026007</v>
      </c>
      <c r="E24" s="55">
        <v>9.6444538287903558</v>
      </c>
      <c r="F24" s="55">
        <v>9.4521828817630311</v>
      </c>
      <c r="G24" s="55">
        <v>9.4793336106817758</v>
      </c>
      <c r="H24" s="55">
        <v>9.52072183926464</v>
      </c>
      <c r="I24" s="55">
        <v>9.6027262089485568</v>
      </c>
      <c r="J24" s="55">
        <v>9.6386925558034804</v>
      </c>
      <c r="K24" s="55">
        <v>9.6982806947214542</v>
      </c>
      <c r="L24" s="55">
        <v>5.6843105682269357</v>
      </c>
      <c r="M24" s="55">
        <v>5.7498739700366333</v>
      </c>
      <c r="N24" s="55">
        <v>4.8841543223130506</v>
      </c>
      <c r="O24" s="55">
        <v>4.9409390851955388</v>
      </c>
      <c r="P24" s="55">
        <v>4.5195354498413716</v>
      </c>
      <c r="Q24" s="55">
        <v>4.5093697921158418</v>
      </c>
      <c r="R24" s="55">
        <v>5.8373855252357201</v>
      </c>
      <c r="S24" s="55">
        <v>6.1858901075037123</v>
      </c>
      <c r="T24" s="55">
        <v>6.0723199861452963</v>
      </c>
      <c r="U24" s="55">
        <v>6.4537118753787306</v>
      </c>
      <c r="V24" s="55">
        <v>5.835178260308945</v>
      </c>
      <c r="W24" s="55">
        <v>5.6590430000402634</v>
      </c>
      <c r="DA24" s="101" t="s">
        <v>1030</v>
      </c>
    </row>
    <row r="25" spans="1:105" x14ac:dyDescent="0.25">
      <c r="A25" s="257" t="s">
        <v>174</v>
      </c>
      <c r="B25" s="258">
        <v>37.1839481240984</v>
      </c>
      <c r="C25" s="258">
        <v>38.627207935643384</v>
      </c>
      <c r="D25" s="258">
        <v>38.370709542975362</v>
      </c>
      <c r="E25" s="258">
        <v>38.741924228046052</v>
      </c>
      <c r="F25" s="258">
        <v>38.523160905604257</v>
      </c>
      <c r="G25" s="258">
        <v>38.900097477439488</v>
      </c>
      <c r="H25" s="258">
        <v>38.395308360599607</v>
      </c>
      <c r="I25" s="258">
        <v>36.752843982133719</v>
      </c>
      <c r="J25" s="258">
        <v>35.605492329228319</v>
      </c>
      <c r="K25" s="258">
        <v>36.040235389847709</v>
      </c>
      <c r="L25" s="258">
        <v>33.797671423412233</v>
      </c>
      <c r="M25" s="258">
        <v>33.335628685219447</v>
      </c>
      <c r="N25" s="258">
        <v>31.98559655113543</v>
      </c>
      <c r="O25" s="258">
        <v>31.65084278891376</v>
      </c>
      <c r="P25" s="258">
        <v>31.756420362437741</v>
      </c>
      <c r="Q25" s="258">
        <v>32.442339113288973</v>
      </c>
      <c r="R25" s="258">
        <v>32.961137912042567</v>
      </c>
      <c r="S25" s="258">
        <v>33.213888953110761</v>
      </c>
      <c r="T25" s="258">
        <v>34.88272925011394</v>
      </c>
      <c r="U25" s="258">
        <v>33.255237030593392</v>
      </c>
      <c r="V25" s="258">
        <v>33.497525466824953</v>
      </c>
      <c r="W25" s="258">
        <v>33.572643873907403</v>
      </c>
      <c r="DA25" s="273" t="s">
        <v>1031</v>
      </c>
    </row>
    <row r="26" spans="1:105" x14ac:dyDescent="0.25">
      <c r="A26" s="257" t="s">
        <v>177</v>
      </c>
      <c r="B26" s="258">
        <v>33.866359027437689</v>
      </c>
      <c r="C26" s="258">
        <v>35.551702789878128</v>
      </c>
      <c r="D26" s="258">
        <v>34.013230189798747</v>
      </c>
      <c r="E26" s="258">
        <v>35.606786490037301</v>
      </c>
      <c r="F26" s="258">
        <v>35.687747814057062</v>
      </c>
      <c r="G26" s="258">
        <v>36.752732800649987</v>
      </c>
      <c r="H26" s="258">
        <v>37.376042463170087</v>
      </c>
      <c r="I26" s="258">
        <v>37.812425267959973</v>
      </c>
      <c r="J26" s="258">
        <v>37.546914146793853</v>
      </c>
      <c r="K26" s="258">
        <v>37.620567768699658</v>
      </c>
      <c r="L26" s="258">
        <v>36.734638001187783</v>
      </c>
      <c r="M26" s="258">
        <v>38.040286724829762</v>
      </c>
      <c r="N26" s="258">
        <v>37.720664559053432</v>
      </c>
      <c r="O26" s="258">
        <v>36.50652490639645</v>
      </c>
      <c r="P26" s="258">
        <v>35.082439571642617</v>
      </c>
      <c r="Q26" s="258">
        <v>36.717031344056117</v>
      </c>
      <c r="R26" s="258">
        <v>36.353171318879419</v>
      </c>
      <c r="S26" s="258">
        <v>38.432793336341561</v>
      </c>
      <c r="T26" s="258">
        <v>38.236421602530733</v>
      </c>
      <c r="U26" s="258">
        <v>38.758667873266532</v>
      </c>
      <c r="V26" s="258">
        <v>40.002903645824418</v>
      </c>
      <c r="W26" s="258">
        <v>41.902649303287767</v>
      </c>
      <c r="DA26" s="273" t="s">
        <v>1032</v>
      </c>
    </row>
    <row r="27" spans="1:105" x14ac:dyDescent="0.25">
      <c r="A27" s="129" t="s">
        <v>33</v>
      </c>
      <c r="B27" s="259">
        <v>51.61452395568908</v>
      </c>
      <c r="C27" s="259">
        <v>54.183096973224792</v>
      </c>
      <c r="D27" s="259">
        <v>51.838365116823162</v>
      </c>
      <c r="E27" s="259">
        <v>54.267048098857437</v>
      </c>
      <c r="F27" s="259">
        <v>54.390438398792469</v>
      </c>
      <c r="G27" s="259">
        <v>56.013544474601083</v>
      </c>
      <c r="H27" s="259">
        <v>56.963508758682849</v>
      </c>
      <c r="I27" s="259">
        <v>57.628584408339471</v>
      </c>
      <c r="J27" s="259">
        <v>57.223928268220391</v>
      </c>
      <c r="K27" s="259">
        <v>57.336181156970561</v>
      </c>
      <c r="L27" s="259">
        <v>55.985966828608518</v>
      </c>
      <c r="M27" s="259">
        <v>57.975860022309583</v>
      </c>
      <c r="N27" s="259">
        <v>57.488735146592433</v>
      </c>
      <c r="O27" s="259">
        <v>55.638307702152851</v>
      </c>
      <c r="P27" s="259">
        <v>53.46790944451768</v>
      </c>
      <c r="Q27" s="259">
        <v>55.959133143134217</v>
      </c>
      <c r="R27" s="259">
        <v>55.404586905353391</v>
      </c>
      <c r="S27" s="259">
        <v>58.574065512490208</v>
      </c>
      <c r="T27" s="259">
        <v>58.274782275376111</v>
      </c>
      <c r="U27" s="259">
        <v>59.070719406669873</v>
      </c>
      <c r="V27" s="259">
        <v>60.967015286518759</v>
      </c>
      <c r="W27" s="259">
        <v>63.862350674282673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</v>
      </c>
      <c r="E31" s="236">
        <f t="shared" si="6"/>
        <v>0.99999999999999989</v>
      </c>
      <c r="F31" s="236">
        <f t="shared" si="6"/>
        <v>1.0000000000000002</v>
      </c>
      <c r="G31" s="236">
        <f t="shared" si="6"/>
        <v>1.0000000000000002</v>
      </c>
      <c r="H31" s="236">
        <f t="shared" si="6"/>
        <v>1.0000000000000002</v>
      </c>
      <c r="I31" s="236">
        <f t="shared" si="6"/>
        <v>0.99999999999999989</v>
      </c>
      <c r="J31" s="236">
        <f t="shared" si="6"/>
        <v>1</v>
      </c>
      <c r="K31" s="236">
        <f t="shared" si="6"/>
        <v>1</v>
      </c>
      <c r="L31" s="236">
        <f t="shared" si="6"/>
        <v>0.99999999999999989</v>
      </c>
      <c r="M31" s="236">
        <f t="shared" si="6"/>
        <v>0.99999999999999989</v>
      </c>
      <c r="N31" s="236">
        <f t="shared" si="6"/>
        <v>0.99999999999999989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1.0000000000000002</v>
      </c>
      <c r="U31" s="236">
        <f t="shared" si="7"/>
        <v>0.99999999999999989</v>
      </c>
      <c r="V31" s="236">
        <f t="shared" si="7"/>
        <v>0.99999999999999989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2.8341391450367466E-2</v>
      </c>
      <c r="C32" s="245">
        <f t="shared" si="8"/>
        <v>2.8621104786997077E-2</v>
      </c>
      <c r="D32" s="245">
        <f t="shared" si="8"/>
        <v>2.7791531477998951E-2</v>
      </c>
      <c r="E32" s="245">
        <f t="shared" si="8"/>
        <v>2.8627088851264148E-2</v>
      </c>
      <c r="F32" s="245">
        <f t="shared" si="8"/>
        <v>2.8764126964296768E-2</v>
      </c>
      <c r="G32" s="245">
        <f t="shared" si="8"/>
        <v>2.9134610157343834E-2</v>
      </c>
      <c r="H32" s="245">
        <f t="shared" si="8"/>
        <v>2.9871473088273603E-2</v>
      </c>
      <c r="I32" s="245">
        <f t="shared" si="8"/>
        <v>3.1107131241671859E-2</v>
      </c>
      <c r="J32" s="245">
        <f t="shared" si="8"/>
        <v>3.1749926361351224E-2</v>
      </c>
      <c r="K32" s="245">
        <f t="shared" si="8"/>
        <v>3.1418800292110291E-2</v>
      </c>
      <c r="L32" s="245">
        <f t="shared" si="8"/>
        <v>3.2478304706218923E-2</v>
      </c>
      <c r="M32" s="245">
        <f t="shared" si="8"/>
        <v>3.3610998829265937E-2</v>
      </c>
      <c r="N32" s="245">
        <f t="shared" si="8"/>
        <v>3.4350265467455253E-2</v>
      </c>
      <c r="O32" s="245">
        <f t="shared" si="8"/>
        <v>3.3770559935772139E-2</v>
      </c>
      <c r="P32" s="245">
        <f t="shared" si="8"/>
        <v>3.2743485596170185E-2</v>
      </c>
      <c r="Q32" s="245">
        <f t="shared" si="8"/>
        <v>3.3345157997375745E-2</v>
      </c>
      <c r="R32" s="245">
        <f t="shared" si="8"/>
        <v>3.2866176300501218E-2</v>
      </c>
      <c r="S32" s="245">
        <f t="shared" si="8"/>
        <v>3.400510551504575E-2</v>
      </c>
      <c r="T32" s="245">
        <f t="shared" si="8"/>
        <v>3.2742476477999154E-2</v>
      </c>
      <c r="U32" s="245">
        <f t="shared" si="8"/>
        <v>3.4117178097866671E-2</v>
      </c>
      <c r="V32" s="245">
        <f t="shared" si="8"/>
        <v>3.4726403019666015E-2</v>
      </c>
      <c r="W32" s="245">
        <f t="shared" si="8"/>
        <v>3.5598681234891356E-2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1.8267674670186657E-2</v>
      </c>
      <c r="C33" s="246">
        <f t="shared" si="9"/>
        <v>1.8447966179282467E-2</v>
      </c>
      <c r="D33" s="246">
        <f t="shared" si="9"/>
        <v>1.7913257946964845E-2</v>
      </c>
      <c r="E33" s="246">
        <f t="shared" si="9"/>
        <v>1.8451823256639729E-2</v>
      </c>
      <c r="F33" s="246">
        <f t="shared" si="9"/>
        <v>1.8540152288426336E-2</v>
      </c>
      <c r="G33" s="246">
        <f t="shared" si="9"/>
        <v>1.8778950247701126E-2</v>
      </c>
      <c r="H33" s="246">
        <f t="shared" si="9"/>
        <v>1.9253901250806189E-2</v>
      </c>
      <c r="I33" s="246">
        <f t="shared" si="9"/>
        <v>2.0050354776716271E-2</v>
      </c>
      <c r="J33" s="246">
        <f t="shared" si="9"/>
        <v>2.0464673605996409E-2</v>
      </c>
      <c r="K33" s="246">
        <f t="shared" si="9"/>
        <v>2.0251243601393278E-2</v>
      </c>
      <c r="L33" s="246">
        <f t="shared" si="9"/>
        <v>2.0934155800057128E-2</v>
      </c>
      <c r="M33" s="246">
        <f t="shared" si="9"/>
        <v>2.1664243021670471E-2</v>
      </c>
      <c r="N33" s="246">
        <f t="shared" si="9"/>
        <v>2.2140743353865341E-2</v>
      </c>
      <c r="O33" s="246">
        <f t="shared" si="9"/>
        <v>2.1767089432326584E-2</v>
      </c>
      <c r="P33" s="246">
        <f t="shared" si="9"/>
        <v>2.1105080302294899E-2</v>
      </c>
      <c r="Q33" s="246">
        <f t="shared" si="9"/>
        <v>2.1492893148481431E-2</v>
      </c>
      <c r="R33" s="246">
        <f t="shared" si="9"/>
        <v>2.1184161594958333E-2</v>
      </c>
      <c r="S33" s="246">
        <f t="shared" si="9"/>
        <v>2.1918267695574683E-2</v>
      </c>
      <c r="T33" s="246">
        <f t="shared" si="9"/>
        <v>2.1104429866959547E-2</v>
      </c>
      <c r="U33" s="246">
        <f t="shared" si="9"/>
        <v>2.1990504991545329E-2</v>
      </c>
      <c r="V33" s="246">
        <f t="shared" si="9"/>
        <v>2.2383185876387907E-2</v>
      </c>
      <c r="W33" s="246">
        <f t="shared" si="9"/>
        <v>2.2945419903800876E-2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3.630211191622857E-2</v>
      </c>
      <c r="C34" s="246">
        <f t="shared" si="10"/>
        <v>3.6660393014338093E-2</v>
      </c>
      <c r="D34" s="246">
        <f t="shared" si="10"/>
        <v>3.5597803580128269E-2</v>
      </c>
      <c r="E34" s="246">
        <f t="shared" si="10"/>
        <v>3.6668057922785442E-2</v>
      </c>
      <c r="F34" s="246">
        <f t="shared" si="10"/>
        <v>3.6843588221811531E-2</v>
      </c>
      <c r="G34" s="246">
        <f t="shared" si="10"/>
        <v>3.7318135223522085E-2</v>
      </c>
      <c r="H34" s="246">
        <f t="shared" si="10"/>
        <v>3.826197316571972E-2</v>
      </c>
      <c r="I34" s="246">
        <f t="shared" si="10"/>
        <v>3.9844711284044626E-2</v>
      </c>
      <c r="J34" s="246">
        <f t="shared" si="10"/>
        <v>4.0668059016094771E-2</v>
      </c>
      <c r="K34" s="246">
        <f t="shared" si="10"/>
        <v>4.0243924031578712E-2</v>
      </c>
      <c r="L34" s="246">
        <f t="shared" si="10"/>
        <v>4.160102916468645E-2</v>
      </c>
      <c r="M34" s="246">
        <f t="shared" si="10"/>
        <v>4.3051882023965309E-2</v>
      </c>
      <c r="N34" s="246">
        <f t="shared" si="10"/>
        <v>4.3998798842868878E-2</v>
      </c>
      <c r="O34" s="246">
        <f t="shared" si="10"/>
        <v>4.3256261726211422E-2</v>
      </c>
      <c r="P34" s="246">
        <f t="shared" si="10"/>
        <v>4.1940695844846276E-2</v>
      </c>
      <c r="Q34" s="246">
        <f t="shared" si="10"/>
        <v>4.2711370032940427E-2</v>
      </c>
      <c r="R34" s="246">
        <f t="shared" si="10"/>
        <v>4.2097848738609646E-2</v>
      </c>
      <c r="S34" s="246">
        <f t="shared" si="10"/>
        <v>4.355668804378153E-2</v>
      </c>
      <c r="T34" s="246">
        <f t="shared" si="10"/>
        <v>4.193940327878274E-2</v>
      </c>
      <c r="U34" s="246">
        <f t="shared" si="10"/>
        <v>4.3700240326718327E-2</v>
      </c>
      <c r="V34" s="246">
        <f t="shared" si="10"/>
        <v>4.4480588438138527E-2</v>
      </c>
      <c r="W34" s="246">
        <f t="shared" si="10"/>
        <v>4.5597878019585231E-2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0.32432149398197224</v>
      </c>
      <c r="C35" s="247">
        <f t="shared" si="11"/>
        <v>0.32437289602858121</v>
      </c>
      <c r="D35" s="247">
        <f t="shared" si="11"/>
        <v>0.32523083394827779</v>
      </c>
      <c r="E35" s="247">
        <f t="shared" si="11"/>
        <v>0.32510118407796551</v>
      </c>
      <c r="F35" s="247">
        <f t="shared" si="11"/>
        <v>0.32509040958308855</v>
      </c>
      <c r="G35" s="247">
        <f t="shared" si="11"/>
        <v>0.32535737954642435</v>
      </c>
      <c r="H35" s="247">
        <f t="shared" si="11"/>
        <v>0.32477494457807404</v>
      </c>
      <c r="I35" s="247">
        <f t="shared" si="11"/>
        <v>0.32503368949385358</v>
      </c>
      <c r="J35" s="247">
        <f t="shared" si="11"/>
        <v>0.32436315915891173</v>
      </c>
      <c r="K35" s="247">
        <f t="shared" si="11"/>
        <v>0.3265057098996314</v>
      </c>
      <c r="L35" s="247">
        <f t="shared" si="11"/>
        <v>0.32290887471284357</v>
      </c>
      <c r="M35" s="247">
        <f t="shared" si="11"/>
        <v>0.32459406766119836</v>
      </c>
      <c r="N35" s="247">
        <f t="shared" si="11"/>
        <v>0.32606302842588963</v>
      </c>
      <c r="O35" s="247">
        <f t="shared" si="11"/>
        <v>0.3267764334505488</v>
      </c>
      <c r="P35" s="247">
        <f t="shared" si="11"/>
        <v>0.32647597717911975</v>
      </c>
      <c r="Q35" s="247">
        <f t="shared" si="11"/>
        <v>0.3241620091762451</v>
      </c>
      <c r="R35" s="247">
        <f t="shared" si="11"/>
        <v>0.32542728263889265</v>
      </c>
      <c r="S35" s="247">
        <f t="shared" si="11"/>
        <v>0.32603562248578433</v>
      </c>
      <c r="T35" s="247">
        <f t="shared" si="11"/>
        <v>0.32528127459010503</v>
      </c>
      <c r="U35" s="247">
        <f t="shared" si="11"/>
        <v>0.32686949887775452</v>
      </c>
      <c r="V35" s="247">
        <f t="shared" si="11"/>
        <v>0.32691169340579873</v>
      </c>
      <c r="W35" s="247">
        <f t="shared" si="11"/>
        <v>0.32916034814951894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0.22940328899232337</v>
      </c>
      <c r="C36" s="260">
        <f t="shared" si="12"/>
        <v>0.22925075985292825</v>
      </c>
      <c r="D36" s="260">
        <f t="shared" si="12"/>
        <v>0.23112978259808165</v>
      </c>
      <c r="E36" s="260">
        <f t="shared" si="12"/>
        <v>0.22962389119022841</v>
      </c>
      <c r="F36" s="260">
        <f t="shared" si="12"/>
        <v>0.22889981921159444</v>
      </c>
      <c r="G36" s="260">
        <f t="shared" si="12"/>
        <v>0.22733261253961215</v>
      </c>
      <c r="H36" s="260">
        <f t="shared" si="12"/>
        <v>0.22622102436979188</v>
      </c>
      <c r="I36" s="260">
        <f t="shared" si="12"/>
        <v>0.22289886551771967</v>
      </c>
      <c r="J36" s="260">
        <f t="shared" si="12"/>
        <v>0.22196114029142255</v>
      </c>
      <c r="K36" s="260">
        <f t="shared" si="12"/>
        <v>0.22189287141203701</v>
      </c>
      <c r="L36" s="260">
        <f t="shared" si="12"/>
        <v>0.22029053934670259</v>
      </c>
      <c r="M36" s="260">
        <f t="shared" si="12"/>
        <v>0.21713896642415967</v>
      </c>
      <c r="N36" s="260">
        <f t="shared" si="12"/>
        <v>0.21473196409419723</v>
      </c>
      <c r="O36" s="260">
        <f t="shared" si="12"/>
        <v>0.21584625881593206</v>
      </c>
      <c r="P36" s="260">
        <f t="shared" si="12"/>
        <v>0.21850337245376647</v>
      </c>
      <c r="Q36" s="260">
        <f t="shared" si="12"/>
        <v>0.2172045197515729</v>
      </c>
      <c r="R36" s="260">
        <f t="shared" si="12"/>
        <v>0.21968507514781677</v>
      </c>
      <c r="S36" s="260">
        <f t="shared" si="12"/>
        <v>0.21664735177589586</v>
      </c>
      <c r="T36" s="260">
        <f t="shared" si="12"/>
        <v>0.22020958525726264</v>
      </c>
      <c r="U36" s="260">
        <f t="shared" si="12"/>
        <v>0.21580216008851147</v>
      </c>
      <c r="V36" s="260">
        <f t="shared" si="12"/>
        <v>0.21437418695902047</v>
      </c>
      <c r="W36" s="260">
        <f t="shared" si="12"/>
        <v>0.21026619241569572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0.26157020570326917</v>
      </c>
      <c r="C37" s="260">
        <f t="shared" si="13"/>
        <v>0.26017345991610541</v>
      </c>
      <c r="D37" s="260">
        <f t="shared" si="13"/>
        <v>0.2616869877724336</v>
      </c>
      <c r="E37" s="260">
        <f t="shared" si="13"/>
        <v>0.25898936655983162</v>
      </c>
      <c r="F37" s="260">
        <f t="shared" si="13"/>
        <v>0.25907771389123274</v>
      </c>
      <c r="G37" s="260">
        <f t="shared" si="13"/>
        <v>0.25857763408937251</v>
      </c>
      <c r="H37" s="260">
        <f t="shared" si="13"/>
        <v>0.25642120741153968</v>
      </c>
      <c r="I37" s="260">
        <f t="shared" si="13"/>
        <v>0.25322386826274734</v>
      </c>
      <c r="J37" s="260">
        <f t="shared" si="13"/>
        <v>0.25146892318847724</v>
      </c>
      <c r="K37" s="260">
        <f t="shared" si="13"/>
        <v>0.25120130167538363</v>
      </c>
      <c r="L37" s="260">
        <f t="shared" si="13"/>
        <v>0.25086460957728551</v>
      </c>
      <c r="M37" s="260">
        <f t="shared" si="13"/>
        <v>0.24660621848014241</v>
      </c>
      <c r="N37" s="260">
        <f t="shared" si="13"/>
        <v>0.24385500923653419</v>
      </c>
      <c r="O37" s="260">
        <f t="shared" si="13"/>
        <v>0.24502428548890831</v>
      </c>
      <c r="P37" s="260">
        <f t="shared" si="13"/>
        <v>0.24788556522360303</v>
      </c>
      <c r="Q37" s="260">
        <f t="shared" si="13"/>
        <v>0.24840699050812609</v>
      </c>
      <c r="R37" s="260">
        <f t="shared" si="13"/>
        <v>0.24692759374444254</v>
      </c>
      <c r="S37" s="260">
        <f t="shared" si="13"/>
        <v>0.24358304576714057</v>
      </c>
      <c r="T37" s="260">
        <f t="shared" si="13"/>
        <v>0.24715002877741374</v>
      </c>
      <c r="U37" s="260">
        <f t="shared" si="13"/>
        <v>0.24309967616649983</v>
      </c>
      <c r="V37" s="260">
        <f t="shared" si="13"/>
        <v>0.2413704295076505</v>
      </c>
      <c r="W37" s="260">
        <f t="shared" si="13"/>
        <v>0.23904728327052177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3.0857227634693077E-2</v>
      </c>
      <c r="C38" s="260">
        <f t="shared" si="14"/>
        <v>3.0836710813003577E-2</v>
      </c>
      <c r="D38" s="260">
        <f t="shared" si="14"/>
        <v>3.1089459728821888E-2</v>
      </c>
      <c r="E38" s="260">
        <f t="shared" si="14"/>
        <v>3.0886901020228938E-2</v>
      </c>
      <c r="F38" s="260">
        <f t="shared" si="14"/>
        <v>3.0789505494790932E-2</v>
      </c>
      <c r="G38" s="260">
        <f t="shared" si="14"/>
        <v>3.057869921890715E-2</v>
      </c>
      <c r="H38" s="260">
        <f t="shared" si="14"/>
        <v>3.0429178567556225E-2</v>
      </c>
      <c r="I38" s="260">
        <f t="shared" si="14"/>
        <v>2.9982312210986985E-2</v>
      </c>
      <c r="J38" s="260">
        <f t="shared" si="14"/>
        <v>2.9856178009102848E-2</v>
      </c>
      <c r="K38" s="260">
        <f t="shared" si="14"/>
        <v>2.9846995105227227E-2</v>
      </c>
      <c r="L38" s="260">
        <f t="shared" si="14"/>
        <v>2.9631464083402823E-2</v>
      </c>
      <c r="M38" s="260">
        <f t="shared" si="14"/>
        <v>2.9207543382416316E-2</v>
      </c>
      <c r="N38" s="260">
        <f t="shared" si="14"/>
        <v>2.8883775492517527E-2</v>
      </c>
      <c r="O38" s="260">
        <f t="shared" si="14"/>
        <v>2.903366020442268E-2</v>
      </c>
      <c r="P38" s="260">
        <f t="shared" si="14"/>
        <v>2.9391070774838008E-2</v>
      </c>
      <c r="Q38" s="260">
        <f t="shared" si="14"/>
        <v>2.9216361015132423E-2</v>
      </c>
      <c r="R38" s="260">
        <f t="shared" si="14"/>
        <v>2.9550022589291132E-2</v>
      </c>
      <c r="S38" s="260">
        <f t="shared" si="14"/>
        <v>2.9141415886264607E-2</v>
      </c>
      <c r="T38" s="260">
        <f t="shared" si="14"/>
        <v>2.9620574881348342E-2</v>
      </c>
      <c r="U38" s="260">
        <f t="shared" si="14"/>
        <v>2.9027728447836285E-2</v>
      </c>
      <c r="V38" s="260">
        <f t="shared" si="14"/>
        <v>2.8835650591819143E-2</v>
      </c>
      <c r="W38" s="260">
        <f t="shared" si="14"/>
        <v>2.8283080821340865E-2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2.8104114877210238E-2</v>
      </c>
      <c r="C39" s="260">
        <f t="shared" si="15"/>
        <v>2.8381486429665349E-2</v>
      </c>
      <c r="D39" s="260">
        <f t="shared" si="15"/>
        <v>2.755885837994591E-2</v>
      </c>
      <c r="E39" s="260">
        <f t="shared" si="15"/>
        <v>2.8387420394830363E-2</v>
      </c>
      <c r="F39" s="260">
        <f t="shared" si="15"/>
        <v>2.8523311212963601E-2</v>
      </c>
      <c r="G39" s="260">
        <f t="shared" si="15"/>
        <v>2.889069268877097E-2</v>
      </c>
      <c r="H39" s="260">
        <f t="shared" si="15"/>
        <v>2.9621386539701835E-2</v>
      </c>
      <c r="I39" s="260">
        <f t="shared" si="15"/>
        <v>3.0846699656486582E-2</v>
      </c>
      <c r="J39" s="260">
        <f t="shared" si="15"/>
        <v>3.1484113239994477E-2</v>
      </c>
      <c r="K39" s="260">
        <f t="shared" si="15"/>
        <v>3.1155759386758897E-2</v>
      </c>
      <c r="L39" s="260">
        <f t="shared" si="15"/>
        <v>3.2206393538549427E-2</v>
      </c>
      <c r="M39" s="260">
        <f t="shared" si="15"/>
        <v>3.332960464872381E-2</v>
      </c>
      <c r="N39" s="260">
        <f t="shared" si="15"/>
        <v>3.406268208286977E-2</v>
      </c>
      <c r="O39" s="260">
        <f t="shared" si="15"/>
        <v>3.348782989588707E-2</v>
      </c>
      <c r="P39" s="260">
        <f t="shared" si="15"/>
        <v>3.2469354311222935E-2</v>
      </c>
      <c r="Q39" s="260">
        <f t="shared" si="15"/>
        <v>3.3065989459202201E-2</v>
      </c>
      <c r="R39" s="260">
        <f t="shared" si="15"/>
        <v>3.2591017838397435E-2</v>
      </c>
      <c r="S39" s="260">
        <f t="shared" si="15"/>
        <v>3.3720411839345668E-2</v>
      </c>
      <c r="T39" s="260">
        <f t="shared" si="15"/>
        <v>3.2468353641476246E-2</v>
      </c>
      <c r="U39" s="260">
        <f t="shared" si="15"/>
        <v>3.3831546140838976E-2</v>
      </c>
      <c r="V39" s="260">
        <f t="shared" si="15"/>
        <v>3.4435670579058324E-2</v>
      </c>
      <c r="W39" s="260">
        <f t="shared" si="15"/>
        <v>3.5300646005847515E-2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4.2832490773749288E-2</v>
      </c>
      <c r="C40" s="262">
        <f t="shared" si="16"/>
        <v>4.3255222979098625E-2</v>
      </c>
      <c r="D40" s="262">
        <f t="shared" si="16"/>
        <v>4.2001484567347133E-2</v>
      </c>
      <c r="E40" s="262">
        <f t="shared" si="16"/>
        <v>4.3264266726225763E-2</v>
      </c>
      <c r="F40" s="262">
        <f t="shared" si="16"/>
        <v>4.3471373131795207E-2</v>
      </c>
      <c r="G40" s="262">
        <f t="shared" si="16"/>
        <v>4.4031286288346023E-2</v>
      </c>
      <c r="H40" s="262">
        <f t="shared" si="16"/>
        <v>4.5144911028537037E-2</v>
      </c>
      <c r="I40" s="262">
        <f t="shared" si="16"/>
        <v>4.7012367555773017E-2</v>
      </c>
      <c r="J40" s="262">
        <f t="shared" si="16"/>
        <v>4.7983827128648737E-2</v>
      </c>
      <c r="K40" s="262">
        <f t="shared" si="16"/>
        <v>4.7483394595879559E-2</v>
      </c>
      <c r="L40" s="262">
        <f t="shared" si="16"/>
        <v>4.9084629070253474E-2</v>
      </c>
      <c r="M40" s="262">
        <f t="shared" si="16"/>
        <v>5.0796475528457723E-2</v>
      </c>
      <c r="N40" s="262">
        <f t="shared" si="16"/>
        <v>5.191373300380208E-2</v>
      </c>
      <c r="O40" s="262">
        <f t="shared" si="16"/>
        <v>5.1037621049990947E-2</v>
      </c>
      <c r="P40" s="262">
        <f t="shared" si="16"/>
        <v>4.9485398314138458E-2</v>
      </c>
      <c r="Q40" s="262">
        <f t="shared" si="16"/>
        <v>5.0394708910923666E-2</v>
      </c>
      <c r="R40" s="262">
        <f t="shared" si="16"/>
        <v>4.9670821407090206E-2</v>
      </c>
      <c r="S40" s="262">
        <f t="shared" si="16"/>
        <v>5.1392090991167039E-2</v>
      </c>
      <c r="T40" s="262">
        <f t="shared" si="16"/>
        <v>4.9483873228652574E-2</v>
      </c>
      <c r="U40" s="262">
        <f t="shared" si="16"/>
        <v>5.156146686242849E-2</v>
      </c>
      <c r="V40" s="262">
        <f t="shared" si="16"/>
        <v>5.2482191622460303E-2</v>
      </c>
      <c r="W40" s="262">
        <f t="shared" si="16"/>
        <v>5.380047017879766E-2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0.38081476769864081</v>
      </c>
      <c r="C44" s="238">
        <f>IF(C$5=0,0,C$5/AGR_fec!C$5)</f>
        <v>0.38133715192198414</v>
      </c>
      <c r="D44" s="238">
        <f>IF(D$5=0,0,D$5/AGR_fec!D$5)</f>
        <v>0.38043981748894679</v>
      </c>
      <c r="E44" s="238">
        <f>IF(E$5=0,0,E$5/AGR_fec!E$5)</f>
        <v>0.38192867715304474</v>
      </c>
      <c r="F44" s="238">
        <f>IF(F$5=0,0,F$5/AGR_fec!F$5)</f>
        <v>0.38211107439880326</v>
      </c>
      <c r="G44" s="238">
        <f>IF(G$5=0,0,G$5/AGR_fec!G$5)</f>
        <v>0.38300008009009656</v>
      </c>
      <c r="H44" s="238">
        <f>IF(H$5=0,0,H$5/AGR_fec!H$5)</f>
        <v>0.3838078114301427</v>
      </c>
      <c r="I44" s="238">
        <f>IF(I$5=0,0,I$5/AGR_fec!I$5)</f>
        <v>0.38588831492184578</v>
      </c>
      <c r="J44" s="238">
        <f>IF(J$5=0,0,J$5/AGR_fec!J$5)</f>
        <v>0.38651500510996079</v>
      </c>
      <c r="K44" s="238">
        <f>IF(K$5=0,0,K$5/AGR_fec!K$5)</f>
        <v>0.38676141238727407</v>
      </c>
      <c r="L44" s="238">
        <f>IF(L$5=0,0,L$5/AGR_fec!L$5)</f>
        <v>0.38791602403360687</v>
      </c>
      <c r="M44" s="238">
        <f>IF(M$5=0,0,M$5/AGR_fec!M$5)</f>
        <v>0.39029860119852361</v>
      </c>
      <c r="N44" s="238">
        <f>IF(N$5=0,0,N$5/AGR_fec!N$5)</f>
        <v>0.39219831111531511</v>
      </c>
      <c r="O44" s="238">
        <f>IF(O$5=0,0,O$5/AGR_fec!O$5)</f>
        <v>0.39143370854721349</v>
      </c>
      <c r="P44" s="238">
        <f>IF(P$5=0,0,P$5/AGR_fec!P$5)</f>
        <v>0.38923097406904322</v>
      </c>
      <c r="Q44" s="238">
        <f>IF(Q$5=0,0,Q$5/AGR_fec!Q$5)</f>
        <v>0.38941792230513872</v>
      </c>
      <c r="R44" s="238">
        <f>IF(R$5=0,0,R$5/AGR_fec!R$5)</f>
        <v>0.38853687714261542</v>
      </c>
      <c r="S44" s="238">
        <f>IF(S$5=0,0,S$5/AGR_fec!S$5)</f>
        <v>0.39064036998109003</v>
      </c>
      <c r="T44" s="238">
        <f>IF(T$5=0,0,T$5/AGR_fec!T$5)</f>
        <v>0.3883198501116551</v>
      </c>
      <c r="U44" s="238">
        <f>IF(U$5=0,0,U$5/AGR_fec!U$5)</f>
        <v>0.3911627096584061</v>
      </c>
      <c r="V44" s="238">
        <f>IF(V$5=0,0,V$5/AGR_fec!V$5)</f>
        <v>0.39230277922638063</v>
      </c>
      <c r="W44" s="238">
        <f>IF(W$5=0,0,W$5/AGR_fec!W$5)</f>
        <v>0.39496818432441044</v>
      </c>
      <c r="DA44" s="287"/>
    </row>
    <row r="45" spans="1:105" x14ac:dyDescent="0.25">
      <c r="A45" s="239" t="s">
        <v>125</v>
      </c>
      <c r="B45" s="251">
        <f>IF(B$6=0,0,B$6/AGR_fec!B$6)</f>
        <v>0.46420751334657884</v>
      </c>
      <c r="C45" s="251">
        <f>IF(C$6=0,0,C$6/AGR_fec!C$6)</f>
        <v>0.46420751334657884</v>
      </c>
      <c r="D45" s="251">
        <f>IF(D$6=0,0,D$6/AGR_fec!D$6)</f>
        <v>0.46420751334657884</v>
      </c>
      <c r="E45" s="251">
        <f>IF(E$6=0,0,E$6/AGR_fec!E$6)</f>
        <v>0.46420751334657873</v>
      </c>
      <c r="F45" s="251">
        <f>IF(F$6=0,0,F$6/AGR_fec!F$6)</f>
        <v>0.46420751334657878</v>
      </c>
      <c r="G45" s="251">
        <f>IF(G$6=0,0,G$6/AGR_fec!G$6)</f>
        <v>0.46420751334657878</v>
      </c>
      <c r="H45" s="251">
        <f>IF(H$6=0,0,H$6/AGR_fec!H$6)</f>
        <v>0.46420751334657878</v>
      </c>
      <c r="I45" s="251">
        <f>IF(I$6=0,0,I$6/AGR_fec!I$6)</f>
        <v>0.46420751334657878</v>
      </c>
      <c r="J45" s="251">
        <f>IF(J$6=0,0,J$6/AGR_fec!J$6)</f>
        <v>0.46420751334657884</v>
      </c>
      <c r="K45" s="251">
        <f>IF(K$6=0,0,K$6/AGR_fec!K$6)</f>
        <v>0.46420751334657873</v>
      </c>
      <c r="L45" s="251">
        <f>IF(L$6=0,0,L$6/AGR_fec!L$6)</f>
        <v>0.46420751334657884</v>
      </c>
      <c r="M45" s="251">
        <f>IF(M$6=0,0,M$6/AGR_fec!M$6)</f>
        <v>0.46420751334657884</v>
      </c>
      <c r="N45" s="251">
        <f>IF(N$6=0,0,N$6/AGR_fec!N$6)</f>
        <v>0.46420751334657895</v>
      </c>
      <c r="O45" s="251">
        <f>IF(O$6=0,0,O$6/AGR_fec!O$6)</f>
        <v>0.46420751334657884</v>
      </c>
      <c r="P45" s="251">
        <f>IF(P$6=0,0,P$6/AGR_fec!P$6)</f>
        <v>0.46420751334657878</v>
      </c>
      <c r="Q45" s="251">
        <f>IF(Q$6=0,0,Q$6/AGR_fec!Q$6)</f>
        <v>0.46420751334657873</v>
      </c>
      <c r="R45" s="251">
        <f>IF(R$6=0,0,R$6/AGR_fec!R$6)</f>
        <v>0.46420751334657884</v>
      </c>
      <c r="S45" s="251">
        <f>IF(S$6=0,0,S$6/AGR_fec!S$6)</f>
        <v>0.46420751334657884</v>
      </c>
      <c r="T45" s="251">
        <f>IF(T$6=0,0,T$6/AGR_fec!T$6)</f>
        <v>0.46420751334657889</v>
      </c>
      <c r="U45" s="251">
        <f>IF(U$6=0,0,U$6/AGR_fec!U$6)</f>
        <v>0.46420751334657878</v>
      </c>
      <c r="V45" s="251">
        <f>IF(V$6=0,0,V$6/AGR_fec!V$6)</f>
        <v>0.46420751334657878</v>
      </c>
      <c r="W45" s="251">
        <f>IF(W$6=0,0,W$6/AGR_fec!W$6)</f>
        <v>0.46420751334657878</v>
      </c>
      <c r="DA45" s="288"/>
    </row>
    <row r="46" spans="1:105" x14ac:dyDescent="0.25">
      <c r="A46" s="241" t="s">
        <v>124</v>
      </c>
      <c r="B46" s="252">
        <f>IF(B$7=0,0,B$7/AGR_fec!B$7)</f>
        <v>0.46032112801530095</v>
      </c>
      <c r="C46" s="252">
        <f>IF(C$7=0,0,C$7/AGR_fec!C$7)</f>
        <v>0.46032112801530073</v>
      </c>
      <c r="D46" s="252">
        <f>IF(D$7=0,0,D$7/AGR_fec!D$7)</f>
        <v>0.46032112801530084</v>
      </c>
      <c r="E46" s="252">
        <f>IF(E$7=0,0,E$7/AGR_fec!E$7)</f>
        <v>0.46032112801530084</v>
      </c>
      <c r="F46" s="252">
        <f>IF(F$7=0,0,F$7/AGR_fec!F$7)</f>
        <v>0.46032112801530095</v>
      </c>
      <c r="G46" s="252">
        <f>IF(G$7=0,0,G$7/AGR_fec!G$7)</f>
        <v>0.46032112801530084</v>
      </c>
      <c r="H46" s="252">
        <f>IF(H$7=0,0,H$7/AGR_fec!H$7)</f>
        <v>0.46032112801530078</v>
      </c>
      <c r="I46" s="252">
        <f>IF(I$7=0,0,I$7/AGR_fec!I$7)</f>
        <v>0.46032112801530095</v>
      </c>
      <c r="J46" s="252">
        <f>IF(J$7=0,0,J$7/AGR_fec!J$7)</f>
        <v>0.46032112801530078</v>
      </c>
      <c r="K46" s="252">
        <f>IF(K$7=0,0,K$7/AGR_fec!K$7)</f>
        <v>0.46032112801530095</v>
      </c>
      <c r="L46" s="252">
        <f>IF(L$7=0,0,L$7/AGR_fec!L$7)</f>
        <v>0.46032112801530101</v>
      </c>
      <c r="M46" s="252">
        <f>IF(M$7=0,0,M$7/AGR_fec!M$7)</f>
        <v>0.46032112801530084</v>
      </c>
      <c r="N46" s="252">
        <f>IF(N$7=0,0,N$7/AGR_fec!N$7)</f>
        <v>0.4603211280153009</v>
      </c>
      <c r="O46" s="252">
        <f>IF(O$7=0,0,O$7/AGR_fec!O$7)</f>
        <v>0.46032112801530073</v>
      </c>
      <c r="P46" s="252">
        <f>IF(P$7=0,0,P$7/AGR_fec!P$7)</f>
        <v>0.46032112801530095</v>
      </c>
      <c r="Q46" s="252">
        <f>IF(Q$7=0,0,Q$7/AGR_fec!Q$7)</f>
        <v>0.46032112801530095</v>
      </c>
      <c r="R46" s="252">
        <f>IF(R$7=0,0,R$7/AGR_fec!R$7)</f>
        <v>0.46032112801530095</v>
      </c>
      <c r="S46" s="252">
        <f>IF(S$7=0,0,S$7/AGR_fec!S$7)</f>
        <v>0.46032112801530084</v>
      </c>
      <c r="T46" s="252">
        <f>IF(T$7=0,0,T$7/AGR_fec!T$7)</f>
        <v>0.46032112801530078</v>
      </c>
      <c r="U46" s="252">
        <f>IF(U$7=0,0,U$7/AGR_fec!U$7)</f>
        <v>0.46032112801530095</v>
      </c>
      <c r="V46" s="252">
        <f>IF(V$7=0,0,V$7/AGR_fec!V$7)</f>
        <v>0.4603211280153009</v>
      </c>
      <c r="W46" s="252">
        <f>IF(W$7=0,0,W$7/AGR_fec!W$7)</f>
        <v>0.46032112801530095</v>
      </c>
      <c r="DA46" s="289"/>
    </row>
    <row r="47" spans="1:105" x14ac:dyDescent="0.25">
      <c r="A47" s="241" t="s">
        <v>123</v>
      </c>
      <c r="B47" s="252">
        <f>IF(B$8=0,0,B$8/AGR_fec!B$8)</f>
        <v>0.66066359873422598</v>
      </c>
      <c r="C47" s="252">
        <f>IF(C$8=0,0,C$8/AGR_fec!C$8)</f>
        <v>0.66066359873422587</v>
      </c>
      <c r="D47" s="252">
        <f>IF(D$8=0,0,D$8/AGR_fec!D$8)</f>
        <v>0.66066359873422598</v>
      </c>
      <c r="E47" s="252">
        <f>IF(E$8=0,0,E$8/AGR_fec!E$8)</f>
        <v>0.66066359873422598</v>
      </c>
      <c r="F47" s="252">
        <f>IF(F$8=0,0,F$8/AGR_fec!F$8)</f>
        <v>0.66066359873422575</v>
      </c>
      <c r="G47" s="252">
        <f>IF(G$8=0,0,G$8/AGR_fec!G$8)</f>
        <v>0.66066359873422598</v>
      </c>
      <c r="H47" s="252">
        <f>IF(H$8=0,0,H$8/AGR_fec!H$8)</f>
        <v>0.66066359873422587</v>
      </c>
      <c r="I47" s="252">
        <f>IF(I$8=0,0,I$8/AGR_fec!I$8)</f>
        <v>0.66066359873422609</v>
      </c>
      <c r="J47" s="252">
        <f>IF(J$8=0,0,J$8/AGR_fec!J$8)</f>
        <v>0.66066359873422587</v>
      </c>
      <c r="K47" s="252">
        <f>IF(K$8=0,0,K$8/AGR_fec!K$8)</f>
        <v>0.66066359873422598</v>
      </c>
      <c r="L47" s="252">
        <f>IF(L$8=0,0,L$8/AGR_fec!L$8)</f>
        <v>0.66066359873422587</v>
      </c>
      <c r="M47" s="252">
        <f>IF(M$8=0,0,M$8/AGR_fec!M$8)</f>
        <v>0.66066359873422598</v>
      </c>
      <c r="N47" s="252">
        <f>IF(N$8=0,0,N$8/AGR_fec!N$8)</f>
        <v>0.66066359873422598</v>
      </c>
      <c r="O47" s="252">
        <f>IF(O$8=0,0,O$8/AGR_fec!O$8)</f>
        <v>0.66066359873422609</v>
      </c>
      <c r="P47" s="252">
        <f>IF(P$8=0,0,P$8/AGR_fec!P$8)</f>
        <v>0.66066359873422598</v>
      </c>
      <c r="Q47" s="252">
        <f>IF(Q$8=0,0,Q$8/AGR_fec!Q$8)</f>
        <v>0.66066359873422587</v>
      </c>
      <c r="R47" s="252">
        <f>IF(R$8=0,0,R$8/AGR_fec!R$8)</f>
        <v>0.66066359873422598</v>
      </c>
      <c r="S47" s="252">
        <f>IF(S$8=0,0,S$8/AGR_fec!S$8)</f>
        <v>0.66066359873422598</v>
      </c>
      <c r="T47" s="252">
        <f>IF(T$8=0,0,T$8/AGR_fec!T$8)</f>
        <v>0.66066359873422587</v>
      </c>
      <c r="U47" s="252">
        <f>IF(U$8=0,0,U$8/AGR_fec!U$8)</f>
        <v>0.66066359873422575</v>
      </c>
      <c r="V47" s="252">
        <f>IF(V$8=0,0,V$8/AGR_fec!V$8)</f>
        <v>0.66066359873422587</v>
      </c>
      <c r="W47" s="252">
        <f>IF(W$8=0,0,W$8/AGR_fec!W$8)</f>
        <v>0.66066359873422587</v>
      </c>
      <c r="DA47" s="289"/>
    </row>
    <row r="48" spans="1:105" x14ac:dyDescent="0.25">
      <c r="A48" s="243" t="s">
        <v>122</v>
      </c>
      <c r="B48" s="253">
        <f>IF(B$9=0,0,B$9/AGR_fec!B$9)</f>
        <v>0.62612017495648087</v>
      </c>
      <c r="C48" s="253">
        <f>IF(C$9=0,0,C$9/AGR_fec!C$9)</f>
        <v>0.62645396085292737</v>
      </c>
      <c r="D48" s="253">
        <f>IF(D$9=0,0,D$9/AGR_fec!D$9)</f>
        <v>0.62430296422405951</v>
      </c>
      <c r="E48" s="253">
        <f>IF(E$9=0,0,E$9/AGR_fec!E$9)</f>
        <v>0.62631864923159097</v>
      </c>
      <c r="F48" s="253">
        <f>IF(F$9=0,0,F$9/AGR_fec!F$9)</f>
        <v>0.62706206162944089</v>
      </c>
      <c r="G48" s="253">
        <f>IF(G$9=0,0,G$9/AGR_fec!G$9)</f>
        <v>0.62893998288237396</v>
      </c>
      <c r="H48" s="253">
        <f>IF(H$9=0,0,H$9/AGR_fec!H$9)</f>
        <v>0.63054195062199658</v>
      </c>
      <c r="I48" s="253">
        <f>IF(I$9=0,0,I$9/AGR_fec!I$9)</f>
        <v>0.63527512130646335</v>
      </c>
      <c r="J48" s="253">
        <f>IF(J$9=0,0,J$9/AGR_fec!J$9)</f>
        <v>0.63695034754487423</v>
      </c>
      <c r="K48" s="253">
        <f>IF(K$9=0,0,K$9/AGR_fec!K$9)</f>
        <v>0.636916709551269</v>
      </c>
      <c r="L48" s="253">
        <f>IF(L$9=0,0,L$9/AGR_fec!L$9)</f>
        <v>0.63769176924707127</v>
      </c>
      <c r="M48" s="253">
        <f>IF(M$9=0,0,M$9/AGR_fec!M$9)</f>
        <v>0.64279858637013376</v>
      </c>
      <c r="N48" s="253">
        <f>IF(N$9=0,0,N$9/AGR_fec!N$9)</f>
        <v>0.6463311256253863</v>
      </c>
      <c r="O48" s="253">
        <f>IF(O$9=0,0,O$9/AGR_fec!O$9)</f>
        <v>0.64434180170147926</v>
      </c>
      <c r="P48" s="253">
        <f>IF(P$9=0,0,P$9/AGR_fec!P$9)</f>
        <v>0.63997382570674499</v>
      </c>
      <c r="Q48" s="253">
        <f>IF(Q$9=0,0,Q$9/AGR_fec!Q$9)</f>
        <v>0.64191046710543076</v>
      </c>
      <c r="R48" s="253">
        <f>IF(R$9=0,0,R$9/AGR_fec!R$9)</f>
        <v>0.63947415099570137</v>
      </c>
      <c r="S48" s="253">
        <f>IF(S$9=0,0,S$9/AGR_fec!S$9)</f>
        <v>0.64447548410988775</v>
      </c>
      <c r="T48" s="253">
        <f>IF(T$9=0,0,T$9/AGR_fec!T$9)</f>
        <v>0.6387051023943392</v>
      </c>
      <c r="U48" s="253">
        <f>IF(U$9=0,0,U$9/AGR_fec!U$9)</f>
        <v>0.64571798602693586</v>
      </c>
      <c r="V48" s="253">
        <f>IF(V$9=0,0,V$9/AGR_fec!V$9)</f>
        <v>0.64791856058764763</v>
      </c>
      <c r="W48" s="253">
        <f>IF(W$9=0,0,W$9/AGR_fec!W$9)</f>
        <v>0.65393524456508811</v>
      </c>
      <c r="DA48" s="290"/>
    </row>
    <row r="49" spans="1:105" x14ac:dyDescent="0.25">
      <c r="A49" s="128" t="s">
        <v>175</v>
      </c>
      <c r="B49" s="265">
        <f>IF(B$16=0,0,B$16/AGR_fec!B$16)</f>
        <v>0.33217747784764234</v>
      </c>
      <c r="C49" s="265">
        <f>IF(C$16=0,0,C$16/AGR_fec!C$16)</f>
        <v>0.3321774778476424</v>
      </c>
      <c r="D49" s="265">
        <f>IF(D$16=0,0,D$16/AGR_fec!D$16)</f>
        <v>0.33217747784764245</v>
      </c>
      <c r="E49" s="265">
        <f>IF(E$16=0,0,E$16/AGR_fec!E$16)</f>
        <v>0.33217747784764245</v>
      </c>
      <c r="F49" s="265">
        <f>IF(F$16=0,0,F$16/AGR_fec!F$16)</f>
        <v>0.33217747784764245</v>
      </c>
      <c r="G49" s="265">
        <f>IF(G$16=0,0,G$16/AGR_fec!G$16)</f>
        <v>0.33217747784764245</v>
      </c>
      <c r="H49" s="265">
        <f>IF(H$16=0,0,H$16/AGR_fec!H$16)</f>
        <v>0.33217747784764251</v>
      </c>
      <c r="I49" s="265">
        <f>IF(I$16=0,0,I$16/AGR_fec!I$16)</f>
        <v>0.3321774778476424</v>
      </c>
      <c r="J49" s="265">
        <f>IF(J$16=0,0,J$16/AGR_fec!J$16)</f>
        <v>0.33217747784764245</v>
      </c>
      <c r="K49" s="265">
        <f>IF(K$16=0,0,K$16/AGR_fec!K$16)</f>
        <v>0.3321774778476424</v>
      </c>
      <c r="L49" s="265">
        <f>IF(L$16=0,0,L$16/AGR_fec!L$16)</f>
        <v>0.33217747784764245</v>
      </c>
      <c r="M49" s="265">
        <f>IF(M$16=0,0,M$16/AGR_fec!M$16)</f>
        <v>0.33217747784764234</v>
      </c>
      <c r="N49" s="265">
        <f>IF(N$16=0,0,N$16/AGR_fec!N$16)</f>
        <v>0.3321774778476424</v>
      </c>
      <c r="O49" s="265">
        <f>IF(O$16=0,0,O$16/AGR_fec!O$16)</f>
        <v>0.3321774778476424</v>
      </c>
      <c r="P49" s="265">
        <f>IF(P$16=0,0,P$16/AGR_fec!P$16)</f>
        <v>0.33217747784764245</v>
      </c>
      <c r="Q49" s="265">
        <f>IF(Q$16=0,0,Q$16/AGR_fec!Q$16)</f>
        <v>0.3321774778476424</v>
      </c>
      <c r="R49" s="265">
        <f>IF(R$16=0,0,R$16/AGR_fec!R$16)</f>
        <v>0.3321774778476424</v>
      </c>
      <c r="S49" s="265">
        <f>IF(S$16=0,0,S$16/AGR_fec!S$16)</f>
        <v>0.3321774778476424</v>
      </c>
      <c r="T49" s="265">
        <f>IF(T$16=0,0,T$16/AGR_fec!T$16)</f>
        <v>0.3321774778476424</v>
      </c>
      <c r="U49" s="265">
        <f>IF(U$16=0,0,U$16/AGR_fec!U$16)</f>
        <v>0.3321774778476424</v>
      </c>
      <c r="V49" s="265">
        <f>IF(V$16=0,0,V$16/AGR_fec!V$16)</f>
        <v>0.3321774778476424</v>
      </c>
      <c r="W49" s="265">
        <f>IF(W$16=0,0,W$16/AGR_fec!W$16)</f>
        <v>0.3321774778476424</v>
      </c>
      <c r="DA49" s="291"/>
    </row>
    <row r="50" spans="1:105" x14ac:dyDescent="0.25">
      <c r="A50" s="128" t="s">
        <v>121</v>
      </c>
      <c r="B50" s="265">
        <f>IF(B$17=0,0,B$17/AGR_fec!B$17)</f>
        <v>0.26707566135190969</v>
      </c>
      <c r="C50" s="265">
        <f>IF(C$17=0,0,C$17/AGR_fec!C$17)</f>
        <v>0.26725093661686222</v>
      </c>
      <c r="D50" s="265">
        <f>IF(D$17=0,0,D$17/AGR_fec!D$17)</f>
        <v>0.26737233417068579</v>
      </c>
      <c r="E50" s="265">
        <f>IF(E$17=0,0,E$17/AGR_fec!E$17)</f>
        <v>0.26788924666216779</v>
      </c>
      <c r="F50" s="265">
        <f>IF(F$17=0,0,F$17/AGR_fec!F$17)</f>
        <v>0.26784062903863853</v>
      </c>
      <c r="G50" s="265">
        <f>IF(G$17=0,0,G$17/AGR_fec!G$17)</f>
        <v>0.26824349278356618</v>
      </c>
      <c r="H50" s="265">
        <f>IF(H$17=0,0,H$17/AGR_fec!H$17)</f>
        <v>0.26800943014104217</v>
      </c>
      <c r="I50" s="265">
        <f>IF(I$17=0,0,I$17/AGR_fec!I$17)</f>
        <v>0.26803025965499827</v>
      </c>
      <c r="J50" s="265">
        <f>IF(J$17=0,0,J$17/AGR_fec!J$17)</f>
        <v>0.26769184339117147</v>
      </c>
      <c r="K50" s="265">
        <f>IF(K$17=0,0,K$17/AGR_fec!K$17)</f>
        <v>0.26775685503262675</v>
      </c>
      <c r="L50" s="265">
        <f>IF(L$17=0,0,L$17/AGR_fec!L$17)</f>
        <v>0.26943522762526773</v>
      </c>
      <c r="M50" s="265">
        <f>IF(M$17=0,0,M$17/AGR_fec!M$17)</f>
        <v>0.26926460495648979</v>
      </c>
      <c r="N50" s="265">
        <f>IF(N$17=0,0,N$17/AGR_fec!N$17)</f>
        <v>0.26957115031675188</v>
      </c>
      <c r="O50" s="265">
        <f>IF(O$17=0,0,O$17/AGR_fec!O$17)</f>
        <v>0.2695049844242256</v>
      </c>
      <c r="P50" s="265">
        <f>IF(P$17=0,0,P$17/AGR_fec!P$17)</f>
        <v>0.26881076531890202</v>
      </c>
      <c r="Q50" s="265">
        <f>IF(Q$17=0,0,Q$17/AGR_fec!Q$17)</f>
        <v>0.26876667083908429</v>
      </c>
      <c r="R50" s="265">
        <f>IF(R$17=0,0,R$17/AGR_fec!R$17)</f>
        <v>0.26769400277968525</v>
      </c>
      <c r="S50" s="265">
        <f>IF(S$17=0,0,S$17/AGR_fec!S$17)</f>
        <v>0.26761315456820456</v>
      </c>
      <c r="T50" s="265">
        <f>IF(T$17=0,0,T$17/AGR_fec!T$17)</f>
        <v>0.26778875841488281</v>
      </c>
      <c r="U50" s="265">
        <f>IF(U$17=0,0,U$17/AGR_fec!U$17)</f>
        <v>0.26764376672078205</v>
      </c>
      <c r="V50" s="265">
        <f>IF(V$17=0,0,V$17/AGR_fec!V$17)</f>
        <v>0.26786692919248095</v>
      </c>
      <c r="W50" s="265">
        <f>IF(W$17=0,0,W$17/AGR_fec!W$17)</f>
        <v>0.26846187971962482</v>
      </c>
      <c r="DA50" s="291"/>
    </row>
    <row r="51" spans="1:105" x14ac:dyDescent="0.25">
      <c r="A51" s="128" t="s">
        <v>174</v>
      </c>
      <c r="B51" s="265">
        <f>IF(B$25=0,0,B$25/AGR_fec!B$25)</f>
        <v>0.23252423449334966</v>
      </c>
      <c r="C51" s="265">
        <f>IF(C$25=0,0,C$25/AGR_fec!C$25)</f>
        <v>0.23252423449334975</v>
      </c>
      <c r="D51" s="265">
        <f>IF(D$25=0,0,D$25/AGR_fec!D$25)</f>
        <v>0.23252423449334969</v>
      </c>
      <c r="E51" s="265">
        <f>IF(E$25=0,0,E$25/AGR_fec!E$25)</f>
        <v>0.23252423449334955</v>
      </c>
      <c r="F51" s="265">
        <f>IF(F$25=0,0,F$25/AGR_fec!F$25)</f>
        <v>0.23252423449334955</v>
      </c>
      <c r="G51" s="265">
        <f>IF(G$25=0,0,G$25/AGR_fec!G$25)</f>
        <v>0.23252423449334961</v>
      </c>
      <c r="H51" s="265">
        <f>IF(H$25=0,0,H$25/AGR_fec!H$25)</f>
        <v>0.23252423449334964</v>
      </c>
      <c r="I51" s="265">
        <f>IF(I$25=0,0,I$25/AGR_fec!I$25)</f>
        <v>0.23252423449334958</v>
      </c>
      <c r="J51" s="265">
        <f>IF(J$25=0,0,J$25/AGR_fec!J$25)</f>
        <v>0.23252423449334977</v>
      </c>
      <c r="K51" s="265">
        <f>IF(K$25=0,0,K$25/AGR_fec!K$25)</f>
        <v>0.23252423449334961</v>
      </c>
      <c r="L51" s="265">
        <f>IF(L$25=0,0,L$25/AGR_fec!L$25)</f>
        <v>0.23252423449334958</v>
      </c>
      <c r="M51" s="265">
        <f>IF(M$25=0,0,M$25/AGR_fec!M$25)</f>
        <v>0.23252423449334975</v>
      </c>
      <c r="N51" s="265">
        <f>IF(N$25=0,0,N$25/AGR_fec!N$25)</f>
        <v>0.23252423449334966</v>
      </c>
      <c r="O51" s="265">
        <f>IF(O$25=0,0,O$25/AGR_fec!O$25)</f>
        <v>0.23252423449334966</v>
      </c>
      <c r="P51" s="265">
        <f>IF(P$25=0,0,P$25/AGR_fec!P$25)</f>
        <v>0.23252423449334969</v>
      </c>
      <c r="Q51" s="265">
        <f>IF(Q$25=0,0,Q$25/AGR_fec!Q$25)</f>
        <v>0.23252423449334975</v>
      </c>
      <c r="R51" s="265">
        <f>IF(R$25=0,0,R$25/AGR_fec!R$25)</f>
        <v>0.23252423449334964</v>
      </c>
      <c r="S51" s="265">
        <f>IF(S$25=0,0,S$25/AGR_fec!S$25)</f>
        <v>0.23252423449334952</v>
      </c>
      <c r="T51" s="265">
        <f>IF(T$25=0,0,T$25/AGR_fec!T$25)</f>
        <v>0.23252423449334969</v>
      </c>
      <c r="U51" s="265">
        <f>IF(U$25=0,0,U$25/AGR_fec!U$25)</f>
        <v>0.23252423449334964</v>
      </c>
      <c r="V51" s="265">
        <f>IF(V$25=0,0,V$25/AGR_fec!V$25)</f>
        <v>0.23252423449334964</v>
      </c>
      <c r="W51" s="265">
        <f>IF(W$25=0,0,W$25/AGR_fec!W$25)</f>
        <v>0.23252423449334966</v>
      </c>
      <c r="DA51" s="291"/>
    </row>
    <row r="52" spans="1:105" x14ac:dyDescent="0.25">
      <c r="A52" s="128" t="s">
        <v>177</v>
      </c>
      <c r="B52" s="265">
        <f>IF(B$26=0,0,B$26/AGR_fec!B$26)</f>
        <v>0.46032112801530084</v>
      </c>
      <c r="C52" s="265">
        <f>IF(C$26=0,0,C$26/AGR_fec!C$26)</f>
        <v>0.4603211280153009</v>
      </c>
      <c r="D52" s="265">
        <f>IF(D$26=0,0,D$26/AGR_fec!D$26)</f>
        <v>0.46032112801530078</v>
      </c>
      <c r="E52" s="265">
        <f>IF(E$26=0,0,E$26/AGR_fec!E$26)</f>
        <v>0.4603211280153009</v>
      </c>
      <c r="F52" s="265">
        <f>IF(F$26=0,0,F$26/AGR_fec!F$26)</f>
        <v>0.46032112801530095</v>
      </c>
      <c r="G52" s="265">
        <f>IF(G$26=0,0,G$26/AGR_fec!G$26)</f>
        <v>0.46032112801530084</v>
      </c>
      <c r="H52" s="265">
        <f>IF(H$26=0,0,H$26/AGR_fec!H$26)</f>
        <v>0.4603211280153009</v>
      </c>
      <c r="I52" s="265">
        <f>IF(I$26=0,0,I$26/AGR_fec!I$26)</f>
        <v>0.46032112801530106</v>
      </c>
      <c r="J52" s="265">
        <f>IF(J$26=0,0,J$26/AGR_fec!J$26)</f>
        <v>0.46032112801530101</v>
      </c>
      <c r="K52" s="265">
        <f>IF(K$26=0,0,K$26/AGR_fec!K$26)</f>
        <v>0.4603211280153009</v>
      </c>
      <c r="L52" s="265">
        <f>IF(L$26=0,0,L$26/AGR_fec!L$26)</f>
        <v>0.4603211280153009</v>
      </c>
      <c r="M52" s="265">
        <f>IF(M$26=0,0,M$26/AGR_fec!M$26)</f>
        <v>0.4603211280153009</v>
      </c>
      <c r="N52" s="265">
        <f>IF(N$26=0,0,N$26/AGR_fec!N$26)</f>
        <v>0.46032112801530101</v>
      </c>
      <c r="O52" s="265">
        <f>IF(O$26=0,0,O$26/AGR_fec!O$26)</f>
        <v>0.46032112801530095</v>
      </c>
      <c r="P52" s="265">
        <f>IF(P$26=0,0,P$26/AGR_fec!P$26)</f>
        <v>0.4603211280153009</v>
      </c>
      <c r="Q52" s="265">
        <f>IF(Q$26=0,0,Q$26/AGR_fec!Q$26)</f>
        <v>0.46032112801530095</v>
      </c>
      <c r="R52" s="265">
        <f>IF(R$26=0,0,R$26/AGR_fec!R$26)</f>
        <v>0.4603211280153009</v>
      </c>
      <c r="S52" s="265">
        <f>IF(S$26=0,0,S$26/AGR_fec!S$26)</f>
        <v>0.4603211280153009</v>
      </c>
      <c r="T52" s="265">
        <f>IF(T$26=0,0,T$26/AGR_fec!T$26)</f>
        <v>0.4603211280153009</v>
      </c>
      <c r="U52" s="265">
        <f>IF(U$26=0,0,U$26/AGR_fec!U$26)</f>
        <v>0.46032112801530095</v>
      </c>
      <c r="V52" s="265">
        <f>IF(V$26=0,0,V$26/AGR_fec!V$26)</f>
        <v>0.46032112801530084</v>
      </c>
      <c r="W52" s="265">
        <f>IF(W$26=0,0,W$26/AGR_fec!W$26)</f>
        <v>0.4603211280153009</v>
      </c>
      <c r="DA52" s="291"/>
    </row>
    <row r="53" spans="1:105" x14ac:dyDescent="0.25">
      <c r="A53" s="261" t="s">
        <v>33</v>
      </c>
      <c r="B53" s="266">
        <f>IF(B$27=0,0,B$27/AGR_fec!B$27)</f>
        <v>0.48383393394762902</v>
      </c>
      <c r="C53" s="266">
        <f>IF(C$27=0,0,C$27/AGR_fec!C$27)</f>
        <v>0.48383393394762902</v>
      </c>
      <c r="D53" s="266">
        <f>IF(D$27=0,0,D$27/AGR_fec!D$27)</f>
        <v>0.48383393394762908</v>
      </c>
      <c r="E53" s="266">
        <f>IF(E$27=0,0,E$27/AGR_fec!E$27)</f>
        <v>0.4838339339476288</v>
      </c>
      <c r="F53" s="266">
        <f>IF(F$27=0,0,F$27/AGR_fec!F$27)</f>
        <v>0.48383393394762919</v>
      </c>
      <c r="G53" s="266">
        <f>IF(G$27=0,0,G$27/AGR_fec!G$27)</f>
        <v>0.48383393394762908</v>
      </c>
      <c r="H53" s="266">
        <f>IF(H$27=0,0,H$27/AGR_fec!H$27)</f>
        <v>0.48383393394762919</v>
      </c>
      <c r="I53" s="266">
        <f>IF(I$27=0,0,I$27/AGR_fec!I$27)</f>
        <v>0.48383393394762902</v>
      </c>
      <c r="J53" s="266">
        <f>IF(J$27=0,0,J$27/AGR_fec!J$27)</f>
        <v>0.48383393394762897</v>
      </c>
      <c r="K53" s="266">
        <f>IF(K$27=0,0,K$27/AGR_fec!K$27)</f>
        <v>0.48383393394762897</v>
      </c>
      <c r="L53" s="266">
        <f>IF(L$27=0,0,L$27/AGR_fec!L$27)</f>
        <v>0.48383393394762897</v>
      </c>
      <c r="M53" s="266">
        <f>IF(M$27=0,0,M$27/AGR_fec!M$27)</f>
        <v>0.48383393394762941</v>
      </c>
      <c r="N53" s="266">
        <f>IF(N$27=0,0,N$27/AGR_fec!N$27)</f>
        <v>0.48383393394762919</v>
      </c>
      <c r="O53" s="266">
        <f>IF(O$27=0,0,O$27/AGR_fec!O$27)</f>
        <v>0.48383393394762925</v>
      </c>
      <c r="P53" s="266">
        <f>IF(P$27=0,0,P$27/AGR_fec!P$27)</f>
        <v>0.48383393394762908</v>
      </c>
      <c r="Q53" s="266">
        <f>IF(Q$27=0,0,Q$27/AGR_fec!Q$27)</f>
        <v>0.48383393394762886</v>
      </c>
      <c r="R53" s="266">
        <f>IF(R$27=0,0,R$27/AGR_fec!R$27)</f>
        <v>0.48383393394762925</v>
      </c>
      <c r="S53" s="266">
        <f>IF(S$27=0,0,S$27/AGR_fec!S$27)</f>
        <v>0.48383393394762919</v>
      </c>
      <c r="T53" s="266">
        <f>IF(T$27=0,0,T$27/AGR_fec!T$27)</f>
        <v>0.48383393394762891</v>
      </c>
      <c r="U53" s="266">
        <f>IF(U$27=0,0,U$27/AGR_fec!U$27)</f>
        <v>0.4838339339476293</v>
      </c>
      <c r="V53" s="266">
        <f>IF(V$27=0,0,V$27/AGR_fec!V$27)</f>
        <v>0.48383393394762897</v>
      </c>
      <c r="W53" s="266">
        <f>IF(W$27=0,0,W$27/AGR_fec!W$27)</f>
        <v>0.48383393394762914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8127.6145999186911</v>
      </c>
      <c r="C5" s="80">
        <f t="shared" ref="C5:W5" si="0">SUM(C6:C9,C16:C17,C25:C27)</f>
        <v>8428.2188637571726</v>
      </c>
      <c r="D5" s="80">
        <f t="shared" si="0"/>
        <v>8378.157047038203</v>
      </c>
      <c r="E5" s="80">
        <f t="shared" si="0"/>
        <v>8425.4503291170731</v>
      </c>
      <c r="F5" s="80">
        <f t="shared" si="0"/>
        <v>8383.9865749173059</v>
      </c>
      <c r="G5" s="80">
        <f t="shared" si="0"/>
        <v>8458.5914719177435</v>
      </c>
      <c r="H5" s="80">
        <f t="shared" si="0"/>
        <v>8328.6730598384547</v>
      </c>
      <c r="I5" s="80">
        <f t="shared" si="0"/>
        <v>7934.6577560382557</v>
      </c>
      <c r="J5" s="80">
        <f t="shared" si="0"/>
        <v>7671.8143043972741</v>
      </c>
      <c r="K5" s="80">
        <f t="shared" si="0"/>
        <v>7750.3385959185825</v>
      </c>
      <c r="L5" s="80">
        <f t="shared" si="0"/>
        <v>7331.2570468784652</v>
      </c>
      <c r="M5" s="80">
        <f t="shared" si="0"/>
        <v>7186.9092767970405</v>
      </c>
      <c r="N5" s="80">
        <f t="shared" si="0"/>
        <v>6878.4508799976484</v>
      </c>
      <c r="O5" s="80">
        <f t="shared" si="0"/>
        <v>6808.8056572780033</v>
      </c>
      <c r="P5" s="80">
        <f t="shared" si="0"/>
        <v>6812.9128789172646</v>
      </c>
      <c r="Q5" s="80">
        <f t="shared" si="0"/>
        <v>6946.07971319841</v>
      </c>
      <c r="R5" s="80">
        <f t="shared" si="0"/>
        <v>7023.0889745972736</v>
      </c>
      <c r="S5" s="80">
        <f t="shared" si="0"/>
        <v>7044.2152534783618</v>
      </c>
      <c r="T5" s="80">
        <f t="shared" si="0"/>
        <v>7443.6166893586669</v>
      </c>
      <c r="U5" s="80">
        <f t="shared" si="0"/>
        <v>7042.789711437088</v>
      </c>
      <c r="V5" s="80">
        <f t="shared" si="0"/>
        <v>7091.091861842533</v>
      </c>
      <c r="W5" s="80">
        <f t="shared" si="0"/>
        <v>7071.2959226421199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1651.6279670741799</v>
      </c>
      <c r="C9" s="244">
        <f t="shared" ref="C9:W9" si="1">SUM(C10:C15)</f>
        <v>1713.9684398614434</v>
      </c>
      <c r="D9" s="244">
        <f t="shared" si="1"/>
        <v>1717.6165331566494</v>
      </c>
      <c r="E9" s="244">
        <f t="shared" si="1"/>
        <v>1722.5114920616807</v>
      </c>
      <c r="F9" s="244">
        <f t="shared" si="1"/>
        <v>1707.8454166956969</v>
      </c>
      <c r="G9" s="244">
        <f t="shared" si="1"/>
        <v>1717.4695883907091</v>
      </c>
      <c r="H9" s="244">
        <f t="shared" si="1"/>
        <v>1679.1588298025395</v>
      </c>
      <c r="I9" s="244">
        <f t="shared" si="1"/>
        <v>1577.0011614500384</v>
      </c>
      <c r="J9" s="244">
        <f t="shared" si="1"/>
        <v>1516.4804039975113</v>
      </c>
      <c r="K9" s="244">
        <f t="shared" si="1"/>
        <v>1523.4256309725515</v>
      </c>
      <c r="L9" s="244">
        <f t="shared" si="1"/>
        <v>1444.9488192657225</v>
      </c>
      <c r="M9" s="244">
        <f t="shared" si="1"/>
        <v>1385.3692059507334</v>
      </c>
      <c r="N9" s="244">
        <f t="shared" si="1"/>
        <v>1305.4580215764913</v>
      </c>
      <c r="O9" s="244">
        <f t="shared" si="1"/>
        <v>1296.8156687303658</v>
      </c>
      <c r="P9" s="244">
        <f t="shared" si="1"/>
        <v>1321.8461806092732</v>
      </c>
      <c r="Q9" s="244">
        <f t="shared" si="1"/>
        <v>1357.1115126508275</v>
      </c>
      <c r="R9" s="244">
        <f t="shared" si="1"/>
        <v>1386.7377883567754</v>
      </c>
      <c r="S9" s="244">
        <f t="shared" si="1"/>
        <v>1370.0826353571888</v>
      </c>
      <c r="T9" s="244">
        <f t="shared" si="1"/>
        <v>1473.1631059783213</v>
      </c>
      <c r="U9" s="244">
        <f t="shared" si="1"/>
        <v>1361.6710435505993</v>
      </c>
      <c r="V9" s="244">
        <f t="shared" si="1"/>
        <v>1358.9402672591787</v>
      </c>
      <c r="W9" s="244">
        <f t="shared" si="1"/>
        <v>1330.4064830107325</v>
      </c>
      <c r="DA9" s="270"/>
    </row>
    <row r="10" spans="1:105" x14ac:dyDescent="0.25">
      <c r="A10" s="254" t="s">
        <v>173</v>
      </c>
      <c r="B10" s="255">
        <v>1554.698820672483</v>
      </c>
      <c r="C10" s="255">
        <v>1613.876288280557</v>
      </c>
      <c r="D10" s="255">
        <v>1618.670000704841</v>
      </c>
      <c r="E10" s="255">
        <v>1615.0967828336311</v>
      </c>
      <c r="F10" s="255">
        <v>1595.649394647895</v>
      </c>
      <c r="G10" s="255">
        <v>1580.9806395074679</v>
      </c>
      <c r="H10" s="255">
        <v>1560.0397768744281</v>
      </c>
      <c r="I10" s="255">
        <v>1453.0368267294591</v>
      </c>
      <c r="J10" s="255">
        <v>1408.3156857098761</v>
      </c>
      <c r="K10" s="255">
        <v>1412.216577362836</v>
      </c>
      <c r="L10" s="255">
        <v>1333.204639393527</v>
      </c>
      <c r="M10" s="255">
        <v>1285.113573622554</v>
      </c>
      <c r="N10" s="255">
        <v>1208.0212161359191</v>
      </c>
      <c r="O10" s="255">
        <v>1199.3804828200859</v>
      </c>
      <c r="P10" s="255">
        <v>1228.3709756840069</v>
      </c>
      <c r="Q10" s="255">
        <v>1249.03649937809</v>
      </c>
      <c r="R10" s="255">
        <v>1286.6002474334821</v>
      </c>
      <c r="S10" s="255">
        <v>1266.655614308241</v>
      </c>
      <c r="T10" s="255">
        <v>1367.726254973345</v>
      </c>
      <c r="U10" s="255">
        <v>1254.2496828424939</v>
      </c>
      <c r="V10" s="255">
        <v>1256.6958040946299</v>
      </c>
      <c r="W10" s="255">
        <v>1200.965871699904</v>
      </c>
      <c r="DA10" s="271" t="s">
        <v>1038</v>
      </c>
    </row>
    <row r="11" spans="1:105" x14ac:dyDescent="0.25">
      <c r="A11" s="254" t="s">
        <v>176</v>
      </c>
      <c r="B11" s="256">
        <v>96.929146401696997</v>
      </c>
      <c r="C11" s="256">
        <v>100.09215158088629</v>
      </c>
      <c r="D11" s="256">
        <v>98.946532451808451</v>
      </c>
      <c r="E11" s="256">
        <v>107.4147092280495</v>
      </c>
      <c r="F11" s="256">
        <v>112.1960220478019</v>
      </c>
      <c r="G11" s="256">
        <v>136.48894888324119</v>
      </c>
      <c r="H11" s="256">
        <v>119.1190529281113</v>
      </c>
      <c r="I11" s="256">
        <v>123.9643347205792</v>
      </c>
      <c r="J11" s="256">
        <v>108.1647182876352</v>
      </c>
      <c r="K11" s="256">
        <v>111.2090536097154</v>
      </c>
      <c r="L11" s="256">
        <v>111.7441798721954</v>
      </c>
      <c r="M11" s="256">
        <v>100.2556323281794</v>
      </c>
      <c r="N11" s="256">
        <v>97.436805440572229</v>
      </c>
      <c r="O11" s="256">
        <v>97.435185910279969</v>
      </c>
      <c r="P11" s="256">
        <v>93.475204925266382</v>
      </c>
      <c r="Q11" s="256">
        <v>108.07501327273761</v>
      </c>
      <c r="R11" s="256">
        <v>100.1375409232933</v>
      </c>
      <c r="S11" s="256">
        <v>103.42702104894791</v>
      </c>
      <c r="T11" s="256">
        <v>105.43685100497621</v>
      </c>
      <c r="U11" s="256">
        <v>107.4213607081054</v>
      </c>
      <c r="V11" s="256">
        <v>102.2444631645488</v>
      </c>
      <c r="W11" s="256">
        <v>129.4406113108285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2581.8349560998822</v>
      </c>
      <c r="C16" s="258">
        <v>2682.0464403603719</v>
      </c>
      <c r="D16" s="258">
        <v>2664.2366985286658</v>
      </c>
      <c r="E16" s="258">
        <v>2690.011665913371</v>
      </c>
      <c r="F16" s="258">
        <v>2674.8220257194971</v>
      </c>
      <c r="G16" s="258">
        <v>2700.9942873133609</v>
      </c>
      <c r="H16" s="258">
        <v>2665.944695942203</v>
      </c>
      <c r="I16" s="258">
        <v>2551.9016165919529</v>
      </c>
      <c r="J16" s="258">
        <v>2472.2362568371532</v>
      </c>
      <c r="K16" s="258">
        <v>2502.4222614831092</v>
      </c>
      <c r="L16" s="258">
        <v>2346.7117914569121</v>
      </c>
      <c r="M16" s="258">
        <v>2314.6302575461759</v>
      </c>
      <c r="N16" s="258">
        <v>2220.8919556315032</v>
      </c>
      <c r="O16" s="258">
        <v>2197.6486205745209</v>
      </c>
      <c r="P16" s="258">
        <v>2204.9793071652712</v>
      </c>
      <c r="Q16" s="258">
        <v>2252.6054764489022</v>
      </c>
      <c r="R16" s="258">
        <v>2288.6278178456341</v>
      </c>
      <c r="S16" s="258">
        <v>2306.1773655924922</v>
      </c>
      <c r="T16" s="258">
        <v>2422.0518338057918</v>
      </c>
      <c r="U16" s="258">
        <v>2309.0483332330409</v>
      </c>
      <c r="V16" s="258">
        <v>2325.8714191526342</v>
      </c>
      <c r="W16" s="258">
        <v>2331.087200129004</v>
      </c>
      <c r="DA16" s="273" t="s">
        <v>1044</v>
      </c>
    </row>
    <row r="17" spans="1:105" x14ac:dyDescent="0.25">
      <c r="A17" s="257" t="s">
        <v>121</v>
      </c>
      <c r="B17" s="258">
        <f>SUM(B18:B24)</f>
        <v>3398.0305736269802</v>
      </c>
      <c r="C17" s="258">
        <f t="shared" ref="C17:W17" si="2">SUM(C18:C24)</f>
        <v>3516.8264085820829</v>
      </c>
      <c r="D17" s="258">
        <f t="shared" si="2"/>
        <v>3484.3485307140691</v>
      </c>
      <c r="E17" s="258">
        <f t="shared" si="2"/>
        <v>3496.0190117187376</v>
      </c>
      <c r="F17" s="258">
        <f t="shared" si="2"/>
        <v>3487.3297890283679</v>
      </c>
      <c r="G17" s="258">
        <f t="shared" si="2"/>
        <v>3521.1090345622329</v>
      </c>
      <c r="H17" s="258">
        <f t="shared" si="2"/>
        <v>3471.2860435179032</v>
      </c>
      <c r="I17" s="258">
        <f t="shared" si="2"/>
        <v>3315.3858155212897</v>
      </c>
      <c r="J17" s="258">
        <f t="shared" si="2"/>
        <v>3208.0368438737369</v>
      </c>
      <c r="K17" s="258">
        <f t="shared" si="2"/>
        <v>3243.6294114194602</v>
      </c>
      <c r="L17" s="258">
        <f t="shared" si="2"/>
        <v>3088.6562085761725</v>
      </c>
      <c r="M17" s="258">
        <f t="shared" si="2"/>
        <v>3042.1343198201084</v>
      </c>
      <c r="N17" s="258">
        <f t="shared" si="2"/>
        <v>2925.338005211785</v>
      </c>
      <c r="O17" s="258">
        <f t="shared" si="2"/>
        <v>2892.0448709300144</v>
      </c>
      <c r="P17" s="258">
        <f t="shared" si="2"/>
        <v>2862.3822415792783</v>
      </c>
      <c r="Q17" s="258">
        <f t="shared" si="2"/>
        <v>2903.5058092039808</v>
      </c>
      <c r="R17" s="258">
        <f t="shared" si="2"/>
        <v>2907.9444604004875</v>
      </c>
      <c r="S17" s="258">
        <f t="shared" si="2"/>
        <v>2924.8040526816376</v>
      </c>
      <c r="T17" s="258">
        <f t="shared" si="2"/>
        <v>3082.9843049943479</v>
      </c>
      <c r="U17" s="258">
        <f t="shared" si="2"/>
        <v>2928.367454448417</v>
      </c>
      <c r="V17" s="258">
        <f t="shared" si="2"/>
        <v>2959.3445990672649</v>
      </c>
      <c r="W17" s="258">
        <f t="shared" si="2"/>
        <v>2961.8644073574337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203.1818990399621</v>
      </c>
      <c r="C19" s="55">
        <v>194.47417475992441</v>
      </c>
      <c r="D19" s="55">
        <v>194.47417475995209</v>
      </c>
      <c r="E19" s="55">
        <v>194.47417475992191</v>
      </c>
      <c r="F19" s="55">
        <v>191.57175143992859</v>
      </c>
      <c r="G19" s="55">
        <v>194.47440191993979</v>
      </c>
      <c r="H19" s="55">
        <v>194.47440191995781</v>
      </c>
      <c r="I19" s="55">
        <v>185.76645047995149</v>
      </c>
      <c r="J19" s="55">
        <v>179.96137667992349</v>
      </c>
      <c r="K19" s="55">
        <v>174.1560757199621</v>
      </c>
      <c r="L19" s="55">
        <v>179.9613766799543</v>
      </c>
      <c r="M19" s="55">
        <v>174.15607571991191</v>
      </c>
      <c r="N19" s="55">
        <v>156.7403999999336</v>
      </c>
      <c r="O19" s="55">
        <v>150.93532619994559</v>
      </c>
      <c r="P19" s="55">
        <v>130.61699999993601</v>
      </c>
      <c r="Q19" s="55">
        <v>153.83797667995651</v>
      </c>
      <c r="R19" s="55">
        <v>60.954751439971218</v>
      </c>
      <c r="S19" s="55">
        <v>55.149450479984203</v>
      </c>
      <c r="T19" s="55">
        <v>58.05210095998742</v>
      </c>
      <c r="U19" s="55">
        <v>62.391311279968178</v>
      </c>
      <c r="V19" s="55">
        <v>66.492685080029574</v>
      </c>
      <c r="W19" s="55">
        <v>72.811821960027473</v>
      </c>
      <c r="DA19" s="101" t="s">
        <v>1046</v>
      </c>
    </row>
    <row r="20" spans="1:105" x14ac:dyDescent="0.25">
      <c r="A20" s="61" t="s">
        <v>173</v>
      </c>
      <c r="B20" s="55">
        <v>2858.0993001087841</v>
      </c>
      <c r="C20" s="55">
        <v>3007.74633856318</v>
      </c>
      <c r="D20" s="55">
        <v>3008.401536126004</v>
      </c>
      <c r="E20" s="55">
        <v>3072.7901407469722</v>
      </c>
      <c r="F20" s="55">
        <v>3025.1161650763561</v>
      </c>
      <c r="G20" s="55">
        <v>3011.7400115256451</v>
      </c>
      <c r="H20" s="55">
        <v>3001.8622676861228</v>
      </c>
      <c r="I20" s="55">
        <v>2847.0837320419978</v>
      </c>
      <c r="J20" s="55">
        <v>2775.2821977615631</v>
      </c>
      <c r="K20" s="55">
        <v>2814.3112201892732</v>
      </c>
      <c r="L20" s="55">
        <v>2652.8055926484822</v>
      </c>
      <c r="M20" s="55">
        <v>2634.9731464284951</v>
      </c>
      <c r="N20" s="55">
        <v>2536.5604306525211</v>
      </c>
      <c r="O20" s="55">
        <v>2509.7776106404331</v>
      </c>
      <c r="P20" s="55">
        <v>2513.0845365047189</v>
      </c>
      <c r="Q20" s="55">
        <v>2508.2440803568311</v>
      </c>
      <c r="R20" s="55">
        <v>2632.9189867239152</v>
      </c>
      <c r="S20" s="55">
        <v>2644.5683313306658</v>
      </c>
      <c r="T20" s="55">
        <v>2799.939566639388</v>
      </c>
      <c r="U20" s="55">
        <v>2631.4550837166739</v>
      </c>
      <c r="V20" s="55">
        <v>2666.738998351685</v>
      </c>
      <c r="W20" s="55">
        <v>2602.181917148132</v>
      </c>
      <c r="DA20" s="101" t="s">
        <v>1047</v>
      </c>
    </row>
    <row r="21" spans="1:105" x14ac:dyDescent="0.25">
      <c r="A21" s="61" t="s">
        <v>129</v>
      </c>
      <c r="B21" s="55">
        <v>158.55851087997041</v>
      </c>
      <c r="C21" s="55">
        <v>128.06631683995019</v>
      </c>
      <c r="D21" s="55">
        <v>97.574372279975947</v>
      </c>
      <c r="E21" s="55">
        <v>24.393655439990209</v>
      </c>
      <c r="F21" s="55">
        <v>57.934744559978427</v>
      </c>
      <c r="G21" s="55">
        <v>54.885599999982972</v>
      </c>
      <c r="H21" s="55">
        <v>45.737916839990078</v>
      </c>
      <c r="I21" s="55">
        <v>39.639627719989647</v>
      </c>
      <c r="J21" s="55">
        <v>39.639627719983118</v>
      </c>
      <c r="K21" s="55">
        <v>33.541089119992677</v>
      </c>
      <c r="L21" s="55">
        <v>33.54108911999149</v>
      </c>
      <c r="M21" s="55">
        <v>27.4427999999861</v>
      </c>
      <c r="N21" s="55">
        <v>27.44279999998836</v>
      </c>
      <c r="O21" s="55">
        <v>27.4427999999901</v>
      </c>
      <c r="P21" s="55">
        <v>27.442799999986551</v>
      </c>
      <c r="Q21" s="55">
        <v>24.39365543999309</v>
      </c>
      <c r="R21" s="55">
        <v>9.1476831599956796</v>
      </c>
      <c r="S21" s="55">
        <v>9.1476831599973814</v>
      </c>
      <c r="T21" s="55">
        <v>9.1476831599980208</v>
      </c>
      <c r="U21" s="55">
        <v>9.147683159995335</v>
      </c>
      <c r="V21" s="55">
        <v>9.1476831600040711</v>
      </c>
      <c r="W21" s="55">
        <v>6.4063969200024156</v>
      </c>
      <c r="DA21" s="101" t="s">
        <v>1048</v>
      </c>
    </row>
    <row r="22" spans="1:105" x14ac:dyDescent="0.25">
      <c r="A22" s="61" t="s">
        <v>176</v>
      </c>
      <c r="B22" s="55">
        <v>178.1908635982638</v>
      </c>
      <c r="C22" s="55">
        <v>186.5395784190284</v>
      </c>
      <c r="D22" s="55">
        <v>183.89844754813711</v>
      </c>
      <c r="E22" s="55">
        <v>204.3610407718536</v>
      </c>
      <c r="F22" s="55">
        <v>212.70712795210511</v>
      </c>
      <c r="G22" s="55">
        <v>260.00902111666522</v>
      </c>
      <c r="H22" s="55">
        <v>229.21145707183209</v>
      </c>
      <c r="I22" s="55">
        <v>242.8960052793511</v>
      </c>
      <c r="J22" s="55">
        <v>213.1536417122669</v>
      </c>
      <c r="K22" s="55">
        <v>221.6210263902322</v>
      </c>
      <c r="L22" s="55">
        <v>222.3481501277449</v>
      </c>
      <c r="M22" s="55">
        <v>205.56229767171521</v>
      </c>
      <c r="N22" s="55">
        <v>204.5943745593419</v>
      </c>
      <c r="O22" s="55">
        <v>203.88913408964589</v>
      </c>
      <c r="P22" s="55">
        <v>191.23790507463659</v>
      </c>
      <c r="Q22" s="55">
        <v>217.0300967272</v>
      </c>
      <c r="R22" s="55">
        <v>204.9230390766057</v>
      </c>
      <c r="S22" s="55">
        <v>215.93858771098979</v>
      </c>
      <c r="T22" s="55">
        <v>215.84495423497461</v>
      </c>
      <c r="U22" s="55">
        <v>225.37337629177949</v>
      </c>
      <c r="V22" s="55">
        <v>216.965232475546</v>
      </c>
      <c r="W22" s="55">
        <v>280.46427132927209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496.1211031176494</v>
      </c>
      <c r="C25" s="258">
        <v>515.37757495327503</v>
      </c>
      <c r="D25" s="258">
        <v>511.95528463881828</v>
      </c>
      <c r="E25" s="258">
        <v>516.90815942328447</v>
      </c>
      <c r="F25" s="258">
        <v>513.98934347374416</v>
      </c>
      <c r="G25" s="258">
        <v>519.01856165144159</v>
      </c>
      <c r="H25" s="258">
        <v>512.28349057581045</v>
      </c>
      <c r="I25" s="258">
        <v>490.36916247497493</v>
      </c>
      <c r="J25" s="258">
        <v>475.06079968887309</v>
      </c>
      <c r="K25" s="258">
        <v>480.86129204346128</v>
      </c>
      <c r="L25" s="258">
        <v>450.9402275796582</v>
      </c>
      <c r="M25" s="258">
        <v>444.77549348002259</v>
      </c>
      <c r="N25" s="258">
        <v>426.76289757786873</v>
      </c>
      <c r="O25" s="258">
        <v>422.29649704310231</v>
      </c>
      <c r="P25" s="258">
        <v>423.70514956344238</v>
      </c>
      <c r="Q25" s="258">
        <v>432.85691489469963</v>
      </c>
      <c r="R25" s="258">
        <v>439.77890799437642</v>
      </c>
      <c r="S25" s="258">
        <v>443.15119984704342</v>
      </c>
      <c r="T25" s="258">
        <v>465.41744458020588</v>
      </c>
      <c r="U25" s="258">
        <v>443.7028802050304</v>
      </c>
      <c r="V25" s="258">
        <v>446.93557636345548</v>
      </c>
      <c r="W25" s="258">
        <v>447.93783214495028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1.0000000000000002</v>
      </c>
      <c r="D31" s="236">
        <f t="shared" si="3"/>
        <v>0.99999999999999989</v>
      </c>
      <c r="E31" s="236">
        <f t="shared" si="3"/>
        <v>1</v>
      </c>
      <c r="F31" s="236">
        <f t="shared" si="3"/>
        <v>1.0000000000000002</v>
      </c>
      <c r="G31" s="236">
        <f t="shared" si="3"/>
        <v>1.0000000000000002</v>
      </c>
      <c r="H31" s="236">
        <f t="shared" si="3"/>
        <v>1</v>
      </c>
      <c r="I31" s="236">
        <f t="shared" si="3"/>
        <v>1</v>
      </c>
      <c r="J31" s="236">
        <f t="shared" si="3"/>
        <v>1.0000000000000002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0.99999999999999989</v>
      </c>
      <c r="O31" s="236">
        <f t="shared" si="3"/>
        <v>1.0000000000000002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0.99999999999999989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0.20321189529467881</v>
      </c>
      <c r="C35" s="247">
        <f t="shared" si="8"/>
        <v>0.20336069430183049</v>
      </c>
      <c r="D35" s="247">
        <f t="shared" si="8"/>
        <v>0.20501126005555734</v>
      </c>
      <c r="E35" s="247">
        <f t="shared" si="8"/>
        <v>0.20444147490953016</v>
      </c>
      <c r="F35" s="247">
        <f t="shared" si="8"/>
        <v>0.20370326233645503</v>
      </c>
      <c r="G35" s="247">
        <f t="shared" si="8"/>
        <v>0.20304439505000968</v>
      </c>
      <c r="H35" s="247">
        <f t="shared" si="8"/>
        <v>0.20161180751584321</v>
      </c>
      <c r="I35" s="247">
        <f t="shared" si="8"/>
        <v>0.19874847913256805</v>
      </c>
      <c r="J35" s="247">
        <f t="shared" si="8"/>
        <v>0.19766907068231646</v>
      </c>
      <c r="K35" s="247">
        <f t="shared" si="8"/>
        <v>0.19656246138392006</v>
      </c>
      <c r="L35" s="247">
        <f t="shared" si="8"/>
        <v>0.19709427865183898</v>
      </c>
      <c r="M35" s="247">
        <f t="shared" si="8"/>
        <v>0.19276286267080098</v>
      </c>
      <c r="N35" s="247">
        <f t="shared" si="8"/>
        <v>0.18978953900401155</v>
      </c>
      <c r="O35" s="247">
        <f t="shared" si="8"/>
        <v>0.19046154847204164</v>
      </c>
      <c r="P35" s="247">
        <f t="shared" si="8"/>
        <v>0.19402070804394997</v>
      </c>
      <c r="Q35" s="247">
        <f t="shared" si="8"/>
        <v>0.19537805045227857</v>
      </c>
      <c r="R35" s="247">
        <f t="shared" si="8"/>
        <v>0.19745411077271668</v>
      </c>
      <c r="S35" s="247">
        <f t="shared" si="8"/>
        <v>0.19449755381632552</v>
      </c>
      <c r="T35" s="247">
        <f t="shared" si="8"/>
        <v>0.19790958716135171</v>
      </c>
      <c r="U35" s="247">
        <f t="shared" si="8"/>
        <v>0.19334256726980267</v>
      </c>
      <c r="V35" s="247">
        <f t="shared" si="8"/>
        <v>0.19164048269797407</v>
      </c>
      <c r="W35" s="247">
        <f t="shared" si="8"/>
        <v>0.18814181976896241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0.31766207961259763</v>
      </c>
      <c r="C36" s="260">
        <f t="shared" si="9"/>
        <v>0.3182222108509361</v>
      </c>
      <c r="D36" s="260">
        <f t="shared" si="9"/>
        <v>0.31799794197824344</v>
      </c>
      <c r="E36" s="260">
        <f t="shared" si="9"/>
        <v>0.31927215292185634</v>
      </c>
      <c r="F36" s="260">
        <f t="shared" si="9"/>
        <v>0.31903939752502286</v>
      </c>
      <c r="G36" s="260">
        <f t="shared" si="9"/>
        <v>0.31931962860253704</v>
      </c>
      <c r="H36" s="260">
        <f t="shared" si="9"/>
        <v>0.32009236967141946</v>
      </c>
      <c r="I36" s="260">
        <f t="shared" si="9"/>
        <v>0.32161457936228716</v>
      </c>
      <c r="J36" s="260">
        <f t="shared" si="9"/>
        <v>0.32224923059205629</v>
      </c>
      <c r="K36" s="260">
        <f t="shared" si="9"/>
        <v>0.32287908850858638</v>
      </c>
      <c r="L36" s="260">
        <f t="shared" si="9"/>
        <v>0.32009678237323647</v>
      </c>
      <c r="M36" s="260">
        <f t="shared" si="9"/>
        <v>0.32206198358715438</v>
      </c>
      <c r="N36" s="260">
        <f t="shared" si="9"/>
        <v>0.32287676315168545</v>
      </c>
      <c r="O36" s="260">
        <f t="shared" si="9"/>
        <v>0.3227656554164432</v>
      </c>
      <c r="P36" s="260">
        <f t="shared" si="9"/>
        <v>0.32364707231008877</v>
      </c>
      <c r="Q36" s="260">
        <f t="shared" si="9"/>
        <v>0.32429882314317143</v>
      </c>
      <c r="R36" s="260">
        <f t="shared" si="9"/>
        <v>0.32587196689714037</v>
      </c>
      <c r="S36" s="260">
        <f t="shared" si="9"/>
        <v>0.32738598731118063</v>
      </c>
      <c r="T36" s="260">
        <f t="shared" si="9"/>
        <v>0.32538642636829179</v>
      </c>
      <c r="U36" s="260">
        <f t="shared" si="9"/>
        <v>0.32785990038624585</v>
      </c>
      <c r="V36" s="260">
        <f t="shared" si="9"/>
        <v>0.32799905352633313</v>
      </c>
      <c r="W36" s="260">
        <f t="shared" si="9"/>
        <v>0.32965487877051203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0.41808460918668244</v>
      </c>
      <c r="C37" s="260">
        <f t="shared" si="10"/>
        <v>0.41726804505576576</v>
      </c>
      <c r="D37" s="260">
        <f t="shared" si="10"/>
        <v>0.41588484330761449</v>
      </c>
      <c r="E37" s="260">
        <f t="shared" si="10"/>
        <v>0.41493556725828984</v>
      </c>
      <c r="F37" s="260">
        <f t="shared" si="10"/>
        <v>0.41595126111741954</v>
      </c>
      <c r="G37" s="260">
        <f t="shared" si="10"/>
        <v>0.41627604858943756</v>
      </c>
      <c r="H37" s="260">
        <f t="shared" si="10"/>
        <v>0.41678740641852413</v>
      </c>
      <c r="I37" s="260">
        <f t="shared" si="10"/>
        <v>0.41783601983315399</v>
      </c>
      <c r="J37" s="260">
        <f t="shared" si="10"/>
        <v>0.41815882353082739</v>
      </c>
      <c r="K37" s="260">
        <f t="shared" si="10"/>
        <v>0.41851454246496955</v>
      </c>
      <c r="L37" s="260">
        <f t="shared" si="10"/>
        <v>0.42129967464328294</v>
      </c>
      <c r="M37" s="260">
        <f t="shared" si="10"/>
        <v>0.42328825961970173</v>
      </c>
      <c r="N37" s="260">
        <f t="shared" si="10"/>
        <v>0.42529023703848634</v>
      </c>
      <c r="O37" s="260">
        <f t="shared" si="10"/>
        <v>0.42475068558296675</v>
      </c>
      <c r="P37" s="260">
        <f t="shared" si="10"/>
        <v>0.42014073751581271</v>
      </c>
      <c r="Q37" s="260">
        <f t="shared" si="10"/>
        <v>0.41800640492031221</v>
      </c>
      <c r="R37" s="260">
        <f t="shared" si="10"/>
        <v>0.41405490816343221</v>
      </c>
      <c r="S37" s="260">
        <f t="shared" si="10"/>
        <v>0.41520651306579526</v>
      </c>
      <c r="T37" s="260">
        <f t="shared" si="10"/>
        <v>0.41417827296262538</v>
      </c>
      <c r="U37" s="260">
        <f t="shared" si="10"/>
        <v>0.41579652019041768</v>
      </c>
      <c r="V37" s="260">
        <f t="shared" si="10"/>
        <v>0.41733271218662726</v>
      </c>
      <c r="W37" s="260">
        <f t="shared" si="10"/>
        <v>0.41885736925159855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6.1041415906041188E-2</v>
      </c>
      <c r="C38" s="260">
        <f t="shared" si="11"/>
        <v>6.1149049791467742E-2</v>
      </c>
      <c r="D38" s="260">
        <f t="shared" si="11"/>
        <v>6.1105954658584698E-2</v>
      </c>
      <c r="E38" s="260">
        <f t="shared" si="11"/>
        <v>6.1350804910323735E-2</v>
      </c>
      <c r="F38" s="260">
        <f t="shared" si="11"/>
        <v>6.1306079021102654E-2</v>
      </c>
      <c r="G38" s="260">
        <f t="shared" si="11"/>
        <v>6.1359927758015839E-2</v>
      </c>
      <c r="H38" s="260">
        <f t="shared" si="11"/>
        <v>6.1508416394213325E-2</v>
      </c>
      <c r="I38" s="260">
        <f t="shared" si="11"/>
        <v>6.1800921671990854E-2</v>
      </c>
      <c r="J38" s="260">
        <f t="shared" si="11"/>
        <v>6.1922875194799908E-2</v>
      </c>
      <c r="K38" s="260">
        <f t="shared" si="11"/>
        <v>6.2043907642523946E-2</v>
      </c>
      <c r="L38" s="260">
        <f t="shared" si="11"/>
        <v>6.1509264331641667E-2</v>
      </c>
      <c r="M38" s="260">
        <f t="shared" si="11"/>
        <v>6.1886894122342925E-2</v>
      </c>
      <c r="N38" s="260">
        <f t="shared" si="11"/>
        <v>6.2043460805816589E-2</v>
      </c>
      <c r="O38" s="260">
        <f t="shared" si="11"/>
        <v>6.2022110528548453E-2</v>
      </c>
      <c r="P38" s="260">
        <f t="shared" si="11"/>
        <v>6.2191482130148606E-2</v>
      </c>
      <c r="Q38" s="260">
        <f t="shared" si="11"/>
        <v>6.2316721484237794E-2</v>
      </c>
      <c r="R38" s="260">
        <f t="shared" si="11"/>
        <v>6.2619014166710701E-2</v>
      </c>
      <c r="S38" s="260">
        <f t="shared" si="11"/>
        <v>6.2909945806698606E-2</v>
      </c>
      <c r="T38" s="260">
        <f t="shared" si="11"/>
        <v>6.2525713507731104E-2</v>
      </c>
      <c r="U38" s="260">
        <f t="shared" si="11"/>
        <v>6.300101215353375E-2</v>
      </c>
      <c r="V38" s="260">
        <f t="shared" si="11"/>
        <v>6.3027751589065553E-2</v>
      </c>
      <c r="W38" s="260">
        <f t="shared" si="11"/>
        <v>6.3345932208927092E-2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2.5684924133640501</v>
      </c>
      <c r="C44" s="238">
        <f>IF(C$5=0,0,C$5/AGR_fec!C$5)</f>
        <v>2.5657814088075441</v>
      </c>
      <c r="D44" s="238">
        <f>IF(D$5=0,0,D$5/AGR_fec!D$5)</f>
        <v>2.5825444567127542</v>
      </c>
      <c r="E44" s="238">
        <f>IF(E$5=0,0,E$5/AGR_fec!E$5)</f>
        <v>2.5654794500883455</v>
      </c>
      <c r="F44" s="238">
        <f>IF(F$5=0,0,F$5/AGR_fec!F$5)</f>
        <v>2.5604777013901701</v>
      </c>
      <c r="G44" s="238">
        <f>IF(G$5=0,0,G$5/AGR_fec!G$5)</f>
        <v>2.5466263736672548</v>
      </c>
      <c r="H44" s="238">
        <f>IF(H$5=0,0,H$5/AGR_fec!H$5)</f>
        <v>2.5333879042969034</v>
      </c>
      <c r="I44" s="238">
        <f>IF(I$5=0,0,I$5/AGR_fec!I$5)</f>
        <v>2.4978364471287606</v>
      </c>
      <c r="J44" s="238">
        <f>IF(J$5=0,0,J$5/AGR_fec!J$5)</f>
        <v>2.4864610298038379</v>
      </c>
      <c r="K44" s="238">
        <f>IF(K$5=0,0,K$5/AGR_fec!K$5)</f>
        <v>2.4824288474846075</v>
      </c>
      <c r="L44" s="238">
        <f>IF(L$5=0,0,L$5/AGR_fec!L$5)</f>
        <v>2.493345702465696</v>
      </c>
      <c r="M44" s="238">
        <f>IF(M$5=0,0,M$5/AGR_fec!M$5)</f>
        <v>2.4576811461380013</v>
      </c>
      <c r="N44" s="238">
        <f>IF(N$5=0,0,N$5/AGR_fec!N$5)</f>
        <v>2.436104225707362</v>
      </c>
      <c r="O44" s="238">
        <f>IF(O$5=0,0,O$5/AGR_fec!O$5)</f>
        <v>2.4448131440565706</v>
      </c>
      <c r="P44" s="238">
        <f>IF(P$5=0,0,P$5/AGR_fec!P$5)</f>
        <v>2.4542799243146476</v>
      </c>
      <c r="Q44" s="238">
        <f>IF(Q$5=0,0,Q$5/AGR_fec!Q$5)</f>
        <v>2.4359572424526275</v>
      </c>
      <c r="R44" s="238">
        <f>IF(R$5=0,0,R$5/AGR_fec!R$5)</f>
        <v>2.4463356065446864</v>
      </c>
      <c r="S44" s="238">
        <f>IF(S$5=0,0,S$5/AGR_fec!S$5)</f>
        <v>2.4143524023042504</v>
      </c>
      <c r="T44" s="238">
        <f>IF(T$5=0,0,T$5/AGR_fec!T$5)</f>
        <v>2.4544637270645207</v>
      </c>
      <c r="U44" s="238">
        <f>IF(U$5=0,0,U$5/AGR_fec!U$5)</f>
        <v>2.4046682598239459</v>
      </c>
      <c r="V44" s="238">
        <f>IF(V$5=0,0,V$5/AGR_fec!V$5)</f>
        <v>2.3947022641565101</v>
      </c>
      <c r="W44" s="238">
        <f>IF(W$5=0,0,W$5/AGR_fec!W$5)</f>
        <v>2.3528936443115653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2.6460350827444405</v>
      </c>
      <c r="C48" s="253">
        <f>IF(C$9=0,0,C$9/AGR_fec!C$9)</f>
        <v>2.6425435449542607</v>
      </c>
      <c r="D48" s="253">
        <f>IF(D$9=0,0,D$9/AGR_fec!D$9)</f>
        <v>2.6714265682027505</v>
      </c>
      <c r="E48" s="253">
        <f>IF(E$9=0,0,E$9/AGR_fec!E$9)</f>
        <v>2.6456480474878994</v>
      </c>
      <c r="F48" s="253">
        <f>IF(F$9=0,0,F$9/AGR_fec!F$9)</f>
        <v>2.6329082541380506</v>
      </c>
      <c r="G48" s="253">
        <f>IF(G$9=0,0,G$9/AGR_fec!G$9)</f>
        <v>2.6097921236870176</v>
      </c>
      <c r="H48" s="253">
        <f>IF(H$9=0,0,H$9/AGR_fec!H$9)</f>
        <v>2.5836597234511407</v>
      </c>
      <c r="I48" s="253">
        <f>IF(I$9=0,0,I$9/AGR_fec!I$9)</f>
        <v>2.5144306076739928</v>
      </c>
      <c r="J48" s="253">
        <f>IF(J$9=0,0,J$9/AGR_fec!J$9)</f>
        <v>2.4970548158321</v>
      </c>
      <c r="K48" s="253">
        <f>IF(K$9=0,0,K$9/AGR_fec!K$9)</f>
        <v>2.4610821802665392</v>
      </c>
      <c r="L48" s="253">
        <f>IF(L$9=0,0,L$9/AGR_fec!L$9)</f>
        <v>2.5017829345432472</v>
      </c>
      <c r="M48" s="253">
        <f>IF(M$9=0,0,M$9/AGR_fec!M$9)</f>
        <v>2.4037331063193901</v>
      </c>
      <c r="N48" s="253">
        <f>IF(N$9=0,0,N$9/AGR_fec!N$9)</f>
        <v>2.3367697924954842</v>
      </c>
      <c r="O48" s="253">
        <f>IF(O$9=0,0,O$9/AGR_fec!O$9)</f>
        <v>2.345634490432464</v>
      </c>
      <c r="P48" s="253">
        <f>IF(P$9=0,0,P$9/AGR_fec!P$9)</f>
        <v>2.3981468232543786</v>
      </c>
      <c r="Q48" s="253">
        <f>IF(Q$9=0,0,Q$9/AGR_fec!Q$9)</f>
        <v>2.4201475211008066</v>
      </c>
      <c r="R48" s="253">
        <f>IF(R$9=0,0,R$9/AGR_fec!R$9)</f>
        <v>2.442974901743987</v>
      </c>
      <c r="S48" s="253">
        <f>IF(S$9=0,0,S$9/AGR_fec!S$9)</f>
        <v>2.3761783226167257</v>
      </c>
      <c r="T48" s="253">
        <f>IF(T$9=0,0,T$9/AGR_fec!T$9)</f>
        <v>2.45626478789573</v>
      </c>
      <c r="U48" s="253">
        <f>IF(U$9=0,0,U$9/AGR_fec!U$9)</f>
        <v>2.347976210830911</v>
      </c>
      <c r="V48" s="253">
        <f>IF(V$9=0,0,V$9/AGR_fec!V$9)</f>
        <v>2.3185013969346695</v>
      </c>
      <c r="W48" s="253">
        <f>IF(W$9=0,0,W$9/AGR_fec!W$9)</f>
        <v>2.226654092224877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3.1024187999999997</v>
      </c>
      <c r="D49" s="265">
        <f>IF(D$16=0,0,D$16/AGR_fec!D$16)</f>
        <v>3.1024187999999997</v>
      </c>
      <c r="E49" s="265">
        <f>IF(E$16=0,0,E$16/AGR_fec!E$16)</f>
        <v>3.1024188000000001</v>
      </c>
      <c r="F49" s="265">
        <f>IF(F$16=0,0,F$16/AGR_fec!F$16)</f>
        <v>3.102418800000001</v>
      </c>
      <c r="G49" s="265">
        <f>IF(G$16=0,0,G$16/AGR_fec!G$16)</f>
        <v>3.1024187999999997</v>
      </c>
      <c r="H49" s="265">
        <f>IF(H$16=0,0,H$16/AGR_fec!H$16)</f>
        <v>3.1024188000000006</v>
      </c>
      <c r="I49" s="265">
        <f>IF(I$16=0,0,I$16/AGR_fec!I$16)</f>
        <v>3.1024187999999993</v>
      </c>
      <c r="J49" s="265">
        <f>IF(J$16=0,0,J$16/AGR_fec!J$16)</f>
        <v>3.1024188000000015</v>
      </c>
      <c r="K49" s="265">
        <f>IF(K$16=0,0,K$16/AGR_fec!K$16)</f>
        <v>3.102418800000001</v>
      </c>
      <c r="L49" s="265">
        <f>IF(L$16=0,0,L$16/AGR_fec!L$16)</f>
        <v>3.102418800000001</v>
      </c>
      <c r="M49" s="265">
        <f>IF(M$16=0,0,M$16/AGR_fec!M$16)</f>
        <v>3.1024188000000001</v>
      </c>
      <c r="N49" s="265">
        <f>IF(N$16=0,0,N$16/AGR_fec!N$16)</f>
        <v>3.1024188000000001</v>
      </c>
      <c r="O49" s="265">
        <f>IF(O$16=0,0,O$16/AGR_fec!O$16)</f>
        <v>3.1024187999999997</v>
      </c>
      <c r="P49" s="265">
        <f>IF(P$16=0,0,P$16/AGR_fec!P$16)</f>
        <v>3.1024188000000006</v>
      </c>
      <c r="Q49" s="265">
        <f>IF(Q$16=0,0,Q$16/AGR_fec!Q$16)</f>
        <v>3.1024188000000006</v>
      </c>
      <c r="R49" s="265">
        <f>IF(R$16=0,0,R$16/AGR_fec!R$16)</f>
        <v>3.1024188000000006</v>
      </c>
      <c r="S49" s="265">
        <f>IF(S$16=0,0,S$16/AGR_fec!S$16)</f>
        <v>3.102418800000001</v>
      </c>
      <c r="T49" s="265">
        <f>IF(T$16=0,0,T$16/AGR_fec!T$16)</f>
        <v>3.1024188000000001</v>
      </c>
      <c r="U49" s="265">
        <f>IF(U$16=0,0,U$16/AGR_fec!U$16)</f>
        <v>3.1024188000000001</v>
      </c>
      <c r="V49" s="265">
        <f>IF(V$16=0,0,V$16/AGR_fec!V$16)</f>
        <v>3.1024188000000001</v>
      </c>
      <c r="W49" s="265">
        <f>IF(W$16=0,0,W$16/AGR_fec!W$16)</f>
        <v>3.1024187999999997</v>
      </c>
      <c r="DA49" s="291"/>
    </row>
    <row r="50" spans="1:105" x14ac:dyDescent="0.25">
      <c r="A50" s="128" t="s">
        <v>121</v>
      </c>
      <c r="B50" s="265">
        <f>IF(B$17=0,0,B$17/AGR_fec!B$17)</f>
        <v>2.8792191653859667</v>
      </c>
      <c r="C50" s="265">
        <f>IF(C$17=0,0,C$17/AGR_fec!C$17)</f>
        <v>2.8839113479572589</v>
      </c>
      <c r="D50" s="265">
        <f>IF(D$17=0,0,D$17/AGR_fec!D$17)</f>
        <v>2.8844915698976403</v>
      </c>
      <c r="E50" s="265">
        <f>IF(E$17=0,0,E$17/AGR_fec!E$17)</f>
        <v>2.882971055656355</v>
      </c>
      <c r="F50" s="265">
        <f>IF(F$17=0,0,F$17/AGR_fec!F$17)</f>
        <v>2.8815105821291858</v>
      </c>
      <c r="G50" s="265">
        <f>IF(G$17=0,0,G$17/AGR_fec!G$17)</f>
        <v>2.8713493089884361</v>
      </c>
      <c r="H50" s="265">
        <f>IF(H$17=0,0,H$17/AGR_fec!H$17)</f>
        <v>2.8754022328189217</v>
      </c>
      <c r="I50" s="265">
        <f>IF(I$17=0,0,I$17/AGR_fec!I$17)</f>
        <v>2.8627764411680539</v>
      </c>
      <c r="J50" s="265">
        <f>IF(J$17=0,0,J$17/AGR_fec!J$17)</f>
        <v>2.8635672040166869</v>
      </c>
      <c r="K50" s="265">
        <f>IF(K$17=0,0,K$17/AGR_fec!K$17)</f>
        <v>2.8632741872340421</v>
      </c>
      <c r="L50" s="265">
        <f>IF(L$17=0,0,L$17/AGR_fec!L$17)</f>
        <v>2.9083782015868551</v>
      </c>
      <c r="M50" s="265">
        <f>IF(M$17=0,0,M$17/AGR_fec!M$17)</f>
        <v>2.9103150902962365</v>
      </c>
      <c r="N50" s="265">
        <f>IF(N$17=0,0,N$17/AGR_fec!N$17)</f>
        <v>2.9202315566292247</v>
      </c>
      <c r="O50" s="265">
        <f>IF(O$17=0,0,O$17/AGR_fec!O$17)</f>
        <v>2.9179591534190221</v>
      </c>
      <c r="P50" s="265">
        <f>IF(P$17=0,0,P$17/AGR_fec!P$17)</f>
        <v>2.8728100723463541</v>
      </c>
      <c r="Q50" s="265">
        <f>IF(Q$17=0,0,Q$17/AGR_fec!Q$17)</f>
        <v>2.8290997512342995</v>
      </c>
      <c r="R50" s="265">
        <f>IF(R$17=0,0,R$17/AGR_fec!R$17)</f>
        <v>2.826251108993044</v>
      </c>
      <c r="S50" s="265">
        <f>IF(S$17=0,0,S$17/AGR_fec!S$17)</f>
        <v>2.8193441755794972</v>
      </c>
      <c r="T50" s="265">
        <f>IF(T$17=0,0,T$17/AGR_fec!T$17)</f>
        <v>2.8365210846502613</v>
      </c>
      <c r="U50" s="265">
        <f>IF(U$17=0,0,U$17/AGR_fec!U$17)</f>
        <v>2.8141764766972153</v>
      </c>
      <c r="V50" s="265">
        <f>IF(V$17=0,0,V$17/AGR_fec!V$17)</f>
        <v>2.8271418760430422</v>
      </c>
      <c r="W50" s="265">
        <f>IF(W$17=0,0,W$17/AGR_fec!W$17)</f>
        <v>2.8022389035609887</v>
      </c>
      <c r="DA50" s="291"/>
    </row>
    <row r="51" spans="1:105" x14ac:dyDescent="0.25">
      <c r="A51" s="128" t="s">
        <v>174</v>
      </c>
      <c r="B51" s="265">
        <f>IF(B$25=0,0,B$25/AGR_fec!B$25)</f>
        <v>3.1024188000000001</v>
      </c>
      <c r="C51" s="265">
        <f>IF(C$25=0,0,C$25/AGR_fec!C$25)</f>
        <v>3.102418800000001</v>
      </c>
      <c r="D51" s="265">
        <f>IF(D$25=0,0,D$25/AGR_fec!D$25)</f>
        <v>3.1024187999999997</v>
      </c>
      <c r="E51" s="265">
        <f>IF(E$25=0,0,E$25/AGR_fec!E$25)</f>
        <v>3.1024187999999988</v>
      </c>
      <c r="F51" s="265">
        <f>IF(F$25=0,0,F$25/AGR_fec!F$25)</f>
        <v>3.1024188000000001</v>
      </c>
      <c r="G51" s="265">
        <f>IF(G$25=0,0,G$25/AGR_fec!G$25)</f>
        <v>3.1024187999999997</v>
      </c>
      <c r="H51" s="265">
        <f>IF(H$25=0,0,H$25/AGR_fec!H$25)</f>
        <v>3.1024188000000006</v>
      </c>
      <c r="I51" s="265">
        <f>IF(I$25=0,0,I$25/AGR_fec!I$25)</f>
        <v>3.1024187999999997</v>
      </c>
      <c r="J51" s="265">
        <f>IF(J$25=0,0,J$25/AGR_fec!J$25)</f>
        <v>3.1024188000000019</v>
      </c>
      <c r="K51" s="265">
        <f>IF(K$25=0,0,K$25/AGR_fec!K$25)</f>
        <v>3.1024188000000001</v>
      </c>
      <c r="L51" s="265">
        <f>IF(L$25=0,0,L$25/AGR_fec!L$25)</f>
        <v>3.1024188000000001</v>
      </c>
      <c r="M51" s="265">
        <f>IF(M$25=0,0,M$25/AGR_fec!M$25)</f>
        <v>3.102418800000001</v>
      </c>
      <c r="N51" s="265">
        <f>IF(N$25=0,0,N$25/AGR_fec!N$25)</f>
        <v>3.1024187999999997</v>
      </c>
      <c r="O51" s="265">
        <f>IF(O$25=0,0,O$25/AGR_fec!O$25)</f>
        <v>3.1024187999999993</v>
      </c>
      <c r="P51" s="265">
        <f>IF(P$25=0,0,P$25/AGR_fec!P$25)</f>
        <v>3.1024188000000006</v>
      </c>
      <c r="Q51" s="265">
        <f>IF(Q$25=0,0,Q$25/AGR_fec!Q$25)</f>
        <v>3.102418800000001</v>
      </c>
      <c r="R51" s="265">
        <f>IF(R$25=0,0,R$25/AGR_fec!R$25)</f>
        <v>3.1024188000000006</v>
      </c>
      <c r="S51" s="265">
        <f>IF(S$25=0,0,S$25/AGR_fec!S$25)</f>
        <v>3.1024187999999993</v>
      </c>
      <c r="T51" s="265">
        <f>IF(T$25=0,0,T$25/AGR_fec!T$25)</f>
        <v>3.1024187999999997</v>
      </c>
      <c r="U51" s="265">
        <f>IF(U$25=0,0,U$25/AGR_fec!U$25)</f>
        <v>3.1024188000000001</v>
      </c>
      <c r="V51" s="265">
        <f>IF(V$25=0,0,V$25/AGR_fec!V$25)</f>
        <v>3.1024187999999997</v>
      </c>
      <c r="W51" s="265">
        <f>IF(W$25=0,0,W$25/AGR_fec!W$25)</f>
        <v>3.1024187999999988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B94C66-AE3D-4D01-B400-20077060C4E1}"/>
</file>

<file path=customXml/itemProps2.xml><?xml version="1.0" encoding="utf-8"?>
<ds:datastoreItem xmlns:ds="http://schemas.openxmlformats.org/officeDocument/2006/customXml" ds:itemID="{BE0DED8E-9D67-4270-991B-6D2165D6351E}"/>
</file>

<file path=customXml/itemProps3.xml><?xml version="1.0" encoding="utf-8"?>
<ds:datastoreItem xmlns:ds="http://schemas.openxmlformats.org/officeDocument/2006/customXml" ds:itemID="{F46CCB6F-DDB8-4FB0-A4CA-A449ED6ADF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2024-05-20T16:52:18Z</dcterms:created>
  <dcterms:modified xsi:type="dcterms:W3CDTF">2024-05-20T16:52:18Z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