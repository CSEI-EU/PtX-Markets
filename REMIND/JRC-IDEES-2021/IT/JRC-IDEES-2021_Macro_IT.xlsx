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Y118" i="59"/>
  <c r="W117" i="59"/>
  <c r="U117" i="59"/>
  <c r="Y115" i="59"/>
  <c r="X112" i="59"/>
  <c r="W112" i="59"/>
  <c r="W111" i="59"/>
  <c r="U110" i="59"/>
  <c r="U107" i="59"/>
  <c r="T106" i="59"/>
  <c r="R106" i="59"/>
  <c r="O106" i="59"/>
  <c r="M106" i="59"/>
  <c r="L106" i="59"/>
  <c r="J106" i="59"/>
  <c r="G106" i="59"/>
  <c r="Y105" i="59"/>
  <c r="U104" i="59"/>
  <c r="Y103" i="59"/>
  <c r="X102" i="59"/>
  <c r="Y68" i="59"/>
  <c r="X100" i="59"/>
  <c r="T67" i="59"/>
  <c r="Y66" i="59"/>
  <c r="T98" i="59"/>
  <c r="Y97" i="59"/>
  <c r="V74" i="59"/>
  <c r="U71" i="59"/>
  <c r="E106" i="59"/>
  <c r="X122" i="59"/>
  <c r="U115" i="59"/>
  <c r="V113" i="59"/>
  <c r="T112" i="59"/>
  <c r="V111" i="59"/>
  <c r="X110" i="59"/>
  <c r="W104" i="59"/>
  <c r="U103" i="59"/>
  <c r="Y93" i="59"/>
  <c r="W90" i="59"/>
  <c r="T80" i="59"/>
  <c r="W78" i="59"/>
  <c r="Y122" i="59"/>
  <c r="W122" i="59"/>
  <c r="T90" i="59"/>
  <c r="Y89" i="59"/>
  <c r="U121" i="59"/>
  <c r="Y120" i="59"/>
  <c r="W87" i="59"/>
  <c r="T118" i="59"/>
  <c r="W85" i="59"/>
  <c r="Y84" i="59"/>
  <c r="W84" i="59"/>
  <c r="U116" i="59"/>
  <c r="V115" i="59"/>
  <c r="T83" i="59"/>
  <c r="Y82" i="59"/>
  <c r="Y114" i="59"/>
  <c r="W81" i="59"/>
  <c r="W113" i="59"/>
  <c r="U113" i="59"/>
  <c r="Y80" i="59"/>
  <c r="W80" i="59"/>
  <c r="Y111" i="59"/>
  <c r="W110" i="59"/>
  <c r="Y77" i="59"/>
  <c r="U109" i="59"/>
  <c r="U108" i="59"/>
  <c r="Y75" i="59"/>
  <c r="Y107" i="59"/>
  <c r="W75" i="59"/>
  <c r="W74" i="59"/>
  <c r="Y73" i="59"/>
  <c r="W73" i="59"/>
  <c r="W105" i="59"/>
  <c r="Y72" i="59"/>
  <c r="W72" i="59"/>
  <c r="Y71" i="59"/>
  <c r="V103" i="59"/>
  <c r="T71" i="59"/>
  <c r="Y70" i="59"/>
  <c r="Y102" i="59"/>
  <c r="W69" i="59"/>
  <c r="W101" i="59"/>
  <c r="V101" i="59"/>
  <c r="U101" i="59"/>
  <c r="U100" i="59"/>
  <c r="Y67" i="59"/>
  <c r="Y99" i="59"/>
  <c r="W67" i="59"/>
  <c r="W98" i="59"/>
  <c r="Y65" i="59"/>
  <c r="W65" i="59"/>
  <c r="Y20" i="59"/>
  <c r="U94" i="59"/>
  <c r="X20" i="59"/>
  <c r="U20" i="59"/>
  <c r="X13" i="59"/>
  <c r="U13" i="59"/>
  <c r="W5" i="59"/>
  <c r="T5" i="59"/>
  <c r="Y5" i="59"/>
  <c r="X21" i="59"/>
  <c r="U5" i="59"/>
  <c r="Y69" i="59" l="1"/>
  <c r="Y74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5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<sst xmlns="http://schemas.openxmlformats.org/spreadsheetml/2006/main" count="722" uniqueCount="281">
  <si>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</si>
  <si>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</si>
  <si>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</si>
  <si>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</si>
  <si>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</si>
  <si>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</si>
  <si>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</si>
  <si>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</si>
  <si>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</si>
  <si>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</si>
  <si>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</si>
  <si>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</si>
  <si>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</si>
  <si>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</si>
  <si>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</si>
  <si>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</si>
  <si>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</si>
  <si>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</si>
  <si>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</si>
  <si>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</si>
  <si>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</si>
  <si>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</si>
  <si>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</si>
  <si>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</si>
  <si>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</si>
  <si>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</si>
  <si>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</si>
  <si>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</si>
  <si>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</si>
  <si>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</si>
  <si>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</si>
  <si>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</si>
  <si>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</si>
  <si>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</si>
  <si>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</si>
  <si>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</si>
  <si>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</si>
  <si>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</si>
  <si>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</si>
  <si>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</si>
  <si>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</si>
  <si>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</si>
  <si>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</si>
  <si>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</si>
  <si>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</si>
  <si>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</si>
  <si>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</si>
  <si>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</si>
  <si>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</si>
  <si>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</si>
  <si>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</si>
  <si>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</si>
  <si>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</si>
  <si>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</si>
  <si>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</si>
  <si>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</si>
  <si>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</si>
  <si>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</si>
  <si>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</si>
  <si>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</si>
  <si>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</si>
  <si>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</si>
  <si>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</si>
  <si>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</si>
  <si>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</si>
  <si>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</si>
  <si>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</si>
  <si>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</si>
  <si>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</si>
  <si>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</si>
  <si>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</si>
  <si>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</si>
  <si>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</si>
  <si>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</si>
  <si>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</si>
  <si>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</si>
  <si>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</si>
  <si>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</si>
  <si>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</si>
  <si>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</si>
  <si>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</si>
  <si>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</si>
  <si>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</si>
  <si>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</si>
  <si>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</si>
  <si>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</si>
  <si>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</si>
  <si>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</si>
  <si>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</si>
  <si>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</si>
  <si>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</si>
  <si>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</si>
  <si>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</si>
  <si>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</si>
  <si>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</si>
  <si>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</si>
  <si>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</si>
  <si>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</si>
  <si>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</si>
  <si>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</si>
  <si>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</si>
  <si>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</si>
  <si>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</si>
  <si>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</si>
  <si>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</si>
  <si>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</si>
  <si>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</si>
  <si>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</si>
  <si>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</si>
  <si>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</si>
  <si>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</si>
  <si>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</si>
  <si>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</si>
  <si>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</si>
  <si>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</si>
  <si>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</si>
  <si>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</si>
  <si>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</si>
  <si>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</si>
  <si>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</si>
  <si>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</si>
  <si>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</si>
  <si>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</si>
  <si>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</si>
  <si>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</si>
  <si>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</si>
  <si>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</si>
  <si>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</si>
  <si>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</si>
  <si>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</si>
  <si>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</si>
  <si>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</si>
  <si>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</si>
  <si>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</si>
  <si>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</si>
  <si>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</si>
  <si>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</si>
  <si>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</si>
  <si>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</si>
  <si>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</si>
  <si>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</si>
  <si>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</si>
  <si>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</si>
  <si>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</si>
  <si>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</si>
  <si>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</si>
  <si>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</si>
  <si>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</si>
  <si>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</si>
  <si>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</si>
  <si>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</si>
  <si>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</si>
  <si>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</si>
  <si>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</si>
  <si>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</si>
  <si>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</si>
  <si>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</si>
  <si>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</si>
  <si>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</si>
  <si>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</si>
  <si>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</si>
  <si>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</si>
  <si>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</si>
  <si>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</si>
  <si>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</si>
  <si>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</si>
  <si>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</si>
  <si>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</si>
  <si>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</si>
  <si>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</si>
  <si>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</si>
  <si>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</si>
  <si>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</si>
  <si>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</si>
  <si>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</si>
  <si>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</si>
  <si>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</si>
  <si>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</si>
  <si>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</si>
  <si>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</si>
  <si>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</si>
  <si>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</si>
  <si>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</si>
  <si>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</si>
  <si>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</si>
  <si>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</si>
  <si>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</si>
  <si>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</si>
  <si>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</si>
  <si>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</si>
  <si>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</si>
  <si>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</si>
  <si>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</si>
  <si>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</si>
  <si>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</si>
  <si>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</si>
  <si>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</si>
  <si>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</si>
  <si>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</si>
  <si>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</si>
  <si>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</si>
  <si>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</si>
  <si>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</si>
  <si>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</si>
  <si>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</si>
  <si>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</si>
  <si>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</si>
  <si>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</si>
  <si>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</si>
  <si>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</si>
  <si>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</si>
  <si>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</si>
  <si>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</si>
  <si>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</si>
  <si>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</si>
  <si>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</si>
  <si>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</si>
  <si>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</si>
  <si>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</si>
  <si>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</si>
  <si>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</si>
  <si>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</si>
  <si>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</si>
  <si>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</si>
  <si>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</si>
  <si>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</si>
  <si>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</si>
  <si>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</si>
  <si>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</si>
  <si>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</si>
  <si>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</si>
  <si>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</si>
  <si>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</si>
  <si>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</si>
  <si>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</si>
  <si>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</si>
  <si>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</si>
  <si>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</si>
  <si>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</si>
  <si>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</si>
  <si>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</si>
  <si>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</si>
  <si>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</si>
  <si>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</si>
  <si>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</si>
  <si>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</si>
  <si>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</si>
  <si>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</si>
  <si>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</si>
  <si>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</si>
  <si>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</si>
  <si>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</si>
  <si>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</si>
  <si>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</si>
  <si>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</si>
  <si>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</si>
  <si>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</si>
  <si>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</si>
  <si>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</si>
  <si>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</si>
  <si>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</si>
  <si>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</si>
  <si>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</si>
  <si>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</si>
  <si>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</si>
  <si>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</si>
  <si>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</si>
  <si>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</si>
  <si>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</si>
  <si>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</si>
  <si>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</si>
  <si>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</si>
  <si>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</si>
  <si>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</si>
  <si>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</si>
  <si>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</si>
  <si>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</si>
  <si>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</si>
  <si>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</si>
  <si>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IT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</si>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</sst>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45432.786157407405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1319713.469153204</v>
      </c>
      <c r="E2" s="19">
        <v>1386266.3574482447</v>
      </c>
      <c r="F2" s="19">
        <v>1435296.0051805398</v>
      </c>
      <c r="G2" s="19">
        <v>1482532.7695340675</v>
      </c>
      <c r="H2" s="19">
        <v>1543788.0544248363</v>
      </c>
      <c r="I2" s="19">
        <v>1587693.4199993017</v>
      </c>
      <c r="J2" s="19">
        <v>1650481.4472842431</v>
      </c>
      <c r="K2" s="19">
        <v>1716548.1404490888</v>
      </c>
      <c r="L2" s="19">
        <v>1740846.7286886668</v>
      </c>
      <c r="M2" s="19">
        <v>1676606.8897935217</v>
      </c>
      <c r="N2" s="19">
        <v>1712760.4570821153</v>
      </c>
      <c r="O2" s="19">
        <v>1752593.2456359128</v>
      </c>
      <c r="P2" s="19">
        <v>1726657.1848772999</v>
      </c>
      <c r="Q2" s="19">
        <v>1714316.1939488694</v>
      </c>
      <c r="R2" s="19">
        <v>1729901.7488942943</v>
      </c>
      <c r="S2" s="19">
        <v>1759609.2578999999</v>
      </c>
      <c r="T2" s="19">
        <v>1802597.1893448296</v>
      </c>
      <c r="U2" s="19">
        <v>1845968.364742954</v>
      </c>
      <c r="V2" s="19">
        <v>1882949.4285886344</v>
      </c>
      <c r="W2" s="19">
        <v>1909800.2030156944</v>
      </c>
      <c r="X2" s="19">
        <v>1765858.0618165284</v>
      </c>
      <c r="Y2" s="19">
        <v>1937109.2668524876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806038.31497172115</v>
      </c>
      <c r="E3" s="23">
        <v>831928.38858755736</v>
      </c>
      <c r="F3" s="23">
        <v>856022.1906015845</v>
      </c>
      <c r="G3" s="23">
        <v>888141.21728788619</v>
      </c>
      <c r="H3" s="23">
        <v>918592.102794901</v>
      </c>
      <c r="I3" s="23">
        <v>949950.88133779261</v>
      </c>
      <c r="J3" s="23">
        <v>988581.94898064132</v>
      </c>
      <c r="K3" s="23">
        <v>1022720.3982965405</v>
      </c>
      <c r="L3" s="23">
        <v>1043572.1019277631</v>
      </c>
      <c r="M3" s="23">
        <v>1022039.7254705471</v>
      </c>
      <c r="N3" s="23">
        <v>1049134.4906340134</v>
      </c>
      <c r="O3" s="23">
        <v>1080455.9684259878</v>
      </c>
      <c r="P3" s="23">
        <v>1067640.1854941372</v>
      </c>
      <c r="Q3" s="23">
        <v>1053140.5264071003</v>
      </c>
      <c r="R3" s="23">
        <v>1057562.4463017678</v>
      </c>
      <c r="S3" s="23">
        <v>1078605.0310879999</v>
      </c>
      <c r="T3" s="23">
        <v>1093235.0826906941</v>
      </c>
      <c r="U3" s="23">
        <v>1121927.4419790667</v>
      </c>
      <c r="V3" s="23">
        <v>1143189.638023536</v>
      </c>
      <c r="W3" s="23">
        <v>1152321.7886301037</v>
      </c>
      <c r="X3" s="23">
        <v>1033546.9148495602</v>
      </c>
      <c r="Y3" s="23">
        <v>1105078.9112442574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1112455.8999999999</v>
      </c>
      <c r="E4" s="27">
        <v>1175476.8</v>
      </c>
      <c r="F4" s="27">
        <v>1217299.8999999999</v>
      </c>
      <c r="G4" s="27">
        <v>1261478.2</v>
      </c>
      <c r="H4" s="27">
        <v>1310293</v>
      </c>
      <c r="I4" s="27">
        <v>1346105.3</v>
      </c>
      <c r="J4" s="27">
        <v>1391185.8</v>
      </c>
      <c r="K4" s="27">
        <v>1449716.8</v>
      </c>
      <c r="L4" s="27">
        <v>1477269.4</v>
      </c>
      <c r="M4" s="27">
        <v>1425156.9</v>
      </c>
      <c r="N4" s="27">
        <v>1449430.4</v>
      </c>
      <c r="O4" s="27">
        <v>1480874.8</v>
      </c>
      <c r="P4" s="27">
        <v>1458006.7</v>
      </c>
      <c r="Q4" s="27">
        <v>1451514.3</v>
      </c>
      <c r="R4" s="27">
        <v>1462744.6</v>
      </c>
      <c r="S4" s="27">
        <v>1488049</v>
      </c>
      <c r="T4" s="27">
        <v>1522753.8</v>
      </c>
      <c r="U4" s="27">
        <v>1557795.8</v>
      </c>
      <c r="V4" s="27">
        <v>1589576.2</v>
      </c>
      <c r="W4" s="27">
        <v>1611368.5</v>
      </c>
      <c r="X4" s="27">
        <v>1502860.8</v>
      </c>
      <c r="Y4" s="27">
        <v>1637287.5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31827.599999999999</v>
      </c>
      <c r="E6" s="19">
        <v>32468.2</v>
      </c>
      <c r="F6" s="19">
        <v>32019.8</v>
      </c>
      <c r="G6" s="19">
        <v>32886.300000000003</v>
      </c>
      <c r="H6" s="19">
        <v>34086.400000000001</v>
      </c>
      <c r="I6" s="19">
        <v>30374.5</v>
      </c>
      <c r="J6" s="19">
        <v>30212.799999999999</v>
      </c>
      <c r="K6" s="19">
        <v>30622</v>
      </c>
      <c r="L6" s="19">
        <v>30700.7</v>
      </c>
      <c r="M6" s="19">
        <v>28433.8</v>
      </c>
      <c r="N6" s="19">
        <v>28608.5</v>
      </c>
      <c r="O6" s="19">
        <v>31053.1</v>
      </c>
      <c r="P6" s="19">
        <v>32012.1</v>
      </c>
      <c r="Q6" s="19">
        <v>34586.9</v>
      </c>
      <c r="R6" s="19">
        <v>32513.3</v>
      </c>
      <c r="S6" s="19">
        <v>34187</v>
      </c>
      <c r="T6" s="19">
        <v>32701.1</v>
      </c>
      <c r="U6" s="19">
        <v>34257.5</v>
      </c>
      <c r="V6" s="19">
        <v>34461.000000000007</v>
      </c>
      <c r="W6" s="19">
        <v>34267.399999999994</v>
      </c>
      <c r="X6" s="19">
        <v>33360.800000000003</v>
      </c>
      <c r="Y6" s="19">
        <v>34627.9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247777.99999999983</v>
      </c>
      <c r="E7" s="23">
        <v>254763.79999999996</v>
      </c>
      <c r="F7" s="23">
        <v>260099.19999999969</v>
      </c>
      <c r="G7" s="23">
        <v>257957.3</v>
      </c>
      <c r="H7" s="23">
        <v>265095.19999999995</v>
      </c>
      <c r="I7" s="23">
        <v>267985.8</v>
      </c>
      <c r="J7" s="23">
        <v>280085.20000000013</v>
      </c>
      <c r="K7" s="23">
        <v>296714.60000000021</v>
      </c>
      <c r="L7" s="23">
        <v>296864.0999999998</v>
      </c>
      <c r="M7" s="23">
        <v>259665.40000000008</v>
      </c>
      <c r="N7" s="23">
        <v>270768.00000000006</v>
      </c>
      <c r="O7" s="23">
        <v>275982.00000000017</v>
      </c>
      <c r="P7" s="23">
        <v>270208.6999999999</v>
      </c>
      <c r="Q7" s="23">
        <v>270116.09999999998</v>
      </c>
      <c r="R7" s="23">
        <v>272813.0999999998</v>
      </c>
      <c r="S7" s="23">
        <v>280624.5</v>
      </c>
      <c r="T7" s="23">
        <v>294385.00000000017</v>
      </c>
      <c r="U7" s="23">
        <v>303816.30000000022</v>
      </c>
      <c r="V7" s="23">
        <v>312968.89999999962</v>
      </c>
      <c r="W7" s="23">
        <v>317320.60000000009</v>
      </c>
      <c r="X7" s="23">
        <v>291820.00000000012</v>
      </c>
      <c r="Y7" s="23">
        <v>337345.59999999986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54025.2</v>
      </c>
      <c r="E8" s="23">
        <v>59804.6</v>
      </c>
      <c r="F8" s="23">
        <v>64361.3</v>
      </c>
      <c r="G8" s="23">
        <v>69507.8</v>
      </c>
      <c r="H8" s="23">
        <v>75022.7</v>
      </c>
      <c r="I8" s="23">
        <v>79606.899999999994</v>
      </c>
      <c r="J8" s="23">
        <v>83258.399999999994</v>
      </c>
      <c r="K8" s="23">
        <v>87163.8</v>
      </c>
      <c r="L8" s="23">
        <v>89655.4</v>
      </c>
      <c r="M8" s="23">
        <v>85514</v>
      </c>
      <c r="N8" s="23">
        <v>81550.399999999994</v>
      </c>
      <c r="O8" s="23">
        <v>82617.5</v>
      </c>
      <c r="P8" s="23">
        <v>76511.8</v>
      </c>
      <c r="Q8" s="23">
        <v>71343</v>
      </c>
      <c r="R8" s="23">
        <v>65661.899999999994</v>
      </c>
      <c r="S8" s="23">
        <v>64622.7</v>
      </c>
      <c r="T8" s="23">
        <v>65426.2</v>
      </c>
      <c r="U8" s="23">
        <v>66085</v>
      </c>
      <c r="V8" s="23">
        <v>66997.3</v>
      </c>
      <c r="W8" s="23">
        <v>69444.2</v>
      </c>
      <c r="X8" s="23">
        <v>66325.399999999994</v>
      </c>
      <c r="Y8" s="23">
        <v>85296.5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242675.20000000001</v>
      </c>
      <c r="E9" s="23">
        <v>257228.79999999999</v>
      </c>
      <c r="F9" s="23">
        <v>260028.2</v>
      </c>
      <c r="G9" s="23">
        <v>264095</v>
      </c>
      <c r="H9" s="23">
        <v>273414.3</v>
      </c>
      <c r="I9" s="23">
        <v>278666.69999999995</v>
      </c>
      <c r="J9" s="23">
        <v>283977.3</v>
      </c>
      <c r="K9" s="23">
        <v>295320.7</v>
      </c>
      <c r="L9" s="23">
        <v>299018.09999999992</v>
      </c>
      <c r="M9" s="23">
        <v>289646.59999999998</v>
      </c>
      <c r="N9" s="23">
        <v>294441.3</v>
      </c>
      <c r="O9" s="23">
        <v>302872.3</v>
      </c>
      <c r="P9" s="23">
        <v>296347</v>
      </c>
      <c r="Q9" s="23">
        <v>293545.7</v>
      </c>
      <c r="R9" s="23">
        <v>299628.90000000008</v>
      </c>
      <c r="S9" s="23">
        <v>308208</v>
      </c>
      <c r="T9" s="23">
        <v>320687.19999999995</v>
      </c>
      <c r="U9" s="23">
        <v>333433.09999999992</v>
      </c>
      <c r="V9" s="23">
        <v>338638.2</v>
      </c>
      <c r="W9" s="23">
        <v>350031.4</v>
      </c>
      <c r="X9" s="23">
        <v>289867.7</v>
      </c>
      <c r="Y9" s="23">
        <v>330352.5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43963.1</v>
      </c>
      <c r="E10" s="23">
        <v>50405.599999999999</v>
      </c>
      <c r="F10" s="23">
        <v>56309.8</v>
      </c>
      <c r="G10" s="23">
        <v>56359.399999999994</v>
      </c>
      <c r="H10" s="23">
        <v>57572.200000000012</v>
      </c>
      <c r="I10" s="23">
        <v>58896.7</v>
      </c>
      <c r="J10" s="23">
        <v>59001.4</v>
      </c>
      <c r="K10" s="23">
        <v>60630.9</v>
      </c>
      <c r="L10" s="23">
        <v>61024.4</v>
      </c>
      <c r="M10" s="23">
        <v>60947.199999999997</v>
      </c>
      <c r="N10" s="23">
        <v>60681.4</v>
      </c>
      <c r="O10" s="23">
        <v>60105.5</v>
      </c>
      <c r="P10" s="23">
        <v>56899</v>
      </c>
      <c r="Q10" s="23">
        <v>53541.1</v>
      </c>
      <c r="R10" s="23">
        <v>52751.5</v>
      </c>
      <c r="S10" s="23">
        <v>53806.400000000001</v>
      </c>
      <c r="T10" s="23">
        <v>57525.7</v>
      </c>
      <c r="U10" s="23">
        <v>59318.8</v>
      </c>
      <c r="V10" s="23">
        <v>59758.3</v>
      </c>
      <c r="W10" s="23">
        <v>59949.7</v>
      </c>
      <c r="X10" s="23">
        <v>58586.5</v>
      </c>
      <c r="Y10" s="23">
        <v>61740.9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55807.1</v>
      </c>
      <c r="E11" s="23">
        <v>60042</v>
      </c>
      <c r="F11" s="23">
        <v>58122.80000000001</v>
      </c>
      <c r="G11" s="23">
        <v>64464.2</v>
      </c>
      <c r="H11" s="23">
        <v>65019</v>
      </c>
      <c r="I11" s="23">
        <v>69689.299999999988</v>
      </c>
      <c r="J11" s="23">
        <v>72390</v>
      </c>
      <c r="K11" s="23">
        <v>81169.8</v>
      </c>
      <c r="L11" s="23">
        <v>79977.2</v>
      </c>
      <c r="M11" s="23">
        <v>72839</v>
      </c>
      <c r="N11" s="23">
        <v>75684.600000000006</v>
      </c>
      <c r="O11" s="23">
        <v>78147.899999999994</v>
      </c>
      <c r="P11" s="23">
        <v>77579.3</v>
      </c>
      <c r="Q11" s="23">
        <v>80743.5</v>
      </c>
      <c r="R11" s="23">
        <v>84974.5</v>
      </c>
      <c r="S11" s="23">
        <v>83670.3</v>
      </c>
      <c r="T11" s="23">
        <v>80991.8</v>
      </c>
      <c r="U11" s="23">
        <v>78131.8</v>
      </c>
      <c r="V11" s="23">
        <v>78111.299999999988</v>
      </c>
      <c r="W11" s="23">
        <v>78596.600000000006</v>
      </c>
      <c r="X11" s="23">
        <v>79815.89999999998</v>
      </c>
      <c r="Y11" s="23">
        <v>75386.000000000015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112850.49999999999</v>
      </c>
      <c r="E12" s="23">
        <v>121223</v>
      </c>
      <c r="F12" s="23">
        <v>132549.6</v>
      </c>
      <c r="G12" s="23">
        <v>142042.29999999999</v>
      </c>
      <c r="H12" s="23">
        <v>152009.60000000001</v>
      </c>
      <c r="I12" s="23">
        <v>157452.29999999996</v>
      </c>
      <c r="J12" s="23">
        <v>167056.1</v>
      </c>
      <c r="K12" s="23">
        <v>172806.7</v>
      </c>
      <c r="L12" s="23">
        <v>178603.9</v>
      </c>
      <c r="M12" s="23">
        <v>183014.8</v>
      </c>
      <c r="N12" s="23">
        <v>184601</v>
      </c>
      <c r="O12" s="23">
        <v>191577.7</v>
      </c>
      <c r="P12" s="23">
        <v>195857.2</v>
      </c>
      <c r="Q12" s="23">
        <v>196714</v>
      </c>
      <c r="R12" s="23">
        <v>198931.7</v>
      </c>
      <c r="S12" s="23">
        <v>205209.60000000001</v>
      </c>
      <c r="T12" s="23">
        <v>207370.6</v>
      </c>
      <c r="U12" s="23">
        <v>209694.9</v>
      </c>
      <c r="V12" s="23">
        <v>212350.2</v>
      </c>
      <c r="W12" s="23">
        <v>216862.6</v>
      </c>
      <c r="X12" s="23">
        <v>212419.5</v>
      </c>
      <c r="Y12" s="23">
        <v>216035.1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103520.4</v>
      </c>
      <c r="E13" s="23">
        <v>107084.7</v>
      </c>
      <c r="F13" s="23">
        <v>111865.8</v>
      </c>
      <c r="G13" s="23">
        <v>120663.3</v>
      </c>
      <c r="H13" s="23">
        <v>123681.60000000001</v>
      </c>
      <c r="I13" s="23">
        <v>127681.2</v>
      </c>
      <c r="J13" s="23">
        <v>128772.1</v>
      </c>
      <c r="K13" s="23">
        <v>133507.9</v>
      </c>
      <c r="L13" s="23">
        <v>138215</v>
      </c>
      <c r="M13" s="23">
        <v>134813.20000000001</v>
      </c>
      <c r="N13" s="23">
        <v>137956.9</v>
      </c>
      <c r="O13" s="23">
        <v>140090.9</v>
      </c>
      <c r="P13" s="23">
        <v>138045.5</v>
      </c>
      <c r="Q13" s="23">
        <v>137239.9</v>
      </c>
      <c r="R13" s="23">
        <v>139634.49999999997</v>
      </c>
      <c r="S13" s="23">
        <v>142354.79999999999</v>
      </c>
      <c r="T13" s="23">
        <v>145546.29999999999</v>
      </c>
      <c r="U13" s="23">
        <v>151212.40000000002</v>
      </c>
      <c r="V13" s="23">
        <v>158865.49999999997</v>
      </c>
      <c r="W13" s="23">
        <v>157618.70000000001</v>
      </c>
      <c r="X13" s="23">
        <v>154682.29999999999</v>
      </c>
      <c r="Y13" s="23">
        <v>166670.70000000001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178272.4</v>
      </c>
      <c r="E14" s="23">
        <v>188556.7</v>
      </c>
      <c r="F14" s="23">
        <v>197203.6</v>
      </c>
      <c r="G14" s="23">
        <v>207723</v>
      </c>
      <c r="H14" s="23">
        <v>216418.8</v>
      </c>
      <c r="I14" s="23">
        <v>226256.1</v>
      </c>
      <c r="J14" s="23">
        <v>235129</v>
      </c>
      <c r="K14" s="23">
        <v>238360.8</v>
      </c>
      <c r="L14" s="23">
        <v>247031.49999999997</v>
      </c>
      <c r="M14" s="23">
        <v>252015.50000000003</v>
      </c>
      <c r="N14" s="23">
        <v>254992.4</v>
      </c>
      <c r="O14" s="23">
        <v>255779.1</v>
      </c>
      <c r="P14" s="23">
        <v>253315.6</v>
      </c>
      <c r="Q14" s="23">
        <v>252422.8</v>
      </c>
      <c r="R14" s="23">
        <v>253740</v>
      </c>
      <c r="S14" s="23">
        <v>253158.39999999999</v>
      </c>
      <c r="T14" s="23">
        <v>255483</v>
      </c>
      <c r="U14" s="23">
        <v>258127</v>
      </c>
      <c r="V14" s="23">
        <v>263719.90000000002</v>
      </c>
      <c r="W14" s="23">
        <v>263465.90000000002</v>
      </c>
      <c r="X14" s="23">
        <v>260670.5</v>
      </c>
      <c r="Y14" s="23">
        <v>271755.40000000002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41736.400000000001</v>
      </c>
      <c r="E15" s="23">
        <v>43899.4</v>
      </c>
      <c r="F15" s="23">
        <v>44739.8</v>
      </c>
      <c r="G15" s="23">
        <v>45779.6</v>
      </c>
      <c r="H15" s="23">
        <v>47973.2</v>
      </c>
      <c r="I15" s="23">
        <v>49495.8</v>
      </c>
      <c r="J15" s="23">
        <v>51303.5</v>
      </c>
      <c r="K15" s="23">
        <v>53419.6</v>
      </c>
      <c r="L15" s="23">
        <v>56179.1</v>
      </c>
      <c r="M15" s="23">
        <v>58267.4</v>
      </c>
      <c r="N15" s="23">
        <v>60145.9</v>
      </c>
      <c r="O15" s="23">
        <v>62648.800000000003</v>
      </c>
      <c r="P15" s="23">
        <v>61230.5</v>
      </c>
      <c r="Q15" s="23">
        <v>61261.3</v>
      </c>
      <c r="R15" s="23">
        <v>62095.199999999997</v>
      </c>
      <c r="S15" s="23">
        <v>62207.3</v>
      </c>
      <c r="T15" s="23">
        <v>62636.9</v>
      </c>
      <c r="U15" s="23">
        <v>63719</v>
      </c>
      <c r="V15" s="23">
        <v>63705.599999999999</v>
      </c>
      <c r="W15" s="23">
        <v>63811.4</v>
      </c>
      <c r="X15" s="23">
        <v>55312.2</v>
      </c>
      <c r="Y15" s="23">
        <v>58076.9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1112455.8999999997</v>
      </c>
      <c r="E16" s="30">
        <f t="shared" ref="E16:S16" si="0">SUM(E6:E15)</f>
        <v>1175476.7999999998</v>
      </c>
      <c r="F16" s="30">
        <f t="shared" si="0"/>
        <v>1217299.8999999999</v>
      </c>
      <c r="G16" s="30">
        <f t="shared" si="0"/>
        <v>1261478.2</v>
      </c>
      <c r="H16" s="30">
        <f t="shared" si="0"/>
        <v>1310293</v>
      </c>
      <c r="I16" s="30">
        <f t="shared" si="0"/>
        <v>1346105.3</v>
      </c>
      <c r="J16" s="30">
        <f t="shared" si="0"/>
        <v>1391185.8000000003</v>
      </c>
      <c r="K16" s="30">
        <f t="shared" si="0"/>
        <v>1449716.8000000003</v>
      </c>
      <c r="L16" s="30">
        <f t="shared" si="0"/>
        <v>1477269.4</v>
      </c>
      <c r="M16" s="30">
        <f t="shared" si="0"/>
        <v>1425156.9</v>
      </c>
      <c r="N16" s="30">
        <f t="shared" si="0"/>
        <v>1449430.3999999997</v>
      </c>
      <c r="O16" s="30">
        <f t="shared" si="0"/>
        <v>1480874.8000000003</v>
      </c>
      <c r="P16" s="30">
        <f t="shared" si="0"/>
        <v>1458006.7</v>
      </c>
      <c r="Q16" s="30">
        <f t="shared" si="0"/>
        <v>1451514.3</v>
      </c>
      <c r="R16" s="30">
        <f t="shared" si="0"/>
        <v>1462744.5999999999</v>
      </c>
      <c r="S16" s="30">
        <f t="shared" si="0"/>
        <v>1488049</v>
      </c>
      <c r="T16" s="30">
        <f t="shared" ref="T16:Y16" si="1">SUM(T6:T15)</f>
        <v>1522753.8</v>
      </c>
      <c r="U16" s="30">
        <f t="shared" si="1"/>
        <v>1557795.8000000003</v>
      </c>
      <c r="V16" s="30">
        <f t="shared" si="1"/>
        <v>1589576.1999999997</v>
      </c>
      <c r="W16" s="30">
        <f t="shared" si="1"/>
        <v>1611368.5</v>
      </c>
      <c r="X16" s="30">
        <f t="shared" si="1"/>
        <v>1502860.8</v>
      </c>
      <c r="Y16" s="30">
        <f t="shared" si="1"/>
        <v>1637287.5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31827.599999999999</v>
      </c>
      <c r="E18" s="19">
        <v>32468.2</v>
      </c>
      <c r="F18" s="19">
        <v>32019.8</v>
      </c>
      <c r="G18" s="19">
        <v>32886.300000000003</v>
      </c>
      <c r="H18" s="19">
        <v>34086.400000000001</v>
      </c>
      <c r="I18" s="19">
        <v>30374.5</v>
      </c>
      <c r="J18" s="19">
        <v>30212.799999999999</v>
      </c>
      <c r="K18" s="19">
        <v>30622</v>
      </c>
      <c r="L18" s="19">
        <v>30700.7</v>
      </c>
      <c r="M18" s="19">
        <v>28433.8</v>
      </c>
      <c r="N18" s="19">
        <v>28608.5</v>
      </c>
      <c r="O18" s="19">
        <v>31053.1</v>
      </c>
      <c r="P18" s="19">
        <v>32012.1</v>
      </c>
      <c r="Q18" s="19">
        <v>34586.9</v>
      </c>
      <c r="R18" s="19">
        <v>32513.3</v>
      </c>
      <c r="S18" s="19">
        <v>34187</v>
      </c>
      <c r="T18" s="19">
        <v>32701.1</v>
      </c>
      <c r="U18" s="19">
        <v>34257.5</v>
      </c>
      <c r="V18" s="19">
        <v>34461.000000000007</v>
      </c>
      <c r="W18" s="19">
        <v>34267.399999999994</v>
      </c>
      <c r="X18" s="19">
        <v>33360.800000000003</v>
      </c>
      <c r="Y18" s="19">
        <v>34627.9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5962</v>
      </c>
      <c r="E19" s="23">
        <v>5541.6</v>
      </c>
      <c r="F19" s="23">
        <v>5969.6</v>
      </c>
      <c r="G19" s="23">
        <v>5235</v>
      </c>
      <c r="H19" s="23">
        <v>5187.7</v>
      </c>
      <c r="I19" s="23">
        <v>5401.1</v>
      </c>
      <c r="J19" s="23">
        <v>5522.4</v>
      </c>
      <c r="K19" s="23">
        <v>5394.4</v>
      </c>
      <c r="L19" s="23">
        <v>5906.2</v>
      </c>
      <c r="M19" s="23">
        <v>4299.2</v>
      </c>
      <c r="N19" s="23">
        <v>4519.9999999999991</v>
      </c>
      <c r="O19" s="23">
        <v>5369.8</v>
      </c>
      <c r="P19" s="23">
        <v>6738.4</v>
      </c>
      <c r="Q19" s="23">
        <v>6531.2</v>
      </c>
      <c r="R19" s="23">
        <v>5596.6</v>
      </c>
      <c r="S19" s="23">
        <v>4373.6000000000004</v>
      </c>
      <c r="T19" s="23">
        <v>3651.1</v>
      </c>
      <c r="U19" s="23">
        <v>4153</v>
      </c>
      <c r="V19" s="23">
        <v>4653.3</v>
      </c>
      <c r="W19" s="23">
        <v>3878.5</v>
      </c>
      <c r="X19" s="23">
        <v>2866</v>
      </c>
      <c r="Y19" s="23">
        <v>5549.8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218174.0999999998</v>
      </c>
      <c r="E20" s="23">
        <v>223562.59999999998</v>
      </c>
      <c r="F20" s="23">
        <v>226927.2999999997</v>
      </c>
      <c r="G20" s="23">
        <v>224971.1</v>
      </c>
      <c r="H20" s="23">
        <v>230863.29999999993</v>
      </c>
      <c r="I20" s="23">
        <v>232242.50000000003</v>
      </c>
      <c r="J20" s="23">
        <v>242302.7000000001</v>
      </c>
      <c r="K20" s="23">
        <v>257654.70000000027</v>
      </c>
      <c r="L20" s="23">
        <v>253356.19999999984</v>
      </c>
      <c r="M20" s="23">
        <v>216301.40000000002</v>
      </c>
      <c r="N20" s="23">
        <v>229274.2</v>
      </c>
      <c r="O20" s="23">
        <v>234354.90000000014</v>
      </c>
      <c r="P20" s="23">
        <v>224967.49999999985</v>
      </c>
      <c r="Q20" s="23">
        <v>223850.19999999995</v>
      </c>
      <c r="R20" s="23">
        <v>227450.19999999984</v>
      </c>
      <c r="S20" s="23">
        <v>238294.40000000002</v>
      </c>
      <c r="T20" s="23">
        <v>250824.40000000014</v>
      </c>
      <c r="U20" s="23">
        <v>258993.20000000027</v>
      </c>
      <c r="V20" s="23">
        <v>265881.89999999967</v>
      </c>
      <c r="W20" s="23">
        <v>267416.10000000009</v>
      </c>
      <c r="X20" s="23">
        <v>242447.70000000016</v>
      </c>
      <c r="Y20" s="23">
        <v>282921.69999999984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16388.900000000005</v>
      </c>
      <c r="E21" s="23">
        <v>18400.2</v>
      </c>
      <c r="F21" s="23">
        <v>19296.7</v>
      </c>
      <c r="G21" s="23">
        <v>19533.400000000001</v>
      </c>
      <c r="H21" s="23">
        <v>20285.7</v>
      </c>
      <c r="I21" s="23">
        <v>20853.8</v>
      </c>
      <c r="J21" s="23">
        <v>22241.7</v>
      </c>
      <c r="K21" s="23">
        <v>23120.799999999999</v>
      </c>
      <c r="L21" s="23">
        <v>26616.1</v>
      </c>
      <c r="M21" s="23">
        <v>27277.1</v>
      </c>
      <c r="N21" s="23">
        <v>24332.6</v>
      </c>
      <c r="O21" s="23">
        <v>23208.799999999999</v>
      </c>
      <c r="P21" s="23">
        <v>25290</v>
      </c>
      <c r="Q21" s="23">
        <v>26049.8</v>
      </c>
      <c r="R21" s="23">
        <v>25233</v>
      </c>
      <c r="S21" s="23">
        <v>23311.9</v>
      </c>
      <c r="T21" s="23">
        <v>23971.200000000001</v>
      </c>
      <c r="U21" s="23">
        <v>24507.599999999999</v>
      </c>
      <c r="V21" s="23">
        <v>25758.7</v>
      </c>
      <c r="W21" s="23">
        <v>29024.799999999999</v>
      </c>
      <c r="X21" s="23">
        <v>29447.1</v>
      </c>
      <c r="Y21" s="23">
        <v>29781.7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7253</v>
      </c>
      <c r="E22" s="23">
        <v>7259.4</v>
      </c>
      <c r="F22" s="23">
        <v>7905.6</v>
      </c>
      <c r="G22" s="23">
        <v>8217.7999999999993</v>
      </c>
      <c r="H22" s="23">
        <v>8758.4999999999982</v>
      </c>
      <c r="I22" s="23">
        <v>9488.4</v>
      </c>
      <c r="J22" s="23">
        <v>10018.4</v>
      </c>
      <c r="K22" s="23">
        <v>10544.7</v>
      </c>
      <c r="L22" s="23">
        <v>10985.6</v>
      </c>
      <c r="M22" s="23">
        <v>11787.7</v>
      </c>
      <c r="N22" s="23">
        <v>12641.2</v>
      </c>
      <c r="O22" s="23">
        <v>13048.5</v>
      </c>
      <c r="P22" s="23">
        <v>13212.8</v>
      </c>
      <c r="Q22" s="23">
        <v>13684.9</v>
      </c>
      <c r="R22" s="23">
        <v>14533.3</v>
      </c>
      <c r="S22" s="23">
        <v>14644.6</v>
      </c>
      <c r="T22" s="23">
        <v>15938.3</v>
      </c>
      <c r="U22" s="23">
        <v>16162.5</v>
      </c>
      <c r="V22" s="23">
        <v>16675</v>
      </c>
      <c r="W22" s="23">
        <v>17001.2</v>
      </c>
      <c r="X22" s="23">
        <v>17059.2</v>
      </c>
      <c r="Y22" s="23">
        <v>19092.400000000005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54025.2</v>
      </c>
      <c r="E23" s="23">
        <v>59804.6</v>
      </c>
      <c r="F23" s="23">
        <v>64361.3</v>
      </c>
      <c r="G23" s="23">
        <v>69507.8</v>
      </c>
      <c r="H23" s="23">
        <v>75022.7</v>
      </c>
      <c r="I23" s="23">
        <v>79606.899999999994</v>
      </c>
      <c r="J23" s="23">
        <v>83258.399999999994</v>
      </c>
      <c r="K23" s="23">
        <v>87163.8</v>
      </c>
      <c r="L23" s="23">
        <v>89655.4</v>
      </c>
      <c r="M23" s="23">
        <v>85514</v>
      </c>
      <c r="N23" s="23">
        <v>81550.399999999994</v>
      </c>
      <c r="O23" s="23">
        <v>82617.5</v>
      </c>
      <c r="P23" s="23">
        <v>76511.8</v>
      </c>
      <c r="Q23" s="23">
        <v>71343</v>
      </c>
      <c r="R23" s="23">
        <v>65661.899999999994</v>
      </c>
      <c r="S23" s="23">
        <v>64622.7</v>
      </c>
      <c r="T23" s="23">
        <v>65426.2</v>
      </c>
      <c r="U23" s="23">
        <v>66085</v>
      </c>
      <c r="V23" s="23">
        <v>66997.3</v>
      </c>
      <c r="W23" s="23">
        <v>69444.2</v>
      </c>
      <c r="X23" s="23">
        <v>66325.399999999994</v>
      </c>
      <c r="Y23" s="23">
        <v>85296.5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144163</v>
      </c>
      <c r="E24" s="23">
        <v>151824.6</v>
      </c>
      <c r="F24" s="23">
        <v>151981.49999999997</v>
      </c>
      <c r="G24" s="23">
        <v>153532.9</v>
      </c>
      <c r="H24" s="23">
        <v>158100.69999999998</v>
      </c>
      <c r="I24" s="23">
        <v>160586.09999999998</v>
      </c>
      <c r="J24" s="23">
        <v>162602.79999999999</v>
      </c>
      <c r="K24" s="23">
        <v>166507.29999999999</v>
      </c>
      <c r="L24" s="23">
        <v>168769.89999999997</v>
      </c>
      <c r="M24" s="23">
        <v>159759.29999999999</v>
      </c>
      <c r="N24" s="23">
        <v>162829.6</v>
      </c>
      <c r="O24" s="23">
        <v>168259.3</v>
      </c>
      <c r="P24" s="23">
        <v>164487.19999999998</v>
      </c>
      <c r="Q24" s="23">
        <v>162323.09999999998</v>
      </c>
      <c r="R24" s="23">
        <v>165362.30000000005</v>
      </c>
      <c r="S24" s="23">
        <v>172025.8</v>
      </c>
      <c r="T24" s="23">
        <v>178593.89999999997</v>
      </c>
      <c r="U24" s="23">
        <v>185690.99999999997</v>
      </c>
      <c r="V24" s="23">
        <v>188642.6</v>
      </c>
      <c r="W24" s="23">
        <v>197565.2</v>
      </c>
      <c r="X24" s="23">
        <v>176011</v>
      </c>
      <c r="Y24" s="23">
        <v>198581.20000000004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58709.600000000006</v>
      </c>
      <c r="E25" s="23">
        <v>63219.3</v>
      </c>
      <c r="F25" s="23">
        <v>65830.10000000002</v>
      </c>
      <c r="G25" s="23">
        <v>67386.600000000006</v>
      </c>
      <c r="H25" s="23">
        <v>70079.60000000002</v>
      </c>
      <c r="I25" s="23">
        <v>70903.899999999994</v>
      </c>
      <c r="J25" s="23">
        <v>71968.89999999998</v>
      </c>
      <c r="K25" s="23">
        <v>76986.500000000015</v>
      </c>
      <c r="L25" s="23">
        <v>77958.100000000006</v>
      </c>
      <c r="M25" s="23">
        <v>76609.8</v>
      </c>
      <c r="N25" s="23">
        <v>79040.399999999994</v>
      </c>
      <c r="O25" s="23">
        <v>80404.2</v>
      </c>
      <c r="P25" s="23">
        <v>78026.5</v>
      </c>
      <c r="Q25" s="23">
        <v>78781.7</v>
      </c>
      <c r="R25" s="23">
        <v>80267</v>
      </c>
      <c r="S25" s="23">
        <v>81563.899999999994</v>
      </c>
      <c r="T25" s="23">
        <v>84822.2</v>
      </c>
      <c r="U25" s="23">
        <v>87121.1</v>
      </c>
      <c r="V25" s="23">
        <v>86924.5</v>
      </c>
      <c r="W25" s="23">
        <v>88780.5</v>
      </c>
      <c r="X25" s="23">
        <v>74967.199999999997</v>
      </c>
      <c r="Y25" s="23">
        <v>82806.7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39802.6</v>
      </c>
      <c r="E26" s="23">
        <v>42184.9</v>
      </c>
      <c r="F26" s="23">
        <v>42216.6</v>
      </c>
      <c r="G26" s="23">
        <v>43175.5</v>
      </c>
      <c r="H26" s="23">
        <v>45234</v>
      </c>
      <c r="I26" s="23">
        <v>47176.7</v>
      </c>
      <c r="J26" s="23">
        <v>49405.599999999999</v>
      </c>
      <c r="K26" s="23">
        <v>51826.9</v>
      </c>
      <c r="L26" s="23">
        <v>52290.1</v>
      </c>
      <c r="M26" s="23">
        <v>53277.5</v>
      </c>
      <c r="N26" s="23">
        <v>52571.3</v>
      </c>
      <c r="O26" s="23">
        <v>54208.800000000003</v>
      </c>
      <c r="P26" s="23">
        <v>53833.3</v>
      </c>
      <c r="Q26" s="23">
        <v>52440.9</v>
      </c>
      <c r="R26" s="23">
        <v>53999.6</v>
      </c>
      <c r="S26" s="23">
        <v>54618.3</v>
      </c>
      <c r="T26" s="23">
        <v>57271.1</v>
      </c>
      <c r="U26" s="23">
        <v>60621</v>
      </c>
      <c r="V26" s="23">
        <v>63071.1</v>
      </c>
      <c r="W26" s="23">
        <v>63685.7</v>
      </c>
      <c r="X26" s="23">
        <v>38889.500000000007</v>
      </c>
      <c r="Y26" s="23">
        <v>48964.6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43963.1</v>
      </c>
      <c r="E27" s="23">
        <v>50405.599999999999</v>
      </c>
      <c r="F27" s="23">
        <v>56309.8</v>
      </c>
      <c r="G27" s="23">
        <v>56359.399999999994</v>
      </c>
      <c r="H27" s="23">
        <v>57572.200000000012</v>
      </c>
      <c r="I27" s="23">
        <v>58896.7</v>
      </c>
      <c r="J27" s="23">
        <v>59001.4</v>
      </c>
      <c r="K27" s="23">
        <v>60630.9</v>
      </c>
      <c r="L27" s="23">
        <v>61024.4</v>
      </c>
      <c r="M27" s="23">
        <v>60947.199999999997</v>
      </c>
      <c r="N27" s="23">
        <v>60681.4</v>
      </c>
      <c r="O27" s="23">
        <v>60105.5</v>
      </c>
      <c r="P27" s="23">
        <v>56899</v>
      </c>
      <c r="Q27" s="23">
        <v>53541.1</v>
      </c>
      <c r="R27" s="23">
        <v>52751.5</v>
      </c>
      <c r="S27" s="23">
        <v>53806.400000000001</v>
      </c>
      <c r="T27" s="23">
        <v>57525.7</v>
      </c>
      <c r="U27" s="23">
        <v>59318.8</v>
      </c>
      <c r="V27" s="23">
        <v>59758.3</v>
      </c>
      <c r="W27" s="23">
        <v>59949.7</v>
      </c>
      <c r="X27" s="23">
        <v>58586.5</v>
      </c>
      <c r="Y27" s="23">
        <v>61740.9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55807.1</v>
      </c>
      <c r="E28" s="23">
        <v>60042</v>
      </c>
      <c r="F28" s="23">
        <v>58122.80000000001</v>
      </c>
      <c r="G28" s="23">
        <v>64464.2</v>
      </c>
      <c r="H28" s="23">
        <v>65019</v>
      </c>
      <c r="I28" s="23">
        <v>69689.299999999988</v>
      </c>
      <c r="J28" s="23">
        <v>72390</v>
      </c>
      <c r="K28" s="23">
        <v>81169.8</v>
      </c>
      <c r="L28" s="23">
        <v>79977.2</v>
      </c>
      <c r="M28" s="23">
        <v>72839</v>
      </c>
      <c r="N28" s="23">
        <v>75684.600000000006</v>
      </c>
      <c r="O28" s="23">
        <v>78147.899999999994</v>
      </c>
      <c r="P28" s="23">
        <v>77579.3</v>
      </c>
      <c r="Q28" s="23">
        <v>80743.5</v>
      </c>
      <c r="R28" s="23">
        <v>84974.5</v>
      </c>
      <c r="S28" s="23">
        <v>83670.3</v>
      </c>
      <c r="T28" s="23">
        <v>80991.8</v>
      </c>
      <c r="U28" s="23">
        <v>78131.8</v>
      </c>
      <c r="V28" s="23">
        <v>78111.299999999988</v>
      </c>
      <c r="W28" s="23">
        <v>78596.600000000006</v>
      </c>
      <c r="X28" s="23">
        <v>79815.89999999998</v>
      </c>
      <c r="Y28" s="23">
        <v>75386.000000000015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112850.49999999999</v>
      </c>
      <c r="E29" s="23">
        <v>121223</v>
      </c>
      <c r="F29" s="23">
        <v>132549.6</v>
      </c>
      <c r="G29" s="23">
        <v>142042.29999999999</v>
      </c>
      <c r="H29" s="23">
        <v>152009.60000000001</v>
      </c>
      <c r="I29" s="23">
        <v>157452.29999999996</v>
      </c>
      <c r="J29" s="23">
        <v>167056.1</v>
      </c>
      <c r="K29" s="23">
        <v>172806.7</v>
      </c>
      <c r="L29" s="23">
        <v>178603.9</v>
      </c>
      <c r="M29" s="23">
        <v>183014.8</v>
      </c>
      <c r="N29" s="23">
        <v>184601</v>
      </c>
      <c r="O29" s="23">
        <v>191577.7</v>
      </c>
      <c r="P29" s="23">
        <v>195857.2</v>
      </c>
      <c r="Q29" s="23">
        <v>196714</v>
      </c>
      <c r="R29" s="23">
        <v>198931.7</v>
      </c>
      <c r="S29" s="23">
        <v>205209.60000000001</v>
      </c>
      <c r="T29" s="23">
        <v>207370.6</v>
      </c>
      <c r="U29" s="23">
        <v>209694.9</v>
      </c>
      <c r="V29" s="23">
        <v>212350.2</v>
      </c>
      <c r="W29" s="23">
        <v>216862.6</v>
      </c>
      <c r="X29" s="23">
        <v>212419.5</v>
      </c>
      <c r="Y29" s="23">
        <v>216035.1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77365.3</v>
      </c>
      <c r="E30" s="23">
        <v>78093</v>
      </c>
      <c r="F30" s="23">
        <v>81015.999999999985</v>
      </c>
      <c r="G30" s="23">
        <v>87493.200000000012</v>
      </c>
      <c r="H30" s="23">
        <v>89538.8</v>
      </c>
      <c r="I30" s="23">
        <v>91326.099999999977</v>
      </c>
      <c r="J30" s="23">
        <v>91266.7</v>
      </c>
      <c r="K30" s="23">
        <v>93794.2</v>
      </c>
      <c r="L30" s="23">
        <v>97002.499999999985</v>
      </c>
      <c r="M30" s="23">
        <v>94940.300000000017</v>
      </c>
      <c r="N30" s="23">
        <v>96348.7</v>
      </c>
      <c r="O30" s="23">
        <v>95296.1</v>
      </c>
      <c r="P30" s="23">
        <v>94073.60000000002</v>
      </c>
      <c r="Q30" s="23">
        <v>93344.4</v>
      </c>
      <c r="R30" s="23">
        <v>94209.099999999977</v>
      </c>
      <c r="S30" s="23">
        <v>95849.1</v>
      </c>
      <c r="T30" s="23">
        <v>97411.89999999998</v>
      </c>
      <c r="U30" s="23">
        <v>99717.300000000017</v>
      </c>
      <c r="V30" s="23">
        <v>103349.29999999999</v>
      </c>
      <c r="W30" s="23">
        <v>101217.5</v>
      </c>
      <c r="X30" s="23">
        <v>103060.59999999998</v>
      </c>
      <c r="Y30" s="23">
        <v>108308.4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26155.1</v>
      </c>
      <c r="E31" s="23">
        <v>28991.7</v>
      </c>
      <c r="F31" s="23">
        <v>30849.800000000003</v>
      </c>
      <c r="G31" s="23">
        <v>33170.1</v>
      </c>
      <c r="H31" s="23">
        <v>34142.800000000003</v>
      </c>
      <c r="I31" s="23">
        <v>36355.1</v>
      </c>
      <c r="J31" s="23">
        <v>37505.4</v>
      </c>
      <c r="K31" s="23">
        <v>39713.699999999997</v>
      </c>
      <c r="L31" s="23">
        <v>41212.500000000007</v>
      </c>
      <c r="M31" s="23">
        <v>39872.899999999994</v>
      </c>
      <c r="N31" s="23">
        <v>41608.19999999999</v>
      </c>
      <c r="O31" s="23">
        <v>44794.8</v>
      </c>
      <c r="P31" s="23">
        <v>43971.9</v>
      </c>
      <c r="Q31" s="23">
        <v>43895.5</v>
      </c>
      <c r="R31" s="23">
        <v>45425.4</v>
      </c>
      <c r="S31" s="23">
        <v>46505.7</v>
      </c>
      <c r="T31" s="23">
        <v>48134.400000000001</v>
      </c>
      <c r="U31" s="23">
        <v>51495.1</v>
      </c>
      <c r="V31" s="23">
        <v>55516.2</v>
      </c>
      <c r="W31" s="23">
        <v>56401.2</v>
      </c>
      <c r="X31" s="23">
        <v>51621.7</v>
      </c>
      <c r="Y31" s="23">
        <v>58362.3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70706.999999999985</v>
      </c>
      <c r="E32" s="23">
        <v>74309.900000000009</v>
      </c>
      <c r="F32" s="23">
        <v>77957</v>
      </c>
      <c r="G32" s="23">
        <v>83763.999999999985</v>
      </c>
      <c r="H32" s="23">
        <v>88346.000000000015</v>
      </c>
      <c r="I32" s="23">
        <v>90885.000000000015</v>
      </c>
      <c r="J32" s="23">
        <v>94112.000000000015</v>
      </c>
      <c r="K32" s="23">
        <v>95035.999999999985</v>
      </c>
      <c r="L32" s="23">
        <v>99632</v>
      </c>
      <c r="M32" s="23">
        <v>101215.00000000004</v>
      </c>
      <c r="N32" s="23">
        <v>103467</v>
      </c>
      <c r="O32" s="23">
        <v>104992.9</v>
      </c>
      <c r="P32" s="23">
        <v>103069</v>
      </c>
      <c r="Q32" s="23">
        <v>101925.10000000002</v>
      </c>
      <c r="R32" s="23">
        <v>100708.99999999999</v>
      </c>
      <c r="S32" s="23">
        <v>100181.99999999996</v>
      </c>
      <c r="T32" s="23">
        <v>101336</v>
      </c>
      <c r="U32" s="23">
        <v>101578.99999999996</v>
      </c>
      <c r="V32" s="23">
        <v>103807.00000000006</v>
      </c>
      <c r="W32" s="23">
        <v>102830.00000000001</v>
      </c>
      <c r="X32" s="23">
        <v>102402.10000000002</v>
      </c>
      <c r="Y32" s="23">
        <v>103446.10000000003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51160.3</v>
      </c>
      <c r="E33" s="23">
        <v>54347</v>
      </c>
      <c r="F33" s="23">
        <v>57116.3</v>
      </c>
      <c r="G33" s="23">
        <v>59688.2</v>
      </c>
      <c r="H33" s="23">
        <v>58665</v>
      </c>
      <c r="I33" s="23">
        <v>61559.9</v>
      </c>
      <c r="J33" s="23">
        <v>63609.2</v>
      </c>
      <c r="K33" s="23">
        <v>66022.399999999994</v>
      </c>
      <c r="L33" s="23">
        <v>64607.6</v>
      </c>
      <c r="M33" s="23">
        <v>65963.600000000006</v>
      </c>
      <c r="N33" s="23">
        <v>64670.9</v>
      </c>
      <c r="O33" s="23">
        <v>62865</v>
      </c>
      <c r="P33" s="23">
        <v>62357</v>
      </c>
      <c r="Q33" s="23">
        <v>62467.4</v>
      </c>
      <c r="R33" s="23">
        <v>62737.2</v>
      </c>
      <c r="S33" s="23">
        <v>62281.3</v>
      </c>
      <c r="T33" s="23">
        <v>62859.8</v>
      </c>
      <c r="U33" s="23">
        <v>63922.1</v>
      </c>
      <c r="V33" s="23">
        <v>66387</v>
      </c>
      <c r="W33" s="23">
        <v>66672.5</v>
      </c>
      <c r="X33" s="23">
        <v>65912.5</v>
      </c>
      <c r="Y33" s="23">
        <v>69815.5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56405.1</v>
      </c>
      <c r="E34" s="23">
        <v>59899.8</v>
      </c>
      <c r="F34" s="23">
        <v>62130.3</v>
      </c>
      <c r="G34" s="23">
        <v>64270.8</v>
      </c>
      <c r="H34" s="23">
        <v>69407.8</v>
      </c>
      <c r="I34" s="23">
        <v>73811.199999999997</v>
      </c>
      <c r="J34" s="23">
        <v>77407.8</v>
      </c>
      <c r="K34" s="23">
        <v>77302.399999999994</v>
      </c>
      <c r="L34" s="23">
        <v>82791.899999999994</v>
      </c>
      <c r="M34" s="23">
        <v>84836.9</v>
      </c>
      <c r="N34" s="23">
        <v>86854.5</v>
      </c>
      <c r="O34" s="23">
        <v>87921.2</v>
      </c>
      <c r="P34" s="23">
        <v>87889.600000000006</v>
      </c>
      <c r="Q34" s="23">
        <v>88030.3</v>
      </c>
      <c r="R34" s="23">
        <v>90293.8</v>
      </c>
      <c r="S34" s="23">
        <v>90695.1</v>
      </c>
      <c r="T34" s="23">
        <v>91287.2</v>
      </c>
      <c r="U34" s="23">
        <v>92625.9</v>
      </c>
      <c r="V34" s="23">
        <v>93525.9</v>
      </c>
      <c r="W34" s="23">
        <v>93963.4</v>
      </c>
      <c r="X34" s="23">
        <v>92355.9</v>
      </c>
      <c r="Y34" s="23">
        <v>98493.8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10127.9</v>
      </c>
      <c r="E35" s="23">
        <v>10775.7</v>
      </c>
      <c r="F35" s="23">
        <v>11507.199999999997</v>
      </c>
      <c r="G35" s="23">
        <v>12005.9</v>
      </c>
      <c r="H35" s="23">
        <v>12498.800000000003</v>
      </c>
      <c r="I35" s="23">
        <v>12775.6</v>
      </c>
      <c r="J35" s="23">
        <v>13384.000000000002</v>
      </c>
      <c r="K35" s="23">
        <v>14593.200000000003</v>
      </c>
      <c r="L35" s="23">
        <v>15348.400000000005</v>
      </c>
      <c r="M35" s="23">
        <v>15445.6</v>
      </c>
      <c r="N35" s="23">
        <v>16601.599999999999</v>
      </c>
      <c r="O35" s="23">
        <v>17207.3</v>
      </c>
      <c r="P35" s="23">
        <v>16109.600000000004</v>
      </c>
      <c r="Q35" s="23">
        <v>15748.799999999997</v>
      </c>
      <c r="R35" s="23">
        <v>16325.200000000006</v>
      </c>
      <c r="S35" s="23">
        <v>16594.8</v>
      </c>
      <c r="T35" s="23">
        <v>17656.600000000002</v>
      </c>
      <c r="U35" s="23">
        <v>17931.999999999996</v>
      </c>
      <c r="V35" s="23">
        <v>17986</v>
      </c>
      <c r="W35" s="23">
        <v>18880.399999999994</v>
      </c>
      <c r="X35" s="23">
        <v>14405.1</v>
      </c>
      <c r="Y35" s="23">
        <v>15036.9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21159.5</v>
      </c>
      <c r="E36" s="23">
        <v>22039.7</v>
      </c>
      <c r="F36" s="23">
        <v>21209.599999999999</v>
      </c>
      <c r="G36" s="23">
        <v>21321.7</v>
      </c>
      <c r="H36" s="23">
        <v>22094.400000000001</v>
      </c>
      <c r="I36" s="23">
        <v>22583.200000000001</v>
      </c>
      <c r="J36" s="23">
        <v>23080.5</v>
      </c>
      <c r="K36" s="23">
        <v>23038.400000000001</v>
      </c>
      <c r="L36" s="23">
        <v>23925.7</v>
      </c>
      <c r="M36" s="23">
        <v>25071.8</v>
      </c>
      <c r="N36" s="23">
        <v>25539.3</v>
      </c>
      <c r="O36" s="23">
        <v>27372.7</v>
      </c>
      <c r="P36" s="23">
        <v>26660.1</v>
      </c>
      <c r="Q36" s="23">
        <v>26747.9</v>
      </c>
      <c r="R36" s="23">
        <v>26813.4</v>
      </c>
      <c r="S36" s="23">
        <v>26770.799999999999</v>
      </c>
      <c r="T36" s="23">
        <v>26540.2</v>
      </c>
      <c r="U36" s="23">
        <v>27683.7</v>
      </c>
      <c r="V36" s="23">
        <v>27661.1</v>
      </c>
      <c r="W36" s="23">
        <v>26904.799999999999</v>
      </c>
      <c r="X36" s="23">
        <v>23223.200000000001</v>
      </c>
      <c r="Y36" s="23">
        <v>24998.799999999999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10449</v>
      </c>
      <c r="E37" s="23">
        <v>11084</v>
      </c>
      <c r="F37" s="23">
        <v>12023</v>
      </c>
      <c r="G37" s="23">
        <v>12452</v>
      </c>
      <c r="H37" s="23">
        <v>13380</v>
      </c>
      <c r="I37" s="23">
        <v>14137</v>
      </c>
      <c r="J37" s="23">
        <v>14839</v>
      </c>
      <c r="K37" s="23">
        <v>15788</v>
      </c>
      <c r="L37" s="23">
        <v>16904.999999999996</v>
      </c>
      <c r="M37" s="23">
        <v>17750</v>
      </c>
      <c r="N37" s="23">
        <v>18004.999999999996</v>
      </c>
      <c r="O37" s="23">
        <v>18068.8</v>
      </c>
      <c r="P37" s="23">
        <v>18460.8</v>
      </c>
      <c r="Q37" s="23">
        <v>18764.599999999999</v>
      </c>
      <c r="R37" s="23">
        <v>18956.599999999999</v>
      </c>
      <c r="S37" s="23">
        <v>18841.7</v>
      </c>
      <c r="T37" s="23">
        <v>18440.099999999999</v>
      </c>
      <c r="U37" s="23">
        <v>18103.3</v>
      </c>
      <c r="V37" s="23">
        <v>18058.5</v>
      </c>
      <c r="W37" s="23">
        <v>18026.2</v>
      </c>
      <c r="X37" s="23">
        <v>17683.900000000001</v>
      </c>
      <c r="Y37" s="23">
        <v>18041.2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1112455.8999999997</v>
      </c>
      <c r="E39" s="30">
        <f t="shared" ref="E39:S39" si="2">SUM(E18:E38)</f>
        <v>1175476.8</v>
      </c>
      <c r="F39" s="30">
        <f t="shared" si="2"/>
        <v>1217299.8999999999</v>
      </c>
      <c r="G39" s="30">
        <f t="shared" si="2"/>
        <v>1261478.1999999997</v>
      </c>
      <c r="H39" s="30">
        <f t="shared" si="2"/>
        <v>1310293</v>
      </c>
      <c r="I39" s="30">
        <f t="shared" si="2"/>
        <v>1346105.2999999998</v>
      </c>
      <c r="J39" s="30">
        <f t="shared" si="2"/>
        <v>1391185.8</v>
      </c>
      <c r="K39" s="30">
        <f t="shared" si="2"/>
        <v>1449716.7999999998</v>
      </c>
      <c r="L39" s="30">
        <f t="shared" si="2"/>
        <v>1477269.3999999997</v>
      </c>
      <c r="M39" s="30">
        <f t="shared" si="2"/>
        <v>1425156.9000000001</v>
      </c>
      <c r="N39" s="30">
        <f t="shared" si="2"/>
        <v>1449430.4000000001</v>
      </c>
      <c r="O39" s="30">
        <f t="shared" si="2"/>
        <v>1480874.8000000003</v>
      </c>
      <c r="P39" s="30">
        <f t="shared" si="2"/>
        <v>1458006.7000000002</v>
      </c>
      <c r="Q39" s="30">
        <f t="shared" si="2"/>
        <v>1451514.2999999998</v>
      </c>
      <c r="R39" s="30">
        <f t="shared" si="2"/>
        <v>1462744.5999999999</v>
      </c>
      <c r="S39" s="30">
        <f t="shared" si="2"/>
        <v>1488049.0000000002</v>
      </c>
      <c r="T39" s="30">
        <f t="shared" ref="T39:Y39" si="3">SUM(T18:T38)</f>
        <v>1522753.8</v>
      </c>
      <c r="U39" s="30">
        <f t="shared" si="3"/>
        <v>1557795.8000000005</v>
      </c>
      <c r="V39" s="30">
        <f t="shared" si="3"/>
        <v>1589576.1999999997</v>
      </c>
      <c r="W39" s="30">
        <f t="shared" si="3"/>
        <v>1611368.4999999998</v>
      </c>
      <c r="X39" s="30">
        <f t="shared" si="3"/>
        <v>1502860.8</v>
      </c>
      <c r="Y39" s="30">
        <f t="shared" si="3"/>
        <v>1637287.5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21936.9</v>
      </c>
      <c r="E41" s="19">
        <v>22190.3</v>
      </c>
      <c r="F41" s="19">
        <v>23766.400000000001</v>
      </c>
      <c r="G41" s="19">
        <v>23858</v>
      </c>
      <c r="H41" s="19">
        <v>24396.2</v>
      </c>
      <c r="I41" s="19">
        <v>23886</v>
      </c>
      <c r="J41" s="19">
        <v>23864.9</v>
      </c>
      <c r="K41" s="19">
        <v>24885.4</v>
      </c>
      <c r="L41" s="19">
        <v>25141.1</v>
      </c>
      <c r="M41" s="19">
        <v>24972.400000000001</v>
      </c>
      <c r="N41" s="19">
        <v>25536.2</v>
      </c>
      <c r="O41" s="19">
        <v>25122.5</v>
      </c>
      <c r="P41" s="19">
        <v>24364.400000000001</v>
      </c>
      <c r="Q41" s="19">
        <v>24656.799999999999</v>
      </c>
      <c r="R41" s="19">
        <v>25315.3</v>
      </c>
      <c r="S41" s="19">
        <v>26972.9</v>
      </c>
      <c r="T41" s="19">
        <v>27913.9</v>
      </c>
      <c r="U41" s="19">
        <v>28331.8</v>
      </c>
      <c r="V41" s="19">
        <v>29504.7</v>
      </c>
      <c r="W41" s="19">
        <v>30255.9</v>
      </c>
      <c r="X41" s="19">
        <v>29329.1</v>
      </c>
      <c r="Y41" s="19">
        <v>31421.200000000001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27231.8</v>
      </c>
      <c r="E42" s="23">
        <v>28962.600000000006</v>
      </c>
      <c r="F42" s="23">
        <v>28035</v>
      </c>
      <c r="G42" s="23">
        <v>26805.4</v>
      </c>
      <c r="H42" s="23">
        <v>25716.2</v>
      </c>
      <c r="I42" s="23">
        <v>24881.1</v>
      </c>
      <c r="J42" s="23">
        <v>24766.400000000001</v>
      </c>
      <c r="K42" s="23">
        <v>25946.799999999999</v>
      </c>
      <c r="L42" s="23">
        <v>25367</v>
      </c>
      <c r="M42" s="23">
        <v>21607.1</v>
      </c>
      <c r="N42" s="23">
        <v>22705.7</v>
      </c>
      <c r="O42" s="23">
        <v>24015.5</v>
      </c>
      <c r="P42" s="23">
        <v>22763.8</v>
      </c>
      <c r="Q42" s="23">
        <v>23149.1</v>
      </c>
      <c r="R42" s="23">
        <v>23695.8</v>
      </c>
      <c r="S42" s="23">
        <v>24021.8</v>
      </c>
      <c r="T42" s="23">
        <v>24290.1</v>
      </c>
      <c r="U42" s="23">
        <v>25115</v>
      </c>
      <c r="V42" s="23">
        <v>25838.799999999999</v>
      </c>
      <c r="W42" s="23">
        <v>26060.2</v>
      </c>
      <c r="X42" s="23">
        <v>20566.5</v>
      </c>
      <c r="Y42" s="23">
        <v>24951.200000000001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17026.900000000001</v>
      </c>
      <c r="E43" s="23">
        <v>18237.599999999999</v>
      </c>
      <c r="F43" s="23">
        <v>18182.699999999997</v>
      </c>
      <c r="G43" s="23">
        <v>17543.5</v>
      </c>
      <c r="H43" s="23">
        <v>17854.7</v>
      </c>
      <c r="I43" s="23">
        <v>17311.099999999999</v>
      </c>
      <c r="J43" s="23">
        <v>17680.2</v>
      </c>
      <c r="K43" s="23">
        <v>18141.099999999995</v>
      </c>
      <c r="L43" s="23">
        <v>17440.7</v>
      </c>
      <c r="M43" s="23">
        <v>15652.7</v>
      </c>
      <c r="N43" s="23">
        <v>15753.9</v>
      </c>
      <c r="O43" s="23">
        <v>15828.2</v>
      </c>
      <c r="P43" s="23">
        <v>14757</v>
      </c>
      <c r="Q43" s="23">
        <v>14091.6</v>
      </c>
      <c r="R43" s="23">
        <v>14293.1</v>
      </c>
      <c r="S43" s="23">
        <v>14076.9</v>
      </c>
      <c r="T43" s="23">
        <v>15029.6</v>
      </c>
      <c r="U43" s="23">
        <v>15159.7</v>
      </c>
      <c r="V43" s="23">
        <v>15285.6</v>
      </c>
      <c r="W43" s="23">
        <v>15198.8</v>
      </c>
      <c r="X43" s="23">
        <v>13739.9</v>
      </c>
      <c r="Y43" s="23">
        <v>14925.3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3200.9</v>
      </c>
      <c r="E44" s="23">
        <v>3049.2</v>
      </c>
      <c r="F44" s="23">
        <v>2336.3000000000002</v>
      </c>
      <c r="G44" s="23">
        <v>2683.6</v>
      </c>
      <c r="H44" s="23">
        <v>3136</v>
      </c>
      <c r="I44" s="23">
        <v>4176.1000000000013</v>
      </c>
      <c r="J44" s="23">
        <v>4207.7</v>
      </c>
      <c r="K44" s="23">
        <v>4994.0000000000009</v>
      </c>
      <c r="L44" s="23">
        <v>4868</v>
      </c>
      <c r="M44" s="23">
        <v>2046.5</v>
      </c>
      <c r="N44" s="23">
        <v>2500.6999999999998</v>
      </c>
      <c r="O44" s="23">
        <v>2843</v>
      </c>
      <c r="P44" s="23">
        <v>2264.4999999999995</v>
      </c>
      <c r="Q44" s="23">
        <v>1504.5</v>
      </c>
      <c r="R44" s="23">
        <v>-213.5</v>
      </c>
      <c r="S44" s="23">
        <v>2418.1999999999998</v>
      </c>
      <c r="T44" s="23">
        <v>2497.6</v>
      </c>
      <c r="U44" s="23">
        <v>2865.3</v>
      </c>
      <c r="V44" s="23">
        <v>1822.1</v>
      </c>
      <c r="W44" s="23">
        <v>1943.1</v>
      </c>
      <c r="X44" s="23">
        <v>-189.6</v>
      </c>
      <c r="Y44" s="23">
        <v>3074.1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10035.1</v>
      </c>
      <c r="E45" s="23">
        <v>9319.7000000000007</v>
      </c>
      <c r="F45" s="23">
        <v>9838.2000000000007</v>
      </c>
      <c r="G45" s="23">
        <v>9218.7000000000007</v>
      </c>
      <c r="H45" s="23">
        <v>9469.4</v>
      </c>
      <c r="I45" s="23">
        <v>9445.7000000000007</v>
      </c>
      <c r="J45" s="23">
        <v>9569.6</v>
      </c>
      <c r="K45" s="23">
        <v>10058</v>
      </c>
      <c r="L45" s="23">
        <v>9312.4000000000015</v>
      </c>
      <c r="M45" s="23">
        <v>8442.1</v>
      </c>
      <c r="N45" s="23">
        <v>9790.1</v>
      </c>
      <c r="O45" s="23">
        <v>9646</v>
      </c>
      <c r="P45" s="23">
        <v>9558.2999999999993</v>
      </c>
      <c r="Q45" s="23">
        <v>9797.9</v>
      </c>
      <c r="R45" s="23">
        <v>9873.5</v>
      </c>
      <c r="S45" s="23">
        <v>10896.2</v>
      </c>
      <c r="T45" s="23">
        <v>12020</v>
      </c>
      <c r="U45" s="23">
        <v>12157</v>
      </c>
      <c r="V45" s="23">
        <v>12297</v>
      </c>
      <c r="W45" s="23">
        <v>11884.1</v>
      </c>
      <c r="X45" s="23">
        <v>12148.1</v>
      </c>
      <c r="Y45" s="23">
        <v>13368.8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7211.9000000000015</v>
      </c>
      <c r="E46" s="23">
        <v>7818.6</v>
      </c>
      <c r="F46" s="23">
        <v>8351.5000000000018</v>
      </c>
      <c r="G46" s="23">
        <v>8468.2999999999993</v>
      </c>
      <c r="H46" s="23">
        <v>8232.4</v>
      </c>
      <c r="I46" s="23">
        <v>7818.9</v>
      </c>
      <c r="J46" s="23">
        <v>7761.9999999999991</v>
      </c>
      <c r="K46" s="23">
        <v>7836</v>
      </c>
      <c r="L46" s="23">
        <v>8245</v>
      </c>
      <c r="M46" s="23">
        <v>8033.4999999999991</v>
      </c>
      <c r="N46" s="23">
        <v>8337.7999999999993</v>
      </c>
      <c r="O46" s="23">
        <v>8564.7000000000007</v>
      </c>
      <c r="P46" s="23">
        <v>8490.2999999999993</v>
      </c>
      <c r="Q46" s="23">
        <v>8646</v>
      </c>
      <c r="R46" s="23">
        <v>8186.3</v>
      </c>
      <c r="S46" s="23">
        <v>8888.5</v>
      </c>
      <c r="T46" s="23">
        <v>9286.4</v>
      </c>
      <c r="U46" s="23">
        <v>9206.4</v>
      </c>
      <c r="V46" s="23">
        <v>9179.7999999999975</v>
      </c>
      <c r="W46" s="23">
        <v>10106.4</v>
      </c>
      <c r="X46" s="23">
        <v>10474.999999999998</v>
      </c>
      <c r="Y46" s="23">
        <v>10182.1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22448.6</v>
      </c>
      <c r="E47" s="23">
        <v>23173.8</v>
      </c>
      <c r="F47" s="23">
        <v>25243.1</v>
      </c>
      <c r="G47" s="23">
        <v>24174.400000000001</v>
      </c>
      <c r="H47" s="23">
        <v>24459.3</v>
      </c>
      <c r="I47" s="23">
        <v>24658.5</v>
      </c>
      <c r="J47" s="23">
        <v>24564.3</v>
      </c>
      <c r="K47" s="23">
        <v>25633.5</v>
      </c>
      <c r="L47" s="23">
        <v>24012.7</v>
      </c>
      <c r="M47" s="23">
        <v>21535.9</v>
      </c>
      <c r="N47" s="23">
        <v>21895</v>
      </c>
      <c r="O47" s="23">
        <v>21459.1</v>
      </c>
      <c r="P47" s="23">
        <v>20613.599999999999</v>
      </c>
      <c r="Q47" s="23">
        <v>20410.599999999999</v>
      </c>
      <c r="R47" s="23">
        <v>20597.599999999999</v>
      </c>
      <c r="S47" s="23">
        <v>21422.3</v>
      </c>
      <c r="T47" s="23">
        <v>22443.8</v>
      </c>
      <c r="U47" s="23">
        <v>23074.799999999999</v>
      </c>
      <c r="V47" s="23">
        <v>23887</v>
      </c>
      <c r="W47" s="23">
        <v>23647.9</v>
      </c>
      <c r="X47" s="23">
        <v>22354.6</v>
      </c>
      <c r="Y47" s="23">
        <v>25883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30746.7</v>
      </c>
      <c r="E48" s="23">
        <v>31600.1</v>
      </c>
      <c r="F48" s="23">
        <v>32006.299999999996</v>
      </c>
      <c r="G48" s="23">
        <v>33537.9</v>
      </c>
      <c r="H48" s="23">
        <v>34610.1</v>
      </c>
      <c r="I48" s="23">
        <v>35791.599999999999</v>
      </c>
      <c r="J48" s="23">
        <v>39153.999999999993</v>
      </c>
      <c r="K48" s="23">
        <v>43417.1</v>
      </c>
      <c r="L48" s="23">
        <v>42726.1</v>
      </c>
      <c r="M48" s="23">
        <v>33048.400000000001</v>
      </c>
      <c r="N48" s="23">
        <v>36321.300000000003</v>
      </c>
      <c r="O48" s="23">
        <v>37770.6</v>
      </c>
      <c r="P48" s="23">
        <v>35498.300000000003</v>
      </c>
      <c r="Q48" s="23">
        <v>34625.599999999999</v>
      </c>
      <c r="R48" s="23">
        <v>35898.400000000001</v>
      </c>
      <c r="S48" s="23">
        <v>36275.199999999997</v>
      </c>
      <c r="T48" s="23">
        <v>38422.80000000001</v>
      </c>
      <c r="U48" s="23">
        <v>40151.80000000001</v>
      </c>
      <c r="V48" s="23">
        <v>43285.8</v>
      </c>
      <c r="W48" s="23">
        <v>42405.5</v>
      </c>
      <c r="X48" s="23">
        <v>38634.400000000001</v>
      </c>
      <c r="Y48" s="23">
        <v>48792.5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7160.5</v>
      </c>
      <c r="E49" s="23">
        <v>7839.5</v>
      </c>
      <c r="F49" s="23">
        <v>7801.5</v>
      </c>
      <c r="G49" s="23">
        <v>7598</v>
      </c>
      <c r="H49" s="23">
        <v>7965.5999999999985</v>
      </c>
      <c r="I49" s="23">
        <v>8144.5</v>
      </c>
      <c r="J49" s="23">
        <v>8325.9</v>
      </c>
      <c r="K49" s="23">
        <v>8637.4999999999982</v>
      </c>
      <c r="L49" s="23">
        <v>8216.7000000000025</v>
      </c>
      <c r="M49" s="23">
        <v>7356.7</v>
      </c>
      <c r="N49" s="23">
        <v>8094.4</v>
      </c>
      <c r="O49" s="23">
        <v>8537</v>
      </c>
      <c r="P49" s="23">
        <v>8349</v>
      </c>
      <c r="Q49" s="23">
        <v>7947</v>
      </c>
      <c r="R49" s="23">
        <v>8008.6</v>
      </c>
      <c r="S49" s="23">
        <v>8317.1</v>
      </c>
      <c r="T49" s="23">
        <v>8069.1</v>
      </c>
      <c r="U49" s="23">
        <v>8305.7999999999993</v>
      </c>
      <c r="V49" s="23">
        <v>8453.2999999999993</v>
      </c>
      <c r="W49" s="23">
        <v>8751.2999999999993</v>
      </c>
      <c r="X49" s="23">
        <v>8999.5</v>
      </c>
      <c r="Y49" s="23">
        <v>10405.4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9201</v>
      </c>
      <c r="E50" s="23">
        <v>9195.7999999999975</v>
      </c>
      <c r="F50" s="23">
        <v>9676.7000000000007</v>
      </c>
      <c r="G50" s="23">
        <v>9820.4</v>
      </c>
      <c r="H50" s="23">
        <v>10428.1</v>
      </c>
      <c r="I50" s="23">
        <v>10694</v>
      </c>
      <c r="J50" s="23">
        <v>11270.6</v>
      </c>
      <c r="K50" s="23">
        <v>11830.8</v>
      </c>
      <c r="L50" s="23">
        <v>11816.1</v>
      </c>
      <c r="M50" s="23">
        <v>10201.299999999999</v>
      </c>
      <c r="N50" s="23">
        <v>11148.3</v>
      </c>
      <c r="O50" s="23">
        <v>11271.2</v>
      </c>
      <c r="P50" s="23">
        <v>10978.8</v>
      </c>
      <c r="Q50" s="23">
        <v>10852</v>
      </c>
      <c r="R50" s="23">
        <v>10230.700000000001</v>
      </c>
      <c r="S50" s="23">
        <v>10783.7</v>
      </c>
      <c r="T50" s="23">
        <v>11133.7</v>
      </c>
      <c r="U50" s="23">
        <v>11259.1</v>
      </c>
      <c r="V50" s="23">
        <v>11274.7</v>
      </c>
      <c r="W50" s="23">
        <v>11452.7</v>
      </c>
      <c r="X50" s="23">
        <v>10853.6</v>
      </c>
      <c r="Y50" s="23">
        <v>12189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25335.599999999995</v>
      </c>
      <c r="E51" s="23">
        <v>25865.5</v>
      </c>
      <c r="F51" s="23">
        <v>25353.4</v>
      </c>
      <c r="G51" s="23">
        <v>26208.799999999999</v>
      </c>
      <c r="H51" s="23">
        <v>27636.1</v>
      </c>
      <c r="I51" s="23">
        <v>28374</v>
      </c>
      <c r="J51" s="23">
        <v>30841.9</v>
      </c>
      <c r="K51" s="23">
        <v>33332.80000000001</v>
      </c>
      <c r="L51" s="23">
        <v>33737.69999999999</v>
      </c>
      <c r="M51" s="23">
        <v>27416.2</v>
      </c>
      <c r="N51" s="23">
        <v>29894.1</v>
      </c>
      <c r="O51" s="23">
        <v>31911.9</v>
      </c>
      <c r="P51" s="23">
        <v>32023</v>
      </c>
      <c r="Q51" s="23">
        <v>32825.199999999997</v>
      </c>
      <c r="R51" s="23">
        <v>34304.800000000003</v>
      </c>
      <c r="S51" s="23">
        <v>34838.199999999997</v>
      </c>
      <c r="T51" s="23">
        <v>36210.699999999997</v>
      </c>
      <c r="U51" s="23">
        <v>37830.9</v>
      </c>
      <c r="V51" s="23">
        <v>38820.199999999997</v>
      </c>
      <c r="W51" s="23">
        <v>39313.4</v>
      </c>
      <c r="X51" s="23">
        <v>35257.4</v>
      </c>
      <c r="Y51" s="23">
        <v>40138.199999999997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17984.900000000001</v>
      </c>
      <c r="E52" s="23">
        <v>17091.900000000001</v>
      </c>
      <c r="F52" s="23">
        <v>16631.699999999997</v>
      </c>
      <c r="G52" s="23">
        <v>16070.4</v>
      </c>
      <c r="H52" s="23">
        <v>17255.2</v>
      </c>
      <c r="I52" s="23">
        <v>16744.099999999999</v>
      </c>
      <c r="J52" s="23">
        <v>18518.599999999995</v>
      </c>
      <c r="K52" s="23">
        <v>20076.199999999997</v>
      </c>
      <c r="L52" s="23">
        <v>19799.7</v>
      </c>
      <c r="M52" s="23">
        <v>15880.000000000002</v>
      </c>
      <c r="N52" s="23">
        <v>17052.599999999999</v>
      </c>
      <c r="O52" s="23">
        <v>16715.5</v>
      </c>
      <c r="P52" s="23">
        <v>15223.2</v>
      </c>
      <c r="Q52" s="23">
        <v>15320.6</v>
      </c>
      <c r="R52" s="23">
        <v>16910.5</v>
      </c>
      <c r="S52" s="23">
        <v>18168.400000000001</v>
      </c>
      <c r="T52" s="23">
        <v>21201.8</v>
      </c>
      <c r="U52" s="23">
        <v>22912.6</v>
      </c>
      <c r="V52" s="23">
        <v>23101.5</v>
      </c>
      <c r="W52" s="23">
        <v>22542.799999999999</v>
      </c>
      <c r="X52" s="23">
        <v>19082.7</v>
      </c>
      <c r="Y52" s="23">
        <v>23468.9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18653.29999999981</v>
      </c>
      <c r="E53" s="23">
        <v>19217.999999999942</v>
      </c>
      <c r="F53" s="23">
        <v>19704.499999999698</v>
      </c>
      <c r="G53" s="23">
        <v>18983.699999999993</v>
      </c>
      <c r="H53" s="23">
        <v>19703.999999999949</v>
      </c>
      <c r="I53" s="23">
        <v>20316.900000000005</v>
      </c>
      <c r="J53" s="23">
        <v>21776.600000000097</v>
      </c>
      <c r="K53" s="23">
        <v>22865.500000000229</v>
      </c>
      <c r="L53" s="23">
        <v>22672.999999999902</v>
      </c>
      <c r="M53" s="23">
        <v>20108.600000000013</v>
      </c>
      <c r="N53" s="23">
        <v>20244.100000000031</v>
      </c>
      <c r="O53" s="23">
        <v>20669.700000000143</v>
      </c>
      <c r="P53" s="23">
        <v>20083.299999999857</v>
      </c>
      <c r="Q53" s="23">
        <v>20023.299999999974</v>
      </c>
      <c r="R53" s="23">
        <v>20349.099999999838</v>
      </c>
      <c r="S53" s="23">
        <v>21215.000000000029</v>
      </c>
      <c r="T53" s="23">
        <v>22304.900000000143</v>
      </c>
      <c r="U53" s="23">
        <v>22623.000000000236</v>
      </c>
      <c r="V53" s="23">
        <v>23131.39999999963</v>
      </c>
      <c r="W53" s="23">
        <v>23854.000000000138</v>
      </c>
      <c r="X53" s="23">
        <v>21196.500000000131</v>
      </c>
      <c r="Y53" s="23">
        <v>24121.999999999894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218174.09999999983</v>
      </c>
      <c r="E54" s="30">
        <f t="shared" ref="E54:S54" si="4">SUM(E41:E53)</f>
        <v>223562.59999999992</v>
      </c>
      <c r="F54" s="30">
        <f t="shared" si="4"/>
        <v>226927.2999999997</v>
      </c>
      <c r="G54" s="30">
        <f t="shared" si="4"/>
        <v>224971.09999999995</v>
      </c>
      <c r="H54" s="30">
        <f t="shared" si="4"/>
        <v>230863.29999999996</v>
      </c>
      <c r="I54" s="30">
        <f t="shared" si="4"/>
        <v>232242.5</v>
      </c>
      <c r="J54" s="30">
        <f t="shared" si="4"/>
        <v>242302.7000000001</v>
      </c>
      <c r="K54" s="30">
        <f t="shared" si="4"/>
        <v>257654.70000000024</v>
      </c>
      <c r="L54" s="30">
        <f t="shared" si="4"/>
        <v>253356.19999999992</v>
      </c>
      <c r="M54" s="30">
        <f t="shared" si="4"/>
        <v>216301.40000000002</v>
      </c>
      <c r="N54" s="30">
        <f t="shared" si="4"/>
        <v>229274.20000000004</v>
      </c>
      <c r="O54" s="30">
        <f t="shared" si="4"/>
        <v>234354.90000000014</v>
      </c>
      <c r="P54" s="30">
        <f t="shared" si="4"/>
        <v>224967.49999999988</v>
      </c>
      <c r="Q54" s="30">
        <f t="shared" si="4"/>
        <v>223850.19999999995</v>
      </c>
      <c r="R54" s="30">
        <f t="shared" si="4"/>
        <v>227450.19999999987</v>
      </c>
      <c r="S54" s="30">
        <f t="shared" si="4"/>
        <v>238294.40000000002</v>
      </c>
      <c r="T54" s="30">
        <f t="shared" ref="T54:Y54" si="5">SUM(T41:T53)</f>
        <v>250824.40000000014</v>
      </c>
      <c r="U54" s="30">
        <f t="shared" si="5"/>
        <v>258993.20000000024</v>
      </c>
      <c r="V54" s="30">
        <f t="shared" si="5"/>
        <v>265881.89999999962</v>
      </c>
      <c r="W54" s="30">
        <f t="shared" si="5"/>
        <v>267416.10000000015</v>
      </c>
      <c r="X54" s="30">
        <f t="shared" si="5"/>
        <v>242447.70000000013</v>
      </c>
      <c r="Y54" s="30">
        <f t="shared" si="5"/>
        <v>282921.6999999999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21936.9</v>
      </c>
      <c r="E56" s="19">
        <v>22190.3</v>
      </c>
      <c r="F56" s="19">
        <v>23766.400000000001</v>
      </c>
      <c r="G56" s="19">
        <v>23858</v>
      </c>
      <c r="H56" s="19">
        <v>24396.2</v>
      </c>
      <c r="I56" s="19">
        <v>23886</v>
      </c>
      <c r="J56" s="19">
        <v>23864.9</v>
      </c>
      <c r="K56" s="19">
        <v>24885.4</v>
      </c>
      <c r="L56" s="19">
        <v>25141.1</v>
      </c>
      <c r="M56" s="19">
        <v>24972.400000000001</v>
      </c>
      <c r="N56" s="19">
        <v>25536.2</v>
      </c>
      <c r="O56" s="19">
        <v>25122.5</v>
      </c>
      <c r="P56" s="19">
        <v>24364.400000000001</v>
      </c>
      <c r="Q56" s="19">
        <v>24656.799999999999</v>
      </c>
      <c r="R56" s="19">
        <v>25315.3</v>
      </c>
      <c r="S56" s="19">
        <v>26972.9</v>
      </c>
      <c r="T56" s="19">
        <v>27913.9</v>
      </c>
      <c r="U56" s="19">
        <v>28331.8</v>
      </c>
      <c r="V56" s="19">
        <v>29504.7</v>
      </c>
      <c r="W56" s="19">
        <v>30255.9</v>
      </c>
      <c r="X56" s="19">
        <v>29329.1</v>
      </c>
      <c r="Y56" s="19">
        <v>31421.200000000001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27231.8</v>
      </c>
      <c r="E57" s="23">
        <v>28962.600000000006</v>
      </c>
      <c r="F57" s="23">
        <v>28035</v>
      </c>
      <c r="G57" s="23">
        <v>26805.4</v>
      </c>
      <c r="H57" s="23">
        <v>25716.2</v>
      </c>
      <c r="I57" s="23">
        <v>24881.1</v>
      </c>
      <c r="J57" s="23">
        <v>24766.400000000001</v>
      </c>
      <c r="K57" s="23">
        <v>25946.799999999999</v>
      </c>
      <c r="L57" s="23">
        <v>25367</v>
      </c>
      <c r="M57" s="23">
        <v>21607.1</v>
      </c>
      <c r="N57" s="23">
        <v>22705.7</v>
      </c>
      <c r="O57" s="23">
        <v>24015.5</v>
      </c>
      <c r="P57" s="23">
        <v>22763.8</v>
      </c>
      <c r="Q57" s="23">
        <v>23149.1</v>
      </c>
      <c r="R57" s="23">
        <v>23695.8</v>
      </c>
      <c r="S57" s="23">
        <v>24021.8</v>
      </c>
      <c r="T57" s="23">
        <v>24290.1</v>
      </c>
      <c r="U57" s="23">
        <v>25115</v>
      </c>
      <c r="V57" s="23">
        <v>25838.799999999999</v>
      </c>
      <c r="W57" s="23">
        <v>26060.2</v>
      </c>
      <c r="X57" s="23">
        <v>20566.5</v>
      </c>
      <c r="Y57" s="23">
        <v>24951.200000000001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6628.7</v>
      </c>
      <c r="E58" s="23">
        <v>7528.8</v>
      </c>
      <c r="F58" s="23">
        <v>7043.2</v>
      </c>
      <c r="G58" s="23">
        <v>6783.1</v>
      </c>
      <c r="H58" s="23">
        <v>6879.5</v>
      </c>
      <c r="I58" s="23">
        <v>6624.2</v>
      </c>
      <c r="J58" s="23">
        <v>6844.1</v>
      </c>
      <c r="K58" s="23">
        <v>7043.5</v>
      </c>
      <c r="L58" s="23">
        <v>6773.4</v>
      </c>
      <c r="M58" s="23">
        <v>5977.8</v>
      </c>
      <c r="N58" s="23">
        <v>5914.4</v>
      </c>
      <c r="O58" s="23">
        <v>5913.1</v>
      </c>
      <c r="P58" s="23">
        <v>5201.2</v>
      </c>
      <c r="Q58" s="23">
        <v>4906.6000000000004</v>
      </c>
      <c r="R58" s="23">
        <v>4805.2</v>
      </c>
      <c r="S58" s="23">
        <v>4755.2</v>
      </c>
      <c r="T58" s="23">
        <v>4843.7000000000007</v>
      </c>
      <c r="U58" s="23">
        <v>4818.3</v>
      </c>
      <c r="V58" s="23">
        <v>4884.8999999999996</v>
      </c>
      <c r="W58" s="23">
        <v>4641.9999999999991</v>
      </c>
      <c r="X58" s="23">
        <v>4075.9</v>
      </c>
      <c r="Y58" s="23">
        <v>5031.3999999999996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4752</v>
      </c>
      <c r="E59" s="23">
        <v>4739.3</v>
      </c>
      <c r="F59" s="23">
        <v>4606.3999999999996</v>
      </c>
      <c r="G59" s="23">
        <v>4627.8999999999996</v>
      </c>
      <c r="H59" s="23">
        <v>4894.5</v>
      </c>
      <c r="I59" s="23">
        <v>4698.6000000000004</v>
      </c>
      <c r="J59" s="23">
        <v>4617.7999999999993</v>
      </c>
      <c r="K59" s="23">
        <v>4732</v>
      </c>
      <c r="L59" s="23">
        <v>4554.8999999999987</v>
      </c>
      <c r="M59" s="23">
        <v>4549.5</v>
      </c>
      <c r="N59" s="23">
        <v>4692.9999999999991</v>
      </c>
      <c r="O59" s="23">
        <v>4921.3999999999987</v>
      </c>
      <c r="P59" s="23">
        <v>4849.3999999999987</v>
      </c>
      <c r="Q59" s="23">
        <v>4773.6000000000004</v>
      </c>
      <c r="R59" s="23">
        <v>5180.2</v>
      </c>
      <c r="S59" s="23">
        <v>5126.8</v>
      </c>
      <c r="T59" s="23">
        <v>5472.9</v>
      </c>
      <c r="U59" s="23">
        <v>5779.8</v>
      </c>
      <c r="V59" s="23">
        <v>5830.8</v>
      </c>
      <c r="W59" s="23">
        <v>6119.2</v>
      </c>
      <c r="X59" s="23">
        <v>5928.8</v>
      </c>
      <c r="Y59" s="23">
        <v>5862.8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5646.2000000000025</v>
      </c>
      <c r="E60" s="23">
        <v>5969.4999999999973</v>
      </c>
      <c r="F60" s="23">
        <v>6533.0999999999985</v>
      </c>
      <c r="G60" s="23">
        <v>6132.5000000000009</v>
      </c>
      <c r="H60" s="23">
        <v>6080.7000000000007</v>
      </c>
      <c r="I60" s="23">
        <v>5988.2999999999965</v>
      </c>
      <c r="J60" s="23">
        <v>6218.3</v>
      </c>
      <c r="K60" s="23">
        <v>6365.5999999999967</v>
      </c>
      <c r="L60" s="23">
        <v>6112.4000000000015</v>
      </c>
      <c r="M60" s="23">
        <v>5125.4000000000005</v>
      </c>
      <c r="N60" s="23">
        <v>5146.4999999999991</v>
      </c>
      <c r="O60" s="23">
        <v>4993.7000000000016</v>
      </c>
      <c r="P60" s="23">
        <v>4706.3999999999996</v>
      </c>
      <c r="Q60" s="23">
        <v>4411.3999999999987</v>
      </c>
      <c r="R60" s="23">
        <v>4307.7</v>
      </c>
      <c r="S60" s="23">
        <v>4194.9000000000005</v>
      </c>
      <c r="T60" s="23">
        <v>4712.9999999999991</v>
      </c>
      <c r="U60" s="23">
        <v>4561.5999999999995</v>
      </c>
      <c r="V60" s="23">
        <v>4569.9000000000005</v>
      </c>
      <c r="W60" s="23">
        <v>4437.6000000000004</v>
      </c>
      <c r="X60" s="23">
        <v>3735.2000000000007</v>
      </c>
      <c r="Y60" s="23">
        <v>4031.0999999999995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3200.9</v>
      </c>
      <c r="E61" s="23">
        <v>3049.2</v>
      </c>
      <c r="F61" s="23">
        <v>2336.3000000000002</v>
      </c>
      <c r="G61" s="23">
        <v>2683.6</v>
      </c>
      <c r="H61" s="23">
        <v>3136</v>
      </c>
      <c r="I61" s="23">
        <v>4176.1000000000013</v>
      </c>
      <c r="J61" s="23">
        <v>4207.7</v>
      </c>
      <c r="K61" s="23">
        <v>4994.0000000000009</v>
      </c>
      <c r="L61" s="23">
        <v>4868</v>
      </c>
      <c r="M61" s="23">
        <v>2046.5</v>
      </c>
      <c r="N61" s="23">
        <v>2500.6999999999998</v>
      </c>
      <c r="O61" s="23">
        <v>2843</v>
      </c>
      <c r="P61" s="23">
        <v>2264.4999999999995</v>
      </c>
      <c r="Q61" s="23">
        <v>1504.5</v>
      </c>
      <c r="R61" s="23">
        <v>-213.5</v>
      </c>
      <c r="S61" s="23">
        <v>2418.1999999999998</v>
      </c>
      <c r="T61" s="23">
        <v>2497.6</v>
      </c>
      <c r="U61" s="23">
        <v>2865.3</v>
      </c>
      <c r="V61" s="23">
        <v>1822.1</v>
      </c>
      <c r="W61" s="23">
        <v>1943.1</v>
      </c>
      <c r="X61" s="23">
        <v>-189.6</v>
      </c>
      <c r="Y61" s="23">
        <v>3074.1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10035.1</v>
      </c>
      <c r="E62" s="23">
        <v>9319.7000000000007</v>
      </c>
      <c r="F62" s="23">
        <v>9838.2000000000007</v>
      </c>
      <c r="G62" s="23">
        <v>9218.7000000000007</v>
      </c>
      <c r="H62" s="23">
        <v>9469.4</v>
      </c>
      <c r="I62" s="23">
        <v>9445.7000000000007</v>
      </c>
      <c r="J62" s="23">
        <v>9569.6</v>
      </c>
      <c r="K62" s="23">
        <v>10058</v>
      </c>
      <c r="L62" s="23">
        <v>9312.4000000000015</v>
      </c>
      <c r="M62" s="23">
        <v>8442.1</v>
      </c>
      <c r="N62" s="23">
        <v>9790.1</v>
      </c>
      <c r="O62" s="23">
        <v>9646</v>
      </c>
      <c r="P62" s="23">
        <v>9558.2999999999993</v>
      </c>
      <c r="Q62" s="23">
        <v>9797.9</v>
      </c>
      <c r="R62" s="23">
        <v>9873.5</v>
      </c>
      <c r="S62" s="23">
        <v>10896.2</v>
      </c>
      <c r="T62" s="23">
        <v>12020</v>
      </c>
      <c r="U62" s="23">
        <v>12157</v>
      </c>
      <c r="V62" s="23">
        <v>12297</v>
      </c>
      <c r="W62" s="23">
        <v>11884.1</v>
      </c>
      <c r="X62" s="23">
        <v>12148.1</v>
      </c>
      <c r="Y62" s="23">
        <v>13368.8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7211.9000000000015</v>
      </c>
      <c r="E63" s="23">
        <v>7818.6</v>
      </c>
      <c r="F63" s="23">
        <v>8351.5000000000018</v>
      </c>
      <c r="G63" s="23">
        <v>8468.2999999999993</v>
      </c>
      <c r="H63" s="23">
        <v>8232.4</v>
      </c>
      <c r="I63" s="23">
        <v>7818.9</v>
      </c>
      <c r="J63" s="23">
        <v>7761.9999999999991</v>
      </c>
      <c r="K63" s="23">
        <v>7836</v>
      </c>
      <c r="L63" s="23">
        <v>8245</v>
      </c>
      <c r="M63" s="23">
        <v>8033.4999999999991</v>
      </c>
      <c r="N63" s="23">
        <v>8337.7999999999993</v>
      </c>
      <c r="O63" s="23">
        <v>8564.7000000000007</v>
      </c>
      <c r="P63" s="23">
        <v>8490.2999999999993</v>
      </c>
      <c r="Q63" s="23">
        <v>8646</v>
      </c>
      <c r="R63" s="23">
        <v>8186.3</v>
      </c>
      <c r="S63" s="23">
        <v>8888.5</v>
      </c>
      <c r="T63" s="23">
        <v>9286.4</v>
      </c>
      <c r="U63" s="23">
        <v>9206.4</v>
      </c>
      <c r="V63" s="23">
        <v>9179.7999999999975</v>
      </c>
      <c r="W63" s="23">
        <v>10106.4</v>
      </c>
      <c r="X63" s="23">
        <v>10474.999999999998</v>
      </c>
      <c r="Y63" s="23">
        <v>10182.1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10372.6</v>
      </c>
      <c r="E64" s="23">
        <v>10343.200000000001</v>
      </c>
      <c r="F64" s="23">
        <v>11149.7</v>
      </c>
      <c r="G64" s="23">
        <v>10446.6</v>
      </c>
      <c r="H64" s="23">
        <v>10503.9</v>
      </c>
      <c r="I64" s="23">
        <v>10519.9</v>
      </c>
      <c r="J64" s="23">
        <v>10577.6</v>
      </c>
      <c r="K64" s="23">
        <v>10967.3</v>
      </c>
      <c r="L64" s="23">
        <v>10391.799999999999</v>
      </c>
      <c r="M64" s="23">
        <v>9556.1</v>
      </c>
      <c r="N64" s="23">
        <v>10267.1</v>
      </c>
      <c r="O64" s="23">
        <v>10391.299999999999</v>
      </c>
      <c r="P64" s="23">
        <v>10684.6</v>
      </c>
      <c r="Q64" s="23">
        <v>10876.9</v>
      </c>
      <c r="R64" s="23">
        <v>11319.8</v>
      </c>
      <c r="S64" s="23">
        <v>11984.2</v>
      </c>
      <c r="T64" s="23">
        <v>12593.2</v>
      </c>
      <c r="U64" s="23">
        <v>13126</v>
      </c>
      <c r="V64" s="23">
        <v>13537</v>
      </c>
      <c r="W64" s="23">
        <v>13254.7</v>
      </c>
      <c r="X64" s="23">
        <v>12785.7</v>
      </c>
      <c r="Y64" s="23">
        <v>14362.6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12076</v>
      </c>
      <c r="E65" s="23">
        <v>12830.599999999999</v>
      </c>
      <c r="F65" s="23">
        <v>14093.399999999998</v>
      </c>
      <c r="G65" s="23">
        <v>13727.800000000003</v>
      </c>
      <c r="H65" s="23">
        <v>13955.400000000001</v>
      </c>
      <c r="I65" s="23">
        <v>14138.600000000002</v>
      </c>
      <c r="J65" s="23">
        <v>13986.700000000003</v>
      </c>
      <c r="K65" s="23">
        <v>14666.2</v>
      </c>
      <c r="L65" s="23">
        <v>13620.900000000001</v>
      </c>
      <c r="M65" s="23">
        <v>11979.800000000003</v>
      </c>
      <c r="N65" s="23">
        <v>11627.9</v>
      </c>
      <c r="O65" s="23">
        <v>11067.8</v>
      </c>
      <c r="P65" s="23">
        <v>9928.9999999999982</v>
      </c>
      <c r="Q65" s="23">
        <v>9533.6999999999971</v>
      </c>
      <c r="R65" s="23">
        <v>9277.7999999999975</v>
      </c>
      <c r="S65" s="23">
        <v>9438.0999999999985</v>
      </c>
      <c r="T65" s="23">
        <v>9850.6</v>
      </c>
      <c r="U65" s="23">
        <v>9948.7999999999993</v>
      </c>
      <c r="V65" s="23">
        <v>10350</v>
      </c>
      <c r="W65" s="23">
        <v>10393.200000000001</v>
      </c>
      <c r="X65" s="23">
        <v>9568.9</v>
      </c>
      <c r="Y65" s="23">
        <v>11520.400000000001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7872.4</v>
      </c>
      <c r="E66" s="23">
        <v>7351.4</v>
      </c>
      <c r="F66" s="23">
        <v>6979.3</v>
      </c>
      <c r="G66" s="23">
        <v>7849.1</v>
      </c>
      <c r="H66" s="23">
        <v>8328.5</v>
      </c>
      <c r="I66" s="23">
        <v>8895.7999999999993</v>
      </c>
      <c r="J66" s="23">
        <v>9613.2999999999993</v>
      </c>
      <c r="K66" s="23">
        <v>11079.3</v>
      </c>
      <c r="L66" s="23">
        <v>10238.700000000001</v>
      </c>
      <c r="M66" s="23">
        <v>5877.2</v>
      </c>
      <c r="N66" s="23">
        <v>7840.9</v>
      </c>
      <c r="O66" s="23">
        <v>8606.6</v>
      </c>
      <c r="P66" s="23">
        <v>7537.8</v>
      </c>
      <c r="Q66" s="23">
        <v>7090.6</v>
      </c>
      <c r="R66" s="23">
        <v>7727</v>
      </c>
      <c r="S66" s="23">
        <v>7668.8</v>
      </c>
      <c r="T66" s="23">
        <v>8428.2999999999993</v>
      </c>
      <c r="U66" s="23">
        <v>9377.4</v>
      </c>
      <c r="V66" s="23">
        <v>9466.6</v>
      </c>
      <c r="W66" s="23">
        <v>8602.7000000000025</v>
      </c>
      <c r="X66" s="23">
        <v>7586.3</v>
      </c>
      <c r="Y66" s="23">
        <v>11764.3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22874.3</v>
      </c>
      <c r="E67" s="23">
        <v>24248.7</v>
      </c>
      <c r="F67" s="23">
        <v>25026.999999999996</v>
      </c>
      <c r="G67" s="23">
        <v>25688.799999999999</v>
      </c>
      <c r="H67" s="23">
        <v>26281.599999999999</v>
      </c>
      <c r="I67" s="23">
        <v>26895.8</v>
      </c>
      <c r="J67" s="23">
        <v>29540.7</v>
      </c>
      <c r="K67" s="23">
        <v>32337.799999999996</v>
      </c>
      <c r="L67" s="23">
        <v>32487.400000000005</v>
      </c>
      <c r="M67" s="23">
        <v>27171.200000000004</v>
      </c>
      <c r="N67" s="23">
        <v>28480.400000000009</v>
      </c>
      <c r="O67" s="23">
        <v>29164</v>
      </c>
      <c r="P67" s="23">
        <v>27960.500000000011</v>
      </c>
      <c r="Q67" s="23">
        <v>27535.000000000004</v>
      </c>
      <c r="R67" s="23">
        <v>28171.4</v>
      </c>
      <c r="S67" s="23">
        <v>28606.400000000001</v>
      </c>
      <c r="T67" s="23">
        <v>29994.500000000011</v>
      </c>
      <c r="U67" s="23">
        <v>30774.400000000005</v>
      </c>
      <c r="V67" s="23">
        <v>33819.199999999997</v>
      </c>
      <c r="W67" s="23">
        <v>33802.799999999996</v>
      </c>
      <c r="X67" s="23">
        <v>31048.1</v>
      </c>
      <c r="Y67" s="23">
        <v>37028.199999999997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7160.5</v>
      </c>
      <c r="E68" s="23">
        <v>7839.5</v>
      </c>
      <c r="F68" s="23">
        <v>7801.5</v>
      </c>
      <c r="G68" s="23">
        <v>7598</v>
      </c>
      <c r="H68" s="23">
        <v>7965.5999999999985</v>
      </c>
      <c r="I68" s="23">
        <v>8144.5</v>
      </c>
      <c r="J68" s="23">
        <v>8325.9</v>
      </c>
      <c r="K68" s="23">
        <v>8637.4999999999982</v>
      </c>
      <c r="L68" s="23">
        <v>8216.7000000000025</v>
      </c>
      <c r="M68" s="23">
        <v>7356.7</v>
      </c>
      <c r="N68" s="23">
        <v>8094.4</v>
      </c>
      <c r="O68" s="23">
        <v>8537</v>
      </c>
      <c r="P68" s="23">
        <v>8349</v>
      </c>
      <c r="Q68" s="23">
        <v>7947</v>
      </c>
      <c r="R68" s="23">
        <v>8008.6</v>
      </c>
      <c r="S68" s="23">
        <v>8317.1</v>
      </c>
      <c r="T68" s="23">
        <v>8069.1</v>
      </c>
      <c r="U68" s="23">
        <v>8305.7999999999993</v>
      </c>
      <c r="V68" s="23">
        <v>8453.2999999999993</v>
      </c>
      <c r="W68" s="23">
        <v>8751.2999999999993</v>
      </c>
      <c r="X68" s="23">
        <v>8999.5</v>
      </c>
      <c r="Y68" s="23">
        <v>10405.4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9201</v>
      </c>
      <c r="E69" s="23">
        <v>9195.7999999999975</v>
      </c>
      <c r="F69" s="23">
        <v>9676.7000000000007</v>
      </c>
      <c r="G69" s="23">
        <v>9820.4</v>
      </c>
      <c r="H69" s="23">
        <v>10428.1</v>
      </c>
      <c r="I69" s="23">
        <v>10694</v>
      </c>
      <c r="J69" s="23">
        <v>11270.6</v>
      </c>
      <c r="K69" s="23">
        <v>11830.8</v>
      </c>
      <c r="L69" s="23">
        <v>11816.1</v>
      </c>
      <c r="M69" s="23">
        <v>10201.299999999999</v>
      </c>
      <c r="N69" s="23">
        <v>11148.3</v>
      </c>
      <c r="O69" s="23">
        <v>11271.2</v>
      </c>
      <c r="P69" s="23">
        <v>10978.8</v>
      </c>
      <c r="Q69" s="23">
        <v>10852</v>
      </c>
      <c r="R69" s="23">
        <v>10230.700000000001</v>
      </c>
      <c r="S69" s="23">
        <v>10783.7</v>
      </c>
      <c r="T69" s="23">
        <v>11133.7</v>
      </c>
      <c r="U69" s="23">
        <v>11259.1</v>
      </c>
      <c r="V69" s="23">
        <v>11274.7</v>
      </c>
      <c r="W69" s="23">
        <v>11452.7</v>
      </c>
      <c r="X69" s="23">
        <v>10853.6</v>
      </c>
      <c r="Y69" s="23">
        <v>12189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25335.599999999995</v>
      </c>
      <c r="E70" s="23">
        <v>25865.5</v>
      </c>
      <c r="F70" s="23">
        <v>25353.4</v>
      </c>
      <c r="G70" s="23">
        <v>26208.799999999999</v>
      </c>
      <c r="H70" s="23">
        <v>27636.1</v>
      </c>
      <c r="I70" s="23">
        <v>28374</v>
      </c>
      <c r="J70" s="23">
        <v>30841.9</v>
      </c>
      <c r="K70" s="23">
        <v>33332.80000000001</v>
      </c>
      <c r="L70" s="23">
        <v>33737.69999999999</v>
      </c>
      <c r="M70" s="23">
        <v>27416.2</v>
      </c>
      <c r="N70" s="23">
        <v>29894.1</v>
      </c>
      <c r="O70" s="23">
        <v>31911.9</v>
      </c>
      <c r="P70" s="23">
        <v>32023</v>
      </c>
      <c r="Q70" s="23">
        <v>32825.199999999997</v>
      </c>
      <c r="R70" s="23">
        <v>34304.800000000003</v>
      </c>
      <c r="S70" s="23">
        <v>34838.199999999997</v>
      </c>
      <c r="T70" s="23">
        <v>36210.699999999997</v>
      </c>
      <c r="U70" s="23">
        <v>37830.9</v>
      </c>
      <c r="V70" s="23">
        <v>38820.199999999997</v>
      </c>
      <c r="W70" s="23">
        <v>39313.4</v>
      </c>
      <c r="X70" s="23">
        <v>35257.4</v>
      </c>
      <c r="Y70" s="23">
        <v>40138.199999999997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11458.8</v>
      </c>
      <c r="E71" s="23">
        <v>11210.8</v>
      </c>
      <c r="F71" s="23">
        <v>10576</v>
      </c>
      <c r="G71" s="23">
        <v>10304.9</v>
      </c>
      <c r="H71" s="23">
        <v>10867.3</v>
      </c>
      <c r="I71" s="23">
        <v>10506.3</v>
      </c>
      <c r="J71" s="23">
        <v>11756.8</v>
      </c>
      <c r="K71" s="23">
        <v>12849</v>
      </c>
      <c r="L71" s="23">
        <v>11698.7</v>
      </c>
      <c r="M71" s="23">
        <v>9251.0000000000018</v>
      </c>
      <c r="N71" s="23">
        <v>10854.3</v>
      </c>
      <c r="O71" s="23">
        <v>10693.3</v>
      </c>
      <c r="P71" s="23">
        <v>9276.7999999999993</v>
      </c>
      <c r="Q71" s="23">
        <v>9999.6</v>
      </c>
      <c r="R71" s="23">
        <v>10410.200000000001</v>
      </c>
      <c r="S71" s="23">
        <v>11926.3</v>
      </c>
      <c r="T71" s="23">
        <v>13798.5</v>
      </c>
      <c r="U71" s="23">
        <v>15292</v>
      </c>
      <c r="V71" s="23">
        <v>15160.3</v>
      </c>
      <c r="W71" s="23">
        <v>14319.6</v>
      </c>
      <c r="X71" s="23">
        <v>11101.4</v>
      </c>
      <c r="Y71" s="23">
        <v>14857.9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6526.1000000000013</v>
      </c>
      <c r="E72" s="23">
        <v>5881.1000000000013</v>
      </c>
      <c r="F72" s="23">
        <v>6055.6999999999989</v>
      </c>
      <c r="G72" s="23">
        <v>5765.5</v>
      </c>
      <c r="H72" s="23">
        <v>6387.9000000000015</v>
      </c>
      <c r="I72" s="23">
        <v>6237.7999999999965</v>
      </c>
      <c r="J72" s="23">
        <v>6761.7999999999956</v>
      </c>
      <c r="K72" s="23">
        <v>7227.199999999998</v>
      </c>
      <c r="L72" s="23">
        <v>8100.9999999999991</v>
      </c>
      <c r="M72" s="23">
        <v>6629.0000000000009</v>
      </c>
      <c r="N72" s="23">
        <v>6198.2999999999993</v>
      </c>
      <c r="O72" s="23">
        <v>6022.2</v>
      </c>
      <c r="P72" s="23">
        <v>5946.4000000000024</v>
      </c>
      <c r="Q72" s="23">
        <v>5321</v>
      </c>
      <c r="R72" s="23">
        <v>6500.2999999999993</v>
      </c>
      <c r="S72" s="23">
        <v>6242.1000000000022</v>
      </c>
      <c r="T72" s="23">
        <v>7403.2999999999993</v>
      </c>
      <c r="U72" s="23">
        <v>7620.5999999999985</v>
      </c>
      <c r="V72" s="23">
        <v>7941.2000000000007</v>
      </c>
      <c r="W72" s="23">
        <v>8223.2000000000007</v>
      </c>
      <c r="X72" s="23">
        <v>7981.2999999999993</v>
      </c>
      <c r="Y72" s="23">
        <v>8611.0000000000018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12325</v>
      </c>
      <c r="E73" s="23">
        <v>12715</v>
      </c>
      <c r="F73" s="23">
        <v>13084.4</v>
      </c>
      <c r="G73" s="23">
        <v>12322.9</v>
      </c>
      <c r="H73" s="23">
        <v>12561.5</v>
      </c>
      <c r="I73" s="23">
        <v>12869.6</v>
      </c>
      <c r="J73" s="23">
        <v>13684.9</v>
      </c>
      <c r="K73" s="23">
        <v>14277.6</v>
      </c>
      <c r="L73" s="23">
        <v>13933.1</v>
      </c>
      <c r="M73" s="23">
        <v>12313</v>
      </c>
      <c r="N73" s="23">
        <v>12380.7</v>
      </c>
      <c r="O73" s="23">
        <v>12472.3</v>
      </c>
      <c r="P73" s="23">
        <v>11695.6</v>
      </c>
      <c r="Q73" s="23">
        <v>11744.8</v>
      </c>
      <c r="R73" s="23">
        <v>12242</v>
      </c>
      <c r="S73" s="23">
        <v>12834.2</v>
      </c>
      <c r="T73" s="23">
        <v>13636.2</v>
      </c>
      <c r="U73" s="23">
        <v>13851.2</v>
      </c>
      <c r="V73" s="23">
        <v>14353.4</v>
      </c>
      <c r="W73" s="23">
        <v>14474.4</v>
      </c>
      <c r="X73" s="23">
        <v>12992.9</v>
      </c>
      <c r="Y73" s="23">
        <v>15172.4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6328.2999999998092</v>
      </c>
      <c r="E74" s="23">
        <v>6502.9999999999427</v>
      </c>
      <c r="F74" s="23">
        <v>6620.0999999996984</v>
      </c>
      <c r="G74" s="23">
        <v>6660.799999999992</v>
      </c>
      <c r="H74" s="23">
        <v>7142.49999999995</v>
      </c>
      <c r="I74" s="23">
        <v>7447.3000000000056</v>
      </c>
      <c r="J74" s="23">
        <v>8091.700000000098</v>
      </c>
      <c r="K74" s="23">
        <v>8587.900000000227</v>
      </c>
      <c r="L74" s="23">
        <v>8739.8999999998996</v>
      </c>
      <c r="M74" s="23">
        <v>7795.600000000014</v>
      </c>
      <c r="N74" s="23">
        <v>7863.4000000000287</v>
      </c>
      <c r="O74" s="23">
        <v>8197.4000000001415</v>
      </c>
      <c r="P74" s="23">
        <v>8387.6999999998552</v>
      </c>
      <c r="Q74" s="23">
        <v>8278.4999999999727</v>
      </c>
      <c r="R74" s="23">
        <v>8107.0999999998385</v>
      </c>
      <c r="S74" s="23">
        <v>8380.8000000000284</v>
      </c>
      <c r="T74" s="23">
        <v>8668.7000000001426</v>
      </c>
      <c r="U74" s="23">
        <v>8771.8000000002376</v>
      </c>
      <c r="V74" s="23">
        <v>8777.9999999996307</v>
      </c>
      <c r="W74" s="23">
        <v>9379.6000000001404</v>
      </c>
      <c r="X74" s="23">
        <v>8203.6000000001277</v>
      </c>
      <c r="Y74" s="23">
        <v>8949.5999999998949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218174.0999999998</v>
      </c>
      <c r="E75" s="30">
        <f t="shared" ref="E75:S75" si="6">SUM(E56:E74)</f>
        <v>223562.59999999995</v>
      </c>
      <c r="F75" s="30">
        <f t="shared" si="6"/>
        <v>226927.2999999997</v>
      </c>
      <c r="G75" s="30">
        <f t="shared" si="6"/>
        <v>224971.09999999998</v>
      </c>
      <c r="H75" s="30">
        <f t="shared" si="6"/>
        <v>230863.29999999993</v>
      </c>
      <c r="I75" s="30">
        <f t="shared" si="6"/>
        <v>232242.5</v>
      </c>
      <c r="J75" s="30">
        <f t="shared" si="6"/>
        <v>242302.70000000007</v>
      </c>
      <c r="K75" s="30">
        <f t="shared" si="6"/>
        <v>257654.70000000024</v>
      </c>
      <c r="L75" s="30">
        <f t="shared" si="6"/>
        <v>253356.19999999995</v>
      </c>
      <c r="M75" s="30">
        <f t="shared" si="6"/>
        <v>216301.40000000002</v>
      </c>
      <c r="N75" s="30">
        <f t="shared" si="6"/>
        <v>229274.2</v>
      </c>
      <c r="O75" s="30">
        <f t="shared" si="6"/>
        <v>234354.90000000017</v>
      </c>
      <c r="P75" s="30">
        <f t="shared" si="6"/>
        <v>224967.49999999985</v>
      </c>
      <c r="Q75" s="30">
        <f t="shared" si="6"/>
        <v>223850.19999999995</v>
      </c>
      <c r="R75" s="30">
        <f t="shared" si="6"/>
        <v>227450.19999999987</v>
      </c>
      <c r="S75" s="30">
        <f t="shared" si="6"/>
        <v>238294.40000000002</v>
      </c>
      <c r="T75" s="30">
        <f t="shared" ref="T75:Y75" si="7">SUM(T56:T74)</f>
        <v>250824.40000000014</v>
      </c>
      <c r="U75" s="30">
        <f t="shared" si="7"/>
        <v>258993.20000000027</v>
      </c>
      <c r="V75" s="30">
        <f t="shared" si="7"/>
        <v>265881.89999999962</v>
      </c>
      <c r="W75" s="30">
        <f t="shared" si="7"/>
        <v>267416.10000000015</v>
      </c>
      <c r="X75" s="30">
        <f t="shared" si="7"/>
        <v>242447.7000000001</v>
      </c>
      <c r="Y75" s="30">
        <f t="shared" si="7"/>
        <v>282921.6999999999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1660309.3238472235</v>
      </c>
      <c r="E2" s="19">
        <v>1692694.9185540918</v>
      </c>
      <c r="F2" s="19">
        <v>1697008.6845048829</v>
      </c>
      <c r="G2" s="19">
        <v>1699353.2508041719</v>
      </c>
      <c r="H2" s="19">
        <v>1723554.822401291</v>
      </c>
      <c r="I2" s="19">
        <v>1737633.8444356546</v>
      </c>
      <c r="J2" s="19">
        <v>1768758.315866217</v>
      </c>
      <c r="K2" s="19">
        <v>1795064.2507781237</v>
      </c>
      <c r="L2" s="19">
        <v>1777789.1880156316</v>
      </c>
      <c r="M2" s="19">
        <v>1683915.0812461299</v>
      </c>
      <c r="N2" s="19">
        <v>1712760.4570821153</v>
      </c>
      <c r="O2" s="19">
        <v>1724874.5122244656</v>
      </c>
      <c r="P2" s="19">
        <v>1673457.9564420085</v>
      </c>
      <c r="Q2" s="19">
        <v>1642647.4842126705</v>
      </c>
      <c r="R2" s="19">
        <v>1642566.4886906145</v>
      </c>
      <c r="S2" s="19">
        <v>1655355</v>
      </c>
      <c r="T2" s="19">
        <v>1676772.2032155357</v>
      </c>
      <c r="U2" s="19">
        <v>1704731.3706819543</v>
      </c>
      <c r="V2" s="19">
        <v>1720515.5550375402</v>
      </c>
      <c r="W2" s="19">
        <v>1728826.6312558337</v>
      </c>
      <c r="X2" s="19">
        <v>1573680.2318972377</v>
      </c>
      <c r="Y2" s="19">
        <v>1704511.6122454708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1002734.766833849</v>
      </c>
      <c r="E3" s="23">
        <v>1009193.1686632588</v>
      </c>
      <c r="F3" s="23">
        <v>1008770.1696971228</v>
      </c>
      <c r="G3" s="23">
        <v>1015575.6498283471</v>
      </c>
      <c r="H3" s="23">
        <v>1025443.2940331558</v>
      </c>
      <c r="I3" s="23">
        <v>1039663.439535293</v>
      </c>
      <c r="J3" s="23">
        <v>1053622.0373460106</v>
      </c>
      <c r="K3" s="23">
        <v>1066133.3482367406</v>
      </c>
      <c r="L3" s="23">
        <v>1054059.9989169871</v>
      </c>
      <c r="M3" s="23">
        <v>1038236.210352039</v>
      </c>
      <c r="N3" s="23">
        <v>1049134.4906340134</v>
      </c>
      <c r="O3" s="23">
        <v>1049822.1578596432</v>
      </c>
      <c r="P3" s="23">
        <v>1010821.887213847</v>
      </c>
      <c r="Q3" s="23">
        <v>986114.33505351294</v>
      </c>
      <c r="R3" s="23">
        <v>987840.65301216883</v>
      </c>
      <c r="S3" s="23">
        <v>1005936.2</v>
      </c>
      <c r="T3" s="23">
        <v>1018478.7429576057</v>
      </c>
      <c r="U3" s="23">
        <v>1034148.8846499767</v>
      </c>
      <c r="V3" s="23">
        <v>1043808.6193730298</v>
      </c>
      <c r="W3" s="23">
        <v>1045967.784320405</v>
      </c>
      <c r="X3" s="23">
        <v>937066.54352792504</v>
      </c>
      <c r="Y3" s="23">
        <v>986430.99157733528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1473841.9448860623</v>
      </c>
      <c r="E4" s="27">
        <v>1501113.3104320175</v>
      </c>
      <c r="F4" s="27">
        <v>1506596.5741726279</v>
      </c>
      <c r="G4" s="27">
        <v>1507646.7635529209</v>
      </c>
      <c r="H4" s="27">
        <v>1531521.2436444391</v>
      </c>
      <c r="I4" s="27">
        <v>1543982.0379886217</v>
      </c>
      <c r="J4" s="27">
        <v>1573419.2132823633</v>
      </c>
      <c r="K4" s="27">
        <v>1598029.9606477146</v>
      </c>
      <c r="L4" s="27">
        <v>1586823.7088596716</v>
      </c>
      <c r="M4" s="27">
        <v>1500402.0634837081</v>
      </c>
      <c r="N4" s="27">
        <v>1527822.9980288609</v>
      </c>
      <c r="O4" s="27">
        <v>1538970.9534944142</v>
      </c>
      <c r="P4" s="27">
        <v>1497803.3346003308</v>
      </c>
      <c r="Q4" s="27">
        <v>1474411.9170721301</v>
      </c>
      <c r="R4" s="27">
        <v>1475210.1255609903</v>
      </c>
      <c r="S4" s="27">
        <v>1488049</v>
      </c>
      <c r="T4" s="27">
        <v>1508259.4269074197</v>
      </c>
      <c r="U4" s="27">
        <v>1532449.092018022</v>
      </c>
      <c r="V4" s="27">
        <v>1546746.7816170244</v>
      </c>
      <c r="W4" s="27">
        <v>1554309.787693762</v>
      </c>
      <c r="X4" s="27">
        <v>1424040.1762448477</v>
      </c>
      <c r="Y4" s="27">
        <v>1538963.1446860109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42166.931637519869</v>
      </c>
      <c r="E6" s="19">
        <v>41462.704483634923</v>
      </c>
      <c r="F6" s="19">
        <v>39629.446273422611</v>
      </c>
      <c r="G6" s="19">
        <v>39303.829237976868</v>
      </c>
      <c r="H6" s="19">
        <v>39841.505464321192</v>
      </c>
      <c r="I6" s="19">
        <v>34839.534777023306</v>
      </c>
      <c r="J6" s="19">
        <v>34170.417788233164</v>
      </c>
      <c r="K6" s="19">
        <v>33754.781247588711</v>
      </c>
      <c r="L6" s="19">
        <v>32977.464123055768</v>
      </c>
      <c r="M6" s="19">
        <v>29935.042375111861</v>
      </c>
      <c r="N6" s="19">
        <v>30155.793778789699</v>
      </c>
      <c r="O6" s="19">
        <v>32271.343206027541</v>
      </c>
      <c r="P6" s="19">
        <v>32885.877772413012</v>
      </c>
      <c r="Q6" s="19">
        <v>35132.507846861765</v>
      </c>
      <c r="R6" s="19">
        <v>32790.378700015128</v>
      </c>
      <c r="S6" s="19">
        <v>34187</v>
      </c>
      <c r="T6" s="19">
        <v>32389.833698160677</v>
      </c>
      <c r="U6" s="19">
        <v>33700.100340370278</v>
      </c>
      <c r="V6" s="19">
        <v>33532.485477138049</v>
      </c>
      <c r="W6" s="19">
        <v>33053.988096960573</v>
      </c>
      <c r="X6" s="19">
        <v>31611.124271568679</v>
      </c>
      <c r="Y6" s="19">
        <v>32548.383761479101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328269.74032856361</v>
      </c>
      <c r="E7" s="23">
        <v>325339.75251254672</v>
      </c>
      <c r="F7" s="23">
        <v>321912.91863659956</v>
      </c>
      <c r="G7" s="23">
        <v>308295.84568314371</v>
      </c>
      <c r="H7" s="23">
        <v>309853.54450353561</v>
      </c>
      <c r="I7" s="23">
        <v>307379.56505780877</v>
      </c>
      <c r="J7" s="23">
        <v>316773.96005338291</v>
      </c>
      <c r="K7" s="23">
        <v>327069.96329324646</v>
      </c>
      <c r="L7" s="23">
        <v>318879.54369682889</v>
      </c>
      <c r="M7" s="23">
        <v>273375.16449965793</v>
      </c>
      <c r="N7" s="23">
        <v>285412.51620655856</v>
      </c>
      <c r="O7" s="23">
        <v>286809.0413094312</v>
      </c>
      <c r="P7" s="23">
        <v>277584.10979731451</v>
      </c>
      <c r="Q7" s="23">
        <v>274377.17756762519</v>
      </c>
      <c r="R7" s="23">
        <v>275138.0162372042</v>
      </c>
      <c r="S7" s="23">
        <v>280624.5</v>
      </c>
      <c r="T7" s="23">
        <v>291582.88844207185</v>
      </c>
      <c r="U7" s="23">
        <v>298872.94154681591</v>
      </c>
      <c r="V7" s="23">
        <v>304536.2901263996</v>
      </c>
      <c r="W7" s="23">
        <v>306084.24728226801</v>
      </c>
      <c r="X7" s="23">
        <v>276514.90027005272</v>
      </c>
      <c r="Y7" s="23">
        <v>317086.91688050446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71575.51669316375</v>
      </c>
      <c r="E8" s="23">
        <v>76371.971854368065</v>
      </c>
      <c r="F8" s="23">
        <v>79657.045966484322</v>
      </c>
      <c r="G8" s="23">
        <v>83071.756382063293</v>
      </c>
      <c r="H8" s="23">
        <v>87689.439541815198</v>
      </c>
      <c r="I8" s="23">
        <v>91309.070471646162</v>
      </c>
      <c r="J8" s="23">
        <v>94164.536632812305</v>
      </c>
      <c r="K8" s="23">
        <v>96081.08554988481</v>
      </c>
      <c r="L8" s="23">
        <v>96304.245080347158</v>
      </c>
      <c r="M8" s="23">
        <v>90028.95193977996</v>
      </c>
      <c r="N8" s="23">
        <v>85961.062096153633</v>
      </c>
      <c r="O8" s="23">
        <v>85858.664588204731</v>
      </c>
      <c r="P8" s="23">
        <v>78600.207513637346</v>
      </c>
      <c r="Q8" s="23">
        <v>72468.434792324799</v>
      </c>
      <c r="R8" s="23">
        <v>66221.471433614031</v>
      </c>
      <c r="S8" s="23">
        <v>64622.7</v>
      </c>
      <c r="T8" s="23">
        <v>64803.438951674412</v>
      </c>
      <c r="U8" s="23">
        <v>65009.738918291463</v>
      </c>
      <c r="V8" s="23">
        <v>65192.129922447428</v>
      </c>
      <c r="W8" s="23">
        <v>66985.17425316626</v>
      </c>
      <c r="X8" s="23">
        <v>62846.82806651821</v>
      </c>
      <c r="Y8" s="23">
        <v>80174.172141856776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321509.27397986222</v>
      </c>
      <c r="E9" s="23">
        <v>328487.61924221332</v>
      </c>
      <c r="F9" s="23">
        <v>321825.04517438548</v>
      </c>
      <c r="G9" s="23">
        <v>315631.27450043027</v>
      </c>
      <c r="H9" s="23">
        <v>319577.23102098063</v>
      </c>
      <c r="I9" s="23">
        <v>319630.55147733528</v>
      </c>
      <c r="J9" s="23">
        <v>321175.89178674022</v>
      </c>
      <c r="K9" s="23">
        <v>325533.46046583407</v>
      </c>
      <c r="L9" s="23">
        <v>321193.28435163695</v>
      </c>
      <c r="M9" s="23">
        <v>304939.30620624305</v>
      </c>
      <c r="N9" s="23">
        <v>310366.18916611327</v>
      </c>
      <c r="O9" s="23">
        <v>314754.27383736038</v>
      </c>
      <c r="P9" s="23">
        <v>304435.86082204164</v>
      </c>
      <c r="Q9" s="23">
        <v>298176.37916848657</v>
      </c>
      <c r="R9" s="23">
        <v>302182.34077958757</v>
      </c>
      <c r="S9" s="23">
        <v>308208</v>
      </c>
      <c r="T9" s="23">
        <v>317634.7302423708</v>
      </c>
      <c r="U9" s="23">
        <v>328007.85015838034</v>
      </c>
      <c r="V9" s="23">
        <v>329513.95848942775</v>
      </c>
      <c r="W9" s="23">
        <v>337636.75473372493</v>
      </c>
      <c r="X9" s="23">
        <v>274664.99265646469</v>
      </c>
      <c r="Y9" s="23">
        <v>310513.77492033952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58244.700582935875</v>
      </c>
      <c r="E10" s="23">
        <v>64369.213480276347</v>
      </c>
      <c r="F10" s="23">
        <v>69692.071585930345</v>
      </c>
      <c r="G10" s="23">
        <v>67357.538961659811</v>
      </c>
      <c r="H10" s="23">
        <v>67292.618783238853</v>
      </c>
      <c r="I10" s="23">
        <v>67554.482473848417</v>
      </c>
      <c r="J10" s="23">
        <v>66730.077586011888</v>
      </c>
      <c r="K10" s="23">
        <v>66833.739348978721</v>
      </c>
      <c r="L10" s="23">
        <v>65549.969923519806</v>
      </c>
      <c r="M10" s="23">
        <v>64165.078696636308</v>
      </c>
      <c r="N10" s="23">
        <v>63963.360001686538</v>
      </c>
      <c r="O10" s="23">
        <v>62463.497012210966</v>
      </c>
      <c r="P10" s="23">
        <v>58452.071540840123</v>
      </c>
      <c r="Q10" s="23">
        <v>54385.710077503631</v>
      </c>
      <c r="R10" s="23">
        <v>53201.048862891432</v>
      </c>
      <c r="S10" s="23">
        <v>53806.400000000001</v>
      </c>
      <c r="T10" s="23">
        <v>56978.140073889917</v>
      </c>
      <c r="U10" s="23">
        <v>58353.630944183213</v>
      </c>
      <c r="V10" s="23">
        <v>58148.176979439319</v>
      </c>
      <c r="W10" s="23">
        <v>57826.875403922022</v>
      </c>
      <c r="X10" s="23">
        <v>55513.810584166393</v>
      </c>
      <c r="Y10" s="23">
        <v>58033.161323069115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73936.274509803916</v>
      </c>
      <c r="E11" s="23">
        <v>76675.137599448324</v>
      </c>
      <c r="F11" s="23">
        <v>71935.939008391302</v>
      </c>
      <c r="G11" s="23">
        <v>77043.933454441154</v>
      </c>
      <c r="H11" s="23">
        <v>75996.727251475648</v>
      </c>
      <c r="I11" s="23">
        <v>79933.588731877404</v>
      </c>
      <c r="J11" s="23">
        <v>81872.469406681892</v>
      </c>
      <c r="K11" s="23">
        <v>89473.869861881205</v>
      </c>
      <c r="L11" s="23">
        <v>85908.309701813181</v>
      </c>
      <c r="M11" s="23">
        <v>76684.739695741431</v>
      </c>
      <c r="N11" s="23">
        <v>79778.009676501286</v>
      </c>
      <c r="O11" s="23">
        <v>81213.717848791886</v>
      </c>
      <c r="P11" s="23">
        <v>79696.84517633522</v>
      </c>
      <c r="Q11" s="23">
        <v>82017.227543754503</v>
      </c>
      <c r="R11" s="23">
        <v>85698.65362311533</v>
      </c>
      <c r="S11" s="23">
        <v>83670.3</v>
      </c>
      <c r="T11" s="23">
        <v>80220.877368488829</v>
      </c>
      <c r="U11" s="23">
        <v>76860.526885316867</v>
      </c>
      <c r="V11" s="23">
        <v>76006.675164689732</v>
      </c>
      <c r="W11" s="23">
        <v>75813.486896046146</v>
      </c>
      <c r="X11" s="23">
        <v>75629.791064575722</v>
      </c>
      <c r="Y11" s="23">
        <v>70858.82939025652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149510.46634870162</v>
      </c>
      <c r="E12" s="23">
        <v>154804.80672225982</v>
      </c>
      <c r="F12" s="23">
        <v>164050.59531176515</v>
      </c>
      <c r="G12" s="23">
        <v>169760.85189788698</v>
      </c>
      <c r="H12" s="23">
        <v>177674.71217345566</v>
      </c>
      <c r="I12" s="23">
        <v>180597.70141310329</v>
      </c>
      <c r="J12" s="23">
        <v>188939.01694225156</v>
      </c>
      <c r="K12" s="23">
        <v>190485.67554756999</v>
      </c>
      <c r="L12" s="23">
        <v>191849.16645183467</v>
      </c>
      <c r="M12" s="23">
        <v>192677.58067063222</v>
      </c>
      <c r="N12" s="23">
        <v>194585.16480620645</v>
      </c>
      <c r="O12" s="23">
        <v>199093.47882566901</v>
      </c>
      <c r="P12" s="23">
        <v>201203.16817850282</v>
      </c>
      <c r="Q12" s="23">
        <v>199817.16050260546</v>
      </c>
      <c r="R12" s="23">
        <v>200626.99813423428</v>
      </c>
      <c r="S12" s="23">
        <v>205209.60000000001</v>
      </c>
      <c r="T12" s="23">
        <v>205396.73735402781</v>
      </c>
      <c r="U12" s="23">
        <v>206282.97951875973</v>
      </c>
      <c r="V12" s="23">
        <v>206628.65260924987</v>
      </c>
      <c r="W12" s="23">
        <v>209183.47464575435</v>
      </c>
      <c r="X12" s="23">
        <v>201278.72269863079</v>
      </c>
      <c r="Y12" s="23">
        <v>203061.50071905932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137149.44356120826</v>
      </c>
      <c r="E13" s="23">
        <v>136749.84356443229</v>
      </c>
      <c r="F13" s="23">
        <v>138451.19928711106</v>
      </c>
      <c r="G13" s="23">
        <v>144209.89100296397</v>
      </c>
      <c r="H13" s="23">
        <v>144563.8478171936</v>
      </c>
      <c r="I13" s="23">
        <v>146450.26610387227</v>
      </c>
      <c r="J13" s="23">
        <v>145640.14114773009</v>
      </c>
      <c r="K13" s="23">
        <v>147166.41497371002</v>
      </c>
      <c r="L13" s="23">
        <v>148465.02535017615</v>
      </c>
      <c r="M13" s="23">
        <v>141931.04174343319</v>
      </c>
      <c r="N13" s="23">
        <v>145418.31367464608</v>
      </c>
      <c r="O13" s="23">
        <v>145586.80176669266</v>
      </c>
      <c r="P13" s="23">
        <v>141813.48427724643</v>
      </c>
      <c r="Q13" s="23">
        <v>139404.85743598078</v>
      </c>
      <c r="R13" s="23">
        <v>140824.46674398668</v>
      </c>
      <c r="S13" s="23">
        <v>142354.79999999999</v>
      </c>
      <c r="T13" s="23">
        <v>144160.91362011072</v>
      </c>
      <c r="U13" s="23">
        <v>148752.04123792474</v>
      </c>
      <c r="V13" s="23">
        <v>154585.04023586877</v>
      </c>
      <c r="W13" s="23">
        <v>152037.40679650047</v>
      </c>
      <c r="X13" s="23">
        <v>146569.66883024588</v>
      </c>
      <c r="Y13" s="23">
        <v>156661.59095395202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236184.94965553787</v>
      </c>
      <c r="E14" s="23">
        <v>240791.62782382162</v>
      </c>
      <c r="F14" s="23">
        <v>244069.90272036436</v>
      </c>
      <c r="G14" s="23">
        <v>248258.67673773784</v>
      </c>
      <c r="H14" s="23">
        <v>252958.68154988019</v>
      </c>
      <c r="I14" s="23">
        <v>259515.62213250139</v>
      </c>
      <c r="J14" s="23">
        <v>265928.88325906487</v>
      </c>
      <c r="K14" s="23">
        <v>262746.2824766587</v>
      </c>
      <c r="L14" s="23">
        <v>265351.35773824865</v>
      </c>
      <c r="M14" s="23">
        <v>265321.36653155764</v>
      </c>
      <c r="N14" s="23">
        <v>268783.69119522709</v>
      </c>
      <c r="O14" s="23">
        <v>265813.56196414656</v>
      </c>
      <c r="P14" s="23">
        <v>260229.90867345367</v>
      </c>
      <c r="Q14" s="23">
        <v>256404.76601623208</v>
      </c>
      <c r="R14" s="23">
        <v>255902.37506933589</v>
      </c>
      <c r="S14" s="23">
        <v>253158.39999999999</v>
      </c>
      <c r="T14" s="23">
        <v>253051.17817771219</v>
      </c>
      <c r="U14" s="23">
        <v>253927.04664843489</v>
      </c>
      <c r="V14" s="23">
        <v>256614.25137930701</v>
      </c>
      <c r="W14" s="23">
        <v>254136.54734689547</v>
      </c>
      <c r="X14" s="23">
        <v>246999.09982470272</v>
      </c>
      <c r="Y14" s="23">
        <v>255435.61834400176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55294.647588765234</v>
      </c>
      <c r="E15" s="23">
        <v>56060.633149016052</v>
      </c>
      <c r="F15" s="23">
        <v>55372.410208173467</v>
      </c>
      <c r="G15" s="23">
        <v>54713.165694617077</v>
      </c>
      <c r="H15" s="23">
        <v>56072.935538542457</v>
      </c>
      <c r="I15" s="23">
        <v>56771.655349605433</v>
      </c>
      <c r="J15" s="23">
        <v>58023.818679454409</v>
      </c>
      <c r="K15" s="23">
        <v>58884.687882362021</v>
      </c>
      <c r="L15" s="23">
        <v>60345.342442210189</v>
      </c>
      <c r="M15" s="23">
        <v>61343.79112491446</v>
      </c>
      <c r="N15" s="23">
        <v>63398.897426978256</v>
      </c>
      <c r="O15" s="23">
        <v>65106.573135879451</v>
      </c>
      <c r="P15" s="23">
        <v>62901.800848545863</v>
      </c>
      <c r="Q15" s="23">
        <v>62227.696120755325</v>
      </c>
      <c r="R15" s="23">
        <v>62624.3759770057</v>
      </c>
      <c r="S15" s="23">
        <v>62207.3</v>
      </c>
      <c r="T15" s="23">
        <v>62040.688978912651</v>
      </c>
      <c r="U15" s="23">
        <v>62682.23581954473</v>
      </c>
      <c r="V15" s="23">
        <v>61989.121233056656</v>
      </c>
      <c r="W15" s="23">
        <v>61551.832238523784</v>
      </c>
      <c r="X15" s="23">
        <v>52411.237977922021</v>
      </c>
      <c r="Y15" s="23">
        <v>54589.196251492169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1473841.9448860623</v>
      </c>
      <c r="E16" s="30">
        <f t="shared" ref="E16:S16" si="0">SUM(E6:E15)</f>
        <v>1501113.3104320171</v>
      </c>
      <c r="F16" s="30">
        <f t="shared" si="0"/>
        <v>1506596.5741726276</v>
      </c>
      <c r="G16" s="30">
        <f t="shared" si="0"/>
        <v>1507646.7635529209</v>
      </c>
      <c r="H16" s="30">
        <f t="shared" si="0"/>
        <v>1531521.2436444391</v>
      </c>
      <c r="I16" s="30">
        <f t="shared" si="0"/>
        <v>1543982.0379886217</v>
      </c>
      <c r="J16" s="30">
        <f t="shared" si="0"/>
        <v>1573419.2132823633</v>
      </c>
      <c r="K16" s="30">
        <f t="shared" si="0"/>
        <v>1598029.9606477146</v>
      </c>
      <c r="L16" s="30">
        <f t="shared" si="0"/>
        <v>1586823.7088596714</v>
      </c>
      <c r="M16" s="30">
        <f t="shared" si="0"/>
        <v>1500402.0634837081</v>
      </c>
      <c r="N16" s="30">
        <f t="shared" si="0"/>
        <v>1527822.9980288609</v>
      </c>
      <c r="O16" s="30">
        <f t="shared" si="0"/>
        <v>1538970.9534944142</v>
      </c>
      <c r="P16" s="30">
        <f t="shared" si="0"/>
        <v>1497803.3346003306</v>
      </c>
      <c r="Q16" s="30">
        <f t="shared" si="0"/>
        <v>1474411.9170721301</v>
      </c>
      <c r="R16" s="30">
        <f t="shared" si="0"/>
        <v>1475210.1255609901</v>
      </c>
      <c r="S16" s="30">
        <f t="shared" si="0"/>
        <v>1488049</v>
      </c>
      <c r="T16" s="30">
        <f t="shared" ref="T16:Y16" si="1">SUM(T6:T15)</f>
        <v>1508259.4269074197</v>
      </c>
      <c r="U16" s="30">
        <f t="shared" si="1"/>
        <v>1532449.092018022</v>
      </c>
      <c r="V16" s="30">
        <f t="shared" si="1"/>
        <v>1546746.7816170244</v>
      </c>
      <c r="W16" s="30">
        <f t="shared" si="1"/>
        <v>1554309.7876937622</v>
      </c>
      <c r="X16" s="30">
        <f t="shared" si="1"/>
        <v>1424040.1762448479</v>
      </c>
      <c r="Y16" s="30">
        <f t="shared" si="1"/>
        <v>1538963.1446860109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42166.931637519869</v>
      </c>
      <c r="E18" s="19">
        <v>41462.704483634923</v>
      </c>
      <c r="F18" s="19">
        <v>39629.446273422611</v>
      </c>
      <c r="G18" s="19">
        <v>39303.829237976868</v>
      </c>
      <c r="H18" s="19">
        <v>39841.505464321192</v>
      </c>
      <c r="I18" s="19">
        <v>34839.534777023306</v>
      </c>
      <c r="J18" s="19">
        <v>34170.417788233164</v>
      </c>
      <c r="K18" s="19">
        <v>33754.781247588711</v>
      </c>
      <c r="L18" s="19">
        <v>32977.464123055768</v>
      </c>
      <c r="M18" s="19">
        <v>29935.042375111861</v>
      </c>
      <c r="N18" s="19">
        <v>30155.793778789699</v>
      </c>
      <c r="O18" s="19">
        <v>32271.343206027541</v>
      </c>
      <c r="P18" s="19">
        <v>32885.877772413012</v>
      </c>
      <c r="Q18" s="19">
        <v>35132.507846861765</v>
      </c>
      <c r="R18" s="19">
        <v>32790.378700015128</v>
      </c>
      <c r="S18" s="19">
        <v>34187</v>
      </c>
      <c r="T18" s="19">
        <v>32389.833698160677</v>
      </c>
      <c r="U18" s="19">
        <v>33700.100340370278</v>
      </c>
      <c r="V18" s="19">
        <v>33532.485477138049</v>
      </c>
      <c r="W18" s="19">
        <v>33053.988096960573</v>
      </c>
      <c r="X18" s="19">
        <v>31611.124271568679</v>
      </c>
      <c r="Y18" s="19">
        <v>32548.383761479101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7898.7811340752514</v>
      </c>
      <c r="E19" s="23">
        <v>7076.7619753023355</v>
      </c>
      <c r="F19" s="23">
        <v>7388.3016906359071</v>
      </c>
      <c r="G19" s="23">
        <v>6256.5732861650258</v>
      </c>
      <c r="H19" s="23">
        <v>6063.5848284729118</v>
      </c>
      <c r="I19" s="23">
        <v>6195.0587263718116</v>
      </c>
      <c r="J19" s="23">
        <v>6245.7870569341076</v>
      </c>
      <c r="K19" s="23">
        <v>5946.2736582193374</v>
      </c>
      <c r="L19" s="23">
        <v>6344.2038326029042</v>
      </c>
      <c r="M19" s="23">
        <v>4526.1883455282414</v>
      </c>
      <c r="N19" s="23">
        <v>4764.4646828784953</v>
      </c>
      <c r="O19" s="23">
        <v>5580.4624577812419</v>
      </c>
      <c r="P19" s="23">
        <v>6922.3262073287242</v>
      </c>
      <c r="Q19" s="23">
        <v>6634.229585462228</v>
      </c>
      <c r="R19" s="23">
        <v>5644.2942867228076</v>
      </c>
      <c r="S19" s="23">
        <v>4373.6000000000004</v>
      </c>
      <c r="T19" s="23">
        <v>3616.3469062311192</v>
      </c>
      <c r="U19" s="23">
        <v>4085.4270368111438</v>
      </c>
      <c r="V19" s="23">
        <v>4527.9218441358771</v>
      </c>
      <c r="W19" s="23">
        <v>3741.1619449990835</v>
      </c>
      <c r="X19" s="23">
        <v>2715.6867389965414</v>
      </c>
      <c r="Y19" s="23">
        <v>5216.5167451522248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289048.88712241629</v>
      </c>
      <c r="E20" s="23">
        <v>285495.03875770996</v>
      </c>
      <c r="F20" s="23">
        <v>280857.57073194842</v>
      </c>
      <c r="G20" s="23">
        <v>268872.62166555121</v>
      </c>
      <c r="H20" s="23">
        <v>269841.97299982456</v>
      </c>
      <c r="I20" s="23">
        <v>266382.0196366306</v>
      </c>
      <c r="J20" s="23">
        <v>274042.27645954455</v>
      </c>
      <c r="K20" s="23">
        <v>284014.04336467583</v>
      </c>
      <c r="L20" s="23">
        <v>272145.09753372846</v>
      </c>
      <c r="M20" s="23">
        <v>227721.64025898831</v>
      </c>
      <c r="N20" s="23">
        <v>241674.51960071258</v>
      </c>
      <c r="O20" s="23">
        <v>243548.86983632128</v>
      </c>
      <c r="P20" s="23">
        <v>231108.04063979932</v>
      </c>
      <c r="Q20" s="23">
        <v>227381.43366481451</v>
      </c>
      <c r="R20" s="23">
        <v>229388.53310473484</v>
      </c>
      <c r="S20" s="23">
        <v>238294.40000000002</v>
      </c>
      <c r="T20" s="23">
        <v>248436.92118738935</v>
      </c>
      <c r="U20" s="23">
        <v>254779.15281248183</v>
      </c>
      <c r="V20" s="23">
        <v>258717.99861826003</v>
      </c>
      <c r="W20" s="23">
        <v>257946.87038805461</v>
      </c>
      <c r="X20" s="23">
        <v>229732.03202728968</v>
      </c>
      <c r="Y20" s="23">
        <v>265931.3462858001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21712.904080551143</v>
      </c>
      <c r="E21" s="23">
        <v>23497.516186292414</v>
      </c>
      <c r="F21" s="23">
        <v>23882.645610039854</v>
      </c>
      <c r="G21" s="23">
        <v>23345.205086528353</v>
      </c>
      <c r="H21" s="23">
        <v>23710.712407223422</v>
      </c>
      <c r="I21" s="23">
        <v>23919.297118737384</v>
      </c>
      <c r="J21" s="23">
        <v>25155.172023796058</v>
      </c>
      <c r="K21" s="23">
        <v>25486.171584783784</v>
      </c>
      <c r="L21" s="23">
        <v>28589.95015897568</v>
      </c>
      <c r="M21" s="23">
        <v>28717.271148076012</v>
      </c>
      <c r="N21" s="23">
        <v>25648.631270488779</v>
      </c>
      <c r="O21" s="23">
        <v>24119.303715250717</v>
      </c>
      <c r="P21" s="23">
        <v>25980.296477404641</v>
      </c>
      <c r="Q21" s="23">
        <v>26460.735217934522</v>
      </c>
      <c r="R21" s="23">
        <v>25448.035903383592</v>
      </c>
      <c r="S21" s="23">
        <v>23311.9</v>
      </c>
      <c r="T21" s="23">
        <v>23743.029486633452</v>
      </c>
      <c r="U21" s="23">
        <v>24108.839789875459</v>
      </c>
      <c r="V21" s="23">
        <v>25064.659576331382</v>
      </c>
      <c r="W21" s="23">
        <v>27997.029063093825</v>
      </c>
      <c r="X21" s="23">
        <v>27902.686312597718</v>
      </c>
      <c r="Y21" s="23">
        <v>27993.213584111141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9609.1679915209315</v>
      </c>
      <c r="E22" s="23">
        <v>9270.435593241984</v>
      </c>
      <c r="F22" s="23">
        <v>9784.4006039753458</v>
      </c>
      <c r="G22" s="23">
        <v>9821.4456448991295</v>
      </c>
      <c r="H22" s="23">
        <v>10237.274268014726</v>
      </c>
      <c r="I22" s="23">
        <v>10883.189576069004</v>
      </c>
      <c r="J22" s="23">
        <v>11330.724513108189</v>
      </c>
      <c r="K22" s="23">
        <v>11623.474685567522</v>
      </c>
      <c r="L22" s="23">
        <v>11800.292171521869</v>
      </c>
      <c r="M22" s="23">
        <v>12410.064747065326</v>
      </c>
      <c r="N22" s="23">
        <v>13324.900652478682</v>
      </c>
      <c r="O22" s="23">
        <v>13560.405300077942</v>
      </c>
      <c r="P22" s="23">
        <v>13573.446472781812</v>
      </c>
      <c r="Q22" s="23">
        <v>13900.779099413898</v>
      </c>
      <c r="R22" s="23">
        <v>14657.152942362967</v>
      </c>
      <c r="S22" s="23">
        <v>14644.6</v>
      </c>
      <c r="T22" s="23">
        <v>15786.590861817929</v>
      </c>
      <c r="U22" s="23">
        <v>15899.521907647511</v>
      </c>
      <c r="V22" s="23">
        <v>16225.710087672353</v>
      </c>
      <c r="W22" s="23">
        <v>16399.185886120515</v>
      </c>
      <c r="X22" s="23">
        <v>16164.495191168808</v>
      </c>
      <c r="Y22" s="23">
        <v>17945.84026544098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71575.51669316375</v>
      </c>
      <c r="E23" s="23">
        <v>76371.971854368065</v>
      </c>
      <c r="F23" s="23">
        <v>79657.045966484322</v>
      </c>
      <c r="G23" s="23">
        <v>83071.756382063293</v>
      </c>
      <c r="H23" s="23">
        <v>87689.439541815198</v>
      </c>
      <c r="I23" s="23">
        <v>91309.070471646162</v>
      </c>
      <c r="J23" s="23">
        <v>94164.536632812305</v>
      </c>
      <c r="K23" s="23">
        <v>96081.08554988481</v>
      </c>
      <c r="L23" s="23">
        <v>96304.245080347158</v>
      </c>
      <c r="M23" s="23">
        <v>90028.95193977996</v>
      </c>
      <c r="N23" s="23">
        <v>85961.062096153633</v>
      </c>
      <c r="O23" s="23">
        <v>85858.664588204731</v>
      </c>
      <c r="P23" s="23">
        <v>78600.207513637346</v>
      </c>
      <c r="Q23" s="23">
        <v>72468.434792324799</v>
      </c>
      <c r="R23" s="23">
        <v>66221.471433614031</v>
      </c>
      <c r="S23" s="23">
        <v>64622.7</v>
      </c>
      <c r="T23" s="23">
        <v>64803.438951674412</v>
      </c>
      <c r="U23" s="23">
        <v>65009.738918291463</v>
      </c>
      <c r="V23" s="23">
        <v>65192.129922447428</v>
      </c>
      <c r="W23" s="23">
        <v>66985.17425316626</v>
      </c>
      <c r="X23" s="23">
        <v>62846.82806651821</v>
      </c>
      <c r="Y23" s="23">
        <v>80174.172141856776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190994.96555378908</v>
      </c>
      <c r="E24" s="23">
        <v>193883.81626163688</v>
      </c>
      <c r="F24" s="23">
        <v>188100.57179633155</v>
      </c>
      <c r="G24" s="23">
        <v>183493.76135385793</v>
      </c>
      <c r="H24" s="23">
        <v>184794.22593653202</v>
      </c>
      <c r="I24" s="23">
        <v>184192.16828775921</v>
      </c>
      <c r="J24" s="23">
        <v>183902.37282001402</v>
      </c>
      <c r="K24" s="23">
        <v>183541.81593712454</v>
      </c>
      <c r="L24" s="23">
        <v>181285.87694422956</v>
      </c>
      <c r="M24" s="23">
        <v>168194.24119597831</v>
      </c>
      <c r="N24" s="23">
        <v>171636.25631133458</v>
      </c>
      <c r="O24" s="23">
        <v>174860.27539620682</v>
      </c>
      <c r="P24" s="23">
        <v>168976.91667608352</v>
      </c>
      <c r="Q24" s="23">
        <v>164883.7445529066</v>
      </c>
      <c r="R24" s="23">
        <v>166771.51933840962</v>
      </c>
      <c r="S24" s="23">
        <v>172025.8</v>
      </c>
      <c r="T24" s="23">
        <v>176893.94914868113</v>
      </c>
      <c r="U24" s="23">
        <v>182669.64408680421</v>
      </c>
      <c r="V24" s="23">
        <v>183559.82835290796</v>
      </c>
      <c r="W24" s="23">
        <v>190569.39742068658</v>
      </c>
      <c r="X24" s="23">
        <v>166779.74131804614</v>
      </c>
      <c r="Y24" s="23">
        <v>186655.76328379818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77781.664016958137</v>
      </c>
      <c r="E25" s="23">
        <v>80732.62926685992</v>
      </c>
      <c r="F25" s="23">
        <v>81474.912745365</v>
      </c>
      <c r="G25" s="23">
        <v>80536.619179653906</v>
      </c>
      <c r="H25" s="23">
        <v>81911.752673718671</v>
      </c>
      <c r="I25" s="23">
        <v>81326.734263167542</v>
      </c>
      <c r="J25" s="23">
        <v>81396.208916736388</v>
      </c>
      <c r="K25" s="23">
        <v>84862.59769177351</v>
      </c>
      <c r="L25" s="23">
        <v>83739.473231932629</v>
      </c>
      <c r="M25" s="23">
        <v>80654.629678370271</v>
      </c>
      <c r="N25" s="23">
        <v>83315.308478006511</v>
      </c>
      <c r="O25" s="23">
        <v>83558.534684333601</v>
      </c>
      <c r="P25" s="23">
        <v>80156.251605148806</v>
      </c>
      <c r="Q25" s="23">
        <v>80024.480177151156</v>
      </c>
      <c r="R25" s="23">
        <v>80951.036256366293</v>
      </c>
      <c r="S25" s="23">
        <v>81563.899999999994</v>
      </c>
      <c r="T25" s="23">
        <v>84014.817602836745</v>
      </c>
      <c r="U25" s="23">
        <v>85703.563066873903</v>
      </c>
      <c r="V25" s="23">
        <v>84582.412984460287</v>
      </c>
      <c r="W25" s="23">
        <v>85636.774025523046</v>
      </c>
      <c r="X25" s="23">
        <v>71035.39110247785</v>
      </c>
      <c r="Y25" s="23">
        <v>77833.892601678745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52732.644409114997</v>
      </c>
      <c r="E26" s="23">
        <v>53871.173713716526</v>
      </c>
      <c r="F26" s="23">
        <v>52249.560632688925</v>
      </c>
      <c r="G26" s="23">
        <v>51600.893966918447</v>
      </c>
      <c r="H26" s="23">
        <v>52871.252410729932</v>
      </c>
      <c r="I26" s="23">
        <v>54111.648926408518</v>
      </c>
      <c r="J26" s="23">
        <v>55877.310049989814</v>
      </c>
      <c r="K26" s="23">
        <v>57129.046836936039</v>
      </c>
      <c r="L26" s="23">
        <v>56167.934175474773</v>
      </c>
      <c r="M26" s="23">
        <v>56090.435331894507</v>
      </c>
      <c r="N26" s="23">
        <v>55414.624376772183</v>
      </c>
      <c r="O26" s="23">
        <v>56335.463756819954</v>
      </c>
      <c r="P26" s="23">
        <v>55302.692540809301</v>
      </c>
      <c r="Q26" s="23">
        <v>53268.154438428799</v>
      </c>
      <c r="R26" s="23">
        <v>54459.785184811655</v>
      </c>
      <c r="S26" s="23">
        <v>54618.3</v>
      </c>
      <c r="T26" s="23">
        <v>56725.963490852904</v>
      </c>
      <c r="U26" s="23">
        <v>59634.64300470223</v>
      </c>
      <c r="V26" s="23">
        <v>61371.717152059471</v>
      </c>
      <c r="W26" s="23">
        <v>61430.583287515306</v>
      </c>
      <c r="X26" s="23">
        <v>36849.860235940687</v>
      </c>
      <c r="Y26" s="23">
        <v>46024.119034862626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58244.700582935875</v>
      </c>
      <c r="E27" s="23">
        <v>64369.213480276347</v>
      </c>
      <c r="F27" s="23">
        <v>69692.071585930345</v>
      </c>
      <c r="G27" s="23">
        <v>67357.538961659811</v>
      </c>
      <c r="H27" s="23">
        <v>67292.618783238853</v>
      </c>
      <c r="I27" s="23">
        <v>67554.482473848417</v>
      </c>
      <c r="J27" s="23">
        <v>66730.077586011888</v>
      </c>
      <c r="K27" s="23">
        <v>66833.739348978721</v>
      </c>
      <c r="L27" s="23">
        <v>65549.969923519806</v>
      </c>
      <c r="M27" s="23">
        <v>64165.078696636308</v>
      </c>
      <c r="N27" s="23">
        <v>63963.360001686538</v>
      </c>
      <c r="O27" s="23">
        <v>62463.497012210966</v>
      </c>
      <c r="P27" s="23">
        <v>58452.071540840123</v>
      </c>
      <c r="Q27" s="23">
        <v>54385.710077503631</v>
      </c>
      <c r="R27" s="23">
        <v>53201.048862891432</v>
      </c>
      <c r="S27" s="23">
        <v>53806.400000000001</v>
      </c>
      <c r="T27" s="23">
        <v>56978.140073889917</v>
      </c>
      <c r="U27" s="23">
        <v>58353.630944183213</v>
      </c>
      <c r="V27" s="23">
        <v>58148.176979439319</v>
      </c>
      <c r="W27" s="23">
        <v>57826.875403922022</v>
      </c>
      <c r="X27" s="23">
        <v>55513.810584166393</v>
      </c>
      <c r="Y27" s="23">
        <v>58033.161323069115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73936.274509803916</v>
      </c>
      <c r="E28" s="23">
        <v>76675.137599448324</v>
      </c>
      <c r="F28" s="23">
        <v>71935.939008391302</v>
      </c>
      <c r="G28" s="23">
        <v>77043.933454441154</v>
      </c>
      <c r="H28" s="23">
        <v>75996.727251475648</v>
      </c>
      <c r="I28" s="23">
        <v>79933.588731877404</v>
      </c>
      <c r="J28" s="23">
        <v>81872.469406681892</v>
      </c>
      <c r="K28" s="23">
        <v>89473.869861881205</v>
      </c>
      <c r="L28" s="23">
        <v>85908.309701813181</v>
      </c>
      <c r="M28" s="23">
        <v>76684.739695741431</v>
      </c>
      <c r="N28" s="23">
        <v>79778.009676501286</v>
      </c>
      <c r="O28" s="23">
        <v>81213.717848791886</v>
      </c>
      <c r="P28" s="23">
        <v>79696.84517633522</v>
      </c>
      <c r="Q28" s="23">
        <v>82017.227543754503</v>
      </c>
      <c r="R28" s="23">
        <v>85698.65362311533</v>
      </c>
      <c r="S28" s="23">
        <v>83670.3</v>
      </c>
      <c r="T28" s="23">
        <v>80220.877368488829</v>
      </c>
      <c r="U28" s="23">
        <v>76860.526885316867</v>
      </c>
      <c r="V28" s="23">
        <v>76006.675164689732</v>
      </c>
      <c r="W28" s="23">
        <v>75813.486896046146</v>
      </c>
      <c r="X28" s="23">
        <v>75629.791064575722</v>
      </c>
      <c r="Y28" s="23">
        <v>70858.82939025652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149510.46634870162</v>
      </c>
      <c r="E29" s="23">
        <v>154804.80672225982</v>
      </c>
      <c r="F29" s="23">
        <v>164050.59531176515</v>
      </c>
      <c r="G29" s="23">
        <v>169760.85189788698</v>
      </c>
      <c r="H29" s="23">
        <v>177674.71217345566</v>
      </c>
      <c r="I29" s="23">
        <v>180597.70141310329</v>
      </c>
      <c r="J29" s="23">
        <v>188939.01694225156</v>
      </c>
      <c r="K29" s="23">
        <v>190485.67554756999</v>
      </c>
      <c r="L29" s="23">
        <v>191849.16645183467</v>
      </c>
      <c r="M29" s="23">
        <v>192677.58067063222</v>
      </c>
      <c r="N29" s="23">
        <v>194585.16480620645</v>
      </c>
      <c r="O29" s="23">
        <v>199093.47882566901</v>
      </c>
      <c r="P29" s="23">
        <v>201203.16817850282</v>
      </c>
      <c r="Q29" s="23">
        <v>199817.16050260546</v>
      </c>
      <c r="R29" s="23">
        <v>200626.99813423428</v>
      </c>
      <c r="S29" s="23">
        <v>205209.60000000001</v>
      </c>
      <c r="T29" s="23">
        <v>205396.73735402781</v>
      </c>
      <c r="U29" s="23">
        <v>206282.97951875973</v>
      </c>
      <c r="V29" s="23">
        <v>206628.65260924987</v>
      </c>
      <c r="W29" s="23">
        <v>209183.47464575435</v>
      </c>
      <c r="X29" s="23">
        <v>201278.72269863079</v>
      </c>
      <c r="Y29" s="23">
        <v>203061.50071905932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102497.74774774775</v>
      </c>
      <c r="E30" s="23">
        <v>99726.716640913321</v>
      </c>
      <c r="F30" s="23">
        <v>100269.80865863015</v>
      </c>
      <c r="G30" s="23">
        <v>104566.8801988718</v>
      </c>
      <c r="H30" s="23">
        <v>104656.41984688211</v>
      </c>
      <c r="I30" s="23">
        <v>104750.98641952651</v>
      </c>
      <c r="J30" s="23">
        <v>103221.85527833698</v>
      </c>
      <c r="K30" s="23">
        <v>103389.8080887135</v>
      </c>
      <c r="L30" s="23">
        <v>104196.2060668557</v>
      </c>
      <c r="M30" s="23">
        <v>99952.939937884948</v>
      </c>
      <c r="N30" s="23">
        <v>101559.72973257861</v>
      </c>
      <c r="O30" s="23">
        <v>99034.658352818922</v>
      </c>
      <c r="P30" s="23">
        <v>96641.36096072651</v>
      </c>
      <c r="Q30" s="23">
        <v>94816.906558859075</v>
      </c>
      <c r="R30" s="23">
        <v>95011.950985830248</v>
      </c>
      <c r="S30" s="23">
        <v>95849.099999999991</v>
      </c>
      <c r="T30" s="23">
        <v>96484.682204019366</v>
      </c>
      <c r="U30" s="23">
        <v>98094.8118126193</v>
      </c>
      <c r="V30" s="23">
        <v>100564.66444161175</v>
      </c>
      <c r="W30" s="23">
        <v>97633.378669058846</v>
      </c>
      <c r="X30" s="23">
        <v>97655.374994077778</v>
      </c>
      <c r="Y30" s="23">
        <v>101804.13388602206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34651.695813460516</v>
      </c>
      <c r="E31" s="23">
        <v>37023.126923518968</v>
      </c>
      <c r="F31" s="23">
        <v>38181.390628480905</v>
      </c>
      <c r="G31" s="23">
        <v>39643.01080409217</v>
      </c>
      <c r="H31" s="23">
        <v>39907.427970311495</v>
      </c>
      <c r="I31" s="23">
        <v>41699.279684345755</v>
      </c>
      <c r="J31" s="23">
        <v>42418.285869393105</v>
      </c>
      <c r="K31" s="23">
        <v>43776.606884996523</v>
      </c>
      <c r="L31" s="23">
        <v>44268.819283320445</v>
      </c>
      <c r="M31" s="23">
        <v>41978.101805548242</v>
      </c>
      <c r="N31" s="23">
        <v>43858.583942067475</v>
      </c>
      <c r="O31" s="23">
        <v>46552.143413873739</v>
      </c>
      <c r="P31" s="23">
        <v>45172.12331651993</v>
      </c>
      <c r="Q31" s="23">
        <v>44587.950877121701</v>
      </c>
      <c r="R31" s="23">
        <v>45812.51575815642</v>
      </c>
      <c r="S31" s="23">
        <v>46505.7</v>
      </c>
      <c r="T31" s="23">
        <v>47676.231416091359</v>
      </c>
      <c r="U31" s="23">
        <v>50657.22942530545</v>
      </c>
      <c r="V31" s="23">
        <v>54020.375794257023</v>
      </c>
      <c r="W31" s="23">
        <v>54404.028127441612</v>
      </c>
      <c r="X31" s="23">
        <v>48914.293836168101</v>
      </c>
      <c r="Y31" s="23">
        <v>54857.457067929958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93676.470588235272</v>
      </c>
      <c r="E32" s="23">
        <v>94895.603202778817</v>
      </c>
      <c r="F32" s="23">
        <v>96483.82385702616</v>
      </c>
      <c r="G32" s="23">
        <v>100109.95315039677</v>
      </c>
      <c r="H32" s="23">
        <v>103262.22897551284</v>
      </c>
      <c r="I32" s="23">
        <v>104245.04496237844</v>
      </c>
      <c r="J32" s="23">
        <v>106439.86518582189</v>
      </c>
      <c r="K32" s="23">
        <v>104758.65033785645</v>
      </c>
      <c r="L32" s="23">
        <v>107020.70980493253</v>
      </c>
      <c r="M32" s="23">
        <v>106558.93035742489</v>
      </c>
      <c r="N32" s="23">
        <v>109063.02374853745</v>
      </c>
      <c r="O32" s="23">
        <v>109111.87321382177</v>
      </c>
      <c r="P32" s="23">
        <v>105882.29251204504</v>
      </c>
      <c r="Q32" s="23">
        <v>103532.96697715524</v>
      </c>
      <c r="R32" s="23">
        <v>101567.24320508294</v>
      </c>
      <c r="S32" s="23">
        <v>100181.99999999997</v>
      </c>
      <c r="T32" s="23">
        <v>100371.43055239152</v>
      </c>
      <c r="U32" s="23">
        <v>99926.220315973769</v>
      </c>
      <c r="V32" s="23">
        <v>101010.0322081562</v>
      </c>
      <c r="W32" s="23">
        <v>99188.779890229678</v>
      </c>
      <c r="X32" s="23">
        <v>97031.411380110891</v>
      </c>
      <c r="Y32" s="23">
        <v>97233.830565190045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67779.941706412297</v>
      </c>
      <c r="E33" s="23">
        <v>69402.47998263246</v>
      </c>
      <c r="F33" s="23">
        <v>70690.239857422217</v>
      </c>
      <c r="G33" s="23">
        <v>71335.930777320973</v>
      </c>
      <c r="H33" s="23">
        <v>68569.92577873882</v>
      </c>
      <c r="I33" s="23">
        <v>70609.171407597722</v>
      </c>
      <c r="J33" s="23">
        <v>71941.459883734075</v>
      </c>
      <c r="K33" s="23">
        <v>72776.816322931249</v>
      </c>
      <c r="L33" s="23">
        <v>69398.900060152955</v>
      </c>
      <c r="M33" s="23">
        <v>69446.333631626054</v>
      </c>
      <c r="N33" s="23">
        <v>68168.632535390905</v>
      </c>
      <c r="O33" s="23">
        <v>65331.254871395169</v>
      </c>
      <c r="P33" s="23">
        <v>64059.048930072015</v>
      </c>
      <c r="Q33" s="23">
        <v>63452.82233079728</v>
      </c>
      <c r="R33" s="23">
        <v>63271.847108063135</v>
      </c>
      <c r="S33" s="23">
        <v>62281.3</v>
      </c>
      <c r="T33" s="23">
        <v>62261.467299254167</v>
      </c>
      <c r="U33" s="23">
        <v>62882.031203887702</v>
      </c>
      <c r="V33" s="23">
        <v>64598.273798519003</v>
      </c>
      <c r="W33" s="23">
        <v>64311.620414580735</v>
      </c>
      <c r="X33" s="23">
        <v>62455.583455725588</v>
      </c>
      <c r="Y33" s="23">
        <v>65622.855746364759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74728.537360890303</v>
      </c>
      <c r="E34" s="23">
        <v>76493.544638410356</v>
      </c>
      <c r="F34" s="23">
        <v>76895.839005915986</v>
      </c>
      <c r="G34" s="23">
        <v>76812.792810020081</v>
      </c>
      <c r="H34" s="23">
        <v>81126.526795628539</v>
      </c>
      <c r="I34" s="23">
        <v>84661.405762525232</v>
      </c>
      <c r="J34" s="23">
        <v>87547.558189508913</v>
      </c>
      <c r="K34" s="23">
        <v>85210.815815870985</v>
      </c>
      <c r="L34" s="23">
        <v>88931.747873163171</v>
      </c>
      <c r="M34" s="23">
        <v>89316.102542506706</v>
      </c>
      <c r="N34" s="23">
        <v>91552.034911298731</v>
      </c>
      <c r="O34" s="23">
        <v>91370.433878929602</v>
      </c>
      <c r="P34" s="23">
        <v>90288.567231336609</v>
      </c>
      <c r="Q34" s="23">
        <v>89418.976708279573</v>
      </c>
      <c r="R34" s="23">
        <v>91063.284756189809</v>
      </c>
      <c r="S34" s="23">
        <v>90695.1</v>
      </c>
      <c r="T34" s="23">
        <v>90418.280326066495</v>
      </c>
      <c r="U34" s="23">
        <v>91118.795128573402</v>
      </c>
      <c r="V34" s="23">
        <v>91005.945372631817</v>
      </c>
      <c r="W34" s="23">
        <v>90636.147042085053</v>
      </c>
      <c r="X34" s="23">
        <v>87512.104988866253</v>
      </c>
      <c r="Y34" s="23">
        <v>92578.932032446974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13417.991520932697</v>
      </c>
      <c r="E35" s="23">
        <v>13760.838750047888</v>
      </c>
      <c r="F35" s="23">
        <v>14241.936681601028</v>
      </c>
      <c r="G35" s="23">
        <v>14348.766612486854</v>
      </c>
      <c r="H35" s="23">
        <v>14609.081877155048</v>
      </c>
      <c r="I35" s="23">
        <v>14653.606166269041</v>
      </c>
      <c r="J35" s="23">
        <v>15137.18926010541</v>
      </c>
      <c r="K35" s="23">
        <v>16086.156152514912</v>
      </c>
      <c r="L35" s="23">
        <v>16486.637449514485</v>
      </c>
      <c r="M35" s="23">
        <v>16261.093856924777</v>
      </c>
      <c r="N35" s="23">
        <v>17499.499309574254</v>
      </c>
      <c r="O35" s="23">
        <v>17882.359054299817</v>
      </c>
      <c r="P35" s="23">
        <v>16549.31530772629</v>
      </c>
      <c r="Q35" s="23">
        <v>15997.23709203937</v>
      </c>
      <c r="R35" s="23">
        <v>16464.323533861134</v>
      </c>
      <c r="S35" s="23">
        <v>16594.8</v>
      </c>
      <c r="T35" s="23">
        <v>17488.535176949517</v>
      </c>
      <c r="U35" s="23">
        <v>17640.230586105805</v>
      </c>
      <c r="V35" s="23">
        <v>17501.38660491004</v>
      </c>
      <c r="W35" s="23">
        <v>18211.843234848697</v>
      </c>
      <c r="X35" s="23">
        <v>13649.594921116219</v>
      </c>
      <c r="Y35" s="23">
        <v>14133.886022051152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28033.253842077371</v>
      </c>
      <c r="E36" s="23">
        <v>28145.248828329524</v>
      </c>
      <c r="F36" s="23">
        <v>26250.154706799673</v>
      </c>
      <c r="G36" s="23">
        <v>25482.47920451286</v>
      </c>
      <c r="H36" s="23">
        <v>25824.791070071882</v>
      </c>
      <c r="I36" s="23">
        <v>25902.917966599376</v>
      </c>
      <c r="J36" s="23">
        <v>26103.847632834942</v>
      </c>
      <c r="K36" s="23">
        <v>25395.341659409827</v>
      </c>
      <c r="L36" s="23">
        <v>25700.03007648019</v>
      </c>
      <c r="M36" s="23">
        <v>26395.536137284835</v>
      </c>
      <c r="N36" s="23">
        <v>26920.595768902382</v>
      </c>
      <c r="O36" s="23">
        <v>28446.557547414915</v>
      </c>
      <c r="P36" s="23">
        <v>27387.793678025126</v>
      </c>
      <c r="Q36" s="23">
        <v>27169.847735329669</v>
      </c>
      <c r="R36" s="23">
        <v>27041.904089556756</v>
      </c>
      <c r="S36" s="23">
        <v>26770.799999999999</v>
      </c>
      <c r="T36" s="23">
        <v>26287.576390883609</v>
      </c>
      <c r="U36" s="23">
        <v>27233.261849017257</v>
      </c>
      <c r="V36" s="23">
        <v>26915.801457638001</v>
      </c>
      <c r="W36" s="23">
        <v>25952.098465337462</v>
      </c>
      <c r="X36" s="23">
        <v>22005.211541194865</v>
      </c>
      <c r="Y36" s="23">
        <v>23497.542039120588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13843.402225755166</v>
      </c>
      <c r="E37" s="23">
        <v>14154.54557063864</v>
      </c>
      <c r="F37" s="23">
        <v>14880.318819772767</v>
      </c>
      <c r="G37" s="23">
        <v>14881.919877617363</v>
      </c>
      <c r="H37" s="23">
        <v>15639.062591315527</v>
      </c>
      <c r="I37" s="23">
        <v>16215.131216737016</v>
      </c>
      <c r="J37" s="23">
        <v>16782.781786514057</v>
      </c>
      <c r="K37" s="23">
        <v>17403.190070437286</v>
      </c>
      <c r="L37" s="23">
        <v>18158.674916215517</v>
      </c>
      <c r="M37" s="23">
        <v>18687.161130704848</v>
      </c>
      <c r="N37" s="23">
        <v>18978.802348501617</v>
      </c>
      <c r="O37" s="23">
        <v>18777.656534164718</v>
      </c>
      <c r="P37" s="23">
        <v>18964.691862794447</v>
      </c>
      <c r="Q37" s="23">
        <v>19060.611293386286</v>
      </c>
      <c r="R37" s="23">
        <v>19118.148353587814</v>
      </c>
      <c r="S37" s="23">
        <v>18841.7</v>
      </c>
      <c r="T37" s="23">
        <v>18264.577411079525</v>
      </c>
      <c r="U37" s="23">
        <v>17808.743384421665</v>
      </c>
      <c r="V37" s="23">
        <v>17571.933170508615</v>
      </c>
      <c r="W37" s="23">
        <v>17387.890538337626</v>
      </c>
      <c r="X37" s="23">
        <v>16756.431515610937</v>
      </c>
      <c r="Y37" s="23">
        <v>16957.768190320428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1473841.9448860618</v>
      </c>
      <c r="E39" s="30">
        <f t="shared" ref="E39:S39" si="2">SUM(E18:E38)</f>
        <v>1501113.3104320178</v>
      </c>
      <c r="F39" s="30">
        <f t="shared" si="2"/>
        <v>1506596.5741726272</v>
      </c>
      <c r="G39" s="30">
        <f t="shared" si="2"/>
        <v>1507646.7635529209</v>
      </c>
      <c r="H39" s="30">
        <f t="shared" si="2"/>
        <v>1531521.2436444389</v>
      </c>
      <c r="I39" s="30">
        <f t="shared" si="2"/>
        <v>1543982.0379886217</v>
      </c>
      <c r="J39" s="30">
        <f t="shared" si="2"/>
        <v>1573419.213282363</v>
      </c>
      <c r="K39" s="30">
        <f t="shared" si="2"/>
        <v>1598029.9606477153</v>
      </c>
      <c r="L39" s="30">
        <f t="shared" si="2"/>
        <v>1586823.7088596714</v>
      </c>
      <c r="M39" s="30">
        <f t="shared" si="2"/>
        <v>1500402.0634837083</v>
      </c>
      <c r="N39" s="30">
        <f t="shared" si="2"/>
        <v>1527822.9980288609</v>
      </c>
      <c r="O39" s="30">
        <f t="shared" si="2"/>
        <v>1538970.9534944145</v>
      </c>
      <c r="P39" s="30">
        <f t="shared" si="2"/>
        <v>1497803.3346003303</v>
      </c>
      <c r="Q39" s="30">
        <f t="shared" si="2"/>
        <v>1474411.9170721299</v>
      </c>
      <c r="R39" s="30">
        <f t="shared" si="2"/>
        <v>1475210.1255609901</v>
      </c>
      <c r="S39" s="30">
        <f t="shared" si="2"/>
        <v>1488049.0000000002</v>
      </c>
      <c r="T39" s="30">
        <f t="shared" ref="T39:Y39" si="3">SUM(T18:T38)</f>
        <v>1508259.4269074199</v>
      </c>
      <c r="U39" s="30">
        <f t="shared" si="3"/>
        <v>1532449.092018022</v>
      </c>
      <c r="V39" s="30">
        <f t="shared" si="3"/>
        <v>1546746.7816170242</v>
      </c>
      <c r="W39" s="30">
        <f t="shared" si="3"/>
        <v>1554309.787693762</v>
      </c>
      <c r="X39" s="30">
        <f t="shared" si="3"/>
        <v>1424040.1762448479</v>
      </c>
      <c r="Y39" s="30">
        <f t="shared" si="3"/>
        <v>1538963.1446860104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29063.195548489664</v>
      </c>
      <c r="E41" s="19">
        <v>28337.568799724162</v>
      </c>
      <c r="F41" s="19">
        <v>29414.589470036386</v>
      </c>
      <c r="G41" s="19">
        <v>28513.720240940816</v>
      </c>
      <c r="H41" s="19">
        <v>28515.224124831977</v>
      </c>
      <c r="I41" s="19">
        <v>27397.228849330153</v>
      </c>
      <c r="J41" s="19">
        <v>26990.997308240403</v>
      </c>
      <c r="K41" s="19">
        <v>27431.298845886751</v>
      </c>
      <c r="L41" s="19">
        <v>27005.564148835609</v>
      </c>
      <c r="M41" s="19">
        <v>26290.888034952888</v>
      </c>
      <c r="N41" s="19">
        <v>26917.328105071203</v>
      </c>
      <c r="O41" s="19">
        <v>26108.080020784622</v>
      </c>
      <c r="P41" s="19">
        <v>25029.432008464912</v>
      </c>
      <c r="Q41" s="19">
        <v>25045.76066309791</v>
      </c>
      <c r="R41" s="19">
        <v>25531.037264888306</v>
      </c>
      <c r="S41" s="19">
        <v>26972.9</v>
      </c>
      <c r="T41" s="19">
        <v>27648.200790404215</v>
      </c>
      <c r="U41" s="19">
        <v>27870.816691915716</v>
      </c>
      <c r="V41" s="19">
        <v>28709.727641603986</v>
      </c>
      <c r="W41" s="19">
        <v>29184.535694649418</v>
      </c>
      <c r="X41" s="19">
        <v>27790.875065144264</v>
      </c>
      <c r="Y41" s="19">
        <v>29534.256361089963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36078.166401695809</v>
      </c>
      <c r="E42" s="23">
        <v>36985.965494783355</v>
      </c>
      <c r="F42" s="23">
        <v>34697.64103071858</v>
      </c>
      <c r="G42" s="23">
        <v>32036.284539630942</v>
      </c>
      <c r="H42" s="23">
        <v>30058.091286307052</v>
      </c>
      <c r="I42" s="23">
        <v>28538.608001468161</v>
      </c>
      <c r="J42" s="23">
        <v>28010.586079757515</v>
      </c>
      <c r="K42" s="23">
        <v>28601.285287536241</v>
      </c>
      <c r="L42" s="23">
        <v>27248.216894388588</v>
      </c>
      <c r="M42" s="23">
        <v>22747.907564352266</v>
      </c>
      <c r="N42" s="23">
        <v>23933.740210184569</v>
      </c>
      <c r="O42" s="23">
        <v>24957.651338009873</v>
      </c>
      <c r="P42" s="23">
        <v>23385.143256320433</v>
      </c>
      <c r="Q42" s="23">
        <v>23514.276717421555</v>
      </c>
      <c r="R42" s="23">
        <v>23897.735868085321</v>
      </c>
      <c r="S42" s="23">
        <v>24021.8</v>
      </c>
      <c r="T42" s="23">
        <v>24058.8940283872</v>
      </c>
      <c r="U42" s="23">
        <v>24706.356857575698</v>
      </c>
      <c r="V42" s="23">
        <v>25142.601368116844</v>
      </c>
      <c r="W42" s="23">
        <v>25137.405831910561</v>
      </c>
      <c r="X42" s="23">
        <v>19487.847633486523</v>
      </c>
      <c r="Y42" s="23">
        <v>23452.800571487656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22558.161102278751</v>
      </c>
      <c r="E43" s="23">
        <v>23289.871914388237</v>
      </c>
      <c r="F43" s="23">
        <v>22503.898611351764</v>
      </c>
      <c r="G43" s="23">
        <v>20966.990152022183</v>
      </c>
      <c r="H43" s="23">
        <v>20869.265384840161</v>
      </c>
      <c r="I43" s="23">
        <v>19855.822169205356</v>
      </c>
      <c r="J43" s="23">
        <v>19996.15462914791</v>
      </c>
      <c r="K43" s="23">
        <v>19997.023776717113</v>
      </c>
      <c r="L43" s="23">
        <v>18734.102431898256</v>
      </c>
      <c r="M43" s="23">
        <v>16479.128283413171</v>
      </c>
      <c r="N43" s="23">
        <v>16605.95136451317</v>
      </c>
      <c r="O43" s="23">
        <v>16449.155624837622</v>
      </c>
      <c r="P43" s="23">
        <v>15159.795773707405</v>
      </c>
      <c r="Q43" s="23">
        <v>14313.894786026998</v>
      </c>
      <c r="R43" s="23">
        <v>14414.905955322474</v>
      </c>
      <c r="S43" s="23">
        <v>14076.9</v>
      </c>
      <c r="T43" s="23">
        <v>14886.540347262804</v>
      </c>
      <c r="U43" s="23">
        <v>14913.038345761111</v>
      </c>
      <c r="V43" s="23">
        <v>14873.74597398048</v>
      </c>
      <c r="W43" s="23">
        <v>14660.609042065766</v>
      </c>
      <c r="X43" s="23">
        <v>13019.282702420998</v>
      </c>
      <c r="Y43" s="23">
        <v>14028.987959281505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4240.7260201377849</v>
      </c>
      <c r="E44" s="23">
        <v>3893.9047594723334</v>
      </c>
      <c r="F44" s="23">
        <v>2891.5319686130847</v>
      </c>
      <c r="G44" s="23">
        <v>3207.2855913567264</v>
      </c>
      <c r="H44" s="23">
        <v>3665.4783472619947</v>
      </c>
      <c r="I44" s="23">
        <v>4789.9844008074888</v>
      </c>
      <c r="J44" s="23">
        <v>4758.8726277454816</v>
      </c>
      <c r="K44" s="23">
        <v>5504.9107684167602</v>
      </c>
      <c r="L44" s="23">
        <v>5229.0109134656695</v>
      </c>
      <c r="M44" s="23">
        <v>2154.5507185345054</v>
      </c>
      <c r="N44" s="23">
        <v>2635.9506266535959</v>
      </c>
      <c r="O44" s="23">
        <v>2954.5336451026242</v>
      </c>
      <c r="P44" s="23">
        <v>2326.3100582476395</v>
      </c>
      <c r="Q44" s="23">
        <v>1528.2334657226731</v>
      </c>
      <c r="R44" s="23">
        <v>-215.319449346982</v>
      </c>
      <c r="S44" s="23">
        <v>2418.1999999999998</v>
      </c>
      <c r="T44" s="23">
        <v>2473.8265270748111</v>
      </c>
      <c r="U44" s="23">
        <v>2818.6790485371948</v>
      </c>
      <c r="V44" s="23">
        <v>1773.0054783057146</v>
      </c>
      <c r="W44" s="23">
        <v>1874.2946436322595</v>
      </c>
      <c r="X44" s="23">
        <v>-179.65603828113896</v>
      </c>
      <c r="Y44" s="23">
        <v>2889.490454840256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13295.045045045044</v>
      </c>
      <c r="E45" s="23">
        <v>11901.490288224553</v>
      </c>
      <c r="F45" s="23">
        <v>12176.291492363673</v>
      </c>
      <c r="G45" s="23">
        <v>11017.664212639833</v>
      </c>
      <c r="H45" s="23">
        <v>11068.20174156975</v>
      </c>
      <c r="I45" s="23">
        <v>10834.212699577905</v>
      </c>
      <c r="J45" s="23">
        <v>10823.135560632451</v>
      </c>
      <c r="K45" s="23">
        <v>11086.9828812046</v>
      </c>
      <c r="L45" s="23">
        <v>10003.007648019249</v>
      </c>
      <c r="M45" s="23">
        <v>8887.8243933252616</v>
      </c>
      <c r="N45" s="23">
        <v>10319.598604391318</v>
      </c>
      <c r="O45" s="23">
        <v>10024.421927773448</v>
      </c>
      <c r="P45" s="23">
        <v>9819.1960387495747</v>
      </c>
      <c r="Q45" s="23">
        <v>9952.4617306774198</v>
      </c>
      <c r="R45" s="23">
        <v>9957.6420755382987</v>
      </c>
      <c r="S45" s="23">
        <v>10896.2</v>
      </c>
      <c r="T45" s="23">
        <v>11905.587305989442</v>
      </c>
      <c r="U45" s="23">
        <v>11959.194916087907</v>
      </c>
      <c r="V45" s="23">
        <v>11965.670581595617</v>
      </c>
      <c r="W45" s="23">
        <v>11463.282885281322</v>
      </c>
      <c r="X45" s="23">
        <v>11510.967925332829</v>
      </c>
      <c r="Y45" s="23">
        <v>12565.96076662061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9554.7164811870698</v>
      </c>
      <c r="E46" s="23">
        <v>9984.5479969862208</v>
      </c>
      <c r="F46" s="23">
        <v>10336.270699769797</v>
      </c>
      <c r="G46" s="23">
        <v>10120.828951142556</v>
      </c>
      <c r="H46" s="23">
        <v>9622.3481970662142</v>
      </c>
      <c r="I46" s="23">
        <v>8968.2739952284828</v>
      </c>
      <c r="J46" s="23">
        <v>8778.7554570336342</v>
      </c>
      <c r="K46" s="23">
        <v>8637.6613498826046</v>
      </c>
      <c r="L46" s="23">
        <v>8856.4492566812751</v>
      </c>
      <c r="M46" s="23">
        <v>8457.6512080854864</v>
      </c>
      <c r="N46" s="23">
        <v>8788.7508037398929</v>
      </c>
      <c r="O46" s="23">
        <v>8900.701480904132</v>
      </c>
      <c r="P46" s="23">
        <v>8722.0447284345028</v>
      </c>
      <c r="Q46" s="23">
        <v>8782.3905248509345</v>
      </c>
      <c r="R46" s="23">
        <v>8256.0637385910941</v>
      </c>
      <c r="S46" s="23">
        <v>8888.5</v>
      </c>
      <c r="T46" s="23">
        <v>9198.0071512762352</v>
      </c>
      <c r="U46" s="23">
        <v>9056.6037735849059</v>
      </c>
      <c r="V46" s="23">
        <v>8932.4601776800373</v>
      </c>
      <c r="W46" s="23">
        <v>9748.5314118702427</v>
      </c>
      <c r="X46" s="23">
        <v>9925.6170938551186</v>
      </c>
      <c r="Y46" s="23">
        <v>9570.6323022116958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29741.123476417593</v>
      </c>
      <c r="E47" s="23">
        <v>29593.522928984636</v>
      </c>
      <c r="F47" s="23">
        <v>31242.2337186564</v>
      </c>
      <c r="G47" s="23">
        <v>28891.86346687064</v>
      </c>
      <c r="H47" s="23">
        <v>28588.977850505522</v>
      </c>
      <c r="I47" s="23">
        <v>28283.285924022759</v>
      </c>
      <c r="J47" s="23">
        <v>27782.01271234364</v>
      </c>
      <c r="K47" s="23">
        <v>28255.933156229679</v>
      </c>
      <c r="L47" s="23">
        <v>25793.481997078285</v>
      </c>
      <c r="M47" s="23">
        <v>22672.948360267412</v>
      </c>
      <c r="N47" s="23">
        <v>23079.193414076253</v>
      </c>
      <c r="O47" s="23">
        <v>22300.961288646402</v>
      </c>
      <c r="P47" s="23">
        <v>21176.253043362129</v>
      </c>
      <c r="Q47" s="23">
        <v>20732.576919560775</v>
      </c>
      <c r="R47" s="23">
        <v>20773.132973627147</v>
      </c>
      <c r="S47" s="23">
        <v>21422.3</v>
      </c>
      <c r="T47" s="23">
        <v>22230.168084705976</v>
      </c>
      <c r="U47" s="23">
        <v>22699.352706238809</v>
      </c>
      <c r="V47" s="23">
        <v>23243.390516595471</v>
      </c>
      <c r="W47" s="23">
        <v>22810.525605039016</v>
      </c>
      <c r="X47" s="23">
        <v>21182.167053584119</v>
      </c>
      <c r="Y47" s="23">
        <v>24328.64299880627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40734.896661367246</v>
      </c>
      <c r="E48" s="23">
        <v>40354.119044274456</v>
      </c>
      <c r="F48" s="23">
        <v>39612.737939057894</v>
      </c>
      <c r="G48" s="23">
        <v>40082.584377091502</v>
      </c>
      <c r="H48" s="23">
        <v>40453.626322248841</v>
      </c>
      <c r="I48" s="23">
        <v>41052.945494586165</v>
      </c>
      <c r="J48" s="23">
        <v>44282.838336085406</v>
      </c>
      <c r="K48" s="23">
        <v>47858.882924194491</v>
      </c>
      <c r="L48" s="23">
        <v>45894.667869725876</v>
      </c>
      <c r="M48" s="23">
        <v>34793.283149971052</v>
      </c>
      <c r="N48" s="23">
        <v>38285.741390759897</v>
      </c>
      <c r="O48" s="23">
        <v>39252.377240841779</v>
      </c>
      <c r="P48" s="23">
        <v>36467.234418499538</v>
      </c>
      <c r="Q48" s="23">
        <v>35171.81833880159</v>
      </c>
      <c r="R48" s="23">
        <v>36204.326559427158</v>
      </c>
      <c r="S48" s="23">
        <v>36275.199999999997</v>
      </c>
      <c r="T48" s="23">
        <v>38057.071542476806</v>
      </c>
      <c r="U48" s="23">
        <v>39498.494894445874</v>
      </c>
      <c r="V48" s="23">
        <v>42119.510747404369</v>
      </c>
      <c r="W48" s="23">
        <v>40903.917199602583</v>
      </c>
      <c r="X48" s="23">
        <v>36608.139479793434</v>
      </c>
      <c r="Y48" s="23">
        <v>45862.354190752805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9486.6189719130889</v>
      </c>
      <c r="E49" s="23">
        <v>10011.237820373657</v>
      </c>
      <c r="F49" s="23">
        <v>9655.5607812074559</v>
      </c>
      <c r="G49" s="23">
        <v>9080.696051247729</v>
      </c>
      <c r="H49" s="23">
        <v>9310.5020162468572</v>
      </c>
      <c r="I49" s="23">
        <v>9341.7370159662332</v>
      </c>
      <c r="J49" s="23">
        <v>9416.5215227668559</v>
      </c>
      <c r="K49" s="23">
        <v>9521.1587429314695</v>
      </c>
      <c r="L49" s="23">
        <v>8826.0505284867249</v>
      </c>
      <c r="M49" s="23">
        <v>7745.1176501552882</v>
      </c>
      <c r="N49" s="23">
        <v>8532.1864887371012</v>
      </c>
      <c r="O49" s="23">
        <v>8871.9147830605361</v>
      </c>
      <c r="P49" s="23">
        <v>8576.8879118169771</v>
      </c>
      <c r="Q49" s="23">
        <v>8072.3638099688151</v>
      </c>
      <c r="R49" s="23">
        <v>8076.8493772376578</v>
      </c>
      <c r="S49" s="23">
        <v>8317.1</v>
      </c>
      <c r="T49" s="23">
        <v>7992.2940541397174</v>
      </c>
      <c r="U49" s="23">
        <v>8170.657327798217</v>
      </c>
      <c r="V49" s="23">
        <v>8225.5349375784517</v>
      </c>
      <c r="W49" s="23">
        <v>8441.4156321439932</v>
      </c>
      <c r="X49" s="23">
        <v>8527.5027242147153</v>
      </c>
      <c r="Y49" s="23">
        <v>9780.5224224308913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12189.984101748807</v>
      </c>
      <c r="E50" s="23">
        <v>11743.266885463621</v>
      </c>
      <c r="F50" s="23">
        <v>11976.410307185823</v>
      </c>
      <c r="G50" s="23">
        <v>11736.781719093604</v>
      </c>
      <c r="H50" s="23">
        <v>12188.767459528957</v>
      </c>
      <c r="I50" s="23">
        <v>12266.012112314187</v>
      </c>
      <c r="J50" s="23">
        <v>12746.951978104005</v>
      </c>
      <c r="K50" s="23">
        <v>13041.149042648178</v>
      </c>
      <c r="L50" s="23">
        <v>12692.382057231245</v>
      </c>
      <c r="M50" s="23">
        <v>10739.906300994893</v>
      </c>
      <c r="N50" s="23">
        <v>11751.256996489896</v>
      </c>
      <c r="O50" s="23">
        <v>11713.380098726942</v>
      </c>
      <c r="P50" s="23">
        <v>11278.468919182684</v>
      </c>
      <c r="Q50" s="23">
        <v>11023.19014291954</v>
      </c>
      <c r="R50" s="23">
        <v>10317.88613786496</v>
      </c>
      <c r="S50" s="23">
        <v>10783.7</v>
      </c>
      <c r="T50" s="23">
        <v>11027.723576430502</v>
      </c>
      <c r="U50" s="23">
        <v>11075.904538926161</v>
      </c>
      <c r="V50" s="23">
        <v>10970.915353851842</v>
      </c>
      <c r="W50" s="23">
        <v>11047.158800435995</v>
      </c>
      <c r="X50" s="23">
        <v>10284.360638650685</v>
      </c>
      <c r="Y50" s="23">
        <v>11457.011533147224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33565.977742448325</v>
      </c>
      <c r="E51" s="23">
        <v>33030.891235777133</v>
      </c>
      <c r="F51" s="23">
        <v>31378.746998688086</v>
      </c>
      <c r="G51" s="23">
        <v>31323.262262166558</v>
      </c>
      <c r="H51" s="23">
        <v>32302.144819122201</v>
      </c>
      <c r="I51" s="23">
        <v>32544.962378418059</v>
      </c>
      <c r="J51" s="23">
        <v>34881.924495012325</v>
      </c>
      <c r="K51" s="23">
        <v>36742.909423604768</v>
      </c>
      <c r="L51" s="23">
        <v>36239.688063933994</v>
      </c>
      <c r="M51" s="23">
        <v>28863.715323472126</v>
      </c>
      <c r="N51" s="23">
        <v>31510.925592132309</v>
      </c>
      <c r="O51" s="23">
        <v>33163.834762275917</v>
      </c>
      <c r="P51" s="23">
        <v>32897.075290467728</v>
      </c>
      <c r="Q51" s="23">
        <v>33343.017054862001</v>
      </c>
      <c r="R51" s="23">
        <v>34597.145882708894</v>
      </c>
      <c r="S51" s="23">
        <v>34838.199999999997</v>
      </c>
      <c r="T51" s="23">
        <v>35866.027475956056</v>
      </c>
      <c r="U51" s="23">
        <v>37215.3579790269</v>
      </c>
      <c r="V51" s="23">
        <v>37774.231528963006</v>
      </c>
      <c r="W51" s="23">
        <v>37921.308755582562</v>
      </c>
      <c r="X51" s="23">
        <v>33408.25318614678</v>
      </c>
      <c r="Y51" s="23">
        <v>37727.77260807038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23827.371489136196</v>
      </c>
      <c r="E52" s="23">
        <v>21826.784323240579</v>
      </c>
      <c r="F52" s="23">
        <v>20584.296641005963</v>
      </c>
      <c r="G52" s="23">
        <v>19206.425088440577</v>
      </c>
      <c r="H52" s="23">
        <v>20168.546549003564</v>
      </c>
      <c r="I52" s="23">
        <v>19205.473481372726</v>
      </c>
      <c r="J52" s="23">
        <v>20944.377841615955</v>
      </c>
      <c r="K52" s="23">
        <v>22130.09402660964</v>
      </c>
      <c r="L52" s="23">
        <v>21268.045888115492</v>
      </c>
      <c r="M52" s="23">
        <v>16718.429225667212</v>
      </c>
      <c r="N52" s="23">
        <v>17974.891692755271</v>
      </c>
      <c r="O52" s="23">
        <v>17371.26526370486</v>
      </c>
      <c r="P52" s="23">
        <v>15638.720811974154</v>
      </c>
      <c r="Q52" s="23">
        <v>15562.282243237478</v>
      </c>
      <c r="R52" s="23">
        <v>17054.611466895265</v>
      </c>
      <c r="S52" s="23">
        <v>18168.400000000001</v>
      </c>
      <c r="T52" s="23">
        <v>20999.990095185269</v>
      </c>
      <c r="U52" s="23">
        <v>22539.791842918134</v>
      </c>
      <c r="V52" s="23">
        <v>22479.054967937802</v>
      </c>
      <c r="W52" s="23">
        <v>21744.557301463283</v>
      </c>
      <c r="X52" s="23">
        <v>18081.868574406595</v>
      </c>
      <c r="Y52" s="23">
        <v>22059.51743131339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24712.904080550885</v>
      </c>
      <c r="E53" s="23">
        <v>24541.867266017012</v>
      </c>
      <c r="F53" s="23">
        <v>24387.361073293519</v>
      </c>
      <c r="G53" s="23">
        <v>22688.235012907535</v>
      </c>
      <c r="H53" s="23">
        <v>23030.798901291506</v>
      </c>
      <c r="I53" s="23">
        <v>23303.473114332912</v>
      </c>
      <c r="J53" s="23">
        <v>24629.147911058943</v>
      </c>
      <c r="K53" s="23">
        <v>25204.75313881351</v>
      </c>
      <c r="L53" s="23">
        <v>24354.429835868243</v>
      </c>
      <c r="M53" s="23">
        <v>21170.290045796719</v>
      </c>
      <c r="N53" s="23">
        <v>21339.004311208118</v>
      </c>
      <c r="O53" s="23">
        <v>21480.592361652525</v>
      </c>
      <c r="P53" s="23">
        <v>20631.478380571643</v>
      </c>
      <c r="Q53" s="23">
        <v>20339.167267666839</v>
      </c>
      <c r="R53" s="23">
        <v>20522.515253895253</v>
      </c>
      <c r="S53" s="23">
        <v>21215.000000000029</v>
      </c>
      <c r="T53" s="23">
        <v>22092.590208100301</v>
      </c>
      <c r="U53" s="23">
        <v>22254.903889665176</v>
      </c>
      <c r="V53" s="23">
        <v>22508.149344646372</v>
      </c>
      <c r="W53" s="23">
        <v>23009.327584377636</v>
      </c>
      <c r="X53" s="23">
        <v>20084.805988534732</v>
      </c>
      <c r="Y53" s="23">
        <v>22673.396685747488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289048.88712241629</v>
      </c>
      <c r="E54" s="30">
        <f t="shared" ref="E54:S54" si="4">SUM(E41:E53)</f>
        <v>285495.03875770996</v>
      </c>
      <c r="F54" s="30">
        <f t="shared" si="4"/>
        <v>280857.57073194842</v>
      </c>
      <c r="G54" s="30">
        <f t="shared" si="4"/>
        <v>268872.62166555121</v>
      </c>
      <c r="H54" s="30">
        <f t="shared" si="4"/>
        <v>269841.97299982456</v>
      </c>
      <c r="I54" s="30">
        <f t="shared" si="4"/>
        <v>266382.0196366306</v>
      </c>
      <c r="J54" s="30">
        <f t="shared" si="4"/>
        <v>274042.27645954455</v>
      </c>
      <c r="K54" s="30">
        <f t="shared" si="4"/>
        <v>284014.04336467583</v>
      </c>
      <c r="L54" s="30">
        <f t="shared" si="4"/>
        <v>272145.09753372846</v>
      </c>
      <c r="M54" s="30">
        <f t="shared" si="4"/>
        <v>227721.64025898831</v>
      </c>
      <c r="N54" s="30">
        <f t="shared" si="4"/>
        <v>241674.51960071258</v>
      </c>
      <c r="O54" s="30">
        <f t="shared" si="4"/>
        <v>243548.86983632128</v>
      </c>
      <c r="P54" s="30">
        <f t="shared" si="4"/>
        <v>231108.04063979932</v>
      </c>
      <c r="Q54" s="30">
        <f t="shared" si="4"/>
        <v>227381.43366481451</v>
      </c>
      <c r="R54" s="30">
        <f t="shared" si="4"/>
        <v>229388.53310473484</v>
      </c>
      <c r="S54" s="30">
        <f t="shared" si="4"/>
        <v>238294.40000000002</v>
      </c>
      <c r="T54" s="30">
        <f t="shared" ref="T54:Y54" si="5">SUM(T41:T53)</f>
        <v>248436.92118738935</v>
      </c>
      <c r="U54" s="30">
        <f t="shared" si="5"/>
        <v>254779.15281248183</v>
      </c>
      <c r="V54" s="30">
        <f t="shared" si="5"/>
        <v>258717.99861826003</v>
      </c>
      <c r="W54" s="30">
        <f t="shared" si="5"/>
        <v>257946.87038805461</v>
      </c>
      <c r="X54" s="30">
        <f t="shared" si="5"/>
        <v>229732.03202728968</v>
      </c>
      <c r="Y54" s="30">
        <f t="shared" si="5"/>
        <v>265931.3462858001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29063.195548489664</v>
      </c>
      <c r="E56" s="19">
        <v>28337.568799724162</v>
      </c>
      <c r="F56" s="19">
        <v>29414.589470036386</v>
      </c>
      <c r="G56" s="19">
        <v>28513.720240940816</v>
      </c>
      <c r="H56" s="19">
        <v>28515.224124831977</v>
      </c>
      <c r="I56" s="19">
        <v>27397.228849330153</v>
      </c>
      <c r="J56" s="19">
        <v>26990.997308240403</v>
      </c>
      <c r="K56" s="19">
        <v>27431.298845886751</v>
      </c>
      <c r="L56" s="19">
        <v>27005.564148835609</v>
      </c>
      <c r="M56" s="19">
        <v>26290.888034952888</v>
      </c>
      <c r="N56" s="19">
        <v>26917.328105071203</v>
      </c>
      <c r="O56" s="19">
        <v>26108.080020784622</v>
      </c>
      <c r="P56" s="19">
        <v>25029.432008464912</v>
      </c>
      <c r="Q56" s="19">
        <v>25045.76066309791</v>
      </c>
      <c r="R56" s="19">
        <v>25531.037264888306</v>
      </c>
      <c r="S56" s="19">
        <v>26972.9</v>
      </c>
      <c r="T56" s="19">
        <v>27648.200790404215</v>
      </c>
      <c r="U56" s="19">
        <v>27870.816691915716</v>
      </c>
      <c r="V56" s="19">
        <v>28709.727641603986</v>
      </c>
      <c r="W56" s="19">
        <v>29184.535694649418</v>
      </c>
      <c r="X56" s="19">
        <v>27790.875065144264</v>
      </c>
      <c r="Y56" s="19">
        <v>29534.256361089963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36078.166401695809</v>
      </c>
      <c r="E57" s="23">
        <v>36985.965494783355</v>
      </c>
      <c r="F57" s="23">
        <v>34697.64103071858</v>
      </c>
      <c r="G57" s="23">
        <v>32036.284539630942</v>
      </c>
      <c r="H57" s="23">
        <v>30058.091286307052</v>
      </c>
      <c r="I57" s="23">
        <v>28538.608001468161</v>
      </c>
      <c r="J57" s="23">
        <v>28010.586079757515</v>
      </c>
      <c r="K57" s="23">
        <v>28601.285287536241</v>
      </c>
      <c r="L57" s="23">
        <v>27248.216894388588</v>
      </c>
      <c r="M57" s="23">
        <v>22747.907564352266</v>
      </c>
      <c r="N57" s="23">
        <v>23933.740210184569</v>
      </c>
      <c r="O57" s="23">
        <v>24957.651338009873</v>
      </c>
      <c r="P57" s="23">
        <v>23385.143256320433</v>
      </c>
      <c r="Q57" s="23">
        <v>23514.276717421555</v>
      </c>
      <c r="R57" s="23">
        <v>23897.735868085321</v>
      </c>
      <c r="S57" s="23">
        <v>24021.8</v>
      </c>
      <c r="T57" s="23">
        <v>24058.8940283872</v>
      </c>
      <c r="U57" s="23">
        <v>24706.356857575698</v>
      </c>
      <c r="V57" s="23">
        <v>25142.601368116844</v>
      </c>
      <c r="W57" s="23">
        <v>25137.405831910561</v>
      </c>
      <c r="X57" s="23">
        <v>19487.847633486523</v>
      </c>
      <c r="Y57" s="23">
        <v>23452.800571487656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8782.0614732379436</v>
      </c>
      <c r="E58" s="23">
        <v>9614.4661396809988</v>
      </c>
      <c r="F58" s="23">
        <v>8717.0474516695958</v>
      </c>
      <c r="G58" s="23">
        <v>8106.7740701787934</v>
      </c>
      <c r="H58" s="23">
        <v>8041.026240430132</v>
      </c>
      <c r="I58" s="23">
        <v>7597.9537529821991</v>
      </c>
      <c r="J58" s="23">
        <v>7740.6184261123299</v>
      </c>
      <c r="K58" s="23">
        <v>7764.0847011100213</v>
      </c>
      <c r="L58" s="23">
        <v>7275.7153905645782</v>
      </c>
      <c r="M58" s="23">
        <v>6293.414749697321</v>
      </c>
      <c r="N58" s="23">
        <v>6234.2809558443751</v>
      </c>
      <c r="O58" s="23">
        <v>6145.07664328397</v>
      </c>
      <c r="P58" s="23">
        <v>5343.1679730437727</v>
      </c>
      <c r="Q58" s="23">
        <v>4984.0015439779781</v>
      </c>
      <c r="R58" s="23">
        <v>4846.1499672230348</v>
      </c>
      <c r="S58" s="23">
        <v>4755.2</v>
      </c>
      <c r="T58" s="23">
        <v>4797.5951109834496</v>
      </c>
      <c r="U58" s="23">
        <v>4739.9020205796132</v>
      </c>
      <c r="V58" s="23">
        <v>4753.2816316204298</v>
      </c>
      <c r="W58" s="23">
        <v>4477.6263371627547</v>
      </c>
      <c r="X58" s="23">
        <v>3862.1310465722272</v>
      </c>
      <c r="Y58" s="23">
        <v>4729.2483245448302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6295.70747217806</v>
      </c>
      <c r="E59" s="23">
        <v>6052.2047837358086</v>
      </c>
      <c r="F59" s="23">
        <v>5701.13121611921</v>
      </c>
      <c r="G59" s="23">
        <v>5531.0020078401376</v>
      </c>
      <c r="H59" s="23">
        <v>5720.8813044240542</v>
      </c>
      <c r="I59" s="23">
        <v>5389.2916131400261</v>
      </c>
      <c r="J59" s="23">
        <v>5222.6922119930323</v>
      </c>
      <c r="K59" s="23">
        <v>5216.1068794850034</v>
      </c>
      <c r="L59" s="23">
        <v>4892.6914153132238</v>
      </c>
      <c r="M59" s="23">
        <v>4789.7036374164345</v>
      </c>
      <c r="N59" s="23">
        <v>4946.8214063603491</v>
      </c>
      <c r="O59" s="23">
        <v>5114.4712912444784</v>
      </c>
      <c r="P59" s="23">
        <v>4981.7655095897999</v>
      </c>
      <c r="Q59" s="23">
        <v>4848.9034709031257</v>
      </c>
      <c r="R59" s="23">
        <v>5224.3457213453685</v>
      </c>
      <c r="S59" s="23">
        <v>5126.8</v>
      </c>
      <c r="T59" s="23">
        <v>5420.8060538227637</v>
      </c>
      <c r="U59" s="23">
        <v>5685.7575697955817</v>
      </c>
      <c r="V59" s="23">
        <v>5673.6953750644643</v>
      </c>
      <c r="W59" s="23">
        <v>5902.5185442409156</v>
      </c>
      <c r="X59" s="23">
        <v>5617.8518974747712</v>
      </c>
      <c r="Y59" s="23">
        <v>5510.7200932427231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7480.3921568627475</v>
      </c>
      <c r="E60" s="23">
        <v>7623.2009909714297</v>
      </c>
      <c r="F60" s="23">
        <v>8085.7199435629582</v>
      </c>
      <c r="G60" s="23">
        <v>7329.2140740032519</v>
      </c>
      <c r="H60" s="23">
        <v>7107.3578399859744</v>
      </c>
      <c r="I60" s="23">
        <v>6868.5768030831305</v>
      </c>
      <c r="J60" s="23">
        <v>7032.8439910425468</v>
      </c>
      <c r="K60" s="23">
        <v>7016.8321961220881</v>
      </c>
      <c r="L60" s="23">
        <v>6565.6956260204533</v>
      </c>
      <c r="M60" s="23">
        <v>5396.0098962994161</v>
      </c>
      <c r="N60" s="23">
        <v>5424.849002308446</v>
      </c>
      <c r="O60" s="23">
        <v>5189.6076903091734</v>
      </c>
      <c r="P60" s="23">
        <v>4834.8622910738313</v>
      </c>
      <c r="Q60" s="23">
        <v>4480.9897711458943</v>
      </c>
      <c r="R60" s="23">
        <v>4344.410266754071</v>
      </c>
      <c r="S60" s="23">
        <v>4194.9000000000005</v>
      </c>
      <c r="T60" s="23">
        <v>4668.1391824565908</v>
      </c>
      <c r="U60" s="23">
        <v>4487.3787553859165</v>
      </c>
      <c r="V60" s="23">
        <v>4446.7689672955858</v>
      </c>
      <c r="W60" s="23">
        <v>4280.4641606620944</v>
      </c>
      <c r="X60" s="23">
        <v>3539.2997583739998</v>
      </c>
      <c r="Y60" s="23">
        <v>3789.0195414939508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4240.7260201377849</v>
      </c>
      <c r="E61" s="23">
        <v>3893.9047594723334</v>
      </c>
      <c r="F61" s="23">
        <v>2891.5319686130847</v>
      </c>
      <c r="G61" s="23">
        <v>3207.2855913567264</v>
      </c>
      <c r="H61" s="23">
        <v>3665.4783472619947</v>
      </c>
      <c r="I61" s="23">
        <v>4789.9844008074888</v>
      </c>
      <c r="J61" s="23">
        <v>4758.8726277454816</v>
      </c>
      <c r="K61" s="23">
        <v>5504.9107684167602</v>
      </c>
      <c r="L61" s="23">
        <v>5229.0109134656695</v>
      </c>
      <c r="M61" s="23">
        <v>2154.5507185345054</v>
      </c>
      <c r="N61" s="23">
        <v>2635.9506266535959</v>
      </c>
      <c r="O61" s="23">
        <v>2954.5336451026242</v>
      </c>
      <c r="P61" s="23">
        <v>2326.3100582476395</v>
      </c>
      <c r="Q61" s="23">
        <v>1528.2334657226731</v>
      </c>
      <c r="R61" s="23">
        <v>-215.319449346982</v>
      </c>
      <c r="S61" s="23">
        <v>2418.1999999999998</v>
      </c>
      <c r="T61" s="23">
        <v>2473.8265270748111</v>
      </c>
      <c r="U61" s="23">
        <v>2818.6790485371948</v>
      </c>
      <c r="V61" s="23">
        <v>1773.0054783057146</v>
      </c>
      <c r="W61" s="23">
        <v>1874.2946436322595</v>
      </c>
      <c r="X61" s="23">
        <v>-179.65603828113896</v>
      </c>
      <c r="Y61" s="23">
        <v>2889.490454840256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13295.045045045044</v>
      </c>
      <c r="E62" s="23">
        <v>11901.490288224553</v>
      </c>
      <c r="F62" s="23">
        <v>12176.291492363673</v>
      </c>
      <c r="G62" s="23">
        <v>11017.664212639833</v>
      </c>
      <c r="H62" s="23">
        <v>11068.20174156975</v>
      </c>
      <c r="I62" s="23">
        <v>10834.212699577905</v>
      </c>
      <c r="J62" s="23">
        <v>10823.135560632451</v>
      </c>
      <c r="K62" s="23">
        <v>11086.9828812046</v>
      </c>
      <c r="L62" s="23">
        <v>10003.007648019249</v>
      </c>
      <c r="M62" s="23">
        <v>8887.8243933252616</v>
      </c>
      <c r="N62" s="23">
        <v>10319.598604391318</v>
      </c>
      <c r="O62" s="23">
        <v>10024.421927773448</v>
      </c>
      <c r="P62" s="23">
        <v>9819.1960387495747</v>
      </c>
      <c r="Q62" s="23">
        <v>9952.4617306774198</v>
      </c>
      <c r="R62" s="23">
        <v>9957.6420755382987</v>
      </c>
      <c r="S62" s="23">
        <v>10896.2</v>
      </c>
      <c r="T62" s="23">
        <v>11905.587305989442</v>
      </c>
      <c r="U62" s="23">
        <v>11959.194916087907</v>
      </c>
      <c r="V62" s="23">
        <v>11965.670581595617</v>
      </c>
      <c r="W62" s="23">
        <v>11463.282885281322</v>
      </c>
      <c r="X62" s="23">
        <v>11510.967925332829</v>
      </c>
      <c r="Y62" s="23">
        <v>12565.96076662061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9554.7164811870698</v>
      </c>
      <c r="E63" s="23">
        <v>9984.5479969862208</v>
      </c>
      <c r="F63" s="23">
        <v>10336.270699769797</v>
      </c>
      <c r="G63" s="23">
        <v>10120.828951142556</v>
      </c>
      <c r="H63" s="23">
        <v>9622.3481970662142</v>
      </c>
      <c r="I63" s="23">
        <v>8968.2739952284828</v>
      </c>
      <c r="J63" s="23">
        <v>8778.7554570336342</v>
      </c>
      <c r="K63" s="23">
        <v>8637.6613498826046</v>
      </c>
      <c r="L63" s="23">
        <v>8856.4492566812751</v>
      </c>
      <c r="M63" s="23">
        <v>8457.6512080854864</v>
      </c>
      <c r="N63" s="23">
        <v>8788.7508037398929</v>
      </c>
      <c r="O63" s="23">
        <v>8900.701480904132</v>
      </c>
      <c r="P63" s="23">
        <v>8722.0447284345028</v>
      </c>
      <c r="Q63" s="23">
        <v>8782.3905248509345</v>
      </c>
      <c r="R63" s="23">
        <v>8256.0637385910941</v>
      </c>
      <c r="S63" s="23">
        <v>8888.5</v>
      </c>
      <c r="T63" s="23">
        <v>9198.0071512762352</v>
      </c>
      <c r="U63" s="23">
        <v>9056.6037735849059</v>
      </c>
      <c r="V63" s="23">
        <v>8932.4601776800373</v>
      </c>
      <c r="W63" s="23">
        <v>9748.5314118702427</v>
      </c>
      <c r="X63" s="23">
        <v>9925.6170938551186</v>
      </c>
      <c r="Y63" s="23">
        <v>9570.6323022116958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13742.183359830418</v>
      </c>
      <c r="E64" s="23">
        <v>13208.525419183472</v>
      </c>
      <c r="F64" s="23">
        <v>13799.475234535508</v>
      </c>
      <c r="G64" s="23">
        <v>12485.180227555216</v>
      </c>
      <c r="H64" s="23">
        <v>12277.365437437904</v>
      </c>
      <c r="I64" s="23">
        <v>12066.319508166636</v>
      </c>
      <c r="J64" s="23">
        <v>11963.174919134111</v>
      </c>
      <c r="K64" s="23">
        <v>12089.308744584929</v>
      </c>
      <c r="L64" s="23">
        <v>11162.455959439716</v>
      </c>
      <c r="M64" s="23">
        <v>10060.6411538664</v>
      </c>
      <c r="N64" s="23">
        <v>10822.397200349957</v>
      </c>
      <c r="O64" s="23">
        <v>10798.960769030917</v>
      </c>
      <c r="P64" s="23">
        <v>10976.23866122885</v>
      </c>
      <c r="Q64" s="23">
        <v>11048.482940059117</v>
      </c>
      <c r="R64" s="23">
        <v>11416.267460037316</v>
      </c>
      <c r="S64" s="23">
        <v>11984.2</v>
      </c>
      <c r="T64" s="23">
        <v>12473.331286338289</v>
      </c>
      <c r="U64" s="23">
        <v>12912.428433706495</v>
      </c>
      <c r="V64" s="23">
        <v>13172.260117350563</v>
      </c>
      <c r="W64" s="23">
        <v>12785.349808528903</v>
      </c>
      <c r="X64" s="23">
        <v>12115.127682759274</v>
      </c>
      <c r="Y64" s="23">
        <v>13500.079895477917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15998.940116587175</v>
      </c>
      <c r="E65" s="23">
        <v>16384.997509801164</v>
      </c>
      <c r="F65" s="23">
        <v>17442.758484120892</v>
      </c>
      <c r="G65" s="23">
        <v>16406.683239315425</v>
      </c>
      <c r="H65" s="23">
        <v>16311.612413067618</v>
      </c>
      <c r="I65" s="23">
        <v>16216.966415856123</v>
      </c>
      <c r="J65" s="23">
        <v>15818.837793209528</v>
      </c>
      <c r="K65" s="23">
        <v>16166.624411644751</v>
      </c>
      <c r="L65" s="23">
        <v>14631.026037638569</v>
      </c>
      <c r="M65" s="23">
        <v>12612.307206401012</v>
      </c>
      <c r="N65" s="23">
        <v>12256.796213726297</v>
      </c>
      <c r="O65" s="23">
        <v>11502.000519615485</v>
      </c>
      <c r="P65" s="23">
        <v>10200.014382133279</v>
      </c>
      <c r="Q65" s="23">
        <v>9684.0939795016584</v>
      </c>
      <c r="R65" s="23">
        <v>9356.8655135898316</v>
      </c>
      <c r="S65" s="23">
        <v>9438.0999999999985</v>
      </c>
      <c r="T65" s="23">
        <v>9756.8367983676872</v>
      </c>
      <c r="U65" s="23">
        <v>9786.9242725323147</v>
      </c>
      <c r="V65" s="23">
        <v>10071.130399244908</v>
      </c>
      <c r="W65" s="23">
        <v>10025.175796510113</v>
      </c>
      <c r="X65" s="23">
        <v>9067.0393708248448</v>
      </c>
      <c r="Y65" s="23">
        <v>10828.563103328353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10429.782723900371</v>
      </c>
      <c r="E66" s="23">
        <v>9387.9218971484024</v>
      </c>
      <c r="F66" s="23">
        <v>8637.9613356766258</v>
      </c>
      <c r="G66" s="23">
        <v>9380.7964432546141</v>
      </c>
      <c r="H66" s="23">
        <v>9734.6736017766343</v>
      </c>
      <c r="I66" s="23">
        <v>10203.477702330702</v>
      </c>
      <c r="J66" s="23">
        <v>10872.559885996063</v>
      </c>
      <c r="K66" s="23">
        <v>12212.766895578656</v>
      </c>
      <c r="L66" s="23">
        <v>10998.002062387213</v>
      </c>
      <c r="M66" s="23">
        <v>6187.5032899931566</v>
      </c>
      <c r="N66" s="23">
        <v>8264.9759141553095</v>
      </c>
      <c r="O66" s="23">
        <v>8944.2452585087049</v>
      </c>
      <c r="P66" s="23">
        <v>7743.5460176900233</v>
      </c>
      <c r="Q66" s="23">
        <v>7202.4541123650288</v>
      </c>
      <c r="R66" s="23">
        <v>7792.8495789420604</v>
      </c>
      <c r="S66" s="23">
        <v>7668.8</v>
      </c>
      <c r="T66" s="23">
        <v>8348.0749992571382</v>
      </c>
      <c r="U66" s="23">
        <v>9224.8214531646572</v>
      </c>
      <c r="V66" s="23">
        <v>9211.532660627232</v>
      </c>
      <c r="W66" s="23">
        <v>8298.0775723201295</v>
      </c>
      <c r="X66" s="23">
        <v>7188.4209030179563</v>
      </c>
      <c r="Y66" s="23">
        <v>11057.816127607179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30305.113937466875</v>
      </c>
      <c r="E67" s="23">
        <v>30966.197147126055</v>
      </c>
      <c r="F67" s="23">
        <v>30974.776603381266</v>
      </c>
      <c r="G67" s="23">
        <v>30701.787933836888</v>
      </c>
      <c r="H67" s="23">
        <v>30718.952720472207</v>
      </c>
      <c r="I67" s="23">
        <v>30849.467792255462</v>
      </c>
      <c r="J67" s="23">
        <v>33410.278450089347</v>
      </c>
      <c r="K67" s="23">
        <v>35646.116028615834</v>
      </c>
      <c r="L67" s="23">
        <v>34896.665807338664</v>
      </c>
      <c r="M67" s="23">
        <v>28605.779859977894</v>
      </c>
      <c r="N67" s="23">
        <v>30020.765476604589</v>
      </c>
      <c r="O67" s="23">
        <v>30308.131982333074</v>
      </c>
      <c r="P67" s="23">
        <v>28723.688400809515</v>
      </c>
      <c r="Q67" s="23">
        <v>27969.364226436563</v>
      </c>
      <c r="R67" s="23">
        <v>28411.476980485098</v>
      </c>
      <c r="S67" s="23">
        <v>28606.399999999998</v>
      </c>
      <c r="T67" s="23">
        <v>29708.99654321967</v>
      </c>
      <c r="U67" s="23">
        <v>30273.673441281215</v>
      </c>
      <c r="V67" s="23">
        <v>32907.978086777133</v>
      </c>
      <c r="W67" s="23">
        <v>32605.839627282454</v>
      </c>
      <c r="X67" s="23">
        <v>29419.718576775478</v>
      </c>
      <c r="Y67" s="23">
        <v>34804.538063145628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9486.6189719130889</v>
      </c>
      <c r="E68" s="23">
        <v>10011.237820373657</v>
      </c>
      <c r="F68" s="23">
        <v>9655.5607812074559</v>
      </c>
      <c r="G68" s="23">
        <v>9080.696051247729</v>
      </c>
      <c r="H68" s="23">
        <v>9310.5020162468572</v>
      </c>
      <c r="I68" s="23">
        <v>9341.7370159662332</v>
      </c>
      <c r="J68" s="23">
        <v>9416.5215227668559</v>
      </c>
      <c r="K68" s="23">
        <v>9521.1587429314695</v>
      </c>
      <c r="L68" s="23">
        <v>8826.0505284867249</v>
      </c>
      <c r="M68" s="23">
        <v>7745.1176501552882</v>
      </c>
      <c r="N68" s="23">
        <v>8532.1864887371012</v>
      </c>
      <c r="O68" s="23">
        <v>8871.9147830605361</v>
      </c>
      <c r="P68" s="23">
        <v>8576.8879118169771</v>
      </c>
      <c r="Q68" s="23">
        <v>8072.3638099688151</v>
      </c>
      <c r="R68" s="23">
        <v>8076.8493772376578</v>
      </c>
      <c r="S68" s="23">
        <v>8317.1</v>
      </c>
      <c r="T68" s="23">
        <v>7992.2940541397174</v>
      </c>
      <c r="U68" s="23">
        <v>8170.657327798217</v>
      </c>
      <c r="V68" s="23">
        <v>8225.5349375784517</v>
      </c>
      <c r="W68" s="23">
        <v>8441.4156321439932</v>
      </c>
      <c r="X68" s="23">
        <v>8527.5027242147153</v>
      </c>
      <c r="Y68" s="23">
        <v>9780.5224224308913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12189.984101748807</v>
      </c>
      <c r="E69" s="23">
        <v>11743.266885463621</v>
      </c>
      <c r="F69" s="23">
        <v>11976.410307185823</v>
      </c>
      <c r="G69" s="23">
        <v>11736.781719093604</v>
      </c>
      <c r="H69" s="23">
        <v>12188.767459528957</v>
      </c>
      <c r="I69" s="23">
        <v>12266.012112314187</v>
      </c>
      <c r="J69" s="23">
        <v>12746.951978104005</v>
      </c>
      <c r="K69" s="23">
        <v>13041.149042648178</v>
      </c>
      <c r="L69" s="23">
        <v>12692.382057231245</v>
      </c>
      <c r="M69" s="23">
        <v>10739.906300994893</v>
      </c>
      <c r="N69" s="23">
        <v>11751.256996489896</v>
      </c>
      <c r="O69" s="23">
        <v>11713.380098726942</v>
      </c>
      <c r="P69" s="23">
        <v>11278.468919182684</v>
      </c>
      <c r="Q69" s="23">
        <v>11023.19014291954</v>
      </c>
      <c r="R69" s="23">
        <v>10317.88613786496</v>
      </c>
      <c r="S69" s="23">
        <v>10783.7</v>
      </c>
      <c r="T69" s="23">
        <v>11027.723576430502</v>
      </c>
      <c r="U69" s="23">
        <v>11075.904538926161</v>
      </c>
      <c r="V69" s="23">
        <v>10970.915353851842</v>
      </c>
      <c r="W69" s="23">
        <v>11047.158800435995</v>
      </c>
      <c r="X69" s="23">
        <v>10284.360638650685</v>
      </c>
      <c r="Y69" s="23">
        <v>11457.011533147224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33565.977742448325</v>
      </c>
      <c r="E70" s="23">
        <v>33030.891235777133</v>
      </c>
      <c r="F70" s="23">
        <v>31378.746998688086</v>
      </c>
      <c r="G70" s="23">
        <v>31323.262262166558</v>
      </c>
      <c r="H70" s="23">
        <v>32302.144819122201</v>
      </c>
      <c r="I70" s="23">
        <v>32544.962378418059</v>
      </c>
      <c r="J70" s="23">
        <v>34881.924495012325</v>
      </c>
      <c r="K70" s="23">
        <v>36742.909423604768</v>
      </c>
      <c r="L70" s="23">
        <v>36239.688063933994</v>
      </c>
      <c r="M70" s="23">
        <v>28863.715323472126</v>
      </c>
      <c r="N70" s="23">
        <v>31510.925592132309</v>
      </c>
      <c r="O70" s="23">
        <v>33163.834762275917</v>
      </c>
      <c r="P70" s="23">
        <v>32897.075290467728</v>
      </c>
      <c r="Q70" s="23">
        <v>33343.017054862001</v>
      </c>
      <c r="R70" s="23">
        <v>34597.145882708894</v>
      </c>
      <c r="S70" s="23">
        <v>34838.199999999997</v>
      </c>
      <c r="T70" s="23">
        <v>35866.027475956056</v>
      </c>
      <c r="U70" s="23">
        <v>37215.3579790269</v>
      </c>
      <c r="V70" s="23">
        <v>37774.231528963006</v>
      </c>
      <c r="W70" s="23">
        <v>37921.308755582562</v>
      </c>
      <c r="X70" s="23">
        <v>33408.25318614678</v>
      </c>
      <c r="Y70" s="23">
        <v>37727.77260807038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15181.240063593004</v>
      </c>
      <c r="E71" s="23">
        <v>14316.472346022705</v>
      </c>
      <c r="F71" s="23">
        <v>13089.432906755117</v>
      </c>
      <c r="G71" s="23">
        <v>12315.828473085381</v>
      </c>
      <c r="H71" s="23">
        <v>12702.121442347026</v>
      </c>
      <c r="I71" s="23">
        <v>12050.720315654249</v>
      </c>
      <c r="J71" s="23">
        <v>13296.840009952724</v>
      </c>
      <c r="K71" s="23">
        <v>14163.515911771516</v>
      </c>
      <c r="L71" s="23">
        <v>12566.275672424164</v>
      </c>
      <c r="M71" s="23">
        <v>9739.4325419803135</v>
      </c>
      <c r="N71" s="23">
        <v>11441.355975081427</v>
      </c>
      <c r="O71" s="23">
        <v>11112.808521693947</v>
      </c>
      <c r="P71" s="23">
        <v>9530.0124302723343</v>
      </c>
      <c r="Q71" s="23">
        <v>10157.343545257854</v>
      </c>
      <c r="R71" s="23">
        <v>10498.915838838184</v>
      </c>
      <c r="S71" s="23">
        <v>11926.3</v>
      </c>
      <c r="T71" s="23">
        <v>13667.158605798279</v>
      </c>
      <c r="U71" s="23">
        <v>15043.18570838334</v>
      </c>
      <c r="V71" s="23">
        <v>14751.822047504596</v>
      </c>
      <c r="W71" s="23">
        <v>13812.541597939635</v>
      </c>
      <c r="X71" s="23">
        <v>10519.164258302933</v>
      </c>
      <c r="Y71" s="23">
        <v>13965.635545028152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8646.1314255431917</v>
      </c>
      <c r="E72" s="23">
        <v>7510.3119772178743</v>
      </c>
      <c r="F72" s="23">
        <v>7494.8637342508464</v>
      </c>
      <c r="G72" s="23">
        <v>6890.5966153551963</v>
      </c>
      <c r="H72" s="23">
        <v>7466.4251066565375</v>
      </c>
      <c r="I72" s="23">
        <v>7154.7531657184772</v>
      </c>
      <c r="J72" s="23">
        <v>7647.5378316632305</v>
      </c>
      <c r="K72" s="23">
        <v>7966.5781148381247</v>
      </c>
      <c r="L72" s="23">
        <v>8701.7702156913274</v>
      </c>
      <c r="M72" s="23">
        <v>6978.9966836868989</v>
      </c>
      <c r="N72" s="23">
        <v>6533.5357176738435</v>
      </c>
      <c r="O72" s="23">
        <v>6258.4567420109124</v>
      </c>
      <c r="P72" s="23">
        <v>6108.7083817018192</v>
      </c>
      <c r="Q72" s="23">
        <v>5404.9386979796236</v>
      </c>
      <c r="R72" s="23">
        <v>6555.6956280570812</v>
      </c>
      <c r="S72" s="23">
        <v>6242.1000000000022</v>
      </c>
      <c r="T72" s="23">
        <v>7332.8314893869901</v>
      </c>
      <c r="U72" s="23">
        <v>7496.6061345347935</v>
      </c>
      <c r="V72" s="23">
        <v>7727.2329204332054</v>
      </c>
      <c r="W72" s="23">
        <v>7932.015703523648</v>
      </c>
      <c r="X72" s="23">
        <v>7562.7043161036618</v>
      </c>
      <c r="Y72" s="23">
        <v>8093.8818862852386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16328.828828828828</v>
      </c>
      <c r="E73" s="23">
        <v>16237.373414892665</v>
      </c>
      <c r="F73" s="23">
        <v>16193.965197158344</v>
      </c>
      <c r="G73" s="23">
        <v>14727.626924180133</v>
      </c>
      <c r="H73" s="23">
        <v>14682.368067325111</v>
      </c>
      <c r="I73" s="23">
        <v>14761.424114516425</v>
      </c>
      <c r="J73" s="23">
        <v>15477.504580515279</v>
      </c>
      <c r="K73" s="23">
        <v>15738.268719893298</v>
      </c>
      <c r="L73" s="23">
        <v>14966.378791784824</v>
      </c>
      <c r="M73" s="23">
        <v>12963.099436753171</v>
      </c>
      <c r="N73" s="23">
        <v>13050.311482149069</v>
      </c>
      <c r="O73" s="23">
        <v>12961.600415692388</v>
      </c>
      <c r="P73" s="23">
        <v>12014.834143184409</v>
      </c>
      <c r="Q73" s="23">
        <v>11930.074049996445</v>
      </c>
      <c r="R73" s="23">
        <v>12346.326458574958</v>
      </c>
      <c r="S73" s="23">
        <v>12834.2</v>
      </c>
      <c r="T73" s="23">
        <v>13506.40346272323</v>
      </c>
      <c r="U73" s="23">
        <v>13625.828791783895</v>
      </c>
      <c r="V73" s="23">
        <v>13966.663098794383</v>
      </c>
      <c r="W73" s="23">
        <v>13961.860115172034</v>
      </c>
      <c r="X73" s="23">
        <v>12311.46065286398</v>
      </c>
      <c r="Y73" s="23">
        <v>14261.248813317166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8384.0752517220571</v>
      </c>
      <c r="E74" s="23">
        <v>8304.4938511243472</v>
      </c>
      <c r="F74" s="23">
        <v>8193.3958761351751</v>
      </c>
      <c r="G74" s="23">
        <v>7960.608088727402</v>
      </c>
      <c r="H74" s="23">
        <v>8348.4308339663949</v>
      </c>
      <c r="I74" s="23">
        <v>8542.0489998164867</v>
      </c>
      <c r="J74" s="23">
        <v>9151.643330543664</v>
      </c>
      <c r="K74" s="23">
        <v>9466.4844189202122</v>
      </c>
      <c r="L74" s="23">
        <v>9388.0510440834187</v>
      </c>
      <c r="M74" s="23">
        <v>8207.1906090435477</v>
      </c>
      <c r="N74" s="23">
        <v>8288.6928290590495</v>
      </c>
      <c r="O74" s="23">
        <v>8518.9919459601369</v>
      </c>
      <c r="P74" s="23">
        <v>8616.6442373872342</v>
      </c>
      <c r="Q74" s="23">
        <v>8409.0932176703936</v>
      </c>
      <c r="R74" s="23">
        <v>8176.188795320295</v>
      </c>
      <c r="S74" s="23">
        <v>8380.8000000000284</v>
      </c>
      <c r="T74" s="23">
        <v>8586.1867453770701</v>
      </c>
      <c r="U74" s="23">
        <v>8629.0750978812812</v>
      </c>
      <c r="V74" s="23">
        <v>8541.4862458519892</v>
      </c>
      <c r="W74" s="23">
        <v>9047.4674692056014</v>
      </c>
      <c r="X74" s="23">
        <v>7773.3453356707523</v>
      </c>
      <c r="Y74" s="23">
        <v>8412.1478724303215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289048.88712241629</v>
      </c>
      <c r="E75" s="30">
        <f t="shared" ref="E75:S75" si="6">SUM(E56:E74)</f>
        <v>285495.0387577099</v>
      </c>
      <c r="F75" s="30">
        <f t="shared" si="6"/>
        <v>280857.57073194842</v>
      </c>
      <c r="G75" s="30">
        <f t="shared" si="6"/>
        <v>268872.62166555133</v>
      </c>
      <c r="H75" s="30">
        <f t="shared" si="6"/>
        <v>269841.97299982456</v>
      </c>
      <c r="I75" s="30">
        <f t="shared" si="6"/>
        <v>266382.0196366306</v>
      </c>
      <c r="J75" s="30">
        <f t="shared" si="6"/>
        <v>274042.27645954455</v>
      </c>
      <c r="K75" s="30">
        <f t="shared" si="6"/>
        <v>284014.04336467583</v>
      </c>
      <c r="L75" s="30">
        <f t="shared" si="6"/>
        <v>272145.09753372852</v>
      </c>
      <c r="M75" s="30">
        <f t="shared" si="6"/>
        <v>227721.64025898831</v>
      </c>
      <c r="N75" s="30">
        <f t="shared" si="6"/>
        <v>241674.51960071255</v>
      </c>
      <c r="O75" s="30">
        <f t="shared" si="6"/>
        <v>243548.86983632133</v>
      </c>
      <c r="P75" s="30">
        <f t="shared" si="6"/>
        <v>231108.04063979932</v>
      </c>
      <c r="Q75" s="30">
        <f t="shared" si="6"/>
        <v>227381.43366481448</v>
      </c>
      <c r="R75" s="30">
        <f t="shared" si="6"/>
        <v>229388.53310473484</v>
      </c>
      <c r="S75" s="30">
        <f t="shared" si="6"/>
        <v>238294.40000000002</v>
      </c>
      <c r="T75" s="30">
        <f t="shared" ref="T75:Y75" si="7">SUM(T56:T74)</f>
        <v>248436.92118738935</v>
      </c>
      <c r="U75" s="30">
        <f t="shared" si="7"/>
        <v>254779.1528124818</v>
      </c>
      <c r="V75" s="30">
        <f t="shared" si="7"/>
        <v>258717.99861826003</v>
      </c>
      <c r="W75" s="30">
        <f t="shared" si="7"/>
        <v>257946.87038805461</v>
      </c>
      <c r="X75" s="30">
        <f t="shared" si="7"/>
        <v>229732.03202728968</v>
      </c>
      <c r="Y75" s="30">
        <f t="shared" si="7"/>
        <v>265931.3462858001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56923524</v>
      </c>
      <c r="E3" s="42">
        <v>56960692</v>
      </c>
      <c r="F3" s="42">
        <v>56987507</v>
      </c>
      <c r="G3" s="42">
        <v>57130506</v>
      </c>
      <c r="H3" s="42">
        <v>57495900</v>
      </c>
      <c r="I3" s="42">
        <v>57874753</v>
      </c>
      <c r="J3" s="42">
        <v>58064214</v>
      </c>
      <c r="K3" s="42">
        <v>58223744</v>
      </c>
      <c r="L3" s="42">
        <v>58652875</v>
      </c>
      <c r="M3" s="42">
        <v>59000586</v>
      </c>
      <c r="N3" s="42">
        <v>59190143</v>
      </c>
      <c r="O3" s="42">
        <v>59364690</v>
      </c>
      <c r="P3" s="42">
        <v>59394207</v>
      </c>
      <c r="Q3" s="42">
        <v>59685227</v>
      </c>
      <c r="R3" s="42">
        <v>60782668</v>
      </c>
      <c r="S3" s="42">
        <v>60795612</v>
      </c>
      <c r="T3" s="42">
        <v>60665551</v>
      </c>
      <c r="U3" s="42">
        <v>60589445</v>
      </c>
      <c r="V3" s="42">
        <v>60483973</v>
      </c>
      <c r="W3" s="42">
        <v>59816673</v>
      </c>
      <c r="X3" s="42">
        <v>59641488</v>
      </c>
      <c r="Y3" s="42">
        <v>59236213</v>
      </c>
    </row>
    <row r="4" spans="1:25" x14ac:dyDescent="0.25">
      <c r="A4" s="43" t="s">
        <v>239</v>
      </c>
      <c r="B4" s="44"/>
      <c r="C4" s="44"/>
      <c r="D4" s="45">
        <v>22309710</v>
      </c>
      <c r="E4" s="45">
        <v>22408839</v>
      </c>
      <c r="F4" s="45">
        <v>22504633</v>
      </c>
      <c r="G4" s="45">
        <v>22647215</v>
      </c>
      <c r="H4" s="45">
        <v>22879387</v>
      </c>
      <c r="I4" s="45">
        <v>23214903</v>
      </c>
      <c r="J4" s="45">
        <v>23450813</v>
      </c>
      <c r="K4" s="45">
        <v>23755098</v>
      </c>
      <c r="L4" s="45">
        <v>24047919</v>
      </c>
      <c r="M4" s="45">
        <v>24320110</v>
      </c>
      <c r="N4" s="45">
        <v>24499231</v>
      </c>
      <c r="O4" s="45">
        <v>24797281</v>
      </c>
      <c r="P4" s="45">
        <v>25039716</v>
      </c>
      <c r="Q4" s="45">
        <v>25258242</v>
      </c>
      <c r="R4" s="45">
        <v>25776589</v>
      </c>
      <c r="S4" s="45">
        <v>25887308</v>
      </c>
      <c r="T4" s="45">
        <v>25947627</v>
      </c>
      <c r="U4" s="45">
        <v>25970615</v>
      </c>
      <c r="V4" s="45">
        <v>26037009</v>
      </c>
      <c r="W4" s="45">
        <v>25950834</v>
      </c>
      <c r="X4" s="45">
        <v>25841199</v>
      </c>
      <c r="Y4" s="45">
        <v>25822238</v>
      </c>
    </row>
    <row r="5" spans="1:25" x14ac:dyDescent="0.25">
      <c r="A5" s="46" t="s">
        <v>240</v>
      </c>
      <c r="B5" s="47"/>
      <c r="C5" s="47"/>
      <c r="D5" s="48">
        <f>D3/D4</f>
        <v>2.5515133993225372</v>
      </c>
      <c r="E5" s="48">
        <f t="shared" ref="E5:S5" si="0">E3/E4</f>
        <v>2.5418850124274623</v>
      </c>
      <c r="F5" s="48">
        <f t="shared" si="0"/>
        <v>2.5322566691045352</v>
      </c>
      <c r="G5" s="48">
        <f t="shared" si="0"/>
        <v>2.5226283231735116</v>
      </c>
      <c r="H5" s="48">
        <f t="shared" si="0"/>
        <v>2.5130000204988008</v>
      </c>
      <c r="I5" s="48">
        <f t="shared" si="0"/>
        <v>2.4929999922894357</v>
      </c>
      <c r="J5" s="48">
        <f t="shared" si="0"/>
        <v>2.476000043154154</v>
      </c>
      <c r="K5" s="48">
        <f t="shared" si="0"/>
        <v>2.45099994956872</v>
      </c>
      <c r="L5" s="48">
        <f t="shared" si="0"/>
        <v>2.4390000232452547</v>
      </c>
      <c r="M5" s="48">
        <f t="shared" si="0"/>
        <v>2.4259999646383177</v>
      </c>
      <c r="N5" s="48">
        <f t="shared" si="0"/>
        <v>2.4160000368991175</v>
      </c>
      <c r="O5" s="48">
        <f t="shared" si="0"/>
        <v>2.3939999712065205</v>
      </c>
      <c r="P5" s="48">
        <f t="shared" si="0"/>
        <v>2.3720000258788878</v>
      </c>
      <c r="Q5" s="48">
        <f t="shared" si="0"/>
        <v>2.3630000456880569</v>
      </c>
      <c r="R5" s="48">
        <f t="shared" si="0"/>
        <v>2.3580570726406043</v>
      </c>
      <c r="S5" s="48">
        <f t="shared" si="0"/>
        <v>2.3484717684820686</v>
      </c>
      <c r="T5" s="48">
        <f t="shared" ref="T5:Y5" si="1">T3/T4</f>
        <v>2.3379999643127287</v>
      </c>
      <c r="U5" s="48">
        <f t="shared" si="1"/>
        <v>2.3330000078935367</v>
      </c>
      <c r="V5" s="48">
        <f t="shared" si="1"/>
        <v>2.323000041978708</v>
      </c>
      <c r="W5" s="48">
        <f t="shared" si="1"/>
        <v>2.3050000242766764</v>
      </c>
      <c r="X5" s="48">
        <f t="shared" si="1"/>
        <v>2.3080000273981094</v>
      </c>
      <c r="Y5" s="48">
        <f t="shared" si="1"/>
        <v>2.2939999623580265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1848.2</v>
      </c>
      <c r="E8" s="42">
        <v>1877.19</v>
      </c>
      <c r="F8" s="42">
        <v>1804.77</v>
      </c>
      <c r="G8" s="42">
        <v>2007.84</v>
      </c>
      <c r="H8" s="42">
        <v>2006.05</v>
      </c>
      <c r="I8" s="42">
        <v>2162.84</v>
      </c>
      <c r="J8" s="42">
        <v>1949</v>
      </c>
      <c r="K8" s="42">
        <v>1836.76</v>
      </c>
      <c r="L8" s="42">
        <v>1896.16</v>
      </c>
      <c r="M8" s="42">
        <v>1947.26</v>
      </c>
      <c r="N8" s="42">
        <v>2074.34</v>
      </c>
      <c r="O8" s="42">
        <v>1856.24</v>
      </c>
      <c r="P8" s="42">
        <v>1952.79</v>
      </c>
      <c r="Q8" s="42">
        <v>1932.55</v>
      </c>
      <c r="R8" s="42">
        <v>1631.87</v>
      </c>
      <c r="S8" s="42">
        <v>1808.06</v>
      </c>
      <c r="T8" s="42">
        <v>1766.12</v>
      </c>
      <c r="U8" s="42">
        <v>1879.86</v>
      </c>
      <c r="V8" s="42">
        <v>1746.84</v>
      </c>
      <c r="W8" s="42">
        <v>1813.91</v>
      </c>
      <c r="X8" s="42">
        <v>1750.4</v>
      </c>
      <c r="Y8" s="42">
        <v>1916.57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1883.2880952380954</v>
      </c>
      <c r="E9" s="45">
        <f t="shared" si="2"/>
        <v>1883.2880952380954</v>
      </c>
      <c r="F9" s="45">
        <f t="shared" si="2"/>
        <v>1883.2880952380954</v>
      </c>
      <c r="G9" s="45">
        <f t="shared" si="2"/>
        <v>1883.2880952380954</v>
      </c>
      <c r="H9" s="45">
        <f t="shared" si="2"/>
        <v>1883.2880952380954</v>
      </c>
      <c r="I9" s="45">
        <f t="shared" si="2"/>
        <v>1883.2880952380954</v>
      </c>
      <c r="J9" s="45">
        <f t="shared" si="2"/>
        <v>1883.2880952380954</v>
      </c>
      <c r="K9" s="45">
        <f t="shared" si="2"/>
        <v>1883.2880952380954</v>
      </c>
      <c r="L9" s="45">
        <f t="shared" si="2"/>
        <v>1883.2880952380954</v>
      </c>
      <c r="M9" s="45">
        <f t="shared" si="2"/>
        <v>1883.2880952380954</v>
      </c>
      <c r="N9" s="45">
        <f t="shared" si="2"/>
        <v>1883.2880952380954</v>
      </c>
      <c r="O9" s="45">
        <f t="shared" si="2"/>
        <v>1883.2880952380954</v>
      </c>
      <c r="P9" s="45">
        <f t="shared" si="2"/>
        <v>1883.2880952380954</v>
      </c>
      <c r="Q9" s="45">
        <f t="shared" si="2"/>
        <v>1883.2880952380954</v>
      </c>
      <c r="R9" s="45">
        <f t="shared" si="2"/>
        <v>1883.2880952380954</v>
      </c>
      <c r="S9" s="45">
        <f t="shared" si="2"/>
        <v>1883.2880952380954</v>
      </c>
      <c r="T9" s="45">
        <f t="shared" si="2"/>
        <v>1883.2880952380954</v>
      </c>
      <c r="U9" s="45">
        <f t="shared" si="2"/>
        <v>1883.2880952380954</v>
      </c>
      <c r="V9" s="45">
        <f t="shared" si="2"/>
        <v>1883.2880952380954</v>
      </c>
      <c r="W9" s="45">
        <f t="shared" si="2"/>
        <v>1883.2880952380954</v>
      </c>
      <c r="X9" s="45">
        <f>AVERAGE($D8:$X8)</f>
        <v>1883.2880952380954</v>
      </c>
      <c r="Y9" s="45">
        <f t="shared" ref="Y9" si="3">AVERAGE($D8:$X8)</f>
        <v>1883.2880952380954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0.98136870544298782</v>
      </c>
      <c r="E10" s="53">
        <f t="shared" si="4"/>
        <v>0.99676199554730138</v>
      </c>
      <c r="F10" s="53">
        <f t="shared" si="4"/>
        <v>0.95830797452783312</v>
      </c>
      <c r="G10" s="53">
        <f t="shared" si="4"/>
        <v>1.0661353433268308</v>
      </c>
      <c r="H10" s="53">
        <f t="shared" si="4"/>
        <v>1.0651848780185618</v>
      </c>
      <c r="I10" s="53">
        <f t="shared" si="4"/>
        <v>1.1484382052160544</v>
      </c>
      <c r="J10" s="53">
        <f t="shared" si="4"/>
        <v>1.03489211498127</v>
      </c>
      <c r="K10" s="53">
        <f t="shared" si="4"/>
        <v>0.97529422324935733</v>
      </c>
      <c r="L10" s="53">
        <f t="shared" si="4"/>
        <v>1.0068348038701309</v>
      </c>
      <c r="M10" s="53">
        <f t="shared" si="4"/>
        <v>1.0339681989832878</v>
      </c>
      <c r="N10" s="53">
        <f t="shared" si="4"/>
        <v>1.1014459260083365</v>
      </c>
      <c r="O10" s="53">
        <f t="shared" si="4"/>
        <v>0.98563783453711273</v>
      </c>
      <c r="P10" s="53">
        <f t="shared" si="4"/>
        <v>1.036904552701013</v>
      </c>
      <c r="Q10" s="53">
        <f t="shared" si="4"/>
        <v>1.0261573918968976</v>
      </c>
      <c r="R10" s="53">
        <f t="shared" si="4"/>
        <v>0.86650045955591837</v>
      </c>
      <c r="S10" s="53">
        <f t="shared" si="4"/>
        <v>0.96005491914470753</v>
      </c>
      <c r="T10" s="53">
        <f t="shared" ref="T10:Y10" si="5">IF(T8=0,0,T8/T9)</f>
        <v>0.93778535767610083</v>
      </c>
      <c r="U10" s="53">
        <f t="shared" si="5"/>
        <v>0.99817972871661886</v>
      </c>
      <c r="V10" s="53">
        <f t="shared" si="5"/>
        <v>0.92754794362949289</v>
      </c>
      <c r="W10" s="53">
        <f t="shared" si="5"/>
        <v>0.9631611884482687</v>
      </c>
      <c r="X10" s="53">
        <f t="shared" si="5"/>
        <v>0.92943825452191642</v>
      </c>
      <c r="Y10" s="53">
        <f t="shared" si="5"/>
        <v>1.0176722323292215</v>
      </c>
    </row>
    <row r="11" spans="1:25" x14ac:dyDescent="0.25">
      <c r="A11" s="43" t="s">
        <v>251</v>
      </c>
      <c r="B11" s="44"/>
      <c r="C11" s="44"/>
      <c r="D11" s="45">
        <v>172.11</v>
      </c>
      <c r="E11" s="45">
        <v>210.83</v>
      </c>
      <c r="F11" s="45">
        <v>152.41</v>
      </c>
      <c r="G11" s="45">
        <v>409.64</v>
      </c>
      <c r="H11" s="45">
        <v>173.29</v>
      </c>
      <c r="I11" s="45">
        <v>174.25</v>
      </c>
      <c r="J11" s="45">
        <v>230.09</v>
      </c>
      <c r="K11" s="45">
        <v>208.32</v>
      </c>
      <c r="L11" s="45">
        <v>244.24</v>
      </c>
      <c r="M11" s="45">
        <v>248.91</v>
      </c>
      <c r="N11" s="45">
        <v>197.31</v>
      </c>
      <c r="O11" s="45">
        <v>217.3</v>
      </c>
      <c r="P11" s="45">
        <v>320.38</v>
      </c>
      <c r="Q11" s="45">
        <v>204.43</v>
      </c>
      <c r="R11" s="45">
        <v>134.1</v>
      </c>
      <c r="S11" s="45">
        <v>305.95999999999998</v>
      </c>
      <c r="T11" s="45">
        <v>208</v>
      </c>
      <c r="U11" s="45">
        <v>302.35000000000002</v>
      </c>
      <c r="V11" s="45">
        <v>239.6</v>
      </c>
      <c r="W11" s="45">
        <v>305.83</v>
      </c>
      <c r="X11" s="45">
        <v>241.55</v>
      </c>
      <c r="Y11" s="45">
        <v>288.62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233.37619047619052</v>
      </c>
      <c r="E12" s="45">
        <f t="shared" ref="E12" si="7">AVERAGE($D11:$X11)</f>
        <v>233.37619047619052</v>
      </c>
      <c r="F12" s="45">
        <f t="shared" ref="F12" si="8">AVERAGE($D11:$X11)</f>
        <v>233.37619047619052</v>
      </c>
      <c r="G12" s="45">
        <f t="shared" ref="G12" si="9">AVERAGE($D11:$X11)</f>
        <v>233.37619047619052</v>
      </c>
      <c r="H12" s="45">
        <f t="shared" ref="H12" si="10">AVERAGE($D11:$X11)</f>
        <v>233.37619047619052</v>
      </c>
      <c r="I12" s="45">
        <f t="shared" ref="I12" si="11">AVERAGE($D11:$X11)</f>
        <v>233.37619047619052</v>
      </c>
      <c r="J12" s="45">
        <f t="shared" ref="J12" si="12">AVERAGE($D11:$X11)</f>
        <v>233.37619047619052</v>
      </c>
      <c r="K12" s="45">
        <f t="shared" ref="K12" si="13">AVERAGE($D11:$X11)</f>
        <v>233.37619047619052</v>
      </c>
      <c r="L12" s="45">
        <f t="shared" ref="L12" si="14">AVERAGE($D11:$X11)</f>
        <v>233.37619047619052</v>
      </c>
      <c r="M12" s="45">
        <f t="shared" ref="M12" si="15">AVERAGE($D11:$X11)</f>
        <v>233.37619047619052</v>
      </c>
      <c r="N12" s="45">
        <f t="shared" ref="N12" si="16">AVERAGE($D11:$X11)</f>
        <v>233.37619047619052</v>
      </c>
      <c r="O12" s="45">
        <f t="shared" ref="O12" si="17">AVERAGE($D11:$X11)</f>
        <v>233.37619047619052</v>
      </c>
      <c r="P12" s="45">
        <f t="shared" ref="P12" si="18">AVERAGE($D11:$X11)</f>
        <v>233.37619047619052</v>
      </c>
      <c r="Q12" s="45">
        <f t="shared" ref="Q12" si="19">AVERAGE($D11:$X11)</f>
        <v>233.37619047619052</v>
      </c>
      <c r="R12" s="45">
        <f t="shared" ref="R12" si="20">AVERAGE($D11:$X11)</f>
        <v>233.37619047619052</v>
      </c>
      <c r="S12" s="45">
        <f t="shared" ref="S12" si="21">AVERAGE($D11:$X11)</f>
        <v>233.37619047619052</v>
      </c>
      <c r="T12" s="45">
        <f t="shared" ref="T12" si="22">AVERAGE($D11:$X11)</f>
        <v>233.37619047619052</v>
      </c>
      <c r="U12" s="45">
        <f t="shared" ref="U12" si="23">AVERAGE($D11:$X11)</f>
        <v>233.37619047619052</v>
      </c>
      <c r="V12" s="45">
        <f t="shared" ref="V12" si="24">AVERAGE($D11:$X11)</f>
        <v>233.37619047619052</v>
      </c>
      <c r="W12" s="45">
        <f t="shared" ref="W12" si="25">AVERAGE($D11:$X11)</f>
        <v>233.37619047619052</v>
      </c>
      <c r="X12" s="45">
        <f>AVERAGE($D11:$X11)</f>
        <v>233.37619047619052</v>
      </c>
      <c r="Y12" s="45">
        <f t="shared" ref="Y12" si="26">AVERAGE($D11:$X11)</f>
        <v>233.37619047619052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0.73747883041890261</v>
      </c>
      <c r="E13" s="55">
        <f t="shared" si="27"/>
        <v>0.90339121385867893</v>
      </c>
      <c r="F13" s="55">
        <f t="shared" ref="F13" si="28">IF(F11=0,0,F11/F12)</f>
        <v>0.65306576343120637</v>
      </c>
      <c r="G13" s="55">
        <f t="shared" ref="G13" si="29">IF(G11=0,0,G11/G12)</f>
        <v>1.7552776020730883</v>
      </c>
      <c r="H13" s="55">
        <f t="shared" ref="H13" si="30">IF(H11=0,0,H11/H12)</f>
        <v>0.74253504458364772</v>
      </c>
      <c r="I13" s="55">
        <f t="shared" ref="I13" si="31">IF(I11=0,0,I11/I12)</f>
        <v>0.74664857475157609</v>
      </c>
      <c r="J13" s="55">
        <f t="shared" ref="J13" si="32">IF(J11=0,0,J11/J12)</f>
        <v>0.98591891285274114</v>
      </c>
      <c r="K13" s="55">
        <f t="shared" ref="K13" si="33">IF(K11=0,0,K11/K12)</f>
        <v>0.89263604644044958</v>
      </c>
      <c r="L13" s="55">
        <f t="shared" ref="L13" si="34">IF(L11=0,0,L11/L12)</f>
        <v>1.0465506335571015</v>
      </c>
      <c r="M13" s="55">
        <f t="shared" ref="M13" si="35">IF(M11=0,0,M11/M12)</f>
        <v>1.0665612438531695</v>
      </c>
      <c r="N13" s="55">
        <f t="shared" ref="N13" si="36">IF(N11=0,0,N11/N12)</f>
        <v>0.84545899732702146</v>
      </c>
      <c r="O13" s="55">
        <f t="shared" ref="O13" si="37">IF(O11=0,0,O11/O12)</f>
        <v>0.9311146932196126</v>
      </c>
      <c r="P13" s="55">
        <f t="shared" ref="P13" si="38">IF(P11=0,0,P11/P12)</f>
        <v>1.372804995000918</v>
      </c>
      <c r="Q13" s="55">
        <f t="shared" ref="Q13" si="39">IF(Q11=0,0,Q11/Q12)</f>
        <v>0.87596767940582332</v>
      </c>
      <c r="R13" s="55">
        <f t="shared" ref="R13" si="40">IF(R11=0,0,R11/R12)</f>
        <v>0.57460874533248985</v>
      </c>
      <c r="S13" s="55">
        <f t="shared" ref="S13:Y13" si="41">IF(S11=0,0,S11/S12)</f>
        <v>1.3110163439368276</v>
      </c>
      <c r="T13" s="55">
        <f t="shared" si="41"/>
        <v>0.89126486971780683</v>
      </c>
      <c r="U13" s="55">
        <f t="shared" si="41"/>
        <v>1.2955477565345139</v>
      </c>
      <c r="V13" s="55">
        <f t="shared" si="41"/>
        <v>1.0266685710787813</v>
      </c>
      <c r="W13" s="55">
        <f t="shared" si="41"/>
        <v>1.3104593033932541</v>
      </c>
      <c r="X13" s="55">
        <f t="shared" si="41"/>
        <v>1.0350241792323858</v>
      </c>
      <c r="Y13" s="55">
        <f t="shared" si="41"/>
        <v>1.2367157052786222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1660309.3238472235</v>
      </c>
      <c r="E16" s="42">
        <v>1692694.9185540918</v>
      </c>
      <c r="F16" s="42">
        <v>1697008.6845048829</v>
      </c>
      <c r="G16" s="42">
        <v>1699353.2508041719</v>
      </c>
      <c r="H16" s="42">
        <v>1723554.822401291</v>
      </c>
      <c r="I16" s="42">
        <v>1737633.8444356546</v>
      </c>
      <c r="J16" s="42">
        <v>1768758.315866217</v>
      </c>
      <c r="K16" s="42">
        <v>1795064.2507781237</v>
      </c>
      <c r="L16" s="42">
        <v>1777789.1880156316</v>
      </c>
      <c r="M16" s="42">
        <v>1683915.0812461299</v>
      </c>
      <c r="N16" s="42">
        <v>1712760.4570821153</v>
      </c>
      <c r="O16" s="42">
        <v>1724874.5122244656</v>
      </c>
      <c r="P16" s="42">
        <v>1673457.9564420085</v>
      </c>
      <c r="Q16" s="42">
        <v>1642647.4842126705</v>
      </c>
      <c r="R16" s="42">
        <v>1642566.4886906145</v>
      </c>
      <c r="S16" s="42">
        <v>1655355</v>
      </c>
      <c r="T16" s="42">
        <v>1676772.2032155357</v>
      </c>
      <c r="U16" s="42">
        <v>1704731.3706819543</v>
      </c>
      <c r="V16" s="42">
        <v>1720515.5550375402</v>
      </c>
      <c r="W16" s="42">
        <v>1728826.6312558337</v>
      </c>
      <c r="X16" s="42">
        <v>1573680.2318972377</v>
      </c>
      <c r="Y16" s="42">
        <v>1704511.6122454708</v>
      </c>
    </row>
    <row r="17" spans="1:25" x14ac:dyDescent="0.25">
      <c r="A17" s="46" t="s">
        <v>141</v>
      </c>
      <c r="B17" s="47"/>
      <c r="C17" s="47"/>
      <c r="D17" s="57">
        <v>1002734.766833849</v>
      </c>
      <c r="E17" s="57">
        <v>1009193.1686632588</v>
      </c>
      <c r="F17" s="57">
        <v>1008770.1696971228</v>
      </c>
      <c r="G17" s="57">
        <v>1015575.6498283471</v>
      </c>
      <c r="H17" s="57">
        <v>1025443.2940331558</v>
      </c>
      <c r="I17" s="57">
        <v>1039663.439535293</v>
      </c>
      <c r="J17" s="57">
        <v>1053622.0373460106</v>
      </c>
      <c r="K17" s="57">
        <v>1066133.3482367406</v>
      </c>
      <c r="L17" s="57">
        <v>1054059.9989169871</v>
      </c>
      <c r="M17" s="57">
        <v>1038236.210352039</v>
      </c>
      <c r="N17" s="57">
        <v>1049134.4906340134</v>
      </c>
      <c r="O17" s="57">
        <v>1049822.1578596432</v>
      </c>
      <c r="P17" s="57">
        <v>1010821.887213847</v>
      </c>
      <c r="Q17" s="57">
        <v>986114.33505351294</v>
      </c>
      <c r="R17" s="57">
        <v>987840.65301216883</v>
      </c>
      <c r="S17" s="57">
        <v>1005936.2</v>
      </c>
      <c r="T17" s="57">
        <v>1018478.7429576057</v>
      </c>
      <c r="U17" s="57">
        <v>1034148.8846499767</v>
      </c>
      <c r="V17" s="57">
        <v>1043808.6193730298</v>
      </c>
      <c r="W17" s="57">
        <v>1045967.784320405</v>
      </c>
      <c r="X17" s="57">
        <v>937066.54352792504</v>
      </c>
      <c r="Y17" s="57">
        <v>986430.99157733528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29167.367147670331</v>
      </c>
      <c r="E20" s="42">
        <f t="shared" ref="E20:S20" si="42">1000000*E16/E$3</f>
        <v>29716.895267952361</v>
      </c>
      <c r="F20" s="42">
        <f t="shared" si="42"/>
        <v>29778.608923967895</v>
      </c>
      <c r="G20" s="42">
        <f t="shared" si="42"/>
        <v>29745.111146121686</v>
      </c>
      <c r="H20" s="42">
        <f t="shared" si="42"/>
        <v>29977.003967261859</v>
      </c>
      <c r="I20" s="42">
        <f t="shared" si="42"/>
        <v>30024.039056126159</v>
      </c>
      <c r="J20" s="42">
        <f t="shared" si="42"/>
        <v>30462.107277749717</v>
      </c>
      <c r="K20" s="42">
        <f t="shared" si="42"/>
        <v>30830.450387699628</v>
      </c>
      <c r="L20" s="42">
        <f t="shared" si="42"/>
        <v>30310.350311312643</v>
      </c>
      <c r="M20" s="42">
        <f t="shared" si="42"/>
        <v>28540.650108901118</v>
      </c>
      <c r="N20" s="42">
        <f t="shared" si="42"/>
        <v>28936.582516486153</v>
      </c>
      <c r="O20" s="42">
        <f t="shared" si="42"/>
        <v>29055.563369815722</v>
      </c>
      <c r="P20" s="42">
        <f t="shared" si="42"/>
        <v>28175.440686362032</v>
      </c>
      <c r="Q20" s="42">
        <f t="shared" si="42"/>
        <v>27521.843624933696</v>
      </c>
      <c r="R20" s="42">
        <f t="shared" si="42"/>
        <v>27023.599699352035</v>
      </c>
      <c r="S20" s="42">
        <f t="shared" si="42"/>
        <v>27228.198640388717</v>
      </c>
      <c r="T20" s="42">
        <f t="shared" ref="T20:Y20" si="43">1000000*T16/T$3</f>
        <v>27639.610546280797</v>
      </c>
      <c r="U20" s="42">
        <f t="shared" si="43"/>
        <v>28135.781251700759</v>
      </c>
      <c r="V20" s="42">
        <f t="shared" si="43"/>
        <v>28445.809190436947</v>
      </c>
      <c r="W20" s="42">
        <f t="shared" si="43"/>
        <v>28902.086066469023</v>
      </c>
      <c r="X20" s="42">
        <f t="shared" si="43"/>
        <v>26385.663481387954</v>
      </c>
      <c r="Y20" s="42">
        <f t="shared" si="43"/>
        <v>28774.824147611711</v>
      </c>
    </row>
    <row r="21" spans="1:25" x14ac:dyDescent="0.25">
      <c r="A21" s="46" t="s">
        <v>141</v>
      </c>
      <c r="B21" s="47"/>
      <c r="C21" s="47"/>
      <c r="D21" s="57">
        <f>1000000*D17/D$3</f>
        <v>17615.472415830212</v>
      </c>
      <c r="E21" s="57">
        <f t="shared" ref="E21:S21" si="44">1000000*E17/E$3</f>
        <v>17717.361451003067</v>
      </c>
      <c r="F21" s="57">
        <f t="shared" si="44"/>
        <v>17701.602031777296</v>
      </c>
      <c r="G21" s="57">
        <f t="shared" si="44"/>
        <v>17776.416155465999</v>
      </c>
      <c r="H21" s="57">
        <f t="shared" si="44"/>
        <v>17835.068135869788</v>
      </c>
      <c r="I21" s="57">
        <f t="shared" si="44"/>
        <v>17964.023786594698</v>
      </c>
      <c r="J21" s="57">
        <f t="shared" si="44"/>
        <v>18145.807284087419</v>
      </c>
      <c r="K21" s="57">
        <f t="shared" si="44"/>
        <v>18310.972036369571</v>
      </c>
      <c r="L21" s="57">
        <f t="shared" si="44"/>
        <v>17971.156553144021</v>
      </c>
      <c r="M21" s="57">
        <f t="shared" si="44"/>
        <v>17597.049126800859</v>
      </c>
      <c r="N21" s="57">
        <f t="shared" si="44"/>
        <v>17724.817637862667</v>
      </c>
      <c r="O21" s="57">
        <f t="shared" si="44"/>
        <v>17684.286026923466</v>
      </c>
      <c r="P21" s="57">
        <f t="shared" si="44"/>
        <v>17018.863257385474</v>
      </c>
      <c r="Q21" s="57">
        <f t="shared" si="44"/>
        <v>16521.916471114586</v>
      </c>
      <c r="R21" s="57">
        <f t="shared" si="44"/>
        <v>16252.012054031075</v>
      </c>
      <c r="S21" s="57">
        <f t="shared" si="44"/>
        <v>16546.19744596041</v>
      </c>
      <c r="T21" s="57">
        <f t="shared" ref="T21:Y21" si="45">1000000*T17/T$3</f>
        <v>16788.419888539473</v>
      </c>
      <c r="U21" s="57">
        <f t="shared" si="45"/>
        <v>17068.135954207482</v>
      </c>
      <c r="V21" s="57">
        <f t="shared" si="45"/>
        <v>17257.606727868715</v>
      </c>
      <c r="W21" s="57">
        <f t="shared" si="45"/>
        <v>17486.224690570889</v>
      </c>
      <c r="X21" s="57">
        <f t="shared" si="45"/>
        <v>15711.656012471136</v>
      </c>
      <c r="Y21" s="57">
        <f t="shared" si="45"/>
        <v>16652.499233489747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1473841.9448860623</v>
      </c>
      <c r="E23" s="60">
        <v>1501113.3104320175</v>
      </c>
      <c r="F23" s="60">
        <v>1506596.5741726279</v>
      </c>
      <c r="G23" s="60">
        <v>1507646.7635529209</v>
      </c>
      <c r="H23" s="60">
        <v>1531521.2436444391</v>
      </c>
      <c r="I23" s="60">
        <v>1543982.0379886217</v>
      </c>
      <c r="J23" s="60">
        <v>1573419.2132823633</v>
      </c>
      <c r="K23" s="60">
        <v>1598029.9606477146</v>
      </c>
      <c r="L23" s="60">
        <v>1586823.7088596716</v>
      </c>
      <c r="M23" s="60">
        <v>1500402.0634837081</v>
      </c>
      <c r="N23" s="60">
        <v>1527822.9980288609</v>
      </c>
      <c r="O23" s="60">
        <v>1538970.9534944142</v>
      </c>
      <c r="P23" s="60">
        <v>1497803.3346003308</v>
      </c>
      <c r="Q23" s="60">
        <v>1474411.9170721301</v>
      </c>
      <c r="R23" s="60">
        <v>1475210.1255609903</v>
      </c>
      <c r="S23" s="60">
        <v>1488049</v>
      </c>
      <c r="T23" s="60">
        <v>1508259.4269074197</v>
      </c>
      <c r="U23" s="60">
        <v>1532449.092018022</v>
      </c>
      <c r="V23" s="60">
        <v>1546746.7816170244</v>
      </c>
      <c r="W23" s="60">
        <v>1554309.787693762</v>
      </c>
      <c r="X23" s="60">
        <v>1424040.1762448477</v>
      </c>
      <c r="Y23" s="60">
        <v>1538963.1446860109</v>
      </c>
    </row>
    <row r="24" spans="1:25" x14ac:dyDescent="0.25">
      <c r="A24" s="61" t="s">
        <v>33</v>
      </c>
      <c r="B24" s="62"/>
      <c r="C24" s="62"/>
      <c r="D24" s="63">
        <v>42166.931637519869</v>
      </c>
      <c r="E24" s="63">
        <v>41462.704483634923</v>
      </c>
      <c r="F24" s="63">
        <v>39629.446273422611</v>
      </c>
      <c r="G24" s="63">
        <v>39303.829237976868</v>
      </c>
      <c r="H24" s="63">
        <v>39841.505464321192</v>
      </c>
      <c r="I24" s="63">
        <v>34839.534777023306</v>
      </c>
      <c r="J24" s="63">
        <v>34170.417788233164</v>
      </c>
      <c r="K24" s="63">
        <v>33754.781247588711</v>
      </c>
      <c r="L24" s="63">
        <v>32977.464123055768</v>
      </c>
      <c r="M24" s="63">
        <v>29935.042375111861</v>
      </c>
      <c r="N24" s="63">
        <v>30155.793778789699</v>
      </c>
      <c r="O24" s="63">
        <v>32271.343206027541</v>
      </c>
      <c r="P24" s="63">
        <v>32885.877772413012</v>
      </c>
      <c r="Q24" s="63">
        <v>35132.507846861765</v>
      </c>
      <c r="R24" s="63">
        <v>32790.378700015128</v>
      </c>
      <c r="S24" s="63">
        <v>34187</v>
      </c>
      <c r="T24" s="63">
        <v>32389.833698160677</v>
      </c>
      <c r="U24" s="63">
        <v>33700.100340370278</v>
      </c>
      <c r="V24" s="63">
        <v>33532.485477138049</v>
      </c>
      <c r="W24" s="63">
        <v>33053.988096960573</v>
      </c>
      <c r="X24" s="63">
        <v>31611.124271568679</v>
      </c>
      <c r="Y24" s="63">
        <v>32548.383761479101</v>
      </c>
    </row>
    <row r="25" spans="1:25" x14ac:dyDescent="0.25">
      <c r="A25" s="64" t="s">
        <v>56</v>
      </c>
      <c r="B25" s="65"/>
      <c r="C25" s="65"/>
      <c r="D25" s="66">
        <v>7898.7811340752514</v>
      </c>
      <c r="E25" s="66">
        <v>7076.7619753023355</v>
      </c>
      <c r="F25" s="66">
        <v>7388.3016906359071</v>
      </c>
      <c r="G25" s="66">
        <v>6256.5732861650258</v>
      </c>
      <c r="H25" s="66">
        <v>6063.5848284729118</v>
      </c>
      <c r="I25" s="66">
        <v>6195.0587263718116</v>
      </c>
      <c r="J25" s="66">
        <v>6245.7870569341076</v>
      </c>
      <c r="K25" s="66">
        <v>5946.2736582193374</v>
      </c>
      <c r="L25" s="66">
        <v>6344.2038326029042</v>
      </c>
      <c r="M25" s="66">
        <v>4526.1883455282414</v>
      </c>
      <c r="N25" s="66">
        <v>4764.4646828784953</v>
      </c>
      <c r="O25" s="66">
        <v>5580.4624577812419</v>
      </c>
      <c r="P25" s="66">
        <v>6922.3262073287242</v>
      </c>
      <c r="Q25" s="66">
        <v>6634.229585462228</v>
      </c>
      <c r="R25" s="66">
        <v>5644.2942867228076</v>
      </c>
      <c r="S25" s="66">
        <v>4373.6000000000004</v>
      </c>
      <c r="T25" s="66">
        <v>3616.3469062311192</v>
      </c>
      <c r="U25" s="66">
        <v>4085.4270368111438</v>
      </c>
      <c r="V25" s="66">
        <v>4527.9218441358771</v>
      </c>
      <c r="W25" s="66">
        <v>3741.1619449990835</v>
      </c>
      <c r="X25" s="66">
        <v>2715.6867389965414</v>
      </c>
      <c r="Y25" s="66">
        <v>5216.5167451522248</v>
      </c>
    </row>
    <row r="26" spans="1:25" x14ac:dyDescent="0.25">
      <c r="A26" s="67" t="s">
        <v>146</v>
      </c>
      <c r="B26" s="44"/>
      <c r="C26" s="44"/>
      <c r="D26" s="45">
        <v>1049822.9994700579</v>
      </c>
      <c r="E26" s="45">
        <v>1075513.8110258342</v>
      </c>
      <c r="F26" s="45">
        <v>1083374.9597762318</v>
      </c>
      <c r="G26" s="45">
        <v>1094757.3859833635</v>
      </c>
      <c r="H26" s="45">
        <v>1112722.4592367483</v>
      </c>
      <c r="I26" s="45">
        <v>1129879.1062580287</v>
      </c>
      <c r="J26" s="45">
        <v>1148792.666651587</v>
      </c>
      <c r="K26" s="45">
        <v>1162214.0896614823</v>
      </c>
      <c r="L26" s="45">
        <v>1159850.799175045</v>
      </c>
      <c r="M26" s="45">
        <v>1127680.1600252672</v>
      </c>
      <c r="N26" s="45">
        <v>1147907.2194288967</v>
      </c>
      <c r="O26" s="45">
        <v>1156111.301636789</v>
      </c>
      <c r="P26" s="45">
        <v>1130923.2302271349</v>
      </c>
      <c r="Q26" s="45">
        <v>1114743.6691824028</v>
      </c>
      <c r="R26" s="45">
        <v>1123893.6009278402</v>
      </c>
      <c r="S26" s="45">
        <v>1131640.2000000002</v>
      </c>
      <c r="T26" s="45">
        <v>1143856.0434227076</v>
      </c>
      <c r="U26" s="45">
        <v>1159394.9082180732</v>
      </c>
      <c r="V26" s="45">
        <v>1168253.0724245636</v>
      </c>
      <c r="W26" s="45">
        <v>1173633.0314166932</v>
      </c>
      <c r="X26" s="45">
        <v>1077005.1641635476</v>
      </c>
      <c r="Y26" s="45">
        <v>1135511.6600400419</v>
      </c>
    </row>
    <row r="27" spans="1:25" x14ac:dyDescent="0.25">
      <c r="A27" s="68" t="s">
        <v>148</v>
      </c>
      <c r="B27" s="69"/>
      <c r="C27" s="69"/>
      <c r="D27" s="70">
        <v>380117.24960254371</v>
      </c>
      <c r="E27" s="70">
        <v>389156.26955444593</v>
      </c>
      <c r="F27" s="70">
        <v>392036.31278001936</v>
      </c>
      <c r="G27" s="70">
        <v>394744.95649679704</v>
      </c>
      <c r="H27" s="70">
        <v>402350.76851148385</v>
      </c>
      <c r="I27" s="70">
        <v>409607.61148834648</v>
      </c>
      <c r="J27" s="70">
        <v>418339.5914858965</v>
      </c>
      <c r="K27" s="70">
        <v>420824.0831578832</v>
      </c>
      <c r="L27" s="70">
        <v>421745.40259517054</v>
      </c>
      <c r="M27" s="70">
        <v>418327.52539874724</v>
      </c>
      <c r="N27" s="70">
        <v>425013.12335958</v>
      </c>
      <c r="O27" s="70">
        <v>423589.91945959994</v>
      </c>
      <c r="P27" s="70">
        <v>412238.16812713805</v>
      </c>
      <c r="Q27" s="70">
        <v>405694.63772385143</v>
      </c>
      <c r="R27" s="70">
        <v>407777.52004437492</v>
      </c>
      <c r="S27" s="70">
        <v>405935.39999999997</v>
      </c>
      <c r="T27" s="70">
        <v>411280.49444835132</v>
      </c>
      <c r="U27" s="70">
        <v>416905.48330611683</v>
      </c>
      <c r="V27" s="70">
        <v>420069.76812073682</v>
      </c>
      <c r="W27" s="70">
        <v>419415.74789478251</v>
      </c>
      <c r="X27" s="70">
        <v>368533.94608423748</v>
      </c>
      <c r="Y27" s="70">
        <v>393427.51600259426</v>
      </c>
    </row>
    <row r="28" spans="1:25" x14ac:dyDescent="0.25">
      <c r="A28" s="68" t="s">
        <v>150</v>
      </c>
      <c r="B28" s="71"/>
      <c r="C28" s="71"/>
      <c r="D28" s="70">
        <v>460717.54107048223</v>
      </c>
      <c r="E28" s="70">
        <v>474898.79576538492</v>
      </c>
      <c r="F28" s="70">
        <v>485260.27871977031</v>
      </c>
      <c r="G28" s="70">
        <v>498736.6143990822</v>
      </c>
      <c r="H28" s="70">
        <v>506991.75968675112</v>
      </c>
      <c r="I28" s="70">
        <v>516654.08790603786</v>
      </c>
      <c r="J28" s="70">
        <v>526068.33450202446</v>
      </c>
      <c r="K28" s="70">
        <v>536758.23146198702</v>
      </c>
      <c r="L28" s="70">
        <v>535631.1764200395</v>
      </c>
      <c r="M28" s="70">
        <v>520541.13807443285</v>
      </c>
      <c r="N28" s="70">
        <v>529644.24627644429</v>
      </c>
      <c r="O28" s="70">
        <v>535581.70953494415</v>
      </c>
      <c r="P28" s="70">
        <v>527518.0547137442</v>
      </c>
      <c r="Q28" s="70">
        <v>521855.41458856023</v>
      </c>
      <c r="R28" s="70">
        <v>526511.21980737231</v>
      </c>
      <c r="S28" s="70">
        <v>530653.6</v>
      </c>
      <c r="T28" s="70">
        <v>531308.8222184804</v>
      </c>
      <c r="U28" s="70">
        <v>535291.18381962343</v>
      </c>
      <c r="V28" s="70">
        <v>539856.27961739432</v>
      </c>
      <c r="W28" s="70">
        <v>538201.23274589807</v>
      </c>
      <c r="X28" s="70">
        <v>517753.63623442454</v>
      </c>
      <c r="Y28" s="70">
        <v>529070.39261577791</v>
      </c>
    </row>
    <row r="29" spans="1:25" x14ac:dyDescent="0.25">
      <c r="A29" s="68" t="s">
        <v>152</v>
      </c>
      <c r="B29" s="71"/>
      <c r="C29" s="71"/>
      <c r="D29" s="70">
        <v>208988.20879703207</v>
      </c>
      <c r="E29" s="70">
        <v>211458.74570600319</v>
      </c>
      <c r="F29" s="70">
        <v>206078.36827644208</v>
      </c>
      <c r="G29" s="70">
        <v>201275.81508748446</v>
      </c>
      <c r="H29" s="70">
        <v>203379.93103851314</v>
      </c>
      <c r="I29" s="70">
        <v>203617.40686364472</v>
      </c>
      <c r="J29" s="70">
        <v>204384.74066366587</v>
      </c>
      <c r="K29" s="70">
        <v>204631.77504161227</v>
      </c>
      <c r="L29" s="70">
        <v>202474.22015983483</v>
      </c>
      <c r="M29" s="70">
        <v>188811.49655208719</v>
      </c>
      <c r="N29" s="70">
        <v>193249.84979287232</v>
      </c>
      <c r="O29" s="70">
        <v>196939.6726422449</v>
      </c>
      <c r="P29" s="70">
        <v>191167.00738625258</v>
      </c>
      <c r="Q29" s="70">
        <v>187193.61686999089</v>
      </c>
      <c r="R29" s="70">
        <v>189604.86107609287</v>
      </c>
      <c r="S29" s="70">
        <v>195051.2</v>
      </c>
      <c r="T29" s="70">
        <v>201266.72675587615</v>
      </c>
      <c r="U29" s="70">
        <v>207198.24109233302</v>
      </c>
      <c r="V29" s="70">
        <v>208327.0246864323</v>
      </c>
      <c r="W29" s="70">
        <v>216016.05077601271</v>
      </c>
      <c r="X29" s="70">
        <v>190717.58184488569</v>
      </c>
      <c r="Y29" s="70">
        <v>213013.7514216695</v>
      </c>
    </row>
    <row r="30" spans="1:25" x14ac:dyDescent="0.25">
      <c r="A30" s="64" t="s">
        <v>154</v>
      </c>
      <c r="B30" s="65"/>
      <c r="C30" s="65"/>
      <c r="D30" s="66">
        <v>25953.630100688926</v>
      </c>
      <c r="E30" s="66">
        <v>27391.420945764748</v>
      </c>
      <c r="F30" s="66">
        <v>26774.17757865294</v>
      </c>
      <c r="G30" s="66">
        <v>26552.490677885078</v>
      </c>
      <c r="H30" s="66">
        <v>27376.190754485418</v>
      </c>
      <c r="I30" s="66">
        <v>28709.281519544871</v>
      </c>
      <c r="J30" s="66">
        <v>29914.044651541539</v>
      </c>
      <c r="K30" s="66">
        <v>30991.082353200545</v>
      </c>
      <c r="L30" s="66">
        <v>33818.961072441351</v>
      </c>
      <c r="M30" s="66">
        <v>30871.821866610517</v>
      </c>
      <c r="N30" s="66">
        <v>28284.581897142376</v>
      </c>
      <c r="O30" s="66">
        <v>27073.83736035334</v>
      </c>
      <c r="P30" s="66">
        <v>28306.606535652281</v>
      </c>
      <c r="Q30" s="66">
        <v>27988.968683657196</v>
      </c>
      <c r="R30" s="66">
        <v>25232.71645403661</v>
      </c>
      <c r="S30" s="66">
        <v>25730.100000000002</v>
      </c>
      <c r="T30" s="66">
        <v>26216.856013708264</v>
      </c>
      <c r="U30" s="66">
        <v>26927.518838412652</v>
      </c>
      <c r="V30" s="66">
        <v>26837.665054637095</v>
      </c>
      <c r="W30" s="66">
        <v>29871.323706726085</v>
      </c>
      <c r="X30" s="66">
        <v>27723.030274316578</v>
      </c>
      <c r="Y30" s="66">
        <v>30882.704038951397</v>
      </c>
    </row>
    <row r="31" spans="1:25" x14ac:dyDescent="0.25">
      <c r="A31" s="64" t="s">
        <v>37</v>
      </c>
      <c r="B31" s="65"/>
      <c r="C31" s="65"/>
      <c r="D31" s="66">
        <v>71575.51669316375</v>
      </c>
      <c r="E31" s="66">
        <v>76371.971854368065</v>
      </c>
      <c r="F31" s="66">
        <v>79657.045966484322</v>
      </c>
      <c r="G31" s="66">
        <v>83071.756382063293</v>
      </c>
      <c r="H31" s="66">
        <v>87689.439541815198</v>
      </c>
      <c r="I31" s="66">
        <v>91309.070471646162</v>
      </c>
      <c r="J31" s="66">
        <v>94164.536632812305</v>
      </c>
      <c r="K31" s="66">
        <v>96081.08554988481</v>
      </c>
      <c r="L31" s="66">
        <v>96304.245080347158</v>
      </c>
      <c r="M31" s="66">
        <v>90028.95193977996</v>
      </c>
      <c r="N31" s="66">
        <v>85961.062096153633</v>
      </c>
      <c r="O31" s="66">
        <v>85858.664588204731</v>
      </c>
      <c r="P31" s="66">
        <v>78600.207513637346</v>
      </c>
      <c r="Q31" s="66">
        <v>72468.434792324799</v>
      </c>
      <c r="R31" s="66">
        <v>66221.471433614031</v>
      </c>
      <c r="S31" s="66">
        <v>64622.7</v>
      </c>
      <c r="T31" s="66">
        <v>64803.438951674412</v>
      </c>
      <c r="U31" s="66">
        <v>65009.738918291463</v>
      </c>
      <c r="V31" s="66">
        <v>65192.129922447428</v>
      </c>
      <c r="W31" s="66">
        <v>66985.17425316626</v>
      </c>
      <c r="X31" s="66">
        <v>62846.82806651821</v>
      </c>
      <c r="Y31" s="66">
        <v>80174.172141856776</v>
      </c>
    </row>
    <row r="32" spans="1:25" x14ac:dyDescent="0.25">
      <c r="A32" s="64" t="s">
        <v>58</v>
      </c>
      <c r="B32" s="65"/>
      <c r="C32" s="65"/>
      <c r="D32" s="66">
        <v>276424.08585055644</v>
      </c>
      <c r="E32" s="66">
        <v>273296.64014711324</v>
      </c>
      <c r="F32" s="66">
        <v>269772.64288720017</v>
      </c>
      <c r="G32" s="66">
        <v>257704.72798546709</v>
      </c>
      <c r="H32" s="66">
        <v>257828.06381859619</v>
      </c>
      <c r="I32" s="66">
        <v>253049.9862360066</v>
      </c>
      <c r="J32" s="66">
        <v>260131.76050125543</v>
      </c>
      <c r="K32" s="66">
        <v>269042.64817733882</v>
      </c>
      <c r="L32" s="66">
        <v>257528.03557617936</v>
      </c>
      <c r="M32" s="66">
        <v>217359.89893141025</v>
      </c>
      <c r="N32" s="66">
        <v>230749.87614499993</v>
      </c>
      <c r="O32" s="66">
        <v>232075.34424525849</v>
      </c>
      <c r="P32" s="66">
        <v>220165.08634416445</v>
      </c>
      <c r="Q32" s="66">
        <v>217444.10698142144</v>
      </c>
      <c r="R32" s="66">
        <v>221427.66375876154</v>
      </c>
      <c r="S32" s="66">
        <v>227495.4</v>
      </c>
      <c r="T32" s="66">
        <v>237376.90791493744</v>
      </c>
      <c r="U32" s="66">
        <v>243331.39866606335</v>
      </c>
      <c r="V32" s="66">
        <v>248403.50689410232</v>
      </c>
      <c r="W32" s="66">
        <v>247025.10827521674</v>
      </c>
      <c r="X32" s="66">
        <v>222138.34272990006</v>
      </c>
      <c r="Y32" s="66">
        <v>254629.7079585295</v>
      </c>
    </row>
    <row r="33" spans="1:25" x14ac:dyDescent="0.25">
      <c r="A33" s="72" t="s">
        <v>158</v>
      </c>
      <c r="B33" s="65"/>
      <c r="C33" s="65"/>
      <c r="D33" s="66">
        <v>10429.782723900371</v>
      </c>
      <c r="E33" s="66">
        <v>9387.9218971484024</v>
      </c>
      <c r="F33" s="66">
        <v>8637.9613356766258</v>
      </c>
      <c r="G33" s="66">
        <v>9380.7964432546141</v>
      </c>
      <c r="H33" s="66">
        <v>9734.6736017766343</v>
      </c>
      <c r="I33" s="66">
        <v>10203.477702330702</v>
      </c>
      <c r="J33" s="66">
        <v>10872.559885996063</v>
      </c>
      <c r="K33" s="66">
        <v>12212.766895578656</v>
      </c>
      <c r="L33" s="66">
        <v>10998.002062387213</v>
      </c>
      <c r="M33" s="66">
        <v>6187.5032899931566</v>
      </c>
      <c r="N33" s="66">
        <v>8264.9759141553095</v>
      </c>
      <c r="O33" s="66">
        <v>8944.2452585087049</v>
      </c>
      <c r="P33" s="66">
        <v>7743.5460176900233</v>
      </c>
      <c r="Q33" s="66">
        <v>7202.4541123650288</v>
      </c>
      <c r="R33" s="66">
        <v>7792.8495789420604</v>
      </c>
      <c r="S33" s="66">
        <v>7668.8</v>
      </c>
      <c r="T33" s="66">
        <v>8348.0749992571382</v>
      </c>
      <c r="U33" s="66">
        <v>9224.8214531646572</v>
      </c>
      <c r="V33" s="66">
        <v>9211.532660627232</v>
      </c>
      <c r="W33" s="66">
        <v>8298.0775723201295</v>
      </c>
      <c r="X33" s="66">
        <v>7188.4209030179563</v>
      </c>
      <c r="Y33" s="66">
        <v>11057.816127607179</v>
      </c>
    </row>
    <row r="34" spans="1:25" x14ac:dyDescent="0.25">
      <c r="A34" s="73" t="s">
        <v>5</v>
      </c>
      <c r="B34" s="65"/>
      <c r="C34" s="65"/>
      <c r="D34" s="66">
        <v>8167.8381041300736</v>
      </c>
      <c r="E34" s="66">
        <v>7351.9293948868153</v>
      </c>
      <c r="F34" s="66">
        <v>6764.6154869425081</v>
      </c>
      <c r="G34" s="66">
        <v>7346.3492638942953</v>
      </c>
      <c r="H34" s="66">
        <v>7623.4798059269615</v>
      </c>
      <c r="I34" s="66">
        <v>7990.6126693089864</v>
      </c>
      <c r="J34" s="66">
        <v>8514.5885851267994</v>
      </c>
      <c r="K34" s="66">
        <v>9564.1400638173618</v>
      </c>
      <c r="L34" s="66">
        <v>8612.8256640109776</v>
      </c>
      <c r="M34" s="66">
        <v>4204.3501461883388</v>
      </c>
      <c r="N34" s="66">
        <v>5754.5416265726644</v>
      </c>
      <c r="O34" s="66">
        <v>6340.3686855664391</v>
      </c>
      <c r="P34" s="66">
        <v>5549.2000158737619</v>
      </c>
      <c r="Q34" s="66">
        <v>5073.3657115253463</v>
      </c>
      <c r="R34" s="66">
        <v>5465.5579036877662</v>
      </c>
      <c r="S34" s="66">
        <v>5046.7149388726521</v>
      </c>
      <c r="T34" s="66">
        <v>5728.380452681643</v>
      </c>
      <c r="U34" s="66">
        <v>6342.4719225903509</v>
      </c>
      <c r="V34" s="66">
        <v>6344.6667469796812</v>
      </c>
      <c r="W34" s="66">
        <v>5551.7962405342696</v>
      </c>
      <c r="X34" s="66">
        <v>4914.1601055080901</v>
      </c>
      <c r="Y34" s="66">
        <v>8146.9025739235676</v>
      </c>
    </row>
    <row r="35" spans="1:25" x14ac:dyDescent="0.25">
      <c r="A35" s="74" t="s">
        <v>270</v>
      </c>
      <c r="B35" s="44"/>
      <c r="C35" s="44"/>
      <c r="D35" s="45">
        <v>3535.9097734745119</v>
      </c>
      <c r="E35" s="45">
        <v>3023.2357571758293</v>
      </c>
      <c r="F35" s="45">
        <v>2650.0933946551272</v>
      </c>
      <c r="G35" s="45">
        <v>2946.5269936069644</v>
      </c>
      <c r="H35" s="45">
        <v>3099.547272563339</v>
      </c>
      <c r="I35" s="45">
        <v>3461.1478714091331</v>
      </c>
      <c r="J35" s="45">
        <v>3474.7324737847885</v>
      </c>
      <c r="K35" s="45">
        <v>3818.6894952575162</v>
      </c>
      <c r="L35" s="45">
        <v>3358.4357680537801</v>
      </c>
      <c r="M35" s="45">
        <v>1365.7013221788866</v>
      </c>
      <c r="N35" s="45">
        <v>2114.4700316305148</v>
      </c>
      <c r="O35" s="45">
        <v>2402.000564938186</v>
      </c>
      <c r="P35" s="45">
        <v>2090.8948324409439</v>
      </c>
      <c r="Q35" s="45">
        <v>1590.6986882647857</v>
      </c>
      <c r="R35" s="45">
        <v>1666.921361699362</v>
      </c>
      <c r="S35" s="45">
        <v>1232.5758855129932</v>
      </c>
      <c r="T35" s="45">
        <v>1551.5994288677259</v>
      </c>
      <c r="U35" s="45">
        <v>1399.5826258375316</v>
      </c>
      <c r="V35" s="45">
        <v>1313.6175016465554</v>
      </c>
      <c r="W35" s="45">
        <v>1120.1028863599188</v>
      </c>
      <c r="X35" s="45">
        <v>848.64072917894896</v>
      </c>
      <c r="Y35" s="45">
        <v>1397.814705030783</v>
      </c>
    </row>
    <row r="36" spans="1:25" x14ac:dyDescent="0.25">
      <c r="A36" s="74" t="s">
        <v>15</v>
      </c>
      <c r="B36" s="44"/>
      <c r="C36" s="44"/>
      <c r="D36" s="45">
        <v>4631.9283306555617</v>
      </c>
      <c r="E36" s="45">
        <v>4328.693637710986</v>
      </c>
      <c r="F36" s="45">
        <v>4114.5220922873814</v>
      </c>
      <c r="G36" s="45">
        <v>4399.8222702873309</v>
      </c>
      <c r="H36" s="45">
        <v>4523.9325333636225</v>
      </c>
      <c r="I36" s="45">
        <v>4529.4647978998528</v>
      </c>
      <c r="J36" s="45">
        <v>5039.856111342011</v>
      </c>
      <c r="K36" s="45">
        <v>5745.4505685598451</v>
      </c>
      <c r="L36" s="45">
        <v>5254.389895957198</v>
      </c>
      <c r="M36" s="45">
        <v>2838.6488240094523</v>
      </c>
      <c r="N36" s="45">
        <v>3640.0715949421497</v>
      </c>
      <c r="O36" s="45">
        <v>3938.3681206282531</v>
      </c>
      <c r="P36" s="45">
        <v>3458.305183432818</v>
      </c>
      <c r="Q36" s="45">
        <v>3482.6670232605607</v>
      </c>
      <c r="R36" s="45">
        <v>3798.6365419884041</v>
      </c>
      <c r="S36" s="45">
        <v>3814.1390533596586</v>
      </c>
      <c r="T36" s="45">
        <v>4176.7810238139173</v>
      </c>
      <c r="U36" s="45">
        <v>4942.8892967528191</v>
      </c>
      <c r="V36" s="45">
        <v>5031.0492453331262</v>
      </c>
      <c r="W36" s="45">
        <v>4431.693354174351</v>
      </c>
      <c r="X36" s="45">
        <v>4065.5193763291409</v>
      </c>
      <c r="Y36" s="45">
        <v>6749.0878688927842</v>
      </c>
    </row>
    <row r="37" spans="1:25" x14ac:dyDescent="0.25">
      <c r="A37" s="73" t="s">
        <v>269</v>
      </c>
      <c r="B37" s="65"/>
      <c r="C37" s="65"/>
      <c r="D37" s="66">
        <v>2261.9446197702964</v>
      </c>
      <c r="E37" s="66">
        <v>2035.9925022615864</v>
      </c>
      <c r="F37" s="66">
        <v>1873.3458487341177</v>
      </c>
      <c r="G37" s="66">
        <v>2034.4471793603188</v>
      </c>
      <c r="H37" s="66">
        <v>2111.1937958496737</v>
      </c>
      <c r="I37" s="66">
        <v>2212.8650330217151</v>
      </c>
      <c r="J37" s="66">
        <v>2357.9713008692634</v>
      </c>
      <c r="K37" s="66">
        <v>2648.6268317612939</v>
      </c>
      <c r="L37" s="66">
        <v>2385.1763983762357</v>
      </c>
      <c r="M37" s="66">
        <v>1983.1531438048178</v>
      </c>
      <c r="N37" s="66">
        <v>2510.4342875826451</v>
      </c>
      <c r="O37" s="66">
        <v>2603.8765729422657</v>
      </c>
      <c r="P37" s="66">
        <v>2194.3460018162623</v>
      </c>
      <c r="Q37" s="66">
        <v>2129.0884008396824</v>
      </c>
      <c r="R37" s="66">
        <v>2327.2916752542942</v>
      </c>
      <c r="S37" s="66">
        <v>2622.0850611273481</v>
      </c>
      <c r="T37" s="66">
        <v>2619.6945465754952</v>
      </c>
      <c r="U37" s="66">
        <v>2882.3495305743063</v>
      </c>
      <c r="V37" s="66">
        <v>2866.8659136475508</v>
      </c>
      <c r="W37" s="66">
        <v>2746.2813317858599</v>
      </c>
      <c r="X37" s="66">
        <v>2274.2607975098663</v>
      </c>
      <c r="Y37" s="66">
        <v>2910.9135536836129</v>
      </c>
    </row>
    <row r="38" spans="1:25" x14ac:dyDescent="0.25">
      <c r="A38" s="74" t="s">
        <v>14</v>
      </c>
      <c r="B38" s="44"/>
      <c r="C38" s="44"/>
      <c r="D38" s="45">
        <v>341.51975452229232</v>
      </c>
      <c r="E38" s="45">
        <v>307.40436945455212</v>
      </c>
      <c r="F38" s="45">
        <v>282.84716115640458</v>
      </c>
      <c r="G38" s="45">
        <v>307.17104884480528</v>
      </c>
      <c r="H38" s="45">
        <v>318.75863829981267</v>
      </c>
      <c r="I38" s="45">
        <v>334.10947211664569</v>
      </c>
      <c r="J38" s="45">
        <v>356.01834492537665</v>
      </c>
      <c r="K38" s="45">
        <v>399.90297618167739</v>
      </c>
      <c r="L38" s="45">
        <v>360.12590712700108</v>
      </c>
      <c r="M38" s="45">
        <v>30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1024.5592635668772</v>
      </c>
      <c r="E39" s="45">
        <v>922.21310836365683</v>
      </c>
      <c r="F39" s="45">
        <v>848.54148346921386</v>
      </c>
      <c r="G39" s="45">
        <v>921.51314653441591</v>
      </c>
      <c r="H39" s="45">
        <v>956.27591489943813</v>
      </c>
      <c r="I39" s="45">
        <v>1002.3284163499371</v>
      </c>
      <c r="J39" s="45">
        <v>1068.05503477613</v>
      </c>
      <c r="K39" s="45">
        <v>1199.7089285450322</v>
      </c>
      <c r="L39" s="45">
        <v>1080.3777213810033</v>
      </c>
      <c r="M39" s="45">
        <v>744.18796609313563</v>
      </c>
      <c r="N39" s="45">
        <v>1332.2659379836628</v>
      </c>
      <c r="O39" s="45">
        <v>1437.8373449864448</v>
      </c>
      <c r="P39" s="45">
        <v>1129.4173064780505</v>
      </c>
      <c r="Q39" s="45">
        <v>1105.356864618926</v>
      </c>
      <c r="R39" s="45">
        <v>527.48389666902403</v>
      </c>
      <c r="S39" s="45">
        <v>572.10223537092702</v>
      </c>
      <c r="T39" s="45">
        <v>604.21487934312131</v>
      </c>
      <c r="U39" s="45">
        <v>822.01534020656754</v>
      </c>
      <c r="V39" s="45">
        <v>911.93420772048887</v>
      </c>
      <c r="W39" s="45">
        <v>900.63727571682261</v>
      </c>
      <c r="X39" s="45">
        <v>779.20970009697157</v>
      </c>
      <c r="Y39" s="45">
        <v>794.2771720312345</v>
      </c>
    </row>
    <row r="40" spans="1:25" x14ac:dyDescent="0.25">
      <c r="A40" s="75" t="s">
        <v>273</v>
      </c>
      <c r="B40" s="76"/>
      <c r="C40" s="76"/>
      <c r="D40" s="45">
        <v>263.06221046310975</v>
      </c>
      <c r="E40" s="45">
        <v>259.00688885668131</v>
      </c>
      <c r="F40" s="45">
        <v>237.00939449022533</v>
      </c>
      <c r="G40" s="45">
        <v>257.11798699700904</v>
      </c>
      <c r="H40" s="45">
        <v>262.87482874299474</v>
      </c>
      <c r="I40" s="45">
        <v>173.09518456672299</v>
      </c>
      <c r="J40" s="45">
        <v>166.36406863535359</v>
      </c>
      <c r="K40" s="45">
        <v>172.24069148692132</v>
      </c>
      <c r="L40" s="45">
        <v>157.15816556900634</v>
      </c>
      <c r="M40" s="45">
        <v>149.09517153381199</v>
      </c>
      <c r="N40" s="45">
        <v>186.3484461375906</v>
      </c>
      <c r="O40" s="45">
        <v>199.59862254528335</v>
      </c>
      <c r="P40" s="45">
        <v>131.76079759489801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761.49705310376748</v>
      </c>
      <c r="E41" s="45">
        <v>663.20621950697546</v>
      </c>
      <c r="F41" s="45">
        <v>611.53208897898855</v>
      </c>
      <c r="G41" s="45">
        <v>664.39515953740693</v>
      </c>
      <c r="H41" s="45">
        <v>693.4010861564434</v>
      </c>
      <c r="I41" s="45">
        <v>829.23323178321414</v>
      </c>
      <c r="J41" s="45">
        <v>901.69096614077648</v>
      </c>
      <c r="K41" s="45">
        <v>1027.4682370581108</v>
      </c>
      <c r="L41" s="45">
        <v>923.219555811997</v>
      </c>
      <c r="M41" s="45">
        <v>595.09279455932369</v>
      </c>
      <c r="N41" s="45">
        <v>1145.9174918460722</v>
      </c>
      <c r="O41" s="45">
        <v>1238.2387224411614</v>
      </c>
      <c r="P41" s="45">
        <v>997.65650888315247</v>
      </c>
      <c r="Q41" s="45">
        <v>1105.356864618926</v>
      </c>
      <c r="R41" s="45">
        <v>527.48389666902403</v>
      </c>
      <c r="S41" s="45">
        <v>572.10223537092702</v>
      </c>
      <c r="T41" s="45">
        <v>604.21487934312131</v>
      </c>
      <c r="U41" s="45">
        <v>822.01534020656754</v>
      </c>
      <c r="V41" s="45">
        <v>911.93420772048887</v>
      </c>
      <c r="W41" s="45">
        <v>900.63727571682261</v>
      </c>
      <c r="X41" s="45">
        <v>779.20970009697157</v>
      </c>
      <c r="Y41" s="45">
        <v>794.2771720312345</v>
      </c>
    </row>
    <row r="42" spans="1:25" x14ac:dyDescent="0.25">
      <c r="A42" s="74" t="s">
        <v>13</v>
      </c>
      <c r="B42" s="44"/>
      <c r="C42" s="44"/>
      <c r="D42" s="45">
        <v>895.8656016811268</v>
      </c>
      <c r="E42" s="45">
        <v>806.37502444337747</v>
      </c>
      <c r="F42" s="45">
        <v>741.95720410849924</v>
      </c>
      <c r="G42" s="45">
        <v>805.7629839810977</v>
      </c>
      <c r="H42" s="45">
        <v>836.15924265042293</v>
      </c>
      <c r="I42" s="45">
        <v>876.42714455513226</v>
      </c>
      <c r="J42" s="45">
        <v>933.89792116775686</v>
      </c>
      <c r="K42" s="45">
        <v>1049.0149270345844</v>
      </c>
      <c r="L42" s="45">
        <v>944.67276986823151</v>
      </c>
      <c r="M42" s="45">
        <v>1208.9651777116821</v>
      </c>
      <c r="N42" s="45">
        <v>1178.1683495989823</v>
      </c>
      <c r="O42" s="45">
        <v>1166.0392279558209</v>
      </c>
      <c r="P42" s="45">
        <v>1064.9286953382118</v>
      </c>
      <c r="Q42" s="45">
        <v>1023.7315362207564</v>
      </c>
      <c r="R42" s="45">
        <v>1799.8077785852702</v>
      </c>
      <c r="S42" s="45">
        <v>2049.9828257564213</v>
      </c>
      <c r="T42" s="45">
        <v>2015.4796672323739</v>
      </c>
      <c r="U42" s="45">
        <v>2060.3341903677388</v>
      </c>
      <c r="V42" s="45">
        <v>1954.9317059270618</v>
      </c>
      <c r="W42" s="45">
        <v>1845.6440560690373</v>
      </c>
      <c r="X42" s="45">
        <v>1495.0510974128947</v>
      </c>
      <c r="Y42" s="45">
        <v>2116.6363816523785</v>
      </c>
    </row>
    <row r="43" spans="1:25" x14ac:dyDescent="0.25">
      <c r="A43" s="72" t="s">
        <v>271</v>
      </c>
      <c r="B43" s="65"/>
      <c r="C43" s="65"/>
      <c r="D43" s="66">
        <v>22849.761526232112</v>
      </c>
      <c r="E43" s="66">
        <v>21886.038285210772</v>
      </c>
      <c r="F43" s="66">
        <v>22512.562192133468</v>
      </c>
      <c r="G43" s="66">
        <v>21138.49316378239</v>
      </c>
      <c r="H43" s="66">
        <v>20690.549938635966</v>
      </c>
      <c r="I43" s="66">
        <v>19802.486694806386</v>
      </c>
      <c r="J43" s="66">
        <v>19601.891017666087</v>
      </c>
      <c r="K43" s="66">
        <v>19724.644231087204</v>
      </c>
      <c r="L43" s="66">
        <v>18859.456904700524</v>
      </c>
      <c r="M43" s="66">
        <v>17345.475601410748</v>
      </c>
      <c r="N43" s="66">
        <v>19108.349408131209</v>
      </c>
      <c r="O43" s="66">
        <v>18925.12340867758</v>
      </c>
      <c r="P43" s="66">
        <v>18541.240767184077</v>
      </c>
      <c r="Q43" s="66">
        <v>18734.852255528356</v>
      </c>
      <c r="R43" s="66">
        <v>18213.705814129393</v>
      </c>
      <c r="S43" s="66">
        <v>19784.7</v>
      </c>
      <c r="T43" s="66">
        <v>21103.594457265677</v>
      </c>
      <c r="U43" s="66">
        <v>21015.798689672811</v>
      </c>
      <c r="V43" s="66">
        <v>20898.130759275657</v>
      </c>
      <c r="W43" s="66">
        <v>21211.814297151563</v>
      </c>
      <c r="X43" s="66">
        <v>21436.585019187947</v>
      </c>
      <c r="Y43" s="66">
        <v>22136.593068832306</v>
      </c>
    </row>
    <row r="44" spans="1:25" x14ac:dyDescent="0.25">
      <c r="A44" s="73" t="s">
        <v>272</v>
      </c>
      <c r="B44" s="65"/>
      <c r="C44" s="65"/>
      <c r="D44" s="66">
        <v>13295.045045045044</v>
      </c>
      <c r="E44" s="66">
        <v>11901.490288224553</v>
      </c>
      <c r="F44" s="66">
        <v>12176.291492363673</v>
      </c>
      <c r="G44" s="66">
        <v>11017.664212639833</v>
      </c>
      <c r="H44" s="66">
        <v>11068.20174156975</v>
      </c>
      <c r="I44" s="66">
        <v>10834.212699577905</v>
      </c>
      <c r="J44" s="66">
        <v>10823.135560632451</v>
      </c>
      <c r="K44" s="66">
        <v>11086.9828812046</v>
      </c>
      <c r="L44" s="66">
        <v>10003.007648019249</v>
      </c>
      <c r="M44" s="66">
        <v>8887.8243933252616</v>
      </c>
      <c r="N44" s="66">
        <v>10319.598604391318</v>
      </c>
      <c r="O44" s="66">
        <v>10024.421927773448</v>
      </c>
      <c r="P44" s="66">
        <v>9819.1960387495747</v>
      </c>
      <c r="Q44" s="66">
        <v>9952.4617306774198</v>
      </c>
      <c r="R44" s="66">
        <v>9957.6420755382987</v>
      </c>
      <c r="S44" s="66">
        <v>10896.2</v>
      </c>
      <c r="T44" s="66">
        <v>11905.587305989442</v>
      </c>
      <c r="U44" s="66">
        <v>11959.194916087907</v>
      </c>
      <c r="V44" s="66">
        <v>11965.670581595617</v>
      </c>
      <c r="W44" s="66">
        <v>11463.282885281322</v>
      </c>
      <c r="X44" s="66">
        <v>11510.967925332829</v>
      </c>
      <c r="Y44" s="66">
        <v>12565.96076662061</v>
      </c>
    </row>
    <row r="45" spans="1:25" x14ac:dyDescent="0.25">
      <c r="A45" s="74" t="s">
        <v>20</v>
      </c>
      <c r="B45" s="44"/>
      <c r="C45" s="44"/>
      <c r="D45" s="45">
        <v>2182.7624538029727</v>
      </c>
      <c r="E45" s="45">
        <v>2065.2005950082626</v>
      </c>
      <c r="F45" s="45">
        <v>2088.9069092200243</v>
      </c>
      <c r="G45" s="45">
        <v>1727.8597737446501</v>
      </c>
      <c r="H45" s="45">
        <v>1649.3505212064226</v>
      </c>
      <c r="I45" s="45">
        <v>1919.7920187772354</v>
      </c>
      <c r="J45" s="45">
        <v>1918.8103488596475</v>
      </c>
      <c r="K45" s="45">
        <v>1942.0579798620529</v>
      </c>
      <c r="L45" s="45">
        <v>2305.8487487771222</v>
      </c>
      <c r="M45" s="45">
        <v>1706.5192670620381</v>
      </c>
      <c r="N45" s="45">
        <v>2798.6634999074108</v>
      </c>
      <c r="O45" s="45">
        <v>2690.7945659141192</v>
      </c>
      <c r="P45" s="45">
        <v>2422.8278611473902</v>
      </c>
      <c r="Q45" s="45">
        <v>2639.8663718339471</v>
      </c>
      <c r="R45" s="45">
        <v>2605.3689803274356</v>
      </c>
      <c r="S45" s="45">
        <v>3258.7526278999476</v>
      </c>
      <c r="T45" s="45">
        <v>3858.828956604485</v>
      </c>
      <c r="U45" s="45">
        <v>4563.1133374650808</v>
      </c>
      <c r="V45" s="45">
        <v>4375.3503867500276</v>
      </c>
      <c r="W45" s="45">
        <v>3906.9901327117291</v>
      </c>
      <c r="X45" s="45">
        <v>3262.4794794661411</v>
      </c>
      <c r="Y45" s="45">
        <v>3773.0874572783523</v>
      </c>
    </row>
    <row r="46" spans="1:25" x14ac:dyDescent="0.25">
      <c r="A46" s="74" t="s">
        <v>12</v>
      </c>
      <c r="B46" s="44"/>
      <c r="C46" s="44"/>
      <c r="D46" s="45">
        <v>11112.282591242072</v>
      </c>
      <c r="E46" s="45">
        <v>9836.2896932162912</v>
      </c>
      <c r="F46" s="45">
        <v>10087.384583143648</v>
      </c>
      <c r="G46" s="45">
        <v>9289.8044388951821</v>
      </c>
      <c r="H46" s="45">
        <v>9418.8512203633272</v>
      </c>
      <c r="I46" s="45">
        <v>8914.4206808006693</v>
      </c>
      <c r="J46" s="45">
        <v>8904.3252117728025</v>
      </c>
      <c r="K46" s="45">
        <v>9144.9249013425469</v>
      </c>
      <c r="L46" s="45">
        <v>7697.1588992421275</v>
      </c>
      <c r="M46" s="45">
        <v>7181.3051262632234</v>
      </c>
      <c r="N46" s="45">
        <v>7520.9351044839077</v>
      </c>
      <c r="O46" s="45">
        <v>7333.6273618593295</v>
      </c>
      <c r="P46" s="45">
        <v>7396.368177602184</v>
      </c>
      <c r="Q46" s="45">
        <v>7312.5953588434732</v>
      </c>
      <c r="R46" s="45">
        <v>7352.2730952108632</v>
      </c>
      <c r="S46" s="45">
        <v>7637.4473721000531</v>
      </c>
      <c r="T46" s="45">
        <v>8046.758349384957</v>
      </c>
      <c r="U46" s="45">
        <v>7396.0815786228259</v>
      </c>
      <c r="V46" s="45">
        <v>7590.3201948455899</v>
      </c>
      <c r="W46" s="45">
        <v>7556.2927525695923</v>
      </c>
      <c r="X46" s="45">
        <v>8248.4884458666875</v>
      </c>
      <c r="Y46" s="45">
        <v>8792.8733093422579</v>
      </c>
    </row>
    <row r="47" spans="1:25" x14ac:dyDescent="0.25">
      <c r="A47" s="73" t="s">
        <v>11</v>
      </c>
      <c r="B47" s="65"/>
      <c r="C47" s="65"/>
      <c r="D47" s="66">
        <v>9554.7164811870698</v>
      </c>
      <c r="E47" s="66">
        <v>9984.5479969862208</v>
      </c>
      <c r="F47" s="66">
        <v>10336.270699769797</v>
      </c>
      <c r="G47" s="66">
        <v>10120.828951142556</v>
      </c>
      <c r="H47" s="66">
        <v>9622.3481970662142</v>
      </c>
      <c r="I47" s="66">
        <v>8968.2739952284828</v>
      </c>
      <c r="J47" s="66">
        <v>8778.7554570336342</v>
      </c>
      <c r="K47" s="66">
        <v>8637.6613498826046</v>
      </c>
      <c r="L47" s="66">
        <v>8856.4492566812751</v>
      </c>
      <c r="M47" s="66">
        <v>8457.6512080854864</v>
      </c>
      <c r="N47" s="66">
        <v>8788.7508037398929</v>
      </c>
      <c r="O47" s="66">
        <v>8900.701480904132</v>
      </c>
      <c r="P47" s="66">
        <v>8722.0447284345028</v>
      </c>
      <c r="Q47" s="66">
        <v>8782.3905248509345</v>
      </c>
      <c r="R47" s="66">
        <v>8256.0637385910941</v>
      </c>
      <c r="S47" s="66">
        <v>8888.5</v>
      </c>
      <c r="T47" s="66">
        <v>9198.0071512762352</v>
      </c>
      <c r="U47" s="66">
        <v>9056.6037735849059</v>
      </c>
      <c r="V47" s="66">
        <v>8932.4601776800373</v>
      </c>
      <c r="W47" s="66">
        <v>9748.5314118702427</v>
      </c>
      <c r="X47" s="66">
        <v>9925.6170938551186</v>
      </c>
      <c r="Y47" s="66">
        <v>9570.6323022116958</v>
      </c>
    </row>
    <row r="48" spans="1:25" x14ac:dyDescent="0.25">
      <c r="A48" s="72" t="s">
        <v>4</v>
      </c>
      <c r="B48" s="65"/>
      <c r="C48" s="65"/>
      <c r="D48" s="66">
        <v>15998.940116587175</v>
      </c>
      <c r="E48" s="66">
        <v>16384.997509801164</v>
      </c>
      <c r="F48" s="66">
        <v>17442.758484120892</v>
      </c>
      <c r="G48" s="66">
        <v>16406.683239315425</v>
      </c>
      <c r="H48" s="66">
        <v>16311.612413067618</v>
      </c>
      <c r="I48" s="66">
        <v>16216.966415856123</v>
      </c>
      <c r="J48" s="66">
        <v>15818.837793209528</v>
      </c>
      <c r="K48" s="66">
        <v>16166.624411644751</v>
      </c>
      <c r="L48" s="66">
        <v>14631.026037638569</v>
      </c>
      <c r="M48" s="66">
        <v>12612.307206401012</v>
      </c>
      <c r="N48" s="66">
        <v>12256.796213726297</v>
      </c>
      <c r="O48" s="66">
        <v>11502.000519615485</v>
      </c>
      <c r="P48" s="66">
        <v>10200.014382133279</v>
      </c>
      <c r="Q48" s="66">
        <v>9684.0939795016584</v>
      </c>
      <c r="R48" s="66">
        <v>9356.8655135898316</v>
      </c>
      <c r="S48" s="66">
        <v>9438.0999999999985</v>
      </c>
      <c r="T48" s="66">
        <v>9756.8367983676872</v>
      </c>
      <c r="U48" s="66">
        <v>9786.9242725323147</v>
      </c>
      <c r="V48" s="66">
        <v>10071.130399244908</v>
      </c>
      <c r="W48" s="66">
        <v>10025.175796510113</v>
      </c>
      <c r="X48" s="66">
        <v>9067.0393708248448</v>
      </c>
      <c r="Y48" s="66">
        <v>10828.563103328353</v>
      </c>
    </row>
    <row r="49" spans="1:25" x14ac:dyDescent="0.25">
      <c r="A49" s="77" t="s">
        <v>10</v>
      </c>
      <c r="B49" s="44"/>
      <c r="C49" s="44"/>
      <c r="D49" s="45">
        <v>5543.1080495265787</v>
      </c>
      <c r="E49" s="45">
        <v>5902.5959097867681</v>
      </c>
      <c r="F49" s="45">
        <v>6700.6434807066471</v>
      </c>
      <c r="G49" s="45">
        <v>5789.5789396015116</v>
      </c>
      <c r="H49" s="45">
        <v>5721.7308123993225</v>
      </c>
      <c r="I49" s="45">
        <v>4764.5119534483647</v>
      </c>
      <c r="J49" s="45">
        <v>5952.7307332997989</v>
      </c>
      <c r="K49" s="45">
        <v>6066.9962367941898</v>
      </c>
      <c r="L49" s="45">
        <v>4924.781273679655</v>
      </c>
      <c r="M49" s="45">
        <v>4331.5019197694992</v>
      </c>
      <c r="N49" s="45">
        <v>3772.2569707068305</v>
      </c>
      <c r="O49" s="45">
        <v>3374.9719621352606</v>
      </c>
      <c r="P49" s="45">
        <v>2806.5578230665033</v>
      </c>
      <c r="Q49" s="45">
        <v>2395.7780784603569</v>
      </c>
      <c r="R49" s="45">
        <v>2290.8150697459946</v>
      </c>
      <c r="S49" s="45">
        <v>2237.8494210330964</v>
      </c>
      <c r="T49" s="45">
        <v>2199.7346996042165</v>
      </c>
      <c r="U49" s="45">
        <v>2381.5953494145947</v>
      </c>
      <c r="V49" s="45">
        <v>2477.4474271482582</v>
      </c>
      <c r="W49" s="45">
        <v>2681.9582440848003</v>
      </c>
      <c r="X49" s="45">
        <v>2432.1432008454067</v>
      </c>
      <c r="Y49" s="45">
        <v>2709.6744649775073</v>
      </c>
    </row>
    <row r="50" spans="1:25" x14ac:dyDescent="0.25">
      <c r="A50" s="77" t="s">
        <v>18</v>
      </c>
      <c r="B50" s="44"/>
      <c r="C50" s="44"/>
      <c r="D50" s="45">
        <v>2971.4267263603801</v>
      </c>
      <c r="E50" s="45">
        <v>3147.3079108069378</v>
      </c>
      <c r="F50" s="45">
        <v>3270.4508509533848</v>
      </c>
      <c r="G50" s="45">
        <v>2890.7633894848423</v>
      </c>
      <c r="H50" s="45">
        <v>2765.7772135758287</v>
      </c>
      <c r="I50" s="45">
        <v>2667.2252919015677</v>
      </c>
      <c r="J50" s="45">
        <v>2807.1844683602644</v>
      </c>
      <c r="K50" s="45">
        <v>2908.5936179762798</v>
      </c>
      <c r="L50" s="45">
        <v>2609.077932776439</v>
      </c>
      <c r="M50" s="45">
        <v>2177.7163060647399</v>
      </c>
      <c r="N50" s="45">
        <v>2556.9966319675468</v>
      </c>
      <c r="O50" s="45">
        <v>2327.8025642287539</v>
      </c>
      <c r="P50" s="45">
        <v>2322.2815321480439</v>
      </c>
      <c r="Q50" s="45">
        <v>2309.315698447494</v>
      </c>
      <c r="R50" s="45">
        <v>2126.990645762472</v>
      </c>
      <c r="S50" s="45">
        <v>2186.2864737307841</v>
      </c>
      <c r="T50" s="45">
        <v>2329.663092269046</v>
      </c>
      <c r="U50" s="45">
        <v>2321.0494887572718</v>
      </c>
      <c r="V50" s="45">
        <v>2547.8174415827757</v>
      </c>
      <c r="W50" s="45">
        <v>2496.5830329710916</v>
      </c>
      <c r="X50" s="45">
        <v>2291.8202439511465</v>
      </c>
      <c r="Y50" s="45">
        <v>2597.9073042959126</v>
      </c>
    </row>
    <row r="51" spans="1:25" x14ac:dyDescent="0.25">
      <c r="A51" s="77" t="s">
        <v>9</v>
      </c>
      <c r="B51" s="44"/>
      <c r="C51" s="44"/>
      <c r="D51" s="45">
        <v>7484.4053407002175</v>
      </c>
      <c r="E51" s="45">
        <v>7335.0936892074587</v>
      </c>
      <c r="F51" s="45">
        <v>7471.6641524608604</v>
      </c>
      <c r="G51" s="45">
        <v>7726.3409102290716</v>
      </c>
      <c r="H51" s="45">
        <v>7824.1043870924668</v>
      </c>
      <c r="I51" s="45">
        <v>8785.2291705061889</v>
      </c>
      <c r="J51" s="45">
        <v>7058.9225915494644</v>
      </c>
      <c r="K51" s="45">
        <v>7191.0345568742814</v>
      </c>
      <c r="L51" s="45">
        <v>7097.1668311824742</v>
      </c>
      <c r="M51" s="45">
        <v>6103.0889805667721</v>
      </c>
      <c r="N51" s="45">
        <v>5927.5426110519193</v>
      </c>
      <c r="O51" s="45">
        <v>5799.2259932514708</v>
      </c>
      <c r="P51" s="45">
        <v>5071.1750269187314</v>
      </c>
      <c r="Q51" s="45">
        <v>4979.0002025938084</v>
      </c>
      <c r="R51" s="45">
        <v>4939.0597980813645</v>
      </c>
      <c r="S51" s="45">
        <v>5013.9641052361185</v>
      </c>
      <c r="T51" s="45">
        <v>5227.4390064944255</v>
      </c>
      <c r="U51" s="45">
        <v>5084.2794343604492</v>
      </c>
      <c r="V51" s="45">
        <v>5045.8655305138745</v>
      </c>
      <c r="W51" s="45">
        <v>4846.6345194542209</v>
      </c>
      <c r="X51" s="45">
        <v>4343.0759260282921</v>
      </c>
      <c r="Y51" s="45">
        <v>5520.9813340549335</v>
      </c>
    </row>
    <row r="52" spans="1:25" x14ac:dyDescent="0.25">
      <c r="A52" s="72" t="s">
        <v>3</v>
      </c>
      <c r="B52" s="65"/>
      <c r="C52" s="65"/>
      <c r="D52" s="66">
        <v>13776.099629040807</v>
      </c>
      <c r="E52" s="66">
        <v>13675.405774707238</v>
      </c>
      <c r="F52" s="66">
        <v>13786.851159682168</v>
      </c>
      <c r="G52" s="66">
        <v>12860.216081843389</v>
      </c>
      <c r="H52" s="66">
        <v>12828.239144410029</v>
      </c>
      <c r="I52" s="66">
        <v>12257.868416223157</v>
      </c>
      <c r="J52" s="66">
        <v>12255.536203035579</v>
      </c>
      <c r="K52" s="66">
        <v>12232.939075607092</v>
      </c>
      <c r="L52" s="66">
        <v>11458.387041333677</v>
      </c>
      <c r="M52" s="66">
        <v>10185.713533715851</v>
      </c>
      <c r="N52" s="66">
        <v>10371.670408668795</v>
      </c>
      <c r="O52" s="66">
        <v>10304.078981553652</v>
      </c>
      <c r="P52" s="66">
        <v>9816.6278006636312</v>
      </c>
      <c r="Q52" s="66">
        <v>9329.89324204902</v>
      </c>
      <c r="R52" s="66">
        <v>9568.7559880994395</v>
      </c>
      <c r="S52" s="66">
        <v>9321.7000000000007</v>
      </c>
      <c r="T52" s="66">
        <v>10088.945236279355</v>
      </c>
      <c r="U52" s="66">
        <v>10173.136325181498</v>
      </c>
      <c r="V52" s="66">
        <v>10120.46434236005</v>
      </c>
      <c r="W52" s="66">
        <v>10182.98270490301</v>
      </c>
      <c r="X52" s="66">
        <v>9157.151655848771</v>
      </c>
      <c r="Y52" s="66">
        <v>9299.7396347366739</v>
      </c>
    </row>
    <row r="53" spans="1:25" x14ac:dyDescent="0.25">
      <c r="A53" s="73" t="s">
        <v>21</v>
      </c>
      <c r="B53" s="65"/>
      <c r="C53" s="65"/>
      <c r="D53" s="66">
        <v>6295.70747217806</v>
      </c>
      <c r="E53" s="66">
        <v>6052.2047837358086</v>
      </c>
      <c r="F53" s="66">
        <v>5701.13121611921</v>
      </c>
      <c r="G53" s="66">
        <v>5531.0020078401376</v>
      </c>
      <c r="H53" s="66">
        <v>5720.8813044240542</v>
      </c>
      <c r="I53" s="66">
        <v>5389.2916131400261</v>
      </c>
      <c r="J53" s="66">
        <v>5222.6922119930323</v>
      </c>
      <c r="K53" s="66">
        <v>5216.1068794850034</v>
      </c>
      <c r="L53" s="66">
        <v>4892.6914153132238</v>
      </c>
      <c r="M53" s="66">
        <v>4789.7036374164345</v>
      </c>
      <c r="N53" s="66">
        <v>4946.8214063603491</v>
      </c>
      <c r="O53" s="66">
        <v>5114.4712912444784</v>
      </c>
      <c r="P53" s="66">
        <v>4981.7655095897999</v>
      </c>
      <c r="Q53" s="66">
        <v>4848.9034709031257</v>
      </c>
      <c r="R53" s="66">
        <v>5224.3457213453685</v>
      </c>
      <c r="S53" s="66">
        <v>5126.8</v>
      </c>
      <c r="T53" s="66">
        <v>5420.8060538227637</v>
      </c>
      <c r="U53" s="66">
        <v>5685.7575697955817</v>
      </c>
      <c r="V53" s="66">
        <v>5673.6953750644643</v>
      </c>
      <c r="W53" s="66">
        <v>5902.5185442409156</v>
      </c>
      <c r="X53" s="66">
        <v>5617.8518974747712</v>
      </c>
      <c r="Y53" s="66">
        <v>5510.7200932427231</v>
      </c>
    </row>
    <row r="54" spans="1:25" x14ac:dyDescent="0.25">
      <c r="A54" s="74" t="s">
        <v>8</v>
      </c>
      <c r="B54" s="44"/>
      <c r="C54" s="44"/>
      <c r="D54" s="45">
        <v>30.096281227166578</v>
      </c>
      <c r="E54" s="45">
        <v>28.29579010498572</v>
      </c>
      <c r="F54" s="45">
        <v>27.699145284521698</v>
      </c>
      <c r="G54" s="45">
        <v>28.011523880653275</v>
      </c>
      <c r="H54" s="45">
        <v>29.278803027023137</v>
      </c>
      <c r="I54" s="45">
        <v>27.941856427345638</v>
      </c>
      <c r="J54" s="45">
        <v>26.322795638034343</v>
      </c>
      <c r="K54" s="45">
        <v>25.852017938873296</v>
      </c>
      <c r="L54" s="45">
        <v>25.335825311959436</v>
      </c>
      <c r="M54" s="45">
        <v>22.078021849816043</v>
      </c>
      <c r="N54" s="45">
        <v>25.606000323230347</v>
      </c>
      <c r="O54" s="45">
        <v>47.468883755683926</v>
      </c>
      <c r="P54" s="45">
        <v>14.601773591042912</v>
      </c>
      <c r="Q54" s="45">
        <v>17.848957888253551</v>
      </c>
      <c r="R54" s="45">
        <v>12.734663447932007</v>
      </c>
      <c r="S54" s="45">
        <v>13.07387199461829</v>
      </c>
      <c r="T54" s="45">
        <v>13.489338204248174</v>
      </c>
      <c r="U54" s="45">
        <v>13.733905420387478</v>
      </c>
      <c r="V54" s="45">
        <v>13.989671552775802</v>
      </c>
      <c r="W54" s="45">
        <v>14.254009814807487</v>
      </c>
      <c r="X54" s="45">
        <v>9.0144414581594621</v>
      </c>
      <c r="Y54" s="45">
        <v>9.0147226682977717</v>
      </c>
    </row>
    <row r="55" spans="1:25" x14ac:dyDescent="0.25">
      <c r="A55" s="74" t="s">
        <v>17</v>
      </c>
      <c r="B55" s="44"/>
      <c r="C55" s="44"/>
      <c r="D55" s="45">
        <v>6265.6111909508936</v>
      </c>
      <c r="E55" s="45">
        <v>6023.9089936308228</v>
      </c>
      <c r="F55" s="45">
        <v>5673.4320708346886</v>
      </c>
      <c r="G55" s="45">
        <v>5502.9904839594847</v>
      </c>
      <c r="H55" s="45">
        <v>5691.6025013970311</v>
      </c>
      <c r="I55" s="45">
        <v>5361.3497567126806</v>
      </c>
      <c r="J55" s="45">
        <v>5196.3694163549981</v>
      </c>
      <c r="K55" s="45">
        <v>5190.2548615461301</v>
      </c>
      <c r="L55" s="45">
        <v>4867.3555900012643</v>
      </c>
      <c r="M55" s="45">
        <v>4767.6256155666188</v>
      </c>
      <c r="N55" s="45">
        <v>4921.2154060371186</v>
      </c>
      <c r="O55" s="45">
        <v>5067.0024074887942</v>
      </c>
      <c r="P55" s="45">
        <v>4967.1637359987571</v>
      </c>
      <c r="Q55" s="45">
        <v>4831.0545130148721</v>
      </c>
      <c r="R55" s="45">
        <v>5211.6110578974367</v>
      </c>
      <c r="S55" s="45">
        <v>5113.7261280053817</v>
      </c>
      <c r="T55" s="45">
        <v>5407.3167156185154</v>
      </c>
      <c r="U55" s="45">
        <v>5672.0236643751941</v>
      </c>
      <c r="V55" s="45">
        <v>5659.7057035116886</v>
      </c>
      <c r="W55" s="45">
        <v>5888.2645344261082</v>
      </c>
      <c r="X55" s="45">
        <v>5608.8374560166121</v>
      </c>
      <c r="Y55" s="45">
        <v>5501.7053705744256</v>
      </c>
    </row>
    <row r="56" spans="1:25" x14ac:dyDescent="0.25">
      <c r="A56" s="73" t="s">
        <v>16</v>
      </c>
      <c r="B56" s="65"/>
      <c r="C56" s="65"/>
      <c r="D56" s="66">
        <v>7480.3921568627475</v>
      </c>
      <c r="E56" s="66">
        <v>7623.2009909714297</v>
      </c>
      <c r="F56" s="66">
        <v>8085.7199435629582</v>
      </c>
      <c r="G56" s="66">
        <v>7329.2140740032519</v>
      </c>
      <c r="H56" s="66">
        <v>7107.3578399859744</v>
      </c>
      <c r="I56" s="66">
        <v>6868.5768030831305</v>
      </c>
      <c r="J56" s="66">
        <v>7032.8439910425468</v>
      </c>
      <c r="K56" s="66">
        <v>7016.8321961220881</v>
      </c>
      <c r="L56" s="66">
        <v>6565.6956260204533</v>
      </c>
      <c r="M56" s="66">
        <v>5396.0098962994161</v>
      </c>
      <c r="N56" s="66">
        <v>5424.849002308446</v>
      </c>
      <c r="O56" s="66">
        <v>5189.6076903091734</v>
      </c>
      <c r="P56" s="66">
        <v>4834.8622910738313</v>
      </c>
      <c r="Q56" s="66">
        <v>4480.9897711458943</v>
      </c>
      <c r="R56" s="66">
        <v>4344.410266754071</v>
      </c>
      <c r="S56" s="66">
        <v>4194.9000000000005</v>
      </c>
      <c r="T56" s="66">
        <v>4668.1391824565908</v>
      </c>
      <c r="U56" s="66">
        <v>4487.3787553859165</v>
      </c>
      <c r="V56" s="66">
        <v>4446.7689672955858</v>
      </c>
      <c r="W56" s="66">
        <v>4280.4641606620944</v>
      </c>
      <c r="X56" s="66">
        <v>3539.2997583739998</v>
      </c>
      <c r="Y56" s="66">
        <v>3789.0195414939508</v>
      </c>
    </row>
    <row r="57" spans="1:25" x14ac:dyDescent="0.25">
      <c r="A57" s="72" t="s">
        <v>2</v>
      </c>
      <c r="B57" s="65"/>
      <c r="C57" s="65"/>
      <c r="D57" s="66">
        <v>29063.195548489664</v>
      </c>
      <c r="E57" s="66">
        <v>28337.568799724162</v>
      </c>
      <c r="F57" s="66">
        <v>29414.589470036386</v>
      </c>
      <c r="G57" s="66">
        <v>28513.720240940816</v>
      </c>
      <c r="H57" s="66">
        <v>28515.224124831977</v>
      </c>
      <c r="I57" s="66">
        <v>27397.228849330153</v>
      </c>
      <c r="J57" s="66">
        <v>26990.997308240403</v>
      </c>
      <c r="K57" s="66">
        <v>27431.298845886751</v>
      </c>
      <c r="L57" s="66">
        <v>27005.564148835609</v>
      </c>
      <c r="M57" s="66">
        <v>26290.888034952888</v>
      </c>
      <c r="N57" s="66">
        <v>26917.328105071203</v>
      </c>
      <c r="O57" s="66">
        <v>26108.080020784622</v>
      </c>
      <c r="P57" s="66">
        <v>25029.432008464912</v>
      </c>
      <c r="Q57" s="66">
        <v>25045.76066309791</v>
      </c>
      <c r="R57" s="66">
        <v>25531.037264888306</v>
      </c>
      <c r="S57" s="66">
        <v>26972.9</v>
      </c>
      <c r="T57" s="66">
        <v>27648.200790404215</v>
      </c>
      <c r="U57" s="66">
        <v>27870.816691915716</v>
      </c>
      <c r="V57" s="66">
        <v>28709.727641603986</v>
      </c>
      <c r="W57" s="66">
        <v>29184.535694649418</v>
      </c>
      <c r="X57" s="66">
        <v>27790.875065144264</v>
      </c>
      <c r="Y57" s="66">
        <v>29534.256361089963</v>
      </c>
    </row>
    <row r="58" spans="1:25" x14ac:dyDescent="0.25">
      <c r="A58" s="72" t="s">
        <v>275</v>
      </c>
      <c r="B58" s="65"/>
      <c r="C58" s="65"/>
      <c r="D58" s="66">
        <v>23827.371489136196</v>
      </c>
      <c r="E58" s="66">
        <v>21826.784323240579</v>
      </c>
      <c r="F58" s="66">
        <v>20584.296641005963</v>
      </c>
      <c r="G58" s="66">
        <v>19206.425088440577</v>
      </c>
      <c r="H58" s="66">
        <v>20168.546549003564</v>
      </c>
      <c r="I58" s="66">
        <v>19205.473481372726</v>
      </c>
      <c r="J58" s="66">
        <v>20944.377841615955</v>
      </c>
      <c r="K58" s="66">
        <v>22130.09402660964</v>
      </c>
      <c r="L58" s="66">
        <v>21268.045888115492</v>
      </c>
      <c r="M58" s="66">
        <v>16718.429225667212</v>
      </c>
      <c r="N58" s="66">
        <v>17974.891692755271</v>
      </c>
      <c r="O58" s="66">
        <v>17371.26526370486</v>
      </c>
      <c r="P58" s="66">
        <v>15638.720811974154</v>
      </c>
      <c r="Q58" s="66">
        <v>15562.282243237478</v>
      </c>
      <c r="R58" s="66">
        <v>17054.611466895265</v>
      </c>
      <c r="S58" s="66">
        <v>18168.400000000001</v>
      </c>
      <c r="T58" s="66">
        <v>20999.990095185269</v>
      </c>
      <c r="U58" s="66">
        <v>22539.791842918134</v>
      </c>
      <c r="V58" s="66">
        <v>22479.054967937802</v>
      </c>
      <c r="W58" s="66">
        <v>21744.557301463283</v>
      </c>
      <c r="X58" s="66">
        <v>18081.868574406595</v>
      </c>
      <c r="Y58" s="66">
        <v>22059.51743131339</v>
      </c>
    </row>
    <row r="59" spans="1:25" x14ac:dyDescent="0.25">
      <c r="A59" s="72" t="s">
        <v>276</v>
      </c>
      <c r="B59" s="65"/>
      <c r="C59" s="65"/>
      <c r="D59" s="66">
        <v>85547.694753577089</v>
      </c>
      <c r="E59" s="66">
        <v>85751.593088740468</v>
      </c>
      <c r="F59" s="66">
        <v>83985.494690462627</v>
      </c>
      <c r="G59" s="66">
        <v>82842.527966344787</v>
      </c>
      <c r="H59" s="66">
        <v>84520.367015370226</v>
      </c>
      <c r="I59" s="66">
        <v>85002.179298953939</v>
      </c>
      <c r="J59" s="66">
        <v>90455.676445972524</v>
      </c>
      <c r="K59" s="66">
        <v>94951.333237800252</v>
      </c>
      <c r="L59" s="66">
        <v>92654.786456990638</v>
      </c>
      <c r="M59" s="66">
        <v>75954.519134600196</v>
      </c>
      <c r="N59" s="66">
        <v>81815.134553963901</v>
      </c>
      <c r="O59" s="66">
        <v>84057.261626396474</v>
      </c>
      <c r="P59" s="66">
        <v>81476.120522276906</v>
      </c>
      <c r="Q59" s="66">
        <v>80407.935234186923</v>
      </c>
      <c r="R59" s="66">
        <v>81403.358378296602</v>
      </c>
      <c r="S59" s="66">
        <v>82545.399999999994</v>
      </c>
      <c r="T59" s="66">
        <v>84595.041649745952</v>
      </c>
      <c r="U59" s="66">
        <v>86735.59328703249</v>
      </c>
      <c r="V59" s="66">
        <v>89878.659907170426</v>
      </c>
      <c r="W59" s="66">
        <v>90015.722815445013</v>
      </c>
      <c r="X59" s="66">
        <v>81639.835125787649</v>
      </c>
      <c r="Y59" s="66">
        <v>93769.844626794133</v>
      </c>
    </row>
    <row r="60" spans="1:25" x14ac:dyDescent="0.25">
      <c r="A60" s="72" t="s">
        <v>1</v>
      </c>
      <c r="B60" s="65"/>
      <c r="C60" s="65"/>
      <c r="D60" s="66">
        <v>36078.166401695809</v>
      </c>
      <c r="E60" s="66">
        <v>36985.965494783355</v>
      </c>
      <c r="F60" s="66">
        <v>34697.64103071858</v>
      </c>
      <c r="G60" s="66">
        <v>32036.284539630942</v>
      </c>
      <c r="H60" s="66">
        <v>30058.091286307052</v>
      </c>
      <c r="I60" s="66">
        <v>28538.608001468161</v>
      </c>
      <c r="J60" s="66">
        <v>28010.586079757515</v>
      </c>
      <c r="K60" s="66">
        <v>28601.285287536241</v>
      </c>
      <c r="L60" s="66">
        <v>27248.216894388588</v>
      </c>
      <c r="M60" s="66">
        <v>22747.907564352266</v>
      </c>
      <c r="N60" s="66">
        <v>23933.740210184569</v>
      </c>
      <c r="O60" s="66">
        <v>24957.651338009873</v>
      </c>
      <c r="P60" s="66">
        <v>23385.143256320433</v>
      </c>
      <c r="Q60" s="66">
        <v>23514.276717421555</v>
      </c>
      <c r="R60" s="66">
        <v>23897.735868085321</v>
      </c>
      <c r="S60" s="66">
        <v>24021.8</v>
      </c>
      <c r="T60" s="66">
        <v>24058.8940283872</v>
      </c>
      <c r="U60" s="66">
        <v>24706.356857575698</v>
      </c>
      <c r="V60" s="66">
        <v>25142.601368116844</v>
      </c>
      <c r="W60" s="66">
        <v>25137.405831910561</v>
      </c>
      <c r="X60" s="66">
        <v>19487.847633486523</v>
      </c>
      <c r="Y60" s="66">
        <v>23452.800571487656</v>
      </c>
    </row>
    <row r="61" spans="1:25" x14ac:dyDescent="0.25">
      <c r="A61" s="72" t="s">
        <v>0</v>
      </c>
      <c r="B61" s="65"/>
      <c r="C61" s="65"/>
      <c r="D61" s="66">
        <v>8782.0614732379436</v>
      </c>
      <c r="E61" s="66">
        <v>9614.4661396809988</v>
      </c>
      <c r="F61" s="66">
        <v>8717.0474516695958</v>
      </c>
      <c r="G61" s="66">
        <v>8106.7740701787934</v>
      </c>
      <c r="H61" s="66">
        <v>8041.026240430132</v>
      </c>
      <c r="I61" s="66">
        <v>7597.9537529821991</v>
      </c>
      <c r="J61" s="66">
        <v>7740.6184261123299</v>
      </c>
      <c r="K61" s="66">
        <v>7764.0847011100213</v>
      </c>
      <c r="L61" s="66">
        <v>7275.7153905645782</v>
      </c>
      <c r="M61" s="66">
        <v>6293.414749697321</v>
      </c>
      <c r="N61" s="66">
        <v>6234.2809558443751</v>
      </c>
      <c r="O61" s="66">
        <v>6145.07664328397</v>
      </c>
      <c r="P61" s="66">
        <v>5343.1679730437727</v>
      </c>
      <c r="Q61" s="66">
        <v>4984.0015439779781</v>
      </c>
      <c r="R61" s="66">
        <v>4846.1499672230348</v>
      </c>
      <c r="S61" s="66">
        <v>4755.2</v>
      </c>
      <c r="T61" s="66">
        <v>4797.5951109834496</v>
      </c>
      <c r="U61" s="66">
        <v>4739.9020205796132</v>
      </c>
      <c r="V61" s="66">
        <v>4753.2816316204298</v>
      </c>
      <c r="W61" s="66">
        <v>4477.6263371627547</v>
      </c>
      <c r="X61" s="66">
        <v>3862.1310465722272</v>
      </c>
      <c r="Y61" s="66">
        <v>4729.2483245448302</v>
      </c>
    </row>
    <row r="62" spans="1:25" x14ac:dyDescent="0.25">
      <c r="A62" s="78" t="s">
        <v>277</v>
      </c>
      <c r="B62" s="79"/>
      <c r="C62" s="79"/>
      <c r="D62" s="80">
        <v>30071.012188659246</v>
      </c>
      <c r="E62" s="80">
        <v>29445.898834076135</v>
      </c>
      <c r="F62" s="80">
        <v>29993.440431693853</v>
      </c>
      <c r="G62" s="80">
        <v>27212.807151735349</v>
      </c>
      <c r="H62" s="80">
        <v>26959.733504763015</v>
      </c>
      <c r="I62" s="80">
        <v>26827.743622683061</v>
      </c>
      <c r="J62" s="80">
        <v>27440.679499649392</v>
      </c>
      <c r="K62" s="80">
        <v>27827.577464478229</v>
      </c>
      <c r="L62" s="80">
        <v>26128.834751224538</v>
      </c>
      <c r="M62" s="80">
        <v>23023.740590619571</v>
      </c>
      <c r="N62" s="80">
        <v>23872.708682499026</v>
      </c>
      <c r="O62" s="80">
        <v>23760.561184723305</v>
      </c>
      <c r="P62" s="80">
        <v>22991.072804413259</v>
      </c>
      <c r="Q62" s="80">
        <v>22978.556990055564</v>
      </c>
      <c r="R62" s="80">
        <v>23762.593918612274</v>
      </c>
      <c r="S62" s="80">
        <v>24818.400000000001</v>
      </c>
      <c r="T62" s="80">
        <v>25979.734749061521</v>
      </c>
      <c r="U62" s="80">
        <v>26538.25722549039</v>
      </c>
      <c r="V62" s="80">
        <v>27138.923216144947</v>
      </c>
      <c r="W62" s="80">
        <v>26747.209923700939</v>
      </c>
      <c r="X62" s="80">
        <v>24426.588335623252</v>
      </c>
      <c r="Y62" s="80">
        <v>27761.328708795081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2.8610212773378253E-2</v>
      </c>
      <c r="E66" s="83">
        <f t="shared" ref="E66:S66" si="49">E24/E$23</f>
        <v>2.7621302266450515E-2</v>
      </c>
      <c r="F66" s="83">
        <f t="shared" si="49"/>
        <v>2.6303953528625117E-2</v>
      </c>
      <c r="G66" s="83">
        <f t="shared" si="49"/>
        <v>2.6069653839440116E-2</v>
      </c>
      <c r="H66" s="83">
        <f t="shared" si="49"/>
        <v>2.601433419853422E-2</v>
      </c>
      <c r="I66" s="83">
        <f t="shared" si="49"/>
        <v>2.2564728034277854E-2</v>
      </c>
      <c r="J66" s="83">
        <f t="shared" si="49"/>
        <v>2.1717300449731445E-2</v>
      </c>
      <c r="K66" s="83">
        <f t="shared" si="49"/>
        <v>2.1122746180495391E-2</v>
      </c>
      <c r="L66" s="83">
        <f t="shared" si="49"/>
        <v>2.0782059115283916E-2</v>
      </c>
      <c r="M66" s="83">
        <f t="shared" si="49"/>
        <v>1.9951347111325075E-2</v>
      </c>
      <c r="N66" s="83">
        <f t="shared" si="49"/>
        <v>1.9737753534077938E-2</v>
      </c>
      <c r="O66" s="83">
        <f t="shared" si="49"/>
        <v>2.0969429691152824E-2</v>
      </c>
      <c r="P66" s="83">
        <f t="shared" si="49"/>
        <v>2.1956071943976661E-2</v>
      </c>
      <c r="Q66" s="83">
        <f t="shared" si="49"/>
        <v>2.3828149677891566E-2</v>
      </c>
      <c r="R66" s="83">
        <f t="shared" si="49"/>
        <v>2.2227598720925036E-2</v>
      </c>
      <c r="S66" s="83">
        <f t="shared" si="49"/>
        <v>2.2974377859868861E-2</v>
      </c>
      <c r="T66" s="83">
        <f t="shared" ref="T66:Y66" si="50">T24/T$23</f>
        <v>2.1474975140433075E-2</v>
      </c>
      <c r="U66" s="83">
        <f t="shared" si="50"/>
        <v>2.1991008064086451E-2</v>
      </c>
      <c r="V66" s="83">
        <f t="shared" si="50"/>
        <v>2.1679363342254371E-2</v>
      </c>
      <c r="W66" s="83">
        <f t="shared" si="50"/>
        <v>2.1266023259111741E-2</v>
      </c>
      <c r="X66" s="83">
        <f t="shared" si="50"/>
        <v>2.2198196932144351E-2</v>
      </c>
      <c r="Y66" s="83">
        <f t="shared" si="50"/>
        <v>2.1149553758884738E-2</v>
      </c>
    </row>
    <row r="67" spans="1:25" x14ac:dyDescent="0.25">
      <c r="A67" s="64" t="s">
        <v>56</v>
      </c>
      <c r="B67" s="65"/>
      <c r="C67" s="65"/>
      <c r="D67" s="83">
        <f t="shared" si="46"/>
        <v>5.3593135691940696E-3</v>
      </c>
      <c r="E67" s="83">
        <f t="shared" ref="E67:S67" si="51">E25/E$23</f>
        <v>4.7143422992270033E-3</v>
      </c>
      <c r="F67" s="83">
        <f t="shared" si="51"/>
        <v>4.9039682004409927E-3</v>
      </c>
      <c r="G67" s="83">
        <f t="shared" si="51"/>
        <v>4.1498933552716177E-3</v>
      </c>
      <c r="H67" s="83">
        <f t="shared" si="51"/>
        <v>3.9591908069416537E-3</v>
      </c>
      <c r="I67" s="83">
        <f t="shared" si="51"/>
        <v>4.0123904125479639E-3</v>
      </c>
      <c r="J67" s="83">
        <f t="shared" si="51"/>
        <v>3.9695632315971015E-3</v>
      </c>
      <c r="K67" s="83">
        <f t="shared" si="51"/>
        <v>3.7210026123722924E-3</v>
      </c>
      <c r="L67" s="83">
        <f t="shared" si="51"/>
        <v>3.9980520817665347E-3</v>
      </c>
      <c r="M67" s="83">
        <f t="shared" si="51"/>
        <v>3.016650307064436E-3</v>
      </c>
      <c r="N67" s="83">
        <f t="shared" si="51"/>
        <v>3.1184663989385067E-3</v>
      </c>
      <c r="O67" s="83">
        <f t="shared" si="51"/>
        <v>3.6260999241799507E-3</v>
      </c>
      <c r="P67" s="83">
        <f t="shared" si="51"/>
        <v>4.6216522873317387E-3</v>
      </c>
      <c r="Q67" s="83">
        <f t="shared" si="51"/>
        <v>4.4995767523613095E-3</v>
      </c>
      <c r="R67" s="83">
        <f t="shared" si="51"/>
        <v>3.8260951364988802E-3</v>
      </c>
      <c r="S67" s="83">
        <f t="shared" si="51"/>
        <v>2.939150525285122E-3</v>
      </c>
      <c r="T67" s="83">
        <f t="shared" ref="T67:Y67" si="52">T25/T$23</f>
        <v>2.3976955434292795E-3</v>
      </c>
      <c r="U67" s="83">
        <f t="shared" si="52"/>
        <v>2.6659463326322999E-3</v>
      </c>
      <c r="V67" s="83">
        <f t="shared" si="52"/>
        <v>2.9273840411047926E-3</v>
      </c>
      <c r="W67" s="83">
        <f t="shared" si="52"/>
        <v>2.4069602949294343E-3</v>
      </c>
      <c r="X67" s="83">
        <f t="shared" si="52"/>
        <v>1.9070295798519728E-3</v>
      </c>
      <c r="Y67" s="83">
        <f t="shared" si="52"/>
        <v>3.3896307154363545E-3</v>
      </c>
    </row>
    <row r="68" spans="1:25" x14ac:dyDescent="0.25">
      <c r="A68" s="64" t="s">
        <v>146</v>
      </c>
      <c r="B68" s="65"/>
      <c r="C68" s="65"/>
      <c r="D68" s="83">
        <f t="shared" si="46"/>
        <v>0.71230365176722943</v>
      </c>
      <c r="E68" s="83">
        <f t="shared" ref="E68:S68" si="53">E26/E$23</f>
        <v>0.71647743281704923</v>
      </c>
      <c r="F68" s="83">
        <f t="shared" si="53"/>
        <v>0.71908762992587105</v>
      </c>
      <c r="G68" s="83">
        <f t="shared" si="53"/>
        <v>0.72613652776560067</v>
      </c>
      <c r="H68" s="83">
        <f t="shared" si="53"/>
        <v>0.72654719211657248</v>
      </c>
      <c r="I68" s="83">
        <f t="shared" si="53"/>
        <v>0.73179549920797404</v>
      </c>
      <c r="J68" s="83">
        <f t="shared" si="53"/>
        <v>0.73012497683630773</v>
      </c>
      <c r="K68" s="83">
        <f t="shared" si="53"/>
        <v>0.72727928654755192</v>
      </c>
      <c r="L68" s="83">
        <f t="shared" si="53"/>
        <v>0.73092605857807658</v>
      </c>
      <c r="M68" s="83">
        <f t="shared" si="53"/>
        <v>0.7515853166763603</v>
      </c>
      <c r="N68" s="83">
        <f t="shared" si="53"/>
        <v>0.75133521416412952</v>
      </c>
      <c r="O68" s="83">
        <f t="shared" si="53"/>
        <v>0.75122360107687713</v>
      </c>
      <c r="P68" s="83">
        <f t="shared" si="53"/>
        <v>0.75505455496192153</v>
      </c>
      <c r="Q68" s="83">
        <f t="shared" si="53"/>
        <v>0.75605986107060752</v>
      </c>
      <c r="R68" s="83">
        <f t="shared" si="53"/>
        <v>0.76185323124761495</v>
      </c>
      <c r="S68" s="83">
        <f t="shared" si="53"/>
        <v>0.76048584421615162</v>
      </c>
      <c r="T68" s="83">
        <f t="shared" ref="T68:Y68" si="54">T26/T$23</f>
        <v>0.75839475823340574</v>
      </c>
      <c r="U68" s="83">
        <f t="shared" si="54"/>
        <v>0.75656340837483327</v>
      </c>
      <c r="V68" s="83">
        <f t="shared" si="54"/>
        <v>0.75529691498903917</v>
      </c>
      <c r="W68" s="83">
        <f t="shared" si="54"/>
        <v>0.75508308620902054</v>
      </c>
      <c r="X68" s="83">
        <f t="shared" si="54"/>
        <v>0.75630251318019603</v>
      </c>
      <c r="Y68" s="83">
        <f t="shared" si="54"/>
        <v>0.73784201003183625</v>
      </c>
    </row>
    <row r="69" spans="1:25" x14ac:dyDescent="0.25">
      <c r="A69" s="68" t="s">
        <v>148</v>
      </c>
      <c r="B69" s="69"/>
      <c r="C69" s="69"/>
      <c r="D69" s="84">
        <f t="shared" si="46"/>
        <v>0.25790910003713408</v>
      </c>
      <c r="E69" s="84">
        <f t="shared" ref="E69:S69" si="55">E27/E$23</f>
        <v>0.25924509952046693</v>
      </c>
      <c r="F69" s="84">
        <f t="shared" si="55"/>
        <v>0.26021319807879723</v>
      </c>
      <c r="G69" s="84">
        <f t="shared" si="55"/>
        <v>0.26182854368787351</v>
      </c>
      <c r="H69" s="84">
        <f t="shared" si="55"/>
        <v>0.2627131488911259</v>
      </c>
      <c r="I69" s="84">
        <f t="shared" si="55"/>
        <v>0.26529299008034513</v>
      </c>
      <c r="J69" s="84">
        <f t="shared" si="55"/>
        <v>0.26587929520269687</v>
      </c>
      <c r="K69" s="84">
        <f t="shared" si="55"/>
        <v>0.26333929495747033</v>
      </c>
      <c r="L69" s="84">
        <f t="shared" si="55"/>
        <v>0.26577962015594447</v>
      </c>
      <c r="M69" s="84">
        <f t="shared" si="55"/>
        <v>0.27881028397645202</v>
      </c>
      <c r="N69" s="84">
        <f t="shared" si="55"/>
        <v>0.27818217418373448</v>
      </c>
      <c r="O69" s="84">
        <f t="shared" si="55"/>
        <v>0.27524230947815442</v>
      </c>
      <c r="P69" s="84">
        <f t="shared" si="55"/>
        <v>0.27522850203637611</v>
      </c>
      <c r="Q69" s="84">
        <f t="shared" si="55"/>
        <v>0.27515691715885954</v>
      </c>
      <c r="R69" s="84">
        <f t="shared" si="55"/>
        <v>0.27641995738695596</v>
      </c>
      <c r="S69" s="84">
        <f t="shared" si="55"/>
        <v>0.27279706515040836</v>
      </c>
      <c r="T69" s="84">
        <f t="shared" ref="T69:Y69" si="56">T27/T$23</f>
        <v>0.27268551226074761</v>
      </c>
      <c r="U69" s="84">
        <f t="shared" si="56"/>
        <v>0.27205176699025635</v>
      </c>
      <c r="V69" s="84">
        <f t="shared" si="56"/>
        <v>0.27158276526787456</v>
      </c>
      <c r="W69" s="84">
        <f t="shared" si="56"/>
        <v>0.26984051134175702</v>
      </c>
      <c r="X69" s="84">
        <f t="shared" si="56"/>
        <v>0.25879462688759997</v>
      </c>
      <c r="Y69" s="84">
        <f t="shared" si="56"/>
        <v>0.25564453402349924</v>
      </c>
    </row>
    <row r="70" spans="1:25" x14ac:dyDescent="0.25">
      <c r="A70" s="68" t="s">
        <v>150</v>
      </c>
      <c r="B70" s="71"/>
      <c r="C70" s="71"/>
      <c r="D70" s="84">
        <f t="shared" si="46"/>
        <v>0.31259630157024654</v>
      </c>
      <c r="E70" s="84">
        <f t="shared" ref="E70:S70" si="57">E28/E$23</f>
        <v>0.31636438932695221</v>
      </c>
      <c r="F70" s="84">
        <f t="shared" si="57"/>
        <v>0.32209039037956061</v>
      </c>
      <c r="G70" s="84">
        <f t="shared" si="57"/>
        <v>0.33080468612140906</v>
      </c>
      <c r="H70" s="84">
        <f t="shared" si="57"/>
        <v>0.33103801974062286</v>
      </c>
      <c r="I70" s="84">
        <f t="shared" si="57"/>
        <v>0.33462441608394239</v>
      </c>
      <c r="J70" s="84">
        <f t="shared" si="57"/>
        <v>0.3343472165975242</v>
      </c>
      <c r="K70" s="84">
        <f t="shared" si="57"/>
        <v>0.33588746436545397</v>
      </c>
      <c r="L70" s="84">
        <f t="shared" si="57"/>
        <v>0.33754926488019044</v>
      </c>
      <c r="M70" s="84">
        <f t="shared" si="57"/>
        <v>0.34693443227198351</v>
      </c>
      <c r="N70" s="84">
        <f t="shared" si="57"/>
        <v>0.34666597306086577</v>
      </c>
      <c r="O70" s="84">
        <f t="shared" si="57"/>
        <v>0.34801287725336399</v>
      </c>
      <c r="P70" s="84">
        <f t="shared" si="57"/>
        <v>0.3521944720830158</v>
      </c>
      <c r="Q70" s="84">
        <f t="shared" si="57"/>
        <v>0.3539413976148908</v>
      </c>
      <c r="R70" s="84">
        <f t="shared" si="57"/>
        <v>0.35690591508592823</v>
      </c>
      <c r="S70" s="84">
        <f t="shared" si="57"/>
        <v>0.35661029979523523</v>
      </c>
      <c r="T70" s="84">
        <f t="shared" ref="T70:Y70" si="58">T28/T$23</f>
        <v>0.35226620350578014</v>
      </c>
      <c r="U70" s="84">
        <f t="shared" si="58"/>
        <v>0.34930438251277862</v>
      </c>
      <c r="V70" s="84">
        <f t="shared" si="58"/>
        <v>0.34902692931612844</v>
      </c>
      <c r="W70" s="84">
        <f t="shared" si="58"/>
        <v>0.34626381240541815</v>
      </c>
      <c r="X70" s="84">
        <f t="shared" si="58"/>
        <v>0.36358077873878936</v>
      </c>
      <c r="Y70" s="84">
        <f t="shared" si="58"/>
        <v>0.34378366658268622</v>
      </c>
    </row>
    <row r="71" spans="1:25" x14ac:dyDescent="0.25">
      <c r="A71" s="68" t="s">
        <v>152</v>
      </c>
      <c r="B71" s="71"/>
      <c r="C71" s="71"/>
      <c r="D71" s="84">
        <f t="shared" si="46"/>
        <v>0.14179825015984887</v>
      </c>
      <c r="E71" s="84">
        <f t="shared" ref="E71:S71" si="59">E29/E$23</f>
        <v>0.14086794396962996</v>
      </c>
      <c r="F71" s="84">
        <f t="shared" si="59"/>
        <v>0.13678404146751322</v>
      </c>
      <c r="G71" s="84">
        <f t="shared" si="59"/>
        <v>0.13350329795631824</v>
      </c>
      <c r="H71" s="84">
        <f t="shared" si="59"/>
        <v>0.13279602348482356</v>
      </c>
      <c r="I71" s="84">
        <f t="shared" si="59"/>
        <v>0.13187809304368686</v>
      </c>
      <c r="J71" s="84">
        <f t="shared" si="59"/>
        <v>0.12989846503608654</v>
      </c>
      <c r="K71" s="84">
        <f t="shared" si="59"/>
        <v>0.12805252722462773</v>
      </c>
      <c r="L71" s="84">
        <f t="shared" si="59"/>
        <v>0.12759717354194153</v>
      </c>
      <c r="M71" s="84">
        <f t="shared" si="59"/>
        <v>0.1258406004279248</v>
      </c>
      <c r="N71" s="84">
        <f t="shared" si="59"/>
        <v>0.12648706691952924</v>
      </c>
      <c r="O71" s="84">
        <f t="shared" si="59"/>
        <v>0.12796841434535866</v>
      </c>
      <c r="P71" s="84">
        <f t="shared" si="59"/>
        <v>0.12763158084252962</v>
      </c>
      <c r="Q71" s="84">
        <f t="shared" si="59"/>
        <v>0.12696154629685696</v>
      </c>
      <c r="R71" s="84">
        <f t="shared" si="59"/>
        <v>0.12852735877473068</v>
      </c>
      <c r="S71" s="84">
        <f t="shared" si="59"/>
        <v>0.13107847927050789</v>
      </c>
      <c r="T71" s="84">
        <f t="shared" ref="T71:Y71" si="60">T29/T$23</f>
        <v>0.13344304246687819</v>
      </c>
      <c r="U71" s="84">
        <f t="shared" si="60"/>
        <v>0.13520725887179835</v>
      </c>
      <c r="V71" s="84">
        <f t="shared" si="60"/>
        <v>0.13468722040503603</v>
      </c>
      <c r="W71" s="84">
        <f t="shared" si="60"/>
        <v>0.1389787624618454</v>
      </c>
      <c r="X71" s="84">
        <f t="shared" si="60"/>
        <v>0.1339271075538068</v>
      </c>
      <c r="Y71" s="84">
        <f t="shared" si="60"/>
        <v>0.13841380942565062</v>
      </c>
    </row>
    <row r="72" spans="1:25" x14ac:dyDescent="0.25">
      <c r="A72" s="64" t="s">
        <v>154</v>
      </c>
      <c r="B72" s="65"/>
      <c r="C72" s="65"/>
      <c r="D72" s="83">
        <f t="shared" si="46"/>
        <v>1.7609507037537404E-2</v>
      </c>
      <c r="E72" s="83">
        <f t="shared" ref="E72:S72" si="61">E30/E$23</f>
        <v>1.8247403947062164E-2</v>
      </c>
      <c r="F72" s="83">
        <f t="shared" si="61"/>
        <v>1.7771298592893999E-2</v>
      </c>
      <c r="G72" s="83">
        <f t="shared" si="61"/>
        <v>1.7611877874702871E-2</v>
      </c>
      <c r="H72" s="83">
        <f t="shared" si="61"/>
        <v>1.7875162272865688E-2</v>
      </c>
      <c r="I72" s="83">
        <f t="shared" si="61"/>
        <v>1.859431056396554E-2</v>
      </c>
      <c r="J72" s="83">
        <f t="shared" si="61"/>
        <v>1.9012126201978195E-2</v>
      </c>
      <c r="K72" s="83">
        <f t="shared" si="61"/>
        <v>1.9393304954457312E-2</v>
      </c>
      <c r="L72" s="83">
        <f t="shared" si="61"/>
        <v>2.1312361848150378E-2</v>
      </c>
      <c r="M72" s="83">
        <f t="shared" si="61"/>
        <v>2.0575699419481459E-2</v>
      </c>
      <c r="N72" s="83">
        <f t="shared" si="61"/>
        <v>1.8512996553680675E-2</v>
      </c>
      <c r="O72" s="83">
        <f t="shared" si="61"/>
        <v>1.7592169169196478E-2</v>
      </c>
      <c r="P72" s="83">
        <f t="shared" si="61"/>
        <v>1.8898747173109697E-2</v>
      </c>
      <c r="Q72" s="83">
        <f t="shared" si="61"/>
        <v>1.8983140572573071E-2</v>
      </c>
      <c r="R72" s="83">
        <f t="shared" si="61"/>
        <v>1.7104489737989805E-2</v>
      </c>
      <c r="S72" s="83">
        <f t="shared" si="61"/>
        <v>1.7291164471062447E-2</v>
      </c>
      <c r="T72" s="83">
        <f t="shared" ref="T72:Y72" si="62">T30/T$23</f>
        <v>1.7382192709024927E-2</v>
      </c>
      <c r="U72" s="83">
        <f t="shared" si="62"/>
        <v>1.7571558480257807E-2</v>
      </c>
      <c r="V72" s="83">
        <f t="shared" si="62"/>
        <v>1.7351039855780428E-2</v>
      </c>
      <c r="W72" s="83">
        <f t="shared" si="62"/>
        <v>1.9218384869755117E-2</v>
      </c>
      <c r="X72" s="83">
        <f t="shared" si="62"/>
        <v>1.9467870876664028E-2</v>
      </c>
      <c r="Y72" s="83">
        <f t="shared" si="62"/>
        <v>2.0067214829405343E-2</v>
      </c>
    </row>
    <row r="73" spans="1:25" x14ac:dyDescent="0.25">
      <c r="A73" s="64" t="s">
        <v>37</v>
      </c>
      <c r="B73" s="65"/>
      <c r="C73" s="65"/>
      <c r="D73" s="83">
        <f t="shared" si="46"/>
        <v>4.8563902623016346E-2</v>
      </c>
      <c r="E73" s="83">
        <f t="shared" ref="E73:S73" si="63">E31/E$23</f>
        <v>5.087688672375329E-2</v>
      </c>
      <c r="F73" s="83">
        <f t="shared" si="63"/>
        <v>5.2872180470893003E-2</v>
      </c>
      <c r="G73" s="83">
        <f t="shared" si="63"/>
        <v>5.5100278387688349E-2</v>
      </c>
      <c r="H73" s="83">
        <f t="shared" si="63"/>
        <v>5.7256430431972087E-2</v>
      </c>
      <c r="I73" s="83">
        <f t="shared" si="63"/>
        <v>5.9138686995735025E-2</v>
      </c>
      <c r="J73" s="83">
        <f t="shared" si="63"/>
        <v>5.984707434477838E-2</v>
      </c>
      <c r="K73" s="83">
        <f t="shared" si="63"/>
        <v>6.0124708494790145E-2</v>
      </c>
      <c r="L73" s="83">
        <f t="shared" si="63"/>
        <v>6.0689945923201281E-2</v>
      </c>
      <c r="M73" s="83">
        <f t="shared" si="63"/>
        <v>6.0003217891307255E-2</v>
      </c>
      <c r="N73" s="83">
        <f t="shared" si="63"/>
        <v>5.6263757128317431E-2</v>
      </c>
      <c r="O73" s="83">
        <f t="shared" si="63"/>
        <v>5.5789658923225648E-2</v>
      </c>
      <c r="P73" s="83">
        <f t="shared" si="63"/>
        <v>5.2476987931536941E-2</v>
      </c>
      <c r="Q73" s="83">
        <f t="shared" si="63"/>
        <v>4.9150738645840415E-2</v>
      </c>
      <c r="R73" s="83">
        <f t="shared" si="63"/>
        <v>4.4889517965063755E-2</v>
      </c>
      <c r="S73" s="83">
        <f t="shared" si="63"/>
        <v>4.342780378871932E-2</v>
      </c>
      <c r="T73" s="83">
        <f t="shared" ref="T73:Y73" si="64">T31/T$23</f>
        <v>4.2965711200326676E-2</v>
      </c>
      <c r="U73" s="83">
        <f t="shared" si="64"/>
        <v>4.2422119766916823E-2</v>
      </c>
      <c r="V73" s="83">
        <f t="shared" si="64"/>
        <v>4.214790080525866E-2</v>
      </c>
      <c r="W73" s="83">
        <f t="shared" si="64"/>
        <v>4.3096411528461671E-2</v>
      </c>
      <c r="X73" s="83">
        <f t="shared" si="64"/>
        <v>4.4132763327115854E-2</v>
      </c>
      <c r="Y73" s="83">
        <f t="shared" si="64"/>
        <v>5.209622622783109E-2</v>
      </c>
    </row>
    <row r="74" spans="1:25" x14ac:dyDescent="0.25">
      <c r="A74" s="64" t="s">
        <v>58</v>
      </c>
      <c r="B74" s="65"/>
      <c r="C74" s="65"/>
      <c r="D74" s="83">
        <f t="shared" si="46"/>
        <v>0.18755341222964436</v>
      </c>
      <c r="E74" s="83">
        <f t="shared" ref="E74:S74" si="65">E32/E$23</f>
        <v>0.18206263194645778</v>
      </c>
      <c r="F74" s="83">
        <f t="shared" si="65"/>
        <v>0.17906096928127574</v>
      </c>
      <c r="G74" s="83">
        <f t="shared" si="65"/>
        <v>0.17093176877729638</v>
      </c>
      <c r="H74" s="83">
        <f t="shared" si="65"/>
        <v>0.16834769017311393</v>
      </c>
      <c r="I74" s="83">
        <f t="shared" si="65"/>
        <v>0.16389438478549931</v>
      </c>
      <c r="J74" s="83">
        <f t="shared" si="65"/>
        <v>0.16532895893560734</v>
      </c>
      <c r="K74" s="83">
        <f t="shared" si="65"/>
        <v>0.16835895121033292</v>
      </c>
      <c r="L74" s="83">
        <f t="shared" si="65"/>
        <v>0.16229152245352133</v>
      </c>
      <c r="M74" s="83">
        <f t="shared" si="65"/>
        <v>0.14486776859446143</v>
      </c>
      <c r="N74" s="83">
        <f t="shared" si="65"/>
        <v>0.15103181222085585</v>
      </c>
      <c r="O74" s="83">
        <f t="shared" si="65"/>
        <v>0.15079904121536808</v>
      </c>
      <c r="P74" s="83">
        <f t="shared" si="65"/>
        <v>0.14699198570212332</v>
      </c>
      <c r="Q74" s="83">
        <f t="shared" si="65"/>
        <v>0.14747853328072619</v>
      </c>
      <c r="R74" s="83">
        <f t="shared" si="65"/>
        <v>0.1500990671919076</v>
      </c>
      <c r="S74" s="83">
        <f t="shared" si="65"/>
        <v>0.15288165913891277</v>
      </c>
      <c r="T74" s="83">
        <f t="shared" ref="T74:Y74" si="66">T32/T$23</f>
        <v>0.15738466717338023</v>
      </c>
      <c r="U74" s="83">
        <f t="shared" si="66"/>
        <v>0.15878595898127343</v>
      </c>
      <c r="V74" s="83">
        <f t="shared" si="66"/>
        <v>0.16059739696656256</v>
      </c>
      <c r="W74" s="83">
        <f t="shared" si="66"/>
        <v>0.15892913383872154</v>
      </c>
      <c r="X74" s="83">
        <f t="shared" si="66"/>
        <v>0.15599162610402775</v>
      </c>
      <c r="Y74" s="83">
        <f t="shared" si="66"/>
        <v>0.16545536443660624</v>
      </c>
    </row>
    <row r="75" spans="1:25" x14ac:dyDescent="0.25">
      <c r="A75" s="85" t="s">
        <v>158</v>
      </c>
      <c r="B75" s="86"/>
      <c r="C75" s="86"/>
      <c r="D75" s="87">
        <f t="shared" si="46"/>
        <v>7.0765951261528674E-3</v>
      </c>
      <c r="E75" s="87">
        <f t="shared" ref="E75:S75" si="67">E33/E$23</f>
        <v>6.2539728559508788E-3</v>
      </c>
      <c r="F75" s="87">
        <f t="shared" si="67"/>
        <v>5.7334269065494881E-3</v>
      </c>
      <c r="G75" s="87">
        <f t="shared" si="67"/>
        <v>6.222144782208683E-3</v>
      </c>
      <c r="H75" s="87">
        <f t="shared" si="67"/>
        <v>6.3562119312245433E-3</v>
      </c>
      <c r="I75" s="87">
        <f t="shared" si="67"/>
        <v>6.608546894511149E-3</v>
      </c>
      <c r="J75" s="87">
        <f t="shared" si="67"/>
        <v>6.9101481628118973E-3</v>
      </c>
      <c r="K75" s="87">
        <f t="shared" si="67"/>
        <v>7.6423891893920241E-3</v>
      </c>
      <c r="L75" s="87">
        <f t="shared" si="67"/>
        <v>6.9308279180493419E-3</v>
      </c>
      <c r="M75" s="87">
        <f t="shared" si="67"/>
        <v>4.123896814448991E-3</v>
      </c>
      <c r="N75" s="87">
        <f t="shared" si="67"/>
        <v>5.4096422981055178E-3</v>
      </c>
      <c r="O75" s="87">
        <f t="shared" si="67"/>
        <v>5.8118350045527145E-3</v>
      </c>
      <c r="P75" s="87">
        <f t="shared" si="67"/>
        <v>5.1699350901473909E-3</v>
      </c>
      <c r="Q75" s="87">
        <f t="shared" si="67"/>
        <v>4.884967375106122E-3</v>
      </c>
      <c r="R75" s="87">
        <f t="shared" si="67"/>
        <v>5.2825353106755613E-3</v>
      </c>
      <c r="S75" s="87">
        <f t="shared" si="67"/>
        <v>5.1535937324644551E-3</v>
      </c>
      <c r="T75" s="87">
        <f t="shared" ref="T75:Y75" si="68">T33/T$23</f>
        <v>5.5349065620456826E-3</v>
      </c>
      <c r="U75" s="87">
        <f t="shared" si="68"/>
        <v>6.0196593160669713E-3</v>
      </c>
      <c r="V75" s="87">
        <f t="shared" si="68"/>
        <v>5.9554238419020121E-3</v>
      </c>
      <c r="W75" s="87">
        <f t="shared" si="68"/>
        <v>5.3387539845789478E-3</v>
      </c>
      <c r="X75" s="87">
        <f t="shared" si="68"/>
        <v>5.0479059670729323E-3</v>
      </c>
      <c r="Y75" s="87">
        <f t="shared" si="68"/>
        <v>7.1852377789484133E-3</v>
      </c>
    </row>
    <row r="76" spans="1:25" x14ac:dyDescent="0.25">
      <c r="A76" s="88" t="s">
        <v>5</v>
      </c>
      <c r="B76" s="44"/>
      <c r="C76" s="44"/>
      <c r="D76" s="89">
        <f t="shared" si="46"/>
        <v>5.5418684021518337E-3</v>
      </c>
      <c r="E76" s="89">
        <f t="shared" ref="E76:S76" si="69">E34/E$23</f>
        <v>4.8976511924812283E-3</v>
      </c>
      <c r="F76" s="89">
        <f t="shared" si="69"/>
        <v>4.4899979217445166E-3</v>
      </c>
      <c r="G76" s="89">
        <f t="shared" si="69"/>
        <v>4.8727257879570447E-3</v>
      </c>
      <c r="H76" s="89">
        <f t="shared" si="69"/>
        <v>4.9777173105258234E-3</v>
      </c>
      <c r="I76" s="89">
        <f t="shared" si="69"/>
        <v>5.1753274796632531E-3</v>
      </c>
      <c r="J76" s="89">
        <f t="shared" si="69"/>
        <v>5.4115193924473741E-3</v>
      </c>
      <c r="K76" s="89">
        <f t="shared" si="69"/>
        <v>5.9849566649806856E-3</v>
      </c>
      <c r="L76" s="89">
        <f t="shared" si="69"/>
        <v>5.4277142545345221E-3</v>
      </c>
      <c r="M76" s="89">
        <f t="shared" si="69"/>
        <v>2.8021490029322338E-3</v>
      </c>
      <c r="N76" s="89">
        <f t="shared" si="69"/>
        <v>3.7664975811968764E-3</v>
      </c>
      <c r="O76" s="89">
        <f t="shared" si="69"/>
        <v>4.1198754733933656E-3</v>
      </c>
      <c r="P76" s="89">
        <f t="shared" si="69"/>
        <v>3.7048922830409461E-3</v>
      </c>
      <c r="Q76" s="89">
        <f t="shared" si="69"/>
        <v>3.4409418784405762E-3</v>
      </c>
      <c r="R76" s="89">
        <f t="shared" si="69"/>
        <v>3.7049351878664294E-3</v>
      </c>
      <c r="S76" s="89">
        <f t="shared" si="69"/>
        <v>3.391497819542671E-3</v>
      </c>
      <c r="T76" s="89">
        <f t="shared" ref="T76:Y76" si="70">T34/T$23</f>
        <v>3.7980073921548667E-3</v>
      </c>
      <c r="U76" s="89">
        <f t="shared" si="70"/>
        <v>4.1387814809810087E-3</v>
      </c>
      <c r="V76" s="89">
        <f t="shared" si="70"/>
        <v>4.1019427500257923E-3</v>
      </c>
      <c r="W76" s="89">
        <f t="shared" si="70"/>
        <v>3.5718724056752276E-3</v>
      </c>
      <c r="X76" s="89">
        <f t="shared" si="70"/>
        <v>3.4508577689616781E-3</v>
      </c>
      <c r="Y76" s="89">
        <f t="shared" si="70"/>
        <v>5.2937606739021361E-3</v>
      </c>
    </row>
    <row r="77" spans="1:25" x14ac:dyDescent="0.25">
      <c r="A77" s="88" t="s">
        <v>269</v>
      </c>
      <c r="B77" s="44"/>
      <c r="C77" s="44"/>
      <c r="D77" s="89">
        <f>D37/D$23</f>
        <v>1.5347267240010322E-3</v>
      </c>
      <c r="E77" s="89">
        <f t="shared" ref="E77:S77" si="71">E37/E$23</f>
        <v>1.3563216634696494E-3</v>
      </c>
      <c r="F77" s="89">
        <f t="shared" si="71"/>
        <v>1.2434289848049708E-3</v>
      </c>
      <c r="G77" s="89">
        <f t="shared" si="71"/>
        <v>1.3494189942516374E-3</v>
      </c>
      <c r="H77" s="89">
        <f t="shared" si="71"/>
        <v>1.3784946206987204E-3</v>
      </c>
      <c r="I77" s="89">
        <f t="shared" si="71"/>
        <v>1.4332194148478964E-3</v>
      </c>
      <c r="J77" s="89">
        <f t="shared" si="71"/>
        <v>1.4986287703645232E-3</v>
      </c>
      <c r="K77" s="89">
        <f t="shared" si="71"/>
        <v>1.6574325244113387E-3</v>
      </c>
      <c r="L77" s="89">
        <f t="shared" si="71"/>
        <v>1.5031136635148205E-3</v>
      </c>
      <c r="M77" s="89">
        <f t="shared" si="71"/>
        <v>1.3217478115167573E-3</v>
      </c>
      <c r="N77" s="89">
        <f t="shared" si="71"/>
        <v>1.6431447169086419E-3</v>
      </c>
      <c r="O77" s="89">
        <f t="shared" si="71"/>
        <v>1.6919595311593492E-3</v>
      </c>
      <c r="P77" s="89">
        <f t="shared" si="71"/>
        <v>1.4650428071064448E-3</v>
      </c>
      <c r="Q77" s="89">
        <f t="shared" si="71"/>
        <v>1.444025496665546E-3</v>
      </c>
      <c r="R77" s="89">
        <f t="shared" si="71"/>
        <v>1.5776001228091326E-3</v>
      </c>
      <c r="S77" s="89">
        <f t="shared" si="71"/>
        <v>1.7620959129217842E-3</v>
      </c>
      <c r="T77" s="89">
        <f t="shared" ref="T77:Y77" si="72">T37/T$23</f>
        <v>1.7368991698908161E-3</v>
      </c>
      <c r="U77" s="89">
        <f t="shared" si="72"/>
        <v>1.8808778350859626E-3</v>
      </c>
      <c r="V77" s="89">
        <f t="shared" si="72"/>
        <v>1.8534810918762194E-3</v>
      </c>
      <c r="W77" s="89">
        <f t="shared" si="72"/>
        <v>1.76688157890372E-3</v>
      </c>
      <c r="X77" s="89">
        <f t="shared" si="72"/>
        <v>1.5970481981112537E-3</v>
      </c>
      <c r="Y77" s="89">
        <f t="shared" si="72"/>
        <v>1.8914771050462784E-3</v>
      </c>
    </row>
    <row r="78" spans="1:25" x14ac:dyDescent="0.25">
      <c r="A78" s="68" t="s">
        <v>271</v>
      </c>
      <c r="B78" s="44"/>
      <c r="C78" s="44"/>
      <c r="D78" s="89">
        <f>D43/D$23</f>
        <v>1.5503535915446178E-2</v>
      </c>
      <c r="E78" s="89">
        <f t="shared" ref="E78:S78" si="73">E43/E$23</f>
        <v>1.4579870908553873E-2</v>
      </c>
      <c r="F78" s="89">
        <f t="shared" si="73"/>
        <v>1.4942661212738127E-2</v>
      </c>
      <c r="G78" s="89">
        <f t="shared" si="73"/>
        <v>1.4020852679023706E-2</v>
      </c>
      <c r="H78" s="89">
        <f t="shared" si="73"/>
        <v>1.3509802769304271E-2</v>
      </c>
      <c r="I78" s="89">
        <f t="shared" si="73"/>
        <v>1.2825593956134041E-2</v>
      </c>
      <c r="J78" s="89">
        <f t="shared" si="73"/>
        <v>1.2458149012159268E-2</v>
      </c>
      <c r="K78" s="89">
        <f t="shared" si="73"/>
        <v>1.2343100390365897E-2</v>
      </c>
      <c r="L78" s="89">
        <f t="shared" si="73"/>
        <v>1.1885035999527237E-2</v>
      </c>
      <c r="M78" s="89">
        <f t="shared" si="73"/>
        <v>1.156055168381811E-2</v>
      </c>
      <c r="N78" s="89">
        <f t="shared" si="73"/>
        <v>1.2506913060468441E-2</v>
      </c>
      <c r="O78" s="89">
        <f t="shared" si="73"/>
        <v>1.2297258350267019E-2</v>
      </c>
      <c r="P78" s="89">
        <f t="shared" si="73"/>
        <v>1.237895546021839E-2</v>
      </c>
      <c r="Q78" s="89">
        <f t="shared" si="73"/>
        <v>1.2706660898897104E-2</v>
      </c>
      <c r="R78" s="89">
        <f t="shared" si="73"/>
        <v>1.23465162681168E-2</v>
      </c>
      <c r="S78" s="89">
        <f t="shared" si="73"/>
        <v>1.3295731524969944E-2</v>
      </c>
      <c r="T78" s="89">
        <f t="shared" ref="T78:Y78" si="74">T43/T$23</f>
        <v>1.3992018933067184E-2</v>
      </c>
      <c r="U78" s="89">
        <f t="shared" si="74"/>
        <v>1.3713864166279045E-2</v>
      </c>
      <c r="V78" s="89">
        <f t="shared" si="74"/>
        <v>1.351102262351437E-2</v>
      </c>
      <c r="W78" s="89">
        <f t="shared" si="74"/>
        <v>1.3647095620896148E-2</v>
      </c>
      <c r="X78" s="89">
        <f t="shared" si="74"/>
        <v>1.5053356904378635E-2</v>
      </c>
      <c r="Y78" s="89">
        <f t="shared" si="74"/>
        <v>1.4384095645999862E-2</v>
      </c>
    </row>
    <row r="79" spans="1:25" x14ac:dyDescent="0.25">
      <c r="A79" s="88" t="s">
        <v>272</v>
      </c>
      <c r="B79" s="44"/>
      <c r="C79" s="44"/>
      <c r="D79" s="89">
        <f>D44/D$23</f>
        <v>9.0206721902414307E-3</v>
      </c>
      <c r="E79" s="89">
        <f t="shared" ref="E79:S79" si="75">E44/E$23</f>
        <v>7.9284423137913063E-3</v>
      </c>
      <c r="F79" s="89">
        <f t="shared" si="75"/>
        <v>8.0819853842097594E-3</v>
      </c>
      <c r="G79" s="89">
        <f t="shared" si="75"/>
        <v>7.3078551813261627E-3</v>
      </c>
      <c r="H79" s="89">
        <f t="shared" si="75"/>
        <v>7.2269332126478581E-3</v>
      </c>
      <c r="I79" s="89">
        <f t="shared" si="75"/>
        <v>7.0170587694736814E-3</v>
      </c>
      <c r="J79" s="89">
        <f t="shared" si="75"/>
        <v>6.8787361113087841E-3</v>
      </c>
      <c r="K79" s="89">
        <f t="shared" si="75"/>
        <v>6.9379067691013856E-3</v>
      </c>
      <c r="L79" s="89">
        <f t="shared" si="75"/>
        <v>6.3037926596191604E-3</v>
      </c>
      <c r="M79" s="89">
        <f t="shared" si="75"/>
        <v>5.9236284790818465E-3</v>
      </c>
      <c r="N79" s="89">
        <f t="shared" si="75"/>
        <v>6.7544464363380255E-3</v>
      </c>
      <c r="O79" s="89">
        <f t="shared" si="75"/>
        <v>6.5137174324257528E-3</v>
      </c>
      <c r="P79" s="89">
        <f t="shared" si="75"/>
        <v>6.5557311910843744E-3</v>
      </c>
      <c r="Q79" s="89">
        <f t="shared" si="75"/>
        <v>6.7501229577965572E-3</v>
      </c>
      <c r="R79" s="89">
        <f t="shared" si="75"/>
        <v>6.7499821910127038E-3</v>
      </c>
      <c r="S79" s="89">
        <f t="shared" si="75"/>
        <v>7.3224739239097641E-3</v>
      </c>
      <c r="T79" s="89">
        <f t="shared" ref="T79:Y79" si="76">T44/T$23</f>
        <v>7.893593829810178E-3</v>
      </c>
      <c r="U79" s="89">
        <f t="shared" si="76"/>
        <v>7.8039753348930589E-3</v>
      </c>
      <c r="V79" s="89">
        <f t="shared" si="76"/>
        <v>7.7360242308610319E-3</v>
      </c>
      <c r="W79" s="89">
        <f t="shared" si="76"/>
        <v>7.3751596856957294E-3</v>
      </c>
      <c r="X79" s="89">
        <f t="shared" si="76"/>
        <v>8.0833168314723494E-3</v>
      </c>
      <c r="Y79" s="89">
        <f t="shared" si="76"/>
        <v>8.1652122794561126E-3</v>
      </c>
    </row>
    <row r="80" spans="1:25" x14ac:dyDescent="0.25">
      <c r="A80" s="88" t="s">
        <v>11</v>
      </c>
      <c r="B80" s="44"/>
      <c r="C80" s="44"/>
      <c r="D80" s="89">
        <f>D47/D$23</f>
        <v>6.4828637252047489E-3</v>
      </c>
      <c r="E80" s="89">
        <f t="shared" ref="E80:S80" si="77">E47/E$23</f>
        <v>6.6514285947625682E-3</v>
      </c>
      <c r="F80" s="89">
        <f t="shared" si="77"/>
        <v>6.8606758285283693E-3</v>
      </c>
      <c r="G80" s="89">
        <f t="shared" si="77"/>
        <v>6.7129974976975421E-3</v>
      </c>
      <c r="H80" s="89">
        <f t="shared" si="77"/>
        <v>6.2828695566564119E-3</v>
      </c>
      <c r="I80" s="89">
        <f t="shared" si="77"/>
        <v>5.8085351866603609E-3</v>
      </c>
      <c r="J80" s="89">
        <f t="shared" si="77"/>
        <v>5.5794129008504825E-3</v>
      </c>
      <c r="K80" s="89">
        <f t="shared" si="77"/>
        <v>5.4051936212645112E-3</v>
      </c>
      <c r="L80" s="89">
        <f t="shared" si="77"/>
        <v>5.581243339908077E-3</v>
      </c>
      <c r="M80" s="89">
        <f t="shared" si="77"/>
        <v>5.6369232047362638E-3</v>
      </c>
      <c r="N80" s="89">
        <f t="shared" si="77"/>
        <v>5.7524666241304161E-3</v>
      </c>
      <c r="O80" s="89">
        <f t="shared" si="77"/>
        <v>5.7835409178412659E-3</v>
      </c>
      <c r="P80" s="89">
        <f t="shared" si="77"/>
        <v>5.8232242691340155E-3</v>
      </c>
      <c r="Q80" s="89">
        <f t="shared" si="77"/>
        <v>5.956537941100546E-3</v>
      </c>
      <c r="R80" s="89">
        <f t="shared" si="77"/>
        <v>5.5965340771040959E-3</v>
      </c>
      <c r="S80" s="89">
        <f t="shared" si="77"/>
        <v>5.97325760106018E-3</v>
      </c>
      <c r="T80" s="89">
        <f t="shared" ref="T80:Y80" si="78">T47/T$23</f>
        <v>6.0984251032570073E-3</v>
      </c>
      <c r="U80" s="89">
        <f t="shared" si="78"/>
        <v>5.9098888313859881E-3</v>
      </c>
      <c r="V80" s="89">
        <f t="shared" si="78"/>
        <v>5.774998392653336E-3</v>
      </c>
      <c r="W80" s="89">
        <f t="shared" si="78"/>
        <v>6.2719359352004208E-3</v>
      </c>
      <c r="X80" s="89">
        <f t="shared" si="78"/>
        <v>6.9700400729062863E-3</v>
      </c>
      <c r="Y80" s="89">
        <f t="shared" si="78"/>
        <v>6.2188833665437499E-3</v>
      </c>
    </row>
    <row r="81" spans="1:25" x14ac:dyDescent="0.25">
      <c r="A81" s="68" t="s">
        <v>4</v>
      </c>
      <c r="B81" s="44"/>
      <c r="C81" s="44"/>
      <c r="D81" s="89">
        <f>D48/D$23</f>
        <v>1.0855261768129417E-2</v>
      </c>
      <c r="E81" s="89">
        <f t="shared" ref="E81:S81" si="79">E48/E$23</f>
        <v>1.0915230313350292E-2</v>
      </c>
      <c r="F81" s="89">
        <f t="shared" si="79"/>
        <v>1.1577590698890224E-2</v>
      </c>
      <c r="G81" s="89">
        <f t="shared" si="79"/>
        <v>1.0882312512415991E-2</v>
      </c>
      <c r="H81" s="89">
        <f t="shared" si="79"/>
        <v>1.0650594943268416E-2</v>
      </c>
      <c r="I81" s="89">
        <f t="shared" si="79"/>
        <v>1.0503338780405963E-2</v>
      </c>
      <c r="J81" s="89">
        <f t="shared" si="79"/>
        <v>1.0053797271363754E-2</v>
      </c>
      <c r="K81" s="89">
        <f t="shared" si="79"/>
        <v>1.0116596565618885E-2</v>
      </c>
      <c r="L81" s="89">
        <f t="shared" si="79"/>
        <v>9.2203223054643946E-3</v>
      </c>
      <c r="M81" s="89">
        <f t="shared" si="79"/>
        <v>8.4059516534635594E-3</v>
      </c>
      <c r="N81" s="89">
        <f t="shared" si="79"/>
        <v>8.0223927965082011E-3</v>
      </c>
      <c r="O81" s="89">
        <f t="shared" si="79"/>
        <v>7.4738256063240456E-3</v>
      </c>
      <c r="P81" s="89">
        <f t="shared" si="79"/>
        <v>6.809982423263211E-3</v>
      </c>
      <c r="Q81" s="89">
        <f t="shared" si="79"/>
        <v>6.5681061495570505E-3</v>
      </c>
      <c r="R81" s="89">
        <f t="shared" si="79"/>
        <v>6.3427340630756715E-3</v>
      </c>
      <c r="S81" s="89">
        <f t="shared" si="79"/>
        <v>6.3426002772758146E-3</v>
      </c>
      <c r="T81" s="89">
        <f t="shared" ref="T81:Y81" si="80">T48/T$23</f>
        <v>6.4689380515747198E-3</v>
      </c>
      <c r="U81" s="89">
        <f t="shared" si="80"/>
        <v>6.3864596373927824E-3</v>
      </c>
      <c r="V81" s="89">
        <f t="shared" si="80"/>
        <v>6.5111694551038199E-3</v>
      </c>
      <c r="W81" s="89">
        <f t="shared" si="80"/>
        <v>6.4499212936085073E-3</v>
      </c>
      <c r="X81" s="89">
        <f t="shared" si="80"/>
        <v>6.3671232891296383E-3</v>
      </c>
      <c r="Y81" s="89">
        <f t="shared" si="80"/>
        <v>7.0362718826107208E-3</v>
      </c>
    </row>
    <row r="82" spans="1:25" x14ac:dyDescent="0.25">
      <c r="A82" s="68" t="s">
        <v>3</v>
      </c>
      <c r="B82" s="44"/>
      <c r="C82" s="44"/>
      <c r="D82" s="89">
        <f>D52/D$23</f>
        <v>9.3470671511562877E-3</v>
      </c>
      <c r="E82" s="89">
        <f t="shared" ref="E82:S82" si="81">E52/E$23</f>
        <v>9.1101755474884728E-3</v>
      </c>
      <c r="F82" s="89">
        <f t="shared" si="81"/>
        <v>9.1509906474156449E-3</v>
      </c>
      <c r="G82" s="89">
        <f t="shared" si="81"/>
        <v>8.5299928290477004E-3</v>
      </c>
      <c r="H82" s="89">
        <f t="shared" si="81"/>
        <v>8.3761418247674385E-3</v>
      </c>
      <c r="I82" s="89">
        <f t="shared" si="81"/>
        <v>7.9391263075778672E-3</v>
      </c>
      <c r="J82" s="89">
        <f t="shared" si="81"/>
        <v>7.7891105559013026E-3</v>
      </c>
      <c r="K82" s="89">
        <f t="shared" si="81"/>
        <v>7.6550123444799672E-3</v>
      </c>
      <c r="L82" s="89">
        <f t="shared" si="81"/>
        <v>7.2209578022803429E-3</v>
      </c>
      <c r="M82" s="89">
        <f t="shared" si="81"/>
        <v>6.7886560420119353E-3</v>
      </c>
      <c r="N82" s="89">
        <f t="shared" si="81"/>
        <v>6.7885287903441238E-3</v>
      </c>
      <c r="O82" s="89">
        <f t="shared" si="81"/>
        <v>6.6954343473195716E-3</v>
      </c>
      <c r="P82" s="89">
        <f t="shared" si="81"/>
        <v>6.5540165213232547E-3</v>
      </c>
      <c r="Q82" s="89">
        <f t="shared" si="81"/>
        <v>6.3278742758510883E-3</v>
      </c>
      <c r="R82" s="89">
        <f t="shared" si="81"/>
        <v>6.4863681602379524E-3</v>
      </c>
      <c r="S82" s="89">
        <f t="shared" si="81"/>
        <v>6.2643770467235961E-3</v>
      </c>
      <c r="T82" s="89">
        <f t="shared" ref="T82:Y82" si="82">T52/T$23</f>
        <v>6.6891312305377261E-3</v>
      </c>
      <c r="U82" s="89">
        <f t="shared" si="82"/>
        <v>6.6384823992977774E-3</v>
      </c>
      <c r="V82" s="89">
        <f t="shared" si="82"/>
        <v>6.5430647489563573E-3</v>
      </c>
      <c r="W82" s="89">
        <f t="shared" si="82"/>
        <v>6.5514499011244164E-3</v>
      </c>
      <c r="X82" s="89">
        <f t="shared" si="82"/>
        <v>6.4304026028225636E-3</v>
      </c>
      <c r="Y82" s="89">
        <f t="shared" si="82"/>
        <v>6.0428605238847782E-3</v>
      </c>
    </row>
    <row r="83" spans="1:25" x14ac:dyDescent="0.25">
      <c r="A83" s="88" t="s">
        <v>21</v>
      </c>
      <c r="B83" s="44"/>
      <c r="C83" s="44"/>
      <c r="D83" s="89">
        <f>D53/D$23</f>
        <v>4.2716300034904755E-3</v>
      </c>
      <c r="E83" s="89">
        <f t="shared" ref="E83:S83" si="83">E53/E$23</f>
        <v>4.0318107511777349E-3</v>
      </c>
      <c r="F83" s="89">
        <f t="shared" si="83"/>
        <v>3.7841126907182032E-3</v>
      </c>
      <c r="G83" s="89">
        <f t="shared" si="83"/>
        <v>3.6686325613871093E-3</v>
      </c>
      <c r="H83" s="89">
        <f t="shared" si="83"/>
        <v>3.735424061641175E-3</v>
      </c>
      <c r="I83" s="89">
        <f t="shared" si="83"/>
        <v>3.4905144493525136E-3</v>
      </c>
      <c r="J83" s="89">
        <f t="shared" si="83"/>
        <v>3.3193265773701825E-3</v>
      </c>
      <c r="K83" s="89">
        <f t="shared" si="83"/>
        <v>3.2640857855823976E-3</v>
      </c>
      <c r="L83" s="89">
        <f t="shared" si="83"/>
        <v>3.0833238676709878E-3</v>
      </c>
      <c r="M83" s="89">
        <f t="shared" si="83"/>
        <v>3.1922800921077533E-3</v>
      </c>
      <c r="N83" s="89">
        <f t="shared" si="83"/>
        <v>3.2378236305792949E-3</v>
      </c>
      <c r="O83" s="89">
        <f t="shared" si="83"/>
        <v>3.3233059270101691E-3</v>
      </c>
      <c r="P83" s="89">
        <f t="shared" si="83"/>
        <v>3.326047815829652E-3</v>
      </c>
      <c r="Q83" s="89">
        <f t="shared" si="83"/>
        <v>3.2887033906589831E-3</v>
      </c>
      <c r="R83" s="89">
        <f t="shared" si="83"/>
        <v>3.541424798286728E-3</v>
      </c>
      <c r="S83" s="89">
        <f t="shared" si="83"/>
        <v>3.4453166528790385E-3</v>
      </c>
      <c r="T83" s="89">
        <f t="shared" ref="T83:Y83" si="84">T53/T$23</f>
        <v>3.5940806714782128E-3</v>
      </c>
      <c r="U83" s="89">
        <f t="shared" si="84"/>
        <v>3.710242382217233E-3</v>
      </c>
      <c r="V83" s="89">
        <f t="shared" si="84"/>
        <v>3.6681475225912416E-3</v>
      </c>
      <c r="W83" s="89">
        <f t="shared" si="84"/>
        <v>3.7975174517808929E-3</v>
      </c>
      <c r="X83" s="89">
        <f t="shared" si="84"/>
        <v>3.9450094113839419E-3</v>
      </c>
      <c r="Y83" s="89">
        <f t="shared" si="84"/>
        <v>3.5808005619049803E-3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5.0754371476658114E-3</v>
      </c>
      <c r="E84" s="89">
        <f t="shared" ref="E84:S84" si="86">E56/E$23</f>
        <v>5.078364796310738E-3</v>
      </c>
      <c r="F84" s="89">
        <f t="shared" si="86"/>
        <v>5.3668779566974417E-3</v>
      </c>
      <c r="G84" s="89">
        <f t="shared" si="86"/>
        <v>4.8613602676605911E-3</v>
      </c>
      <c r="H84" s="89">
        <f t="shared" si="86"/>
        <v>4.6407177631262635E-3</v>
      </c>
      <c r="I84" s="89">
        <f t="shared" si="86"/>
        <v>4.4486118582253535E-3</v>
      </c>
      <c r="J84" s="89">
        <f t="shared" si="86"/>
        <v>4.4697839785311205E-3</v>
      </c>
      <c r="K84" s="89">
        <f t="shared" si="86"/>
        <v>4.3909265588975696E-3</v>
      </c>
      <c r="L84" s="89">
        <f t="shared" si="86"/>
        <v>4.1376339346093551E-3</v>
      </c>
      <c r="M84" s="89">
        <f t="shared" si="86"/>
        <v>3.5963759499041824E-3</v>
      </c>
      <c r="N84" s="89">
        <f t="shared" si="86"/>
        <v>3.5507051597648285E-3</v>
      </c>
      <c r="O84" s="89">
        <f t="shared" si="86"/>
        <v>3.3721284203094021E-3</v>
      </c>
      <c r="P84" s="89">
        <f t="shared" si="86"/>
        <v>3.2279687054936027E-3</v>
      </c>
      <c r="Q84" s="89">
        <f t="shared" si="86"/>
        <v>3.0391708851921053E-3</v>
      </c>
      <c r="R84" s="89">
        <f t="shared" si="86"/>
        <v>2.9449433619512248E-3</v>
      </c>
      <c r="S84" s="89">
        <f t="shared" si="86"/>
        <v>2.8190603938445581E-3</v>
      </c>
      <c r="T84" s="89">
        <f t="shared" ref="T84:Y84" si="87">T56/T$23</f>
        <v>3.0950505590595133E-3</v>
      </c>
      <c r="U84" s="89">
        <f t="shared" si="87"/>
        <v>2.9282400170805439E-3</v>
      </c>
      <c r="V84" s="89">
        <f t="shared" si="87"/>
        <v>2.8749172263651162E-3</v>
      </c>
      <c r="W84" s="89">
        <f t="shared" si="87"/>
        <v>2.7539324493435239E-3</v>
      </c>
      <c r="X84" s="89">
        <f t="shared" si="87"/>
        <v>2.4853931914386221E-3</v>
      </c>
      <c r="Y84" s="89">
        <f t="shared" si="87"/>
        <v>2.4620599619797983E-3</v>
      </c>
    </row>
    <row r="85" spans="1:25" x14ac:dyDescent="0.25">
      <c r="A85" s="68" t="s">
        <v>2</v>
      </c>
      <c r="B85" s="44"/>
      <c r="C85" s="44"/>
      <c r="D85" s="89">
        <f t="shared" si="85"/>
        <v>1.9719343481391038E-2</v>
      </c>
      <c r="E85" s="89">
        <f t="shared" ref="E85:S85" si="88">E57/E$23</f>
        <v>1.8877701371902873E-2</v>
      </c>
      <c r="F85" s="89">
        <f t="shared" si="88"/>
        <v>1.9523865893688156E-2</v>
      </c>
      <c r="G85" s="89">
        <f t="shared" si="88"/>
        <v>1.8912732697243598E-2</v>
      </c>
      <c r="H85" s="89">
        <f t="shared" si="88"/>
        <v>1.8618889057638251E-2</v>
      </c>
      <c r="I85" s="89">
        <f t="shared" si="88"/>
        <v>1.7744525632578671E-2</v>
      </c>
      <c r="J85" s="89">
        <f t="shared" si="88"/>
        <v>1.71543585335618E-2</v>
      </c>
      <c r="K85" s="89">
        <f t="shared" si="88"/>
        <v>1.7165697465877473E-2</v>
      </c>
      <c r="L85" s="89">
        <f t="shared" si="88"/>
        <v>1.7018629100420006E-2</v>
      </c>
      <c r="M85" s="89">
        <f t="shared" si="88"/>
        <v>1.7522561901780778E-2</v>
      </c>
      <c r="N85" s="89">
        <f t="shared" si="88"/>
        <v>1.7618093286852547E-2</v>
      </c>
      <c r="O85" s="89">
        <f t="shared" si="88"/>
        <v>1.6964634687550901E-2</v>
      </c>
      <c r="P85" s="89">
        <f t="shared" si="88"/>
        <v>1.6710759971130449E-2</v>
      </c>
      <c r="Q85" s="89">
        <f t="shared" si="88"/>
        <v>1.6986949422406656E-2</v>
      </c>
      <c r="R85" s="89">
        <f t="shared" si="88"/>
        <v>1.7306712326950309E-2</v>
      </c>
      <c r="S85" s="89">
        <f t="shared" si="88"/>
        <v>1.8126352022010028E-2</v>
      </c>
      <c r="T85" s="89">
        <f t="shared" ref="T85:Y85" si="89">T57/T$23</f>
        <v>1.8331197072041457E-2</v>
      </c>
      <c r="U85" s="89">
        <f t="shared" si="89"/>
        <v>1.8187107706927955E-2</v>
      </c>
      <c r="V85" s="89">
        <f t="shared" si="89"/>
        <v>1.8561362456232047E-2</v>
      </c>
      <c r="W85" s="89">
        <f t="shared" si="89"/>
        <v>1.8776524426287345E-2</v>
      </c>
      <c r="X85" s="89">
        <f t="shared" si="89"/>
        <v>1.9515513346279309E-2</v>
      </c>
      <c r="Y85" s="89">
        <f t="shared" si="89"/>
        <v>1.9191009520319428E-2</v>
      </c>
    </row>
    <row r="86" spans="1:25" x14ac:dyDescent="0.25">
      <c r="A86" s="68" t="s">
        <v>275</v>
      </c>
      <c r="B86" s="44"/>
      <c r="C86" s="44"/>
      <c r="D86" s="89">
        <f t="shared" si="85"/>
        <v>1.6166843108117817E-2</v>
      </c>
      <c r="E86" s="89">
        <f t="shared" ref="E86:S86" si="90">E58/E$23</f>
        <v>1.4540397564630795E-2</v>
      </c>
      <c r="F86" s="89">
        <f t="shared" si="90"/>
        <v>1.3662779402183472E-2</v>
      </c>
      <c r="G86" s="89">
        <f t="shared" si="90"/>
        <v>1.2739340243850429E-2</v>
      </c>
      <c r="H86" s="89">
        <f t="shared" si="90"/>
        <v>1.3168962972403882E-2</v>
      </c>
      <c r="I86" s="89">
        <f t="shared" si="90"/>
        <v>1.2438922868812713E-2</v>
      </c>
      <c r="J86" s="89">
        <f t="shared" si="90"/>
        <v>1.3311377962598523E-2</v>
      </c>
      <c r="K86" s="89">
        <f t="shared" si="90"/>
        <v>1.3848359900361228E-2</v>
      </c>
      <c r="L86" s="89">
        <f t="shared" si="90"/>
        <v>1.3402904033617701E-2</v>
      </c>
      <c r="M86" s="89">
        <f t="shared" si="90"/>
        <v>1.1142632786607567E-2</v>
      </c>
      <c r="N86" s="89">
        <f t="shared" si="90"/>
        <v>1.1765035423570526E-2</v>
      </c>
      <c r="O86" s="89">
        <f t="shared" si="90"/>
        <v>1.1287584878883752E-2</v>
      </c>
      <c r="P86" s="89">
        <f t="shared" si="90"/>
        <v>1.0441104282991292E-2</v>
      </c>
      <c r="Q86" s="89">
        <f t="shared" si="90"/>
        <v>1.0554908070833336E-2</v>
      </c>
      <c r="R86" s="89">
        <f t="shared" si="90"/>
        <v>1.1560801523382826E-2</v>
      </c>
      <c r="S86" s="89">
        <f t="shared" si="90"/>
        <v>1.2209544174956606E-2</v>
      </c>
      <c r="T86" s="89">
        <f t="shared" ref="T86:Y86" si="91">T58/T$23</f>
        <v>1.3923327592418419E-2</v>
      </c>
      <c r="U86" s="89">
        <f t="shared" si="91"/>
        <v>1.4708346241529216E-2</v>
      </c>
      <c r="V86" s="89">
        <f t="shared" si="91"/>
        <v>1.453311895334115E-2</v>
      </c>
      <c r="W86" s="89">
        <f t="shared" si="91"/>
        <v>1.3989847759838919E-2</v>
      </c>
      <c r="X86" s="89">
        <f t="shared" si="91"/>
        <v>1.269758316937936E-2</v>
      </c>
      <c r="Y86" s="89">
        <f t="shared" si="91"/>
        <v>1.4334012810822779E-2</v>
      </c>
    </row>
    <row r="87" spans="1:25" x14ac:dyDescent="0.25">
      <c r="A87" s="68" t="s">
        <v>276</v>
      </c>
      <c r="B87" s="44"/>
      <c r="C87" s="44"/>
      <c r="D87" s="89">
        <f t="shared" si="85"/>
        <v>5.8044008755762808E-2</v>
      </c>
      <c r="E87" s="89">
        <f t="shared" ref="E87:S87" si="92">E59/E$23</f>
        <v>5.712532990868046E-2</v>
      </c>
      <c r="F87" s="89">
        <f t="shared" si="92"/>
        <v>5.574517832458542E-2</v>
      </c>
      <c r="G87" s="89">
        <f t="shared" si="92"/>
        <v>5.4948234539447464E-2</v>
      </c>
      <c r="H87" s="89">
        <f t="shared" si="92"/>
        <v>5.518719858840733E-2</v>
      </c>
      <c r="I87" s="89">
        <f t="shared" si="92"/>
        <v>5.5053865399683072E-2</v>
      </c>
      <c r="J87" s="89">
        <f t="shared" si="92"/>
        <v>5.7489876621799899E-2</v>
      </c>
      <c r="K87" s="89">
        <f t="shared" si="92"/>
        <v>5.9417742830875656E-2</v>
      </c>
      <c r="L87" s="89">
        <f t="shared" si="92"/>
        <v>5.8390094589382283E-2</v>
      </c>
      <c r="M87" s="89">
        <f t="shared" si="92"/>
        <v>5.0622777043004871E-2</v>
      </c>
      <c r="N87" s="89">
        <f t="shared" si="92"/>
        <v>5.3550139420285379E-2</v>
      </c>
      <c r="O87" s="89">
        <f t="shared" si="92"/>
        <v>5.4619134581802599E-2</v>
      </c>
      <c r="P87" s="89">
        <f t="shared" si="92"/>
        <v>5.4397075130038844E-2</v>
      </c>
      <c r="Q87" s="89">
        <f t="shared" si="92"/>
        <v>5.4535597754703485E-2</v>
      </c>
      <c r="R87" s="89">
        <f t="shared" si="92"/>
        <v>5.5180856589728648E-2</v>
      </c>
      <c r="S87" s="89">
        <f t="shared" si="92"/>
        <v>5.5472232433206162E-2</v>
      </c>
      <c r="T87" s="89">
        <f t="shared" ref="T87:Y87" si="93">T59/T$23</f>
        <v>5.6087858720168693E-2</v>
      </c>
      <c r="U87" s="89">
        <f t="shared" si="93"/>
        <v>5.6599330926428229E-2</v>
      </c>
      <c r="V87" s="89">
        <f t="shared" si="93"/>
        <v>5.8108192611338788E-2</v>
      </c>
      <c r="W87" s="89">
        <f t="shared" si="93"/>
        <v>5.791363055688379E-2</v>
      </c>
      <c r="X87" s="89">
        <f t="shared" si="93"/>
        <v>5.7329727410549265E-2</v>
      </c>
      <c r="Y87" s="89">
        <f t="shared" si="93"/>
        <v>6.0930532969927398E-2</v>
      </c>
    </row>
    <row r="88" spans="1:25" x14ac:dyDescent="0.25">
      <c r="A88" s="68" t="s">
        <v>1</v>
      </c>
      <c r="B88" s="44"/>
      <c r="C88" s="44"/>
      <c r="D88" s="89">
        <f t="shared" si="85"/>
        <v>2.4478992830187698E-2</v>
      </c>
      <c r="E88" s="89">
        <f t="shared" ref="E88:S88" si="94">E60/E$23</f>
        <v>2.4639023075572399E-2</v>
      </c>
      <c r="F88" s="89">
        <f t="shared" si="94"/>
        <v>2.303047917772769E-2</v>
      </c>
      <c r="G88" s="89">
        <f t="shared" si="94"/>
        <v>2.1249197964736927E-2</v>
      </c>
      <c r="H88" s="89">
        <f t="shared" si="94"/>
        <v>1.9626297324338907E-2</v>
      </c>
      <c r="I88" s="89">
        <f t="shared" si="94"/>
        <v>1.8483769434679442E-2</v>
      </c>
      <c r="J88" s="89">
        <f t="shared" si="94"/>
        <v>1.7802366872922366E-2</v>
      </c>
      <c r="K88" s="89">
        <f t="shared" si="94"/>
        <v>1.7897840460978309E-2</v>
      </c>
      <c r="L88" s="89">
        <f t="shared" si="94"/>
        <v>1.7171546367913668E-2</v>
      </c>
      <c r="M88" s="89">
        <f t="shared" si="94"/>
        <v>1.5161207864200776E-2</v>
      </c>
      <c r="N88" s="89">
        <f t="shared" si="94"/>
        <v>1.5665257193446473E-2</v>
      </c>
      <c r="O88" s="89">
        <f t="shared" si="94"/>
        <v>1.6217103566081345E-2</v>
      </c>
      <c r="P88" s="89">
        <f t="shared" si="94"/>
        <v>1.5612959803271136E-2</v>
      </c>
      <c r="Q88" s="89">
        <f t="shared" si="94"/>
        <v>1.5948241088634123E-2</v>
      </c>
      <c r="R88" s="89">
        <f t="shared" si="94"/>
        <v>1.6199547070623266E-2</v>
      </c>
      <c r="S88" s="89">
        <f t="shared" si="94"/>
        <v>1.6143151199994085E-2</v>
      </c>
      <c r="T88" s="89">
        <f t="shared" ref="T88:Y88" si="95">T60/T$23</f>
        <v>1.5951429574498518E-2</v>
      </c>
      <c r="U88" s="89">
        <f t="shared" si="95"/>
        <v>1.6122138729607563E-2</v>
      </c>
      <c r="V88" s="89">
        <f t="shared" si="95"/>
        <v>1.6255150272129138E-2</v>
      </c>
      <c r="W88" s="89">
        <f t="shared" si="95"/>
        <v>1.6172712821430974E-2</v>
      </c>
      <c r="X88" s="89">
        <f t="shared" si="95"/>
        <v>1.3684900158417865E-2</v>
      </c>
      <c r="Y88" s="89">
        <f t="shared" si="95"/>
        <v>1.523935167159097E-2</v>
      </c>
    </row>
    <row r="89" spans="1:25" x14ac:dyDescent="0.25">
      <c r="A89" s="68" t="s">
        <v>0</v>
      </c>
      <c r="B89" s="44"/>
      <c r="C89" s="44"/>
      <c r="D89" s="89">
        <f t="shared" si="85"/>
        <v>5.9586182247763717E-3</v>
      </c>
      <c r="E89" s="89">
        <f t="shared" ref="E89:S89" si="96">E61/E$23</f>
        <v>6.404890338967132E-3</v>
      </c>
      <c r="F89" s="89">
        <f t="shared" si="96"/>
        <v>5.7859201335677436E-3</v>
      </c>
      <c r="G89" s="89">
        <f t="shared" si="96"/>
        <v>5.3771044160731436E-3</v>
      </c>
      <c r="H89" s="89">
        <f t="shared" si="96"/>
        <v>5.2503524020963248E-3</v>
      </c>
      <c r="I89" s="89">
        <f t="shared" si="96"/>
        <v>4.9210117514580775E-3</v>
      </c>
      <c r="J89" s="89">
        <f t="shared" si="96"/>
        <v>4.91961605703566E-3</v>
      </c>
      <c r="K89" s="89">
        <f t="shared" si="96"/>
        <v>4.8585351290679661E-3</v>
      </c>
      <c r="L89" s="89">
        <f t="shared" si="96"/>
        <v>4.5850810962441927E-3</v>
      </c>
      <c r="M89" s="89">
        <f t="shared" si="96"/>
        <v>4.1944855334875757E-3</v>
      </c>
      <c r="N89" s="89">
        <f t="shared" si="96"/>
        <v>4.0804994844871479E-3</v>
      </c>
      <c r="O89" s="89">
        <f t="shared" si="96"/>
        <v>3.9929776642833002E-3</v>
      </c>
      <c r="P89" s="89">
        <f t="shared" si="96"/>
        <v>3.5673361446144245E-3</v>
      </c>
      <c r="Q89" s="89">
        <f t="shared" si="96"/>
        <v>3.38033183689613E-3</v>
      </c>
      <c r="R89" s="89">
        <f t="shared" si="96"/>
        <v>3.2850574187729014E-3</v>
      </c>
      <c r="S89" s="89">
        <f t="shared" si="96"/>
        <v>3.1955936934872438E-3</v>
      </c>
      <c r="T89" s="89">
        <f t="shared" ref="T89:Y89" si="97">T61/T$23</f>
        <v>3.1808818996215938E-3</v>
      </c>
      <c r="U89" s="89">
        <f t="shared" si="97"/>
        <v>3.0930241306338095E-3</v>
      </c>
      <c r="V89" s="89">
        <f t="shared" si="97"/>
        <v>3.0730832532595794E-3</v>
      </c>
      <c r="W89" s="89">
        <f t="shared" si="97"/>
        <v>2.8807811496873617E-3</v>
      </c>
      <c r="X89" s="89">
        <f t="shared" si="97"/>
        <v>2.712094160683411E-3</v>
      </c>
      <c r="Y89" s="89">
        <f t="shared" si="97"/>
        <v>3.073009474511959E-3</v>
      </c>
    </row>
    <row r="90" spans="1:25" x14ac:dyDescent="0.25">
      <c r="A90" s="90" t="s">
        <v>278</v>
      </c>
      <c r="B90" s="47"/>
      <c r="C90" s="47"/>
      <c r="D90" s="91">
        <f t="shared" si="85"/>
        <v>2.0403145868523868E-2</v>
      </c>
      <c r="E90" s="91">
        <f t="shared" ref="E90:S90" si="98">E62/E$23</f>
        <v>1.9616040061360633E-2</v>
      </c>
      <c r="F90" s="91">
        <f t="shared" si="98"/>
        <v>1.9908076883929756E-2</v>
      </c>
      <c r="G90" s="91">
        <f t="shared" si="98"/>
        <v>1.8049856113248729E-2</v>
      </c>
      <c r="H90" s="91">
        <f t="shared" si="98"/>
        <v>1.7603238359664593E-2</v>
      </c>
      <c r="I90" s="91">
        <f t="shared" si="98"/>
        <v>1.7375683759658329E-2</v>
      </c>
      <c r="J90" s="91">
        <f t="shared" si="98"/>
        <v>1.7440157885452827E-2</v>
      </c>
      <c r="K90" s="91">
        <f t="shared" si="98"/>
        <v>1.7413676933315528E-2</v>
      </c>
      <c r="L90" s="91">
        <f t="shared" si="98"/>
        <v>1.6466123240622191E-2</v>
      </c>
      <c r="M90" s="91">
        <f t="shared" si="98"/>
        <v>1.5345047271637248E-2</v>
      </c>
      <c r="N90" s="91">
        <f t="shared" si="98"/>
        <v>1.5625310466787504E-2</v>
      </c>
      <c r="O90" s="91">
        <f t="shared" si="98"/>
        <v>1.5439252528302864E-2</v>
      </c>
      <c r="P90" s="91">
        <f t="shared" si="98"/>
        <v>1.5349860875124922E-2</v>
      </c>
      <c r="Q90" s="91">
        <f t="shared" si="98"/>
        <v>1.5584896407841109E-2</v>
      </c>
      <c r="R90" s="91">
        <f t="shared" si="98"/>
        <v>1.6107938460343658E-2</v>
      </c>
      <c r="S90" s="91">
        <f t="shared" si="98"/>
        <v>1.6678483033824829E-2</v>
      </c>
      <c r="T90" s="91">
        <f t="shared" ref="T90:Y90" si="99">T62/T$23</f>
        <v>1.7224977537406247E-2</v>
      </c>
      <c r="U90" s="91">
        <f t="shared" si="99"/>
        <v>1.731754572711006E-2</v>
      </c>
      <c r="V90" s="91">
        <f t="shared" si="99"/>
        <v>1.7545808750785274E-2</v>
      </c>
      <c r="W90" s="91">
        <f t="shared" si="99"/>
        <v>1.7208416324385141E-2</v>
      </c>
      <c r="X90" s="91">
        <f t="shared" si="99"/>
        <v>1.7153019095314748E-2</v>
      </c>
      <c r="Y90" s="91">
        <f t="shared" si="99"/>
        <v>1.8038982157989967E-2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1.9505759704959935E-2</v>
      </c>
      <c r="F93" s="92">
        <f t="shared" ref="F93:F94" si="101">IF(E16=0,"",F16/E16-1)</f>
        <v>2.5484603891148261E-3</v>
      </c>
      <c r="G93" s="92">
        <f t="shared" ref="G93:G94" si="102">IF(F16=0,"",G16/F16-1)</f>
        <v>1.3815876846694497E-3</v>
      </c>
      <c r="H93" s="92">
        <f t="shared" ref="H93:H94" si="103">IF(G16=0,"",H16/G16-1)</f>
        <v>1.4241636684819037E-2</v>
      </c>
      <c r="I93" s="92">
        <f t="shared" ref="I93:I94" si="104">IF(H16=0,"",I16/H16-1)</f>
        <v>8.1685954234680391E-3</v>
      </c>
      <c r="J93" s="92">
        <f t="shared" ref="J93:J94" si="105">IF(I16=0,"",J16/I16-1)</f>
        <v>1.7911985042321055E-2</v>
      </c>
      <c r="K93" s="92">
        <f t="shared" ref="K93:K94" si="106">IF(J16=0,"",K16/J16-1)</f>
        <v>1.4872543453752662E-2</v>
      </c>
      <c r="L93" s="92">
        <f t="shared" ref="L93:L94" si="107">IF(K16=0,"",L16/K16-1)</f>
        <v>-9.6236459252105888E-3</v>
      </c>
      <c r="M93" s="92">
        <f t="shared" ref="M93:M94" si="108">IF(L16=0,"",M16/L16-1)</f>
        <v>-5.2803846149094835E-2</v>
      </c>
      <c r="N93" s="92">
        <f t="shared" ref="N93:N94" si="109">IF(M16=0,"",N16/M16-1)</f>
        <v>1.7129946846630384E-2</v>
      </c>
      <c r="O93" s="92">
        <f t="shared" ref="O93:O94" si="110">IF(N16=0,"",O16/N16-1)</f>
        <v>7.0728250948692839E-3</v>
      </c>
      <c r="P93" s="92">
        <f t="shared" ref="P93:P94" si="111">IF(O16=0,"",P16/O16-1)</f>
        <v>-2.9808867496191493E-2</v>
      </c>
      <c r="Q93" s="92">
        <f t="shared" ref="Q93:Q94" si="112">IF(P16=0,"",Q16/P16-1)</f>
        <v>-1.8411261609969087E-2</v>
      </c>
      <c r="R93" s="92">
        <f t="shared" ref="R93:R94" si="113">IF(Q16=0,"",R16/Q16-1)</f>
        <v>-4.9307914713581091E-5</v>
      </c>
      <c r="S93" s="92">
        <f t="shared" ref="S93:S94" si="114">IF(R16=0,"",S16/R16-1)</f>
        <v>7.785688675275404E-3</v>
      </c>
      <c r="T93" s="92">
        <f t="shared" ref="T93:T94" si="115">IF(S16=0,"",T16/S16-1)</f>
        <v>1.2938133038252086E-2</v>
      </c>
      <c r="U93" s="92">
        <f t="shared" ref="U93:U94" si="116">IF(T16=0,"",U16/T16-1)</f>
        <v>1.6674398235372312E-2</v>
      </c>
      <c r="V93" s="92">
        <f t="shared" ref="V93:V94" si="117">IF(U16=0,"",V16/U16-1)</f>
        <v>9.2590449305052225E-3</v>
      </c>
      <c r="W93" s="92">
        <f t="shared" ref="W93:W94" si="118">IF(V16=0,"",W16/V16-1)</f>
        <v>4.8305731348718961E-3</v>
      </c>
      <c r="X93" s="92">
        <f t="shared" ref="X93:X94" si="119">IF(W16=0,"",X16/W16-1)</f>
        <v>-8.9740866176903133E-2</v>
      </c>
      <c r="Y93" s="92">
        <f t="shared" ref="Y93:Y94" si="120">IF(X16=0,"",Y16/X16-1)</f>
        <v>8.3137207735336505E-2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6.4407877766143873E-3</v>
      </c>
      <c r="F94" s="93">
        <f t="shared" si="101"/>
        <v>-4.1914568912149175E-4</v>
      </c>
      <c r="G94" s="93">
        <f t="shared" si="102"/>
        <v>6.7463138142433987E-3</v>
      </c>
      <c r="H94" s="93">
        <f t="shared" si="103"/>
        <v>9.7163064184104808E-3</v>
      </c>
      <c r="I94" s="93">
        <f t="shared" si="104"/>
        <v>1.3867315320975182E-2</v>
      </c>
      <c r="J94" s="93">
        <f t="shared" si="105"/>
        <v>1.3426073554107854E-2</v>
      </c>
      <c r="K94" s="93">
        <f t="shared" si="106"/>
        <v>1.187457213997245E-2</v>
      </c>
      <c r="L94" s="93">
        <f t="shared" si="107"/>
        <v>-1.1324427042565866E-2</v>
      </c>
      <c r="M94" s="93">
        <f t="shared" si="108"/>
        <v>-1.5012227559348168E-2</v>
      </c>
      <c r="N94" s="93">
        <f t="shared" si="109"/>
        <v>1.0496917920324922E-2</v>
      </c>
      <c r="O94" s="93">
        <f t="shared" si="110"/>
        <v>6.554614606313347E-4</v>
      </c>
      <c r="P94" s="93">
        <f t="shared" si="111"/>
        <v>-3.7149407024623327E-2</v>
      </c>
      <c r="Q94" s="93">
        <f t="shared" si="112"/>
        <v>-2.4443032420316979E-2</v>
      </c>
      <c r="R94" s="93">
        <f t="shared" si="113"/>
        <v>1.7506265726907611E-3</v>
      </c>
      <c r="S94" s="93">
        <f t="shared" si="114"/>
        <v>1.831828537593938E-2</v>
      </c>
      <c r="T94" s="93">
        <f t="shared" si="115"/>
        <v>1.2468527285931064E-2</v>
      </c>
      <c r="U94" s="93">
        <f t="shared" si="116"/>
        <v>1.5385830878380302E-2</v>
      </c>
      <c r="V94" s="93">
        <f t="shared" si="117"/>
        <v>9.3407582471285444E-3</v>
      </c>
      <c r="W94" s="93">
        <f t="shared" si="118"/>
        <v>2.0685448532433703E-3</v>
      </c>
      <c r="X94" s="93">
        <f t="shared" si="119"/>
        <v>-0.10411529152710586</v>
      </c>
      <c r="Y94" s="93">
        <f t="shared" si="120"/>
        <v>5.2679767931485433E-2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1.8840511640966673E-2</v>
      </c>
      <c r="F95" s="92">
        <f t="shared" ref="F95:F96" si="122">IF(E20=0,"",F20/E20-1)</f>
        <v>2.0767195044795184E-3</v>
      </c>
      <c r="G95" s="92">
        <f t="shared" ref="G95:G96" si="123">IF(F20=0,"",G20/F20-1)</f>
        <v>-1.1248939778126799E-3</v>
      </c>
      <c r="H95" s="92">
        <f t="shared" ref="H95:H96" si="124">IF(G20=0,"",H20/G20-1)</f>
        <v>7.7959978028325772E-3</v>
      </c>
      <c r="I95" s="92">
        <f t="shared" ref="I95:I96" si="125">IF(H20=0,"",I20/H20-1)</f>
        <v>1.5690390178975111E-3</v>
      </c>
      <c r="J95" s="92">
        <f t="shared" ref="J95:J96" si="126">IF(I20=0,"",J20/I20-1)</f>
        <v>1.4590582592989731E-2</v>
      </c>
      <c r="K95" s="92">
        <f t="shared" ref="K95:K96" si="127">IF(J20=0,"",K20/J20-1)</f>
        <v>1.2091845997107331E-2</v>
      </c>
      <c r="L95" s="92">
        <f t="shared" ref="L95:L96" si="128">IF(K20=0,"",L20/K20-1)</f>
        <v>-1.6869687917192677E-2</v>
      </c>
      <c r="M95" s="92">
        <f t="shared" ref="M95:M96" si="129">IF(L20=0,"",M20/L20-1)</f>
        <v>-5.8386002940752024E-2</v>
      </c>
      <c r="N95" s="92">
        <f t="shared" ref="N95:N96" si="130">IF(M20=0,"",N20/M20-1)</f>
        <v>1.3872578447733153E-2</v>
      </c>
      <c r="O95" s="92">
        <f t="shared" ref="O95:O96" si="131">IF(N20=0,"",O20/N20-1)</f>
        <v>4.1117797259500044E-3</v>
      </c>
      <c r="P95" s="92">
        <f t="shared" ref="P95:P96" si="132">IF(O20=0,"",P20/O20-1)</f>
        <v>-3.0291021111915617E-2</v>
      </c>
      <c r="Q95" s="92">
        <f t="shared" ref="Q95:Q96" si="133">IF(P20=0,"",Q20/P20-1)</f>
        <v>-2.3197403323835242E-2</v>
      </c>
      <c r="R95" s="92">
        <f t="shared" ref="R95:R96" si="134">IF(Q20=0,"",R20/Q20-1)</f>
        <v>-1.8103581009023428E-2</v>
      </c>
      <c r="S95" s="92">
        <f t="shared" ref="S95:S96" si="135">IF(R20=0,"",S20/R20-1)</f>
        <v>7.5711209207109942E-3</v>
      </c>
      <c r="T95" s="92">
        <f t="shared" ref="T95:T96" si="136">IF(S20=0,"",T20/S20-1)</f>
        <v>1.5109773192333531E-2</v>
      </c>
      <c r="U95" s="92">
        <f t="shared" ref="U95:U96" si="137">IF(T20=0,"",U20/T20-1)</f>
        <v>1.7951436203818893E-2</v>
      </c>
      <c r="V95" s="92">
        <f t="shared" ref="V95:V96" si="138">IF(U20=0,"",V20/U20-1)</f>
        <v>1.1018991652042676E-2</v>
      </c>
      <c r="W95" s="92">
        <f t="shared" ref="W95:W96" si="139">IF(V20=0,"",W20/V20-1)</f>
        <v>1.6040214323924662E-2</v>
      </c>
      <c r="X95" s="92">
        <f t="shared" ref="X95:X96" si="140">IF(W20=0,"",X20/W20-1)</f>
        <v>-8.7067161148638217E-2</v>
      </c>
      <c r="Y95" s="92">
        <f t="shared" ref="Y95:Y96" si="141">IF(X20=0,"",Y20/X20-1)</f>
        <v>9.0547681998181861E-2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5.7840648702269792E-3</v>
      </c>
      <c r="F96" s="93">
        <f t="shared" si="122"/>
        <v>-8.894901912653852E-4</v>
      </c>
      <c r="G96" s="93">
        <f t="shared" si="123"/>
        <v>4.2264041161019783E-3</v>
      </c>
      <c r="H96" s="93">
        <f t="shared" si="124"/>
        <v>3.2994266049377607E-3</v>
      </c>
      <c r="I96" s="93">
        <f t="shared" si="125"/>
        <v>7.2304546157329064E-3</v>
      </c>
      <c r="J96" s="93">
        <f t="shared" si="126"/>
        <v>1.0119308438478747E-2</v>
      </c>
      <c r="K96" s="93">
        <f t="shared" si="127"/>
        <v>9.1020889672397409E-3</v>
      </c>
      <c r="L96" s="93">
        <f t="shared" si="128"/>
        <v>-1.8558025349533769E-2</v>
      </c>
      <c r="M96" s="93">
        <f t="shared" si="129"/>
        <v>-2.0817103520124447E-2</v>
      </c>
      <c r="N96" s="93">
        <f t="shared" si="130"/>
        <v>7.2607918601086396E-3</v>
      </c>
      <c r="O96" s="93">
        <f t="shared" si="131"/>
        <v>-2.2867152580807737E-3</v>
      </c>
      <c r="P96" s="93">
        <f t="shared" si="132"/>
        <v>-3.7627912629603411E-2</v>
      </c>
      <c r="Q96" s="93">
        <f t="shared" si="133"/>
        <v>-2.9199763741872387E-2</v>
      </c>
      <c r="R96" s="93">
        <f t="shared" si="134"/>
        <v>-1.6336144632820737E-2</v>
      </c>
      <c r="S96" s="93">
        <f t="shared" si="135"/>
        <v>1.8101475125128719E-2</v>
      </c>
      <c r="T96" s="93">
        <f t="shared" si="136"/>
        <v>1.4639160651270799E-2</v>
      </c>
      <c r="U96" s="93">
        <f t="shared" si="137"/>
        <v>1.6661250285916251E-2</v>
      </c>
      <c r="V96" s="93">
        <f t="shared" si="138"/>
        <v>1.1100847460412178E-2</v>
      </c>
      <c r="W96" s="93">
        <f t="shared" si="139"/>
        <v>1.324737353835892E-2</v>
      </c>
      <c r="X96" s="93">
        <f t="shared" si="140"/>
        <v>-0.1014838085122316</v>
      </c>
      <c r="Y96" s="93">
        <f t="shared" si="141"/>
        <v>5.9881862247481488E-2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1.8503588963919348E-2</v>
      </c>
      <c r="F97" s="89">
        <f t="shared" ref="F97:F106" si="143">IF(E23=0,"",F23/E23-1)</f>
        <v>3.6527980283063144E-3</v>
      </c>
      <c r="G97" s="89">
        <f t="shared" ref="G97:G106" si="144">IF(F23=0,"",G23/F23-1)</f>
        <v>6.9706077811160227E-4</v>
      </c>
      <c r="H97" s="89">
        <f t="shared" ref="H97:H106" si="145">IF(G23=0,"",H23/G23-1)</f>
        <v>1.5835592705585544E-2</v>
      </c>
      <c r="I97" s="89">
        <f t="shared" ref="I97:I106" si="146">IF(H23=0,"",I23/H23-1)</f>
        <v>8.1362203729742344E-3</v>
      </c>
      <c r="J97" s="89">
        <f t="shared" ref="J97:J106" si="147">IF(I23=0,"",J23/I23-1)</f>
        <v>1.9065749839998203E-2</v>
      </c>
      <c r="K97" s="89">
        <f t="shared" ref="K97:K106" si="148">IF(J23=0,"",K23/J23-1)</f>
        <v>1.5641570382256775E-2</v>
      </c>
      <c r="L97" s="89">
        <f t="shared" ref="L97:L106" si="149">IF(K23=0,"",L23/K23-1)</f>
        <v>-7.0125417320090477E-3</v>
      </c>
      <c r="M97" s="89">
        <f t="shared" ref="M97:M106" si="150">IF(L23=0,"",M23/L23-1)</f>
        <v>-5.4462033112719355E-2</v>
      </c>
      <c r="N97" s="89">
        <f t="shared" ref="N97:N106" si="151">IF(M23=0,"",N23/M23-1)</f>
        <v>1.8275724362498913E-2</v>
      </c>
      <c r="O97" s="89">
        <f t="shared" ref="O97:O106" si="152">IF(N23=0,"",O23/N23-1)</f>
        <v>7.2966276066901425E-3</v>
      </c>
      <c r="P97" s="89">
        <f t="shared" ref="P97:P106" si="153">IF(O23=0,"",P23/O23-1)</f>
        <v>-2.6750094795881307E-2</v>
      </c>
      <c r="Q97" s="89">
        <f t="shared" ref="Q97:Q106" si="154">IF(P23=0,"",Q23/P23-1)</f>
        <v>-1.5617148785719848E-2</v>
      </c>
      <c r="R97" s="89">
        <f t="shared" ref="R97:R106" si="155">IF(Q23=0,"",R23/Q23-1)</f>
        <v>5.4137414356048019E-4</v>
      </c>
      <c r="S97" s="89">
        <f t="shared" ref="S97:S106" si="156">IF(R23=0,"",S23/R23-1)</f>
        <v>8.7030818298696744E-3</v>
      </c>
      <c r="T97" s="89">
        <f t="shared" ref="T97:T106" si="157">IF(S23=0,"",T23/S23-1)</f>
        <v>1.3581828896373604E-2</v>
      </c>
      <c r="U97" s="89">
        <f t="shared" ref="U97:U106" si="158">IF(T23=0,"",U23/T23-1)</f>
        <v>1.6038132882883138E-2</v>
      </c>
      <c r="V97" s="89">
        <f t="shared" ref="V97:V106" si="159">IF(U23=0,"",V23/U23-1)</f>
        <v>9.3299605666994356E-3</v>
      </c>
      <c r="W97" s="89">
        <f t="shared" ref="W97:W106" si="160">IF(V23=0,"",W23/V23-1)</f>
        <v>4.8896213437281677E-3</v>
      </c>
      <c r="X97" s="89">
        <f t="shared" ref="X97:X106" si="161">IF(W23=0,"",X23/W23-1)</f>
        <v>-8.3811871018456663E-2</v>
      </c>
      <c r="Y97" s="89">
        <f t="shared" ref="Y97:Y106" si="162">IF(X23=0,"",Y23/X23-1)</f>
        <v>8.0702054870538609E-2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-1.670093427567132E-2</v>
      </c>
      <c r="F98" s="83">
        <f t="shared" si="143"/>
        <v>-4.4214631752636624E-2</v>
      </c>
      <c r="G98" s="83">
        <f t="shared" si="144"/>
        <v>-8.2165426485940607E-3</v>
      </c>
      <c r="H98" s="83">
        <f t="shared" si="145"/>
        <v>1.3679995989418714E-2</v>
      </c>
      <c r="I98" s="83">
        <f t="shared" si="146"/>
        <v>-0.12554672894520125</v>
      </c>
      <c r="J98" s="83">
        <f t="shared" si="147"/>
        <v>-1.9205680933243263E-2</v>
      </c>
      <c r="K98" s="83">
        <f t="shared" si="148"/>
        <v>-1.2163636488740304E-2</v>
      </c>
      <c r="L98" s="83">
        <f t="shared" si="149"/>
        <v>-2.3028356155869623E-2</v>
      </c>
      <c r="M98" s="83">
        <f t="shared" si="150"/>
        <v>-9.2257601633378372E-2</v>
      </c>
      <c r="N98" s="83">
        <f t="shared" si="151"/>
        <v>7.37434745912946E-3</v>
      </c>
      <c r="O98" s="83">
        <f t="shared" si="152"/>
        <v>7.0153995704992145E-2</v>
      </c>
      <c r="P98" s="83">
        <f t="shared" si="153"/>
        <v>1.904273281908786E-2</v>
      </c>
      <c r="Q98" s="83">
        <f t="shared" si="154"/>
        <v>6.83159528231716E-2</v>
      </c>
      <c r="R98" s="83">
        <f t="shared" si="155"/>
        <v>-6.6665583824977337E-2</v>
      </c>
      <c r="S98" s="83">
        <f t="shared" si="156"/>
        <v>4.2592411413175491E-2</v>
      </c>
      <c r="T98" s="83">
        <f t="shared" si="157"/>
        <v>-5.2568704532112265E-2</v>
      </c>
      <c r="U98" s="83">
        <f t="shared" si="158"/>
        <v>4.0453021599922812E-2</v>
      </c>
      <c r="V98" s="83">
        <f t="shared" si="159"/>
        <v>-4.9737200049650987E-3</v>
      </c>
      <c r="W98" s="83">
        <f t="shared" si="160"/>
        <v>-1.4269666365880007E-2</v>
      </c>
      <c r="X98" s="83">
        <f t="shared" si="161"/>
        <v>-4.3651731862412446E-2</v>
      </c>
      <c r="Y98" s="83">
        <f t="shared" si="162"/>
        <v>2.9649672749962885E-2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-0.10406911456588341</v>
      </c>
      <c r="F99" s="83">
        <f t="shared" si="143"/>
        <v>4.4022918450674853E-2</v>
      </c>
      <c r="G99" s="83">
        <f t="shared" si="144"/>
        <v>-0.15317842338588561</v>
      </c>
      <c r="H99" s="83">
        <f t="shared" si="145"/>
        <v>-3.0845712000027836E-2</v>
      </c>
      <c r="I99" s="83">
        <f t="shared" si="146"/>
        <v>2.16825362583426E-2</v>
      </c>
      <c r="J99" s="83">
        <f t="shared" si="147"/>
        <v>8.1885148798266361E-3</v>
      </c>
      <c r="K99" s="83">
        <f t="shared" si="148"/>
        <v>-4.7954468505654324E-2</v>
      </c>
      <c r="L99" s="83">
        <f t="shared" si="149"/>
        <v>6.6920931873614808E-2</v>
      </c>
      <c r="M99" s="83">
        <f t="shared" si="150"/>
        <v>-0.28656322133470391</v>
      </c>
      <c r="N99" s="83">
        <f t="shared" si="151"/>
        <v>5.2643928877962987E-2</v>
      </c>
      <c r="O99" s="83">
        <f t="shared" si="152"/>
        <v>0.17126746218417854</v>
      </c>
      <c r="P99" s="83">
        <f t="shared" si="153"/>
        <v>0.24045744590153539</v>
      </c>
      <c r="Q99" s="83">
        <f t="shared" si="154"/>
        <v>-4.1618469462113228E-2</v>
      </c>
      <c r="R99" s="83">
        <f t="shared" si="155"/>
        <v>-0.14921631607514663</v>
      </c>
      <c r="S99" s="83">
        <f t="shared" si="156"/>
        <v>-0.22512899260265151</v>
      </c>
      <c r="T99" s="83">
        <f t="shared" si="157"/>
        <v>-0.1731418268174687</v>
      </c>
      <c r="U99" s="83">
        <f t="shared" si="158"/>
        <v>0.12971104342113304</v>
      </c>
      <c r="V99" s="83">
        <f t="shared" si="159"/>
        <v>0.10831053971535853</v>
      </c>
      <c r="W99" s="83">
        <f t="shared" si="160"/>
        <v>-0.17375739383746835</v>
      </c>
      <c r="X99" s="83">
        <f t="shared" si="161"/>
        <v>-0.27410607214513227</v>
      </c>
      <c r="Y99" s="83">
        <f t="shared" si="162"/>
        <v>0.920883093857781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2.4471564795917722E-2</v>
      </c>
      <c r="F100" s="83">
        <f t="shared" si="143"/>
        <v>7.3092029779697754E-3</v>
      </c>
      <c r="G100" s="83">
        <f t="shared" si="144"/>
        <v>1.0506451256250937E-2</v>
      </c>
      <c r="H100" s="83">
        <f t="shared" si="145"/>
        <v>1.6410095500061672E-2</v>
      </c>
      <c r="I100" s="83">
        <f t="shared" si="146"/>
        <v>1.5418622028217754E-2</v>
      </c>
      <c r="J100" s="83">
        <f t="shared" si="147"/>
        <v>1.6739454945933874E-2</v>
      </c>
      <c r="K100" s="83">
        <f t="shared" si="148"/>
        <v>1.1683068145808218E-2</v>
      </c>
      <c r="L100" s="83">
        <f t="shared" si="149"/>
        <v>-2.0334381655324751E-3</v>
      </c>
      <c r="M100" s="83">
        <f t="shared" si="150"/>
        <v>-2.7736877167873208E-2</v>
      </c>
      <c r="N100" s="83">
        <f t="shared" si="151"/>
        <v>1.7936876182317762E-2</v>
      </c>
      <c r="O100" s="83">
        <f t="shared" si="152"/>
        <v>7.1469906879528811E-3</v>
      </c>
      <c r="P100" s="83">
        <f t="shared" si="153"/>
        <v>-2.1786891429911304E-2</v>
      </c>
      <c r="Q100" s="83">
        <f t="shared" si="154"/>
        <v>-1.4306506942546982E-2</v>
      </c>
      <c r="R100" s="83">
        <f t="shared" si="155"/>
        <v>8.2081037985606287E-3</v>
      </c>
      <c r="S100" s="83">
        <f t="shared" si="156"/>
        <v>6.8926445223682631E-3</v>
      </c>
      <c r="T100" s="83">
        <f t="shared" si="157"/>
        <v>1.0794812187396197E-2</v>
      </c>
      <c r="U100" s="83">
        <f t="shared" si="158"/>
        <v>1.3584633210372621E-2</v>
      </c>
      <c r="V100" s="83">
        <f t="shared" si="159"/>
        <v>7.6403338877042426E-3</v>
      </c>
      <c r="W100" s="83">
        <f t="shared" si="160"/>
        <v>4.6051314728958737E-3</v>
      </c>
      <c r="X100" s="83">
        <f t="shared" si="161"/>
        <v>-8.2332266276202271E-2</v>
      </c>
      <c r="Y100" s="83">
        <f t="shared" si="162"/>
        <v>5.4323319723293295E-2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2.377955739013049E-2</v>
      </c>
      <c r="F101" s="84">
        <f t="shared" si="143"/>
        <v>7.4007370583308862E-3</v>
      </c>
      <c r="G101" s="84">
        <f t="shared" si="144"/>
        <v>6.9091653718760249E-3</v>
      </c>
      <c r="H101" s="84">
        <f t="shared" si="145"/>
        <v>1.9267661028997907E-2</v>
      </c>
      <c r="I101" s="84">
        <f t="shared" si="146"/>
        <v>1.8036110639752634E-2</v>
      </c>
      <c r="J101" s="84">
        <f t="shared" si="147"/>
        <v>2.1317914395734938E-2</v>
      </c>
      <c r="K101" s="84">
        <f t="shared" si="148"/>
        <v>5.9389350722509615E-3</v>
      </c>
      <c r="L101" s="84">
        <f t="shared" si="149"/>
        <v>2.1893220330302388E-3</v>
      </c>
      <c r="M101" s="84">
        <f t="shared" si="150"/>
        <v>-8.1041243731211354E-3</v>
      </c>
      <c r="N101" s="84">
        <f t="shared" si="151"/>
        <v>1.5981730952224771E-2</v>
      </c>
      <c r="O101" s="84">
        <f t="shared" si="152"/>
        <v>-3.3486116586944892E-3</v>
      </c>
      <c r="P101" s="84">
        <f t="shared" si="153"/>
        <v>-2.679891756381747E-2</v>
      </c>
      <c r="Q101" s="84">
        <f t="shared" si="154"/>
        <v>-1.5873179412316141E-2</v>
      </c>
      <c r="R101" s="84">
        <f t="shared" si="155"/>
        <v>5.1341135101254931E-3</v>
      </c>
      <c r="S101" s="84">
        <f t="shared" si="156"/>
        <v>-4.5174634545191994E-3</v>
      </c>
      <c r="T101" s="84">
        <f t="shared" si="157"/>
        <v>1.3167352362842388E-2</v>
      </c>
      <c r="U101" s="84">
        <f t="shared" si="158"/>
        <v>1.3676770315378839E-2</v>
      </c>
      <c r="V101" s="84">
        <f t="shared" si="159"/>
        <v>7.5899333094080479E-3</v>
      </c>
      <c r="W101" s="84">
        <f t="shared" si="160"/>
        <v>-1.5569323850183059E-3</v>
      </c>
      <c r="X101" s="84">
        <f t="shared" si="161"/>
        <v>-0.12131590686792615</v>
      </c>
      <c r="Y101" s="84">
        <f t="shared" si="162"/>
        <v>6.7547562939199945E-2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3.0780800448692247E-2</v>
      </c>
      <c r="F102" s="84">
        <f t="shared" si="143"/>
        <v>2.1818296965116613E-2</v>
      </c>
      <c r="G102" s="84">
        <f t="shared" si="144"/>
        <v>2.7771355436026157E-2</v>
      </c>
      <c r="H102" s="84">
        <f t="shared" si="145"/>
        <v>1.6552113980272676E-2</v>
      </c>
      <c r="I102" s="84">
        <f t="shared" si="146"/>
        <v>1.9058156340167498E-2</v>
      </c>
      <c r="J102" s="84">
        <f t="shared" si="147"/>
        <v>1.8221566065879546E-2</v>
      </c>
      <c r="K102" s="84">
        <f t="shared" si="148"/>
        <v>2.0320358133856464E-2</v>
      </c>
      <c r="L102" s="84">
        <f t="shared" si="149"/>
        <v>-2.0997443092353185E-3</v>
      </c>
      <c r="M102" s="84">
        <f t="shared" si="150"/>
        <v>-2.8172442176467194E-2</v>
      </c>
      <c r="N102" s="84">
        <f t="shared" si="151"/>
        <v>1.7487778652202746E-2</v>
      </c>
      <c r="O102" s="84">
        <f t="shared" si="152"/>
        <v>1.1210285583657331E-2</v>
      </c>
      <c r="P102" s="84">
        <f t="shared" si="153"/>
        <v>-1.505588162859739E-2</v>
      </c>
      <c r="Q102" s="84">
        <f t="shared" si="154"/>
        <v>-1.0734495387568876E-2</v>
      </c>
      <c r="R102" s="84">
        <f t="shared" si="155"/>
        <v>8.9216382328480837E-3</v>
      </c>
      <c r="S102" s="84">
        <f t="shared" si="156"/>
        <v>7.8676009870086716E-3</v>
      </c>
      <c r="T102" s="84">
        <f t="shared" si="157"/>
        <v>1.2347456391146316E-3</v>
      </c>
      <c r="U102" s="84">
        <f t="shared" si="158"/>
        <v>7.4953801529489272E-3</v>
      </c>
      <c r="V102" s="84">
        <f t="shared" si="159"/>
        <v>8.5282476823103082E-3</v>
      </c>
      <c r="W102" s="84">
        <f t="shared" si="160"/>
        <v>-3.0657175511030754E-3</v>
      </c>
      <c r="X102" s="84">
        <f t="shared" si="161"/>
        <v>-3.7992474315136859E-2</v>
      </c>
      <c r="Y102" s="84">
        <f t="shared" si="162"/>
        <v>2.1857415553194537E-2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1.1821417692375658E-2</v>
      </c>
      <c r="F103" s="84">
        <f t="shared" si="143"/>
        <v>-2.5444099801110065E-2</v>
      </c>
      <c r="G103" s="84">
        <f t="shared" si="144"/>
        <v>-2.3304499298612891E-2</v>
      </c>
      <c r="H103" s="84">
        <f t="shared" si="145"/>
        <v>1.0453893579385642E-2</v>
      </c>
      <c r="I103" s="84">
        <f t="shared" si="146"/>
        <v>1.1676463057046504E-3</v>
      </c>
      <c r="J103" s="84">
        <f t="shared" si="147"/>
        <v>3.7685078689515539E-3</v>
      </c>
      <c r="K103" s="84">
        <f t="shared" si="148"/>
        <v>1.2086732950036261E-3</v>
      </c>
      <c r="L103" s="84">
        <f t="shared" si="149"/>
        <v>-1.054359657164039E-2</v>
      </c>
      <c r="M103" s="84">
        <f t="shared" si="150"/>
        <v>-6.7478830623287078E-2</v>
      </c>
      <c r="N103" s="84">
        <f t="shared" si="151"/>
        <v>2.3506795517405088E-2</v>
      </c>
      <c r="O103" s="84">
        <f t="shared" si="152"/>
        <v>1.9093535406766726E-2</v>
      </c>
      <c r="P103" s="84">
        <f t="shared" si="153"/>
        <v>-2.9311845493308897E-2</v>
      </c>
      <c r="Q103" s="84">
        <f t="shared" si="154"/>
        <v>-2.0784917704096628E-2</v>
      </c>
      <c r="R103" s="84">
        <f t="shared" si="155"/>
        <v>1.2881017239902093E-2</v>
      </c>
      <c r="S103" s="84">
        <f t="shared" si="156"/>
        <v>2.8724679805131048E-2</v>
      </c>
      <c r="T103" s="84">
        <f t="shared" si="157"/>
        <v>3.1866129282343003E-2</v>
      </c>
      <c r="U103" s="84">
        <f t="shared" si="158"/>
        <v>2.9470913707715818E-2</v>
      </c>
      <c r="V103" s="84">
        <f t="shared" si="159"/>
        <v>5.44784351521721E-3</v>
      </c>
      <c r="W103" s="84">
        <f t="shared" si="160"/>
        <v>3.6908442873188063E-2</v>
      </c>
      <c r="X103" s="84">
        <f t="shared" si="161"/>
        <v>-0.1171138387182119</v>
      </c>
      <c r="Y103" s="84">
        <f t="shared" si="162"/>
        <v>0.11690673382655259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5.5398448675495926E-2</v>
      </c>
      <c r="F104" s="83">
        <f t="shared" si="143"/>
        <v>-2.2534185734064516E-2</v>
      </c>
      <c r="G104" s="83">
        <f t="shared" si="144"/>
        <v>-8.2798771359690049E-3</v>
      </c>
      <c r="H104" s="83">
        <f t="shared" si="145"/>
        <v>3.1021574834272592E-2</v>
      </c>
      <c r="I104" s="83">
        <f t="shared" si="146"/>
        <v>4.8695261404877233E-2</v>
      </c>
      <c r="J104" s="83">
        <f t="shared" si="147"/>
        <v>4.1964238330955084E-2</v>
      </c>
      <c r="K104" s="83">
        <f t="shared" si="148"/>
        <v>3.6004415792148858E-2</v>
      </c>
      <c r="L104" s="83">
        <f t="shared" si="149"/>
        <v>9.1248143159761597E-2</v>
      </c>
      <c r="M104" s="83">
        <f t="shared" si="150"/>
        <v>-8.7144581393791554E-2</v>
      </c>
      <c r="N104" s="83">
        <f t="shared" si="151"/>
        <v>-8.3805872573603279E-2</v>
      </c>
      <c r="O104" s="83">
        <f t="shared" si="152"/>
        <v>-4.2805813470813914E-2</v>
      </c>
      <c r="P104" s="83">
        <f t="shared" si="153"/>
        <v>4.5533596102050877E-2</v>
      </c>
      <c r="Q104" s="83">
        <f t="shared" si="154"/>
        <v>-1.1221332786571225E-2</v>
      </c>
      <c r="R104" s="83">
        <f t="shared" si="155"/>
        <v>-9.8476376917380537E-2</v>
      </c>
      <c r="S104" s="83">
        <f t="shared" si="156"/>
        <v>1.9711850956254162E-2</v>
      </c>
      <c r="T104" s="83">
        <f t="shared" si="157"/>
        <v>1.891776610694329E-2</v>
      </c>
      <c r="U104" s="83">
        <f t="shared" si="158"/>
        <v>2.7107095691901284E-2</v>
      </c>
      <c r="V104" s="83">
        <f t="shared" si="159"/>
        <v>-3.3368757186562625E-3</v>
      </c>
      <c r="W104" s="83">
        <f t="shared" si="160"/>
        <v>0.11303735425242678</v>
      </c>
      <c r="X104" s="83">
        <f t="shared" si="161"/>
        <v>-7.191825355652981E-2</v>
      </c>
      <c r="Y104" s="83">
        <f t="shared" si="162"/>
        <v>0.11397288584148879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6.701251185885515E-2</v>
      </c>
      <c r="F105" s="83">
        <f t="shared" si="143"/>
        <v>4.3014132440897246E-2</v>
      </c>
      <c r="G105" s="83">
        <f t="shared" si="144"/>
        <v>4.2867650615812547E-2</v>
      </c>
      <c r="H105" s="83">
        <f t="shared" si="145"/>
        <v>5.5586680249232634E-2</v>
      </c>
      <c r="I105" s="83">
        <f t="shared" si="146"/>
        <v>4.1277843133036729E-2</v>
      </c>
      <c r="J105" s="83">
        <f t="shared" si="147"/>
        <v>3.1272535646421185E-2</v>
      </c>
      <c r="K105" s="83">
        <f t="shared" si="148"/>
        <v>2.0353192248435903E-2</v>
      </c>
      <c r="L105" s="83">
        <f t="shared" si="149"/>
        <v>2.3226166647178914E-3</v>
      </c>
      <c r="M105" s="83">
        <f t="shared" si="150"/>
        <v>-6.5161126961035709E-2</v>
      </c>
      <c r="N105" s="83">
        <f t="shared" si="151"/>
        <v>-4.5184240802306874E-2</v>
      </c>
      <c r="O105" s="83">
        <f t="shared" si="152"/>
        <v>-1.1912080359636201E-3</v>
      </c>
      <c r="P105" s="83">
        <f t="shared" si="153"/>
        <v>-8.4539598995400089E-2</v>
      </c>
      <c r="Q105" s="83">
        <f t="shared" si="154"/>
        <v>-7.8012169627525108E-2</v>
      </c>
      <c r="R105" s="83">
        <f t="shared" si="155"/>
        <v>-8.6202542894887935E-2</v>
      </c>
      <c r="S105" s="83">
        <f t="shared" si="156"/>
        <v>-2.4142795365348801E-2</v>
      </c>
      <c r="T105" s="83">
        <f t="shared" si="157"/>
        <v>2.7968338010391225E-3</v>
      </c>
      <c r="U105" s="83">
        <f t="shared" si="158"/>
        <v>3.1834725124832985E-3</v>
      </c>
      <c r="V105" s="83">
        <f t="shared" si="159"/>
        <v>2.8055950876100244E-3</v>
      </c>
      <c r="W105" s="83">
        <f t="shared" si="160"/>
        <v>2.7503999836358206E-2</v>
      </c>
      <c r="X105" s="83">
        <f t="shared" si="161"/>
        <v>-6.1780031668014046E-2</v>
      </c>
      <c r="Y105" s="83">
        <f t="shared" si="162"/>
        <v>0.27570753542245585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-1.1313940656871635E-2</v>
      </c>
      <c r="F106" s="83">
        <f t="shared" si="143"/>
        <v>-1.2894403890278849E-2</v>
      </c>
      <c r="G106" s="83">
        <f t="shared" si="144"/>
        <v>-4.4733649685817167E-2</v>
      </c>
      <c r="H106" s="83">
        <f t="shared" si="145"/>
        <v>4.7859359854673933E-4</v>
      </c>
      <c r="I106" s="83">
        <f t="shared" si="146"/>
        <v>-1.8532030655713849E-2</v>
      </c>
      <c r="J106" s="83">
        <f t="shared" si="147"/>
        <v>2.7985673386458965E-2</v>
      </c>
      <c r="K106" s="83">
        <f t="shared" si="148"/>
        <v>3.4255285317382089E-2</v>
      </c>
      <c r="L106" s="83">
        <f t="shared" si="149"/>
        <v>-4.2798465890692694E-2</v>
      </c>
      <c r="M106" s="83">
        <f t="shared" si="150"/>
        <v>-0.15597578164606074</v>
      </c>
      <c r="N106" s="83">
        <f t="shared" si="151"/>
        <v>6.1602794625033486E-2</v>
      </c>
      <c r="O106" s="83">
        <f t="shared" si="152"/>
        <v>5.7441768654542535E-3</v>
      </c>
      <c r="P106" s="83">
        <f t="shared" si="153"/>
        <v>-5.1320651660898609E-2</v>
      </c>
      <c r="Q106" s="83">
        <f t="shared" si="154"/>
        <v>-1.2358814051422917E-2</v>
      </c>
      <c r="R106" s="83">
        <f t="shared" si="155"/>
        <v>1.8319911413743117E-2</v>
      </c>
      <c r="S106" s="83">
        <f t="shared" si="156"/>
        <v>2.7402792127405817E-2</v>
      </c>
      <c r="T106" s="83">
        <f t="shared" si="157"/>
        <v>4.3436077894047243E-2</v>
      </c>
      <c r="U106" s="83">
        <f t="shared" si="158"/>
        <v>2.5084540882382989E-2</v>
      </c>
      <c r="V106" s="83">
        <f t="shared" si="159"/>
        <v>2.0844446116876636E-2</v>
      </c>
      <c r="W106" s="83">
        <f t="shared" si="160"/>
        <v>-5.5490304308514204E-3</v>
      </c>
      <c r="X106" s="83">
        <f t="shared" si="161"/>
        <v>-0.10074589469500295</v>
      </c>
      <c r="Y106" s="83">
        <f t="shared" si="162"/>
        <v>0.14626635289224232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-9.9892860123010241E-2</v>
      </c>
      <c r="F107" s="87">
        <f t="shared" ref="F107:F108" si="164">IF(E33=0,"",F33/E33-1)</f>
        <v>-7.9885683933904272E-2</v>
      </c>
      <c r="G107" s="87">
        <f t="shared" ref="G107:G108" si="165">IF(F33=0,"",G33/F33-1)</f>
        <v>8.599657705226349E-2</v>
      </c>
      <c r="H107" s="87">
        <f t="shared" ref="H107:H108" si="166">IF(G33=0,"",H33/G33-1)</f>
        <v>3.772357290371442E-2</v>
      </c>
      <c r="I107" s="87">
        <f t="shared" ref="I107:I108" si="167">IF(H33=0,"",I33/H33-1)</f>
        <v>4.8158173528130233E-2</v>
      </c>
      <c r="J107" s="87">
        <f t="shared" ref="J107:J108" si="168">IF(I33=0,"",J33/I33-1)</f>
        <v>6.5573935003800488E-2</v>
      </c>
      <c r="K107" s="87">
        <f t="shared" ref="K107:K108" si="169">IF(J33=0,"",K33/J33-1)</f>
        <v>0.12326508417845461</v>
      </c>
      <c r="L107" s="87">
        <f t="shared" ref="L107:L108" si="170">IF(K33=0,"",L33/K33-1)</f>
        <v>-9.9466799258341676E-2</v>
      </c>
      <c r="M107" s="87">
        <f t="shared" ref="M107:M108" si="171">IF(L33=0,"",M33/L33-1)</f>
        <v>-0.43739751503100699</v>
      </c>
      <c r="N107" s="87">
        <f t="shared" ref="N107:N108" si="172">IF(M33=0,"",N33/M33-1)</f>
        <v>0.33575297285449213</v>
      </c>
      <c r="O107" s="87">
        <f t="shared" ref="O107:O108" si="173">IF(N33=0,"",O33/N33-1)</f>
        <v>8.2186488068285879E-2</v>
      </c>
      <c r="P107" s="87">
        <f t="shared" ref="P107:P108" si="174">IF(O33=0,"",P33/O33-1)</f>
        <v>-0.13424265615664444</v>
      </c>
      <c r="Q107" s="87">
        <f t="shared" ref="Q107:Q108" si="175">IF(P33=0,"",Q33/P33-1)</f>
        <v>-6.9876501552244563E-2</v>
      </c>
      <c r="R107" s="87">
        <f t="shared" ref="R107:R108" si="176">IF(Q33=0,"",R33/Q33-1)</f>
        <v>8.1971430482764562E-2</v>
      </c>
      <c r="S107" s="87">
        <f t="shared" ref="S107:S108" si="177">IF(R33=0,"",S33/R33-1)</f>
        <v>-1.5918384884172299E-2</v>
      </c>
      <c r="T107" s="87">
        <f t="shared" ref="T107:T108" si="178">IF(S33=0,"",T33/S33-1)</f>
        <v>8.8576439502547677E-2</v>
      </c>
      <c r="U107" s="87">
        <f t="shared" ref="U107:U108" si="179">IF(T33=0,"",U33/T33-1)</f>
        <v>0.10502378739835683</v>
      </c>
      <c r="V107" s="87">
        <f t="shared" ref="V107:V108" si="180">IF(U33=0,"",V33/U33-1)</f>
        <v>-1.4405473975722671E-3</v>
      </c>
      <c r="W107" s="87">
        <f t="shared" ref="W107:W108" si="181">IF(V33=0,"",W33/V33-1)</f>
        <v>-9.9164289153690466E-2</v>
      </c>
      <c r="X107" s="87">
        <f t="shared" ref="X107:X108" si="182">IF(W33=0,"",X33/W33-1)</f>
        <v>-0.13372454759927188</v>
      </c>
      <c r="Y107" s="87">
        <f t="shared" ref="Y107:Y108" si="183">IF(X33=0,"",Y33/X33-1)</f>
        <v>0.53828167226055323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-9.9892860123010241E-2</v>
      </c>
      <c r="F108" s="89">
        <f t="shared" si="164"/>
        <v>-7.9885683933904161E-2</v>
      </c>
      <c r="G108" s="89">
        <f t="shared" si="165"/>
        <v>8.5996577052263712E-2</v>
      </c>
      <c r="H108" s="89">
        <f t="shared" si="166"/>
        <v>3.7723572903714642E-2</v>
      </c>
      <c r="I108" s="89">
        <f t="shared" si="167"/>
        <v>4.8158173528130011E-2</v>
      </c>
      <c r="J108" s="89">
        <f t="shared" si="168"/>
        <v>6.5573935003800488E-2</v>
      </c>
      <c r="K108" s="89">
        <f t="shared" si="169"/>
        <v>0.12326508417845439</v>
      </c>
      <c r="L108" s="89">
        <f t="shared" si="170"/>
        <v>-9.9466799258341676E-2</v>
      </c>
      <c r="M108" s="89">
        <f t="shared" si="171"/>
        <v>-0.51185008147136002</v>
      </c>
      <c r="N108" s="89">
        <f t="shared" si="172"/>
        <v>0.36871131720314221</v>
      </c>
      <c r="O108" s="89">
        <f t="shared" si="173"/>
        <v>0.10180255822437867</v>
      </c>
      <c r="P108" s="89">
        <f t="shared" si="174"/>
        <v>-0.12478275458866239</v>
      </c>
      <c r="Q108" s="89">
        <f t="shared" si="175"/>
        <v>-8.5748270559227957E-2</v>
      </c>
      <c r="R108" s="89">
        <f t="shared" si="176"/>
        <v>7.7304143730751118E-2</v>
      </c>
      <c r="S108" s="89">
        <f t="shared" si="177"/>
        <v>-7.6633158443442539E-2</v>
      </c>
      <c r="T108" s="89">
        <f t="shared" si="178"/>
        <v>0.13507113480066368</v>
      </c>
      <c r="U108" s="89">
        <f t="shared" si="179"/>
        <v>0.10720158602964847</v>
      </c>
      <c r="V108" s="89">
        <f t="shared" si="180"/>
        <v>3.4605188893510608E-4</v>
      </c>
      <c r="W108" s="89">
        <f t="shared" si="181"/>
        <v>-0.12496645419916663</v>
      </c>
      <c r="X108" s="89">
        <f t="shared" si="182"/>
        <v>-0.11485222212780943</v>
      </c>
      <c r="Y108" s="89">
        <f t="shared" si="183"/>
        <v>0.65784231669457061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-9.9892860123010352E-2</v>
      </c>
      <c r="F109" s="89">
        <f t="shared" ref="F109" si="185">IF(E37=0,"",F37/E37-1)</f>
        <v>-7.9885683933904605E-2</v>
      </c>
      <c r="G109" s="89">
        <f t="shared" ref="G109" si="186">IF(F37=0,"",G37/F37-1)</f>
        <v>8.5996577052263268E-2</v>
      </c>
      <c r="H109" s="89">
        <f t="shared" ref="H109" si="187">IF(G37=0,"",H37/G37-1)</f>
        <v>3.7723572903714198E-2</v>
      </c>
      <c r="I109" s="89">
        <f t="shared" ref="I109" si="188">IF(H37=0,"",I37/H37-1)</f>
        <v>4.8158173528130677E-2</v>
      </c>
      <c r="J109" s="89">
        <f t="shared" ref="J109" si="189">IF(I37=0,"",J37/I37-1)</f>
        <v>6.5573935003800266E-2</v>
      </c>
      <c r="K109" s="89">
        <f t="shared" ref="K109" si="190">IF(J37=0,"",K37/J37-1)</f>
        <v>0.12326508417845483</v>
      </c>
      <c r="L109" s="89">
        <f t="shared" ref="L109" si="191">IF(K37=0,"",L37/K37-1)</f>
        <v>-9.9466799258341676E-2</v>
      </c>
      <c r="M109" s="89">
        <f t="shared" ref="M109" si="192">IF(L37=0,"",M37/L37-1)</f>
        <v>-0.16855074318407004</v>
      </c>
      <c r="N109" s="89">
        <f t="shared" ref="N109" si="193">IF(M37=0,"",N37/M37-1)</f>
        <v>0.26588019459062129</v>
      </c>
      <c r="O109" s="89">
        <f t="shared" ref="O109" si="194">IF(N37=0,"",O37/N37-1)</f>
        <v>3.722156195117865E-2</v>
      </c>
      <c r="P109" s="89">
        <f t="shared" ref="P109" si="195">IF(O37=0,"",P37/O37-1)</f>
        <v>-0.15727725936842385</v>
      </c>
      <c r="Q109" s="89">
        <f t="shared" ref="Q109" si="196">IF(P37=0,"",Q37/P37-1)</f>
        <v>-2.9738975039745763E-2</v>
      </c>
      <c r="R109" s="89">
        <f t="shared" ref="R109" si="197">IF(Q37=0,"",R37/Q37-1)</f>
        <v>9.3093022505051026E-2</v>
      </c>
      <c r="S109" s="89">
        <f t="shared" ref="S109" si="198">IF(R37=0,"",S37/R37-1)</f>
        <v>0.12666800169808679</v>
      </c>
      <c r="T109" s="89">
        <f t="shared" ref="T109" si="199">IF(S37=0,"",T37/S37-1)</f>
        <v>-9.1168459303336835E-4</v>
      </c>
      <c r="U109" s="89">
        <f t="shared" ref="U109" si="200">IF(T37=0,"",U37/T37-1)</f>
        <v>0.10026168292870552</v>
      </c>
      <c r="V109" s="89">
        <f t="shared" ref="V109" si="201">IF(U37=0,"",V37/U37-1)</f>
        <v>-5.3718734534150547E-3</v>
      </c>
      <c r="W109" s="89">
        <f t="shared" ref="W109" si="202">IF(V37=0,"",W37/V37-1)</f>
        <v>-4.2061465549419252E-2</v>
      </c>
      <c r="X109" s="89">
        <f t="shared" ref="X109" si="203">IF(W37=0,"",X37/W37-1)</f>
        <v>-0.17187624909828403</v>
      </c>
      <c r="Y109" s="89">
        <f t="shared" ref="Y109" si="204">IF(X37=0,"",Y37/X37-1)</f>
        <v>0.27993832407911645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-4.2176511991819265E-2</v>
      </c>
      <c r="F110" s="89">
        <f t="shared" ref="F110:F111" si="206">IF(E43=0,"",F43/E43-1)</f>
        <v>2.8626647671820216E-2</v>
      </c>
      <c r="G110" s="89">
        <f t="shared" ref="G110:G111" si="207">IF(F43=0,"",G43/F43-1)</f>
        <v>-6.1035657186600312E-2</v>
      </c>
      <c r="H110" s="89">
        <f t="shared" ref="H110:H111" si="208">IF(G43=0,"",H43/G43-1)</f>
        <v>-2.1190877782807482E-2</v>
      </c>
      <c r="I110" s="89">
        <f t="shared" ref="I110:I111" si="209">IF(H43=0,"",I43/H43-1)</f>
        <v>-4.2921200570472884E-2</v>
      </c>
      <c r="J110" s="89">
        <f t="shared" ref="J110:J111" si="210">IF(I43=0,"",J43/I43-1)</f>
        <v>-1.0129822594094229E-2</v>
      </c>
      <c r="K110" s="89">
        <f t="shared" ref="K110:K111" si="211">IF(J43=0,"",K43/J43-1)</f>
        <v>6.2623148608718093E-3</v>
      </c>
      <c r="L110" s="89">
        <f t="shared" ref="L110:L111" si="212">IF(K43=0,"",L43/K43-1)</f>
        <v>-4.3863266492943587E-2</v>
      </c>
      <c r="M110" s="89">
        <f t="shared" ref="M110:M111" si="213">IF(L43=0,"",M43/L43-1)</f>
        <v>-8.0277036127823664E-2</v>
      </c>
      <c r="N110" s="89">
        <f t="shared" ref="N110:N111" si="214">IF(M43=0,"",N43/M43-1)</f>
        <v>0.10163306254785431</v>
      </c>
      <c r="O110" s="89">
        <f t="shared" ref="O110:O111" si="215">IF(N43=0,"",O43/N43-1)</f>
        <v>-9.588792602654661E-3</v>
      </c>
      <c r="P110" s="89">
        <f t="shared" ref="P110:P111" si="216">IF(O43=0,"",P43/O43-1)</f>
        <v>-2.0284287357274722E-2</v>
      </c>
      <c r="Q110" s="89">
        <f t="shared" ref="Q110:Q111" si="217">IF(P43=0,"",Q43/P43-1)</f>
        <v>1.0442207766750311E-2</v>
      </c>
      <c r="R110" s="89">
        <f t="shared" ref="R110:R111" si="218">IF(Q43=0,"",R43/Q43-1)</f>
        <v>-2.781694962367165E-2</v>
      </c>
      <c r="S110" s="89">
        <f t="shared" ref="S110:S111" si="219">IF(R43=0,"",S43/R43-1)</f>
        <v>8.6253407291332129E-2</v>
      </c>
      <c r="T110" s="89">
        <f t="shared" ref="T110:T111" si="220">IF(S43=0,"",T43/S43-1)</f>
        <v>6.6662342985522871E-2</v>
      </c>
      <c r="U110" s="89">
        <f t="shared" ref="U110:U111" si="221">IF(T43=0,"",U43/T43-1)</f>
        <v>-4.1602281436298183E-3</v>
      </c>
      <c r="V110" s="89">
        <f t="shared" ref="V110:V111" si="222">IF(U43=0,"",V43/U43-1)</f>
        <v>-5.5990225322711806E-3</v>
      </c>
      <c r="W110" s="89">
        <f t="shared" ref="W110:W111" si="223">IF(V43=0,"",W43/V43-1)</f>
        <v>1.501012418235903E-2</v>
      </c>
      <c r="X110" s="89">
        <f t="shared" ref="X110:X111" si="224">IF(W43=0,"",X43/W43-1)</f>
        <v>1.0596487357829032E-2</v>
      </c>
      <c r="Y110" s="89">
        <f t="shared" ref="Y110:Y111" si="225">IF(X43=0,"",Y43/X43-1)</f>
        <v>3.2654830469395213E-2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-0.10481760325737732</v>
      </c>
      <c r="F111" s="89">
        <f t="shared" si="206"/>
        <v>2.3089646547122866E-2</v>
      </c>
      <c r="G111" s="89">
        <f t="shared" si="207"/>
        <v>-9.5154364565801508E-2</v>
      </c>
      <c r="H111" s="89">
        <f t="shared" si="208"/>
        <v>4.5869549075510108E-3</v>
      </c>
      <c r="I111" s="89">
        <f t="shared" si="209"/>
        <v>-2.1140655677880593E-2</v>
      </c>
      <c r="J111" s="89">
        <f t="shared" si="210"/>
        <v>-1.0224221411018197E-3</v>
      </c>
      <c r="K111" s="89">
        <f t="shared" si="211"/>
        <v>2.4378085176337772E-2</v>
      </c>
      <c r="L111" s="89">
        <f t="shared" si="212"/>
        <v>-9.777008269968368E-2</v>
      </c>
      <c r="M111" s="89">
        <f t="shared" si="213"/>
        <v>-0.11148479476718298</v>
      </c>
      <c r="N111" s="89">
        <f t="shared" si="214"/>
        <v>0.16109389066477453</v>
      </c>
      <c r="O111" s="89">
        <f t="shared" si="215"/>
        <v>-2.8603503676224662E-2</v>
      </c>
      <c r="P111" s="89">
        <f t="shared" si="216"/>
        <v>-2.047259088878528E-2</v>
      </c>
      <c r="Q111" s="89">
        <f t="shared" si="217"/>
        <v>1.3571955524865453E-2</v>
      </c>
      <c r="R111" s="89">
        <f t="shared" si="218"/>
        <v>5.2050889529287048E-4</v>
      </c>
      <c r="S111" s="89">
        <f t="shared" si="219"/>
        <v>9.4255037220843718E-2</v>
      </c>
      <c r="T111" s="89">
        <f t="shared" si="220"/>
        <v>9.2636635339792051E-2</v>
      </c>
      <c r="U111" s="89">
        <f t="shared" si="221"/>
        <v>4.5027270575299649E-3</v>
      </c>
      <c r="V111" s="89">
        <f t="shared" si="222"/>
        <v>5.4148005389564879E-4</v>
      </c>
      <c r="W111" s="89">
        <f t="shared" si="223"/>
        <v>-4.1985753567962747E-2</v>
      </c>
      <c r="X111" s="89">
        <f t="shared" si="224"/>
        <v>4.1598066216035345E-3</v>
      </c>
      <c r="Y111" s="89">
        <f t="shared" si="225"/>
        <v>9.1651097295302186E-2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4.4986318185942453E-2</v>
      </c>
      <c r="F112" s="89">
        <f t="shared" ref="F112:F113" si="227">IF(E47=0,"",F47/E47-1)</f>
        <v>3.5226702589815861E-2</v>
      </c>
      <c r="G112" s="89">
        <f t="shared" ref="G112:G113" si="228">IF(F47=0,"",G47/F47-1)</f>
        <v>-2.084327654383511E-2</v>
      </c>
      <c r="H112" s="89">
        <f t="shared" ref="H112:H113" si="229">IF(G47=0,"",H47/G47-1)</f>
        <v>-4.9252957093012362E-2</v>
      </c>
      <c r="I112" s="89">
        <f t="shared" ref="I112:I113" si="230">IF(H47=0,"",I47/H47-1)</f>
        <v>-6.7974489016844553E-2</v>
      </c>
      <c r="J112" s="89">
        <f t="shared" ref="J112:J113" si="231">IF(I47=0,"",J47/I47-1)</f>
        <v>-2.1132108396295757E-2</v>
      </c>
      <c r="K112" s="89">
        <f t="shared" ref="K112:K113" si="232">IF(J47=0,"",K47/J47-1)</f>
        <v>-1.6072222064003827E-2</v>
      </c>
      <c r="L112" s="89">
        <f t="shared" ref="L112:L113" si="233">IF(K47=0,"",L47/K47-1)</f>
        <v>2.5329530521782218E-2</v>
      </c>
      <c r="M112" s="89">
        <f t="shared" ref="M112:M113" si="234">IF(L47=0,"",M47/L47-1)</f>
        <v>-4.5029112349391776E-2</v>
      </c>
      <c r="N112" s="89">
        <f t="shared" ref="N112:N113" si="235">IF(M47=0,"",N47/M47-1)</f>
        <v>3.9147936880853607E-2</v>
      </c>
      <c r="O112" s="89">
        <f t="shared" ref="O112:O113" si="236">IF(N47=0,"",O47/N47-1)</f>
        <v>1.2737951008532367E-2</v>
      </c>
      <c r="P112" s="89">
        <f t="shared" ref="P112:P113" si="237">IF(O47=0,"",P47/O47-1)</f>
        <v>-2.0072210359253773E-2</v>
      </c>
      <c r="Q112" s="89">
        <f t="shared" ref="Q112:Q113" si="238">IF(P47=0,"",Q47/P47-1)</f>
        <v>6.9187671349242308E-3</v>
      </c>
      <c r="R112" s="89">
        <f t="shared" ref="R112:R113" si="239">IF(Q47=0,"",R47/Q47-1)</f>
        <v>-5.9929786175020205E-2</v>
      </c>
      <c r="S112" s="89">
        <f t="shared" ref="S112:S113" si="240">IF(R47=0,"",S47/R47-1)</f>
        <v>7.6602637943882002E-2</v>
      </c>
      <c r="T112" s="89">
        <f t="shared" ref="T112:T113" si="241">IF(S47=0,"",T47/S47-1)</f>
        <v>3.48210779407363E-2</v>
      </c>
      <c r="U112" s="89">
        <f t="shared" ref="U112:U113" si="242">IF(T47=0,"",U47/T47-1)</f>
        <v>-1.5373262421491951E-2</v>
      </c>
      <c r="V112" s="89">
        <f t="shared" ref="V112:V113" si="243">IF(U47=0,"",V47/U47-1)</f>
        <v>-1.3707522047829213E-2</v>
      </c>
      <c r="W112" s="89">
        <f t="shared" ref="W112:W113" si="244">IF(V47=0,"",W47/V47-1)</f>
        <v>9.1360187222481182E-2</v>
      </c>
      <c r="X112" s="89">
        <f t="shared" ref="X112:X113" si="245">IF(W47=0,"",X47/W47-1)</f>
        <v>1.8165370198145903E-2</v>
      </c>
      <c r="Y112" s="89">
        <f t="shared" ref="Y112:Y113" si="246">IF(X47=0,"",Y47/X47-1)</f>
        <v>-3.5764505953306602E-2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2.4130185524835923E-2</v>
      </c>
      <c r="F113" s="89">
        <f t="shared" si="227"/>
        <v>6.4556675927902818E-2</v>
      </c>
      <c r="G113" s="89">
        <f t="shared" si="228"/>
        <v>-5.9398589147964365E-2</v>
      </c>
      <c r="H113" s="89">
        <f t="shared" si="229"/>
        <v>-5.794640200036838E-3</v>
      </c>
      <c r="I113" s="89">
        <f t="shared" si="230"/>
        <v>-5.8023691842795655E-3</v>
      </c>
      <c r="J113" s="89">
        <f t="shared" si="231"/>
        <v>-2.4550129317485903E-2</v>
      </c>
      <c r="K113" s="89">
        <f t="shared" si="232"/>
        <v>2.1985598624983282E-2</v>
      </c>
      <c r="L113" s="89">
        <f t="shared" si="233"/>
        <v>-9.4985714698740509E-2</v>
      </c>
      <c r="M113" s="89">
        <f t="shared" si="234"/>
        <v>-0.13797520597970148</v>
      </c>
      <c r="N113" s="89">
        <f t="shared" si="235"/>
        <v>-2.8187625535658234E-2</v>
      </c>
      <c r="O113" s="89">
        <f t="shared" si="236"/>
        <v>-6.1581809875040694E-2</v>
      </c>
      <c r="P113" s="89">
        <f t="shared" si="237"/>
        <v>-0.11319649440649937</v>
      </c>
      <c r="Q113" s="89">
        <f t="shared" si="238"/>
        <v>-5.0580360311582084E-2</v>
      </c>
      <c r="R113" s="89">
        <f t="shared" si="239"/>
        <v>-3.3790302593559307E-2</v>
      </c>
      <c r="S113" s="89">
        <f t="shared" si="240"/>
        <v>8.6818054926816046E-3</v>
      </c>
      <c r="T113" s="89">
        <f t="shared" si="241"/>
        <v>3.3771288539821365E-2</v>
      </c>
      <c r="U113" s="89">
        <f t="shared" si="242"/>
        <v>3.0837324418155898E-3</v>
      </c>
      <c r="V113" s="89">
        <f t="shared" si="243"/>
        <v>2.9039371185310747E-2</v>
      </c>
      <c r="W113" s="89">
        <f t="shared" si="244"/>
        <v>-4.5630034477798231E-3</v>
      </c>
      <c r="X113" s="89">
        <f t="shared" si="245"/>
        <v>-9.5573029853382452E-2</v>
      </c>
      <c r="Y113" s="89">
        <f t="shared" si="246"/>
        <v>0.19427771960179108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-7.3093151940699652E-3</v>
      </c>
      <c r="F114" s="89">
        <f t="shared" ref="F114:F115" si="248">IF(E52=0,"",F52/E52-1)</f>
        <v>8.1493293004182288E-3</v>
      </c>
      <c r="G114" s="89">
        <f t="shared" ref="G114:G115" si="249">IF(F52=0,"",G52/F52-1)</f>
        <v>-6.7211509510496592E-2</v>
      </c>
      <c r="H114" s="89">
        <f t="shared" ref="H114:H115" si="250">IF(G52=0,"",H52/G52-1)</f>
        <v>-2.4865007889336432E-3</v>
      </c>
      <c r="I114" s="89">
        <f t="shared" ref="I114:I115" si="251">IF(H52=0,"",I52/H52-1)</f>
        <v>-4.4462121555896794E-2</v>
      </c>
      <c r="J114" s="89">
        <f t="shared" ref="J114:J115" si="252">IF(I52=0,"",J52/I52-1)</f>
        <v>-1.9026254062992631E-4</v>
      </c>
      <c r="K114" s="89">
        <f t="shared" ref="K114:K115" si="253">IF(J52=0,"",K52/J52-1)</f>
        <v>-1.8438301722686345E-3</v>
      </c>
      <c r="L114" s="89">
        <f t="shared" ref="L114:L115" si="254">IF(K52=0,"",L52/K52-1)</f>
        <v>-6.331692077318507E-2</v>
      </c>
      <c r="M114" s="89">
        <f t="shared" ref="M114:M115" si="255">IF(L52=0,"",M52/L52-1)</f>
        <v>-0.11106916732930472</v>
      </c>
      <c r="N114" s="89">
        <f t="shared" ref="N114:N115" si="256">IF(M52=0,"",N52/M52-1)</f>
        <v>1.8256637037494361E-2</v>
      </c>
      <c r="O114" s="89">
        <f t="shared" ref="O114:O115" si="257">IF(N52=0,"",O52/N52-1)</f>
        <v>-6.5169277900163358E-3</v>
      </c>
      <c r="P114" s="89">
        <f t="shared" ref="P114:P115" si="258">IF(O52=0,"",P52/O52-1)</f>
        <v>-4.7306623111357693E-2</v>
      </c>
      <c r="Q114" s="89">
        <f t="shared" ref="Q114:Q115" si="259">IF(P52=0,"",Q52/P52-1)</f>
        <v>-4.9582664077546745E-2</v>
      </c>
      <c r="R114" s="89">
        <f t="shared" ref="R114:R115" si="260">IF(Q52=0,"",R52/Q52-1)</f>
        <v>2.560187344629905E-2</v>
      </c>
      <c r="S114" s="89">
        <f t="shared" ref="S114:S115" si="261">IF(R52=0,"",S52/R52-1)</f>
        <v>-2.5819028973745328E-2</v>
      </c>
      <c r="T114" s="89">
        <f t="shared" ref="T114:T115" si="262">IF(S52=0,"",T52/S52-1)</f>
        <v>8.230743708544086E-2</v>
      </c>
      <c r="U114" s="89">
        <f t="shared" ref="U114:U115" si="263">IF(T52=0,"",U52/T52-1)</f>
        <v>8.3448851124097168E-3</v>
      </c>
      <c r="V114" s="89">
        <f t="shared" ref="V114:V115" si="264">IF(U52=0,"",V52/U52-1)</f>
        <v>-5.1775559805553595E-3</v>
      </c>
      <c r="W114" s="89">
        <f t="shared" ref="W114:W115" si="265">IF(V52=0,"",W52/V52-1)</f>
        <v>6.1774203661075777E-3</v>
      </c>
      <c r="X114" s="89">
        <f t="shared" ref="X114:X115" si="266">IF(W52=0,"",X52/W52-1)</f>
        <v>-0.1007397418597511</v>
      </c>
      <c r="Y114" s="89">
        <f t="shared" ref="Y114:Y115" si="267">IF(X52=0,"",Y52/X52-1)</f>
        <v>1.5571215182051734E-2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-3.8677573492468698E-2</v>
      </c>
      <c r="F115" s="89">
        <f t="shared" si="248"/>
        <v>-5.8007549341364761E-2</v>
      </c>
      <c r="G115" s="89">
        <f t="shared" si="249"/>
        <v>-2.9841307247595705E-2</v>
      </c>
      <c r="H115" s="89">
        <f t="shared" si="250"/>
        <v>3.4329999575983594E-2</v>
      </c>
      <c r="I115" s="89">
        <f t="shared" si="251"/>
        <v>-5.7961295408734292E-2</v>
      </c>
      <c r="J115" s="89">
        <f t="shared" si="252"/>
        <v>-3.0913042586301231E-2</v>
      </c>
      <c r="K115" s="89">
        <f t="shared" si="253"/>
        <v>-1.2609076393410579E-3</v>
      </c>
      <c r="L115" s="89">
        <f t="shared" si="254"/>
        <v>-6.2003228009720357E-2</v>
      </c>
      <c r="M115" s="89">
        <f t="shared" si="255"/>
        <v>-2.104930991038112E-2</v>
      </c>
      <c r="N115" s="89">
        <f t="shared" si="256"/>
        <v>3.2803233944692201E-2</v>
      </c>
      <c r="O115" s="89">
        <f t="shared" si="257"/>
        <v>3.3890426015496411E-2</v>
      </c>
      <c r="P115" s="89">
        <f t="shared" si="258"/>
        <v>-2.594711634844038E-2</v>
      </c>
      <c r="Q115" s="89">
        <f t="shared" si="259"/>
        <v>-2.6669669303165167E-2</v>
      </c>
      <c r="R115" s="89">
        <f t="shared" si="260"/>
        <v>7.7428278928455496E-2</v>
      </c>
      <c r="S115" s="89">
        <f t="shared" si="261"/>
        <v>-1.8671375622562825E-2</v>
      </c>
      <c r="T115" s="89">
        <f t="shared" si="262"/>
        <v>5.7346893544270028E-2</v>
      </c>
      <c r="U115" s="89">
        <f t="shared" si="263"/>
        <v>4.8876774660840949E-2</v>
      </c>
      <c r="V115" s="89">
        <f t="shared" si="264"/>
        <v>-2.1214753853022739E-3</v>
      </c>
      <c r="W115" s="89">
        <f t="shared" si="265"/>
        <v>4.0330534871878099E-2</v>
      </c>
      <c r="X115" s="89">
        <f t="shared" si="266"/>
        <v>-4.8227997020677482E-2</v>
      </c>
      <c r="Y115" s="89">
        <f t="shared" si="267"/>
        <v>-1.9069887598888835E-2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1.9091089225538038E-2</v>
      </c>
      <c r="F116" s="89">
        <f t="shared" ref="F116:F122" si="269">IF(E56=0,"",F56/E56-1)</f>
        <v>6.0672538102998219E-2</v>
      </c>
      <c r="G116" s="89">
        <f t="shared" ref="G116:G122" si="270">IF(F56=0,"",G56/F56-1)</f>
        <v>-9.3560731121037688E-2</v>
      </c>
      <c r="H116" s="89">
        <f t="shared" ref="H116:H122" si="271">IF(G56=0,"",H56/G56-1)</f>
        <v>-3.0270126070434E-2</v>
      </c>
      <c r="I116" s="89">
        <f t="shared" ref="I116:I122" si="272">IF(H56=0,"",I56/H56-1)</f>
        <v>-3.3596315575875835E-2</v>
      </c>
      <c r="J116" s="89">
        <f t="shared" ref="J116:J122" si="273">IF(I56=0,"",J56/I56-1)</f>
        <v>2.391575324391515E-2</v>
      </c>
      <c r="K116" s="89">
        <f t="shared" ref="K116:K122" si="274">IF(J56=0,"",K56/J56-1)</f>
        <v>-2.2767169214690242E-3</v>
      </c>
      <c r="L116" s="89">
        <f t="shared" ref="L116:L122" si="275">IF(K56=0,"",L56/K56-1)</f>
        <v>-6.4293481373397965E-2</v>
      </c>
      <c r="M116" s="89">
        <f t="shared" ref="M116:M122" si="276">IF(L56=0,"",M56/L56-1)</f>
        <v>-0.1781510743637682</v>
      </c>
      <c r="N116" s="89">
        <f t="shared" ref="N116:N122" si="277">IF(M56=0,"",N56/M56-1)</f>
        <v>5.3445242991136954E-3</v>
      </c>
      <c r="O116" s="89">
        <f t="shared" ref="O116:O122" si="278">IF(N56=0,"",O56/N56-1)</f>
        <v>-4.3363660794829451E-2</v>
      </c>
      <c r="P116" s="89">
        <f t="shared" ref="P116:P122" si="279">IF(O56=0,"",P56/O56-1)</f>
        <v>-6.8356881753851462E-2</v>
      </c>
      <c r="Q116" s="89">
        <f t="shared" ref="Q116:Q122" si="280">IF(P56=0,"",Q56/P56-1)</f>
        <v>-7.3191850899509525E-2</v>
      </c>
      <c r="R116" s="89">
        <f t="shared" ref="R116:R122" si="281">IF(Q56=0,"",R56/Q56-1)</f>
        <v>-3.0479762589794235E-2</v>
      </c>
      <c r="S116" s="89">
        <f t="shared" ref="S116:S122" si="282">IF(R56=0,"",S56/R56-1)</f>
        <v>-3.4414398635002064E-2</v>
      </c>
      <c r="T116" s="89">
        <f t="shared" ref="T116:T122" si="283">IF(S56=0,"",T56/S56-1)</f>
        <v>0.11281298301666065</v>
      </c>
      <c r="U116" s="89">
        <f t="shared" ref="U116:U122" si="284">IF(T56=0,"",U56/T56-1)</f>
        <v>-3.8722158874352486E-2</v>
      </c>
      <c r="V116" s="89">
        <f t="shared" ref="V116:V122" si="285">IF(U56=0,"",V56/U56-1)</f>
        <v>-9.0497794601335224E-3</v>
      </c>
      <c r="W116" s="89">
        <f t="shared" ref="W116:W122" si="286">IF(V56=0,"",W56/V56-1)</f>
        <v>-3.7399021144701838E-2</v>
      </c>
      <c r="X116" s="89">
        <f t="shared" ref="X116:X122" si="287">IF(W56=0,"",X56/W56-1)</f>
        <v>-0.17315047491799407</v>
      </c>
      <c r="Y116" s="89">
        <f t="shared" ref="Y116:Y122" si="288">IF(X56=0,"",Y56/X56-1)</f>
        <v>7.0556268236142694E-2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-2.4967204571667012E-2</v>
      </c>
      <c r="F117" s="89">
        <f t="shared" si="269"/>
        <v>3.8006812720035033E-2</v>
      </c>
      <c r="G117" s="89">
        <f t="shared" si="270"/>
        <v>-3.0626612348720772E-2</v>
      </c>
      <c r="H117" s="89">
        <f t="shared" si="271"/>
        <v>5.2742464976551773E-5</v>
      </c>
      <c r="I117" s="89">
        <f t="shared" si="272"/>
        <v>-3.9206960836342786E-2</v>
      </c>
      <c r="J117" s="89">
        <f t="shared" si="273"/>
        <v>-1.4827468256873755E-2</v>
      </c>
      <c r="K117" s="89">
        <f t="shared" si="274"/>
        <v>1.6312903618123098E-2</v>
      </c>
      <c r="L117" s="89">
        <f t="shared" si="275"/>
        <v>-1.5520034229621671E-2</v>
      </c>
      <c r="M117" s="89">
        <f t="shared" si="276"/>
        <v>-2.6464032002587734E-2</v>
      </c>
      <c r="N117" s="89">
        <f t="shared" si="277"/>
        <v>2.3827269329415035E-2</v>
      </c>
      <c r="O117" s="89">
        <f t="shared" si="278"/>
        <v>-3.0064205523211651E-2</v>
      </c>
      <c r="P117" s="89">
        <f t="shared" si="279"/>
        <v>-4.1314719866838101E-2</v>
      </c>
      <c r="Q117" s="89">
        <f t="shared" si="280"/>
        <v>6.5237815334673321E-4</v>
      </c>
      <c r="R117" s="89">
        <f t="shared" si="281"/>
        <v>1.9375598462273658E-2</v>
      </c>
      <c r="S117" s="89">
        <f t="shared" si="282"/>
        <v>5.6474898381611238E-2</v>
      </c>
      <c r="T117" s="89">
        <f t="shared" si="283"/>
        <v>2.5036269381646603E-2</v>
      </c>
      <c r="U117" s="89">
        <f t="shared" si="284"/>
        <v>8.0517319444801672E-3</v>
      </c>
      <c r="V117" s="89">
        <f t="shared" si="285"/>
        <v>3.0099977297457725E-2</v>
      </c>
      <c r="W117" s="89">
        <f t="shared" si="286"/>
        <v>1.6538229096864532E-2</v>
      </c>
      <c r="X117" s="89">
        <f t="shared" si="287"/>
        <v>-4.7753393923640974E-2</v>
      </c>
      <c r="Y117" s="89">
        <f t="shared" si="288"/>
        <v>6.2732148299003088E-2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-8.3961723046445114E-2</v>
      </c>
      <c r="F118" s="89">
        <f t="shared" si="269"/>
        <v>-5.692490766547087E-2</v>
      </c>
      <c r="G118" s="89">
        <f t="shared" si="270"/>
        <v>-6.6937995336723288E-2</v>
      </c>
      <c r="H118" s="89">
        <f t="shared" si="271"/>
        <v>5.009372937090939E-2</v>
      </c>
      <c r="I118" s="89">
        <f t="shared" si="272"/>
        <v>-4.775123806224002E-2</v>
      </c>
      <c r="J118" s="89">
        <f t="shared" si="273"/>
        <v>9.054212393825023E-2</v>
      </c>
      <c r="K118" s="89">
        <f t="shared" si="274"/>
        <v>5.6612623872631662E-2</v>
      </c>
      <c r="L118" s="89">
        <f t="shared" si="275"/>
        <v>-3.8953659096866322E-2</v>
      </c>
      <c r="M118" s="89">
        <f t="shared" si="276"/>
        <v>-0.21391794461900182</v>
      </c>
      <c r="N118" s="89">
        <f t="shared" si="277"/>
        <v>7.5154337176548625E-2</v>
      </c>
      <c r="O118" s="89">
        <f t="shared" si="278"/>
        <v>-3.3581644850394388E-2</v>
      </c>
      <c r="P118" s="89">
        <f t="shared" si="279"/>
        <v>-9.9736226776217962E-2</v>
      </c>
      <c r="Q118" s="89">
        <f t="shared" si="280"/>
        <v>-4.8877762865456864E-3</v>
      </c>
      <c r="R118" s="89">
        <f t="shared" si="281"/>
        <v>9.589398266480309E-2</v>
      </c>
      <c r="S118" s="89">
        <f t="shared" si="282"/>
        <v>6.5307177197599264E-2</v>
      </c>
      <c r="T118" s="89">
        <f t="shared" si="283"/>
        <v>0.15585247436126837</v>
      </c>
      <c r="U118" s="89">
        <f t="shared" si="284"/>
        <v>7.3323927332989536E-2</v>
      </c>
      <c r="V118" s="89">
        <f t="shared" si="285"/>
        <v>-2.6946511043053345E-3</v>
      </c>
      <c r="W118" s="89">
        <f t="shared" si="286"/>
        <v>-3.2674757347323724E-2</v>
      </c>
      <c r="X118" s="89">
        <f t="shared" si="287"/>
        <v>-0.16844163237161924</v>
      </c>
      <c r="Y118" s="89">
        <f t="shared" si="288"/>
        <v>0.21997996725497893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2.3834462839789072E-3</v>
      </c>
      <c r="F119" s="89">
        <f t="shared" si="269"/>
        <v>-2.0595517058793145E-2</v>
      </c>
      <c r="G119" s="89">
        <f t="shared" si="270"/>
        <v>-1.3609096765225481E-2</v>
      </c>
      <c r="H119" s="89">
        <f t="shared" si="271"/>
        <v>2.0253354046692928E-2</v>
      </c>
      <c r="I119" s="89">
        <f t="shared" si="272"/>
        <v>5.7005465143815659E-3</v>
      </c>
      <c r="J119" s="89">
        <f t="shared" si="273"/>
        <v>6.4157145051993991E-2</v>
      </c>
      <c r="K119" s="89">
        <f t="shared" si="274"/>
        <v>4.970010693041349E-2</v>
      </c>
      <c r="L119" s="89">
        <f t="shared" si="275"/>
        <v>-2.4186566975926915E-2</v>
      </c>
      <c r="M119" s="89">
        <f t="shared" si="276"/>
        <v>-0.18024181978059528</v>
      </c>
      <c r="N119" s="89">
        <f t="shared" si="277"/>
        <v>7.7159535550189062E-2</v>
      </c>
      <c r="O119" s="89">
        <f t="shared" si="278"/>
        <v>2.7404796003283494E-2</v>
      </c>
      <c r="P119" s="89">
        <f t="shared" si="279"/>
        <v>-3.0706937796662781E-2</v>
      </c>
      <c r="Q119" s="89">
        <f t="shared" si="280"/>
        <v>-1.3110409298365155E-2</v>
      </c>
      <c r="R119" s="89">
        <f t="shared" si="281"/>
        <v>1.2379663042093147E-2</v>
      </c>
      <c r="S119" s="89">
        <f t="shared" si="282"/>
        <v>1.4029416530901839E-2</v>
      </c>
      <c r="T119" s="89">
        <f t="shared" si="283"/>
        <v>2.4830476922347744E-2</v>
      </c>
      <c r="U119" s="89">
        <f t="shared" si="284"/>
        <v>2.5303511831688663E-2</v>
      </c>
      <c r="V119" s="89">
        <f t="shared" si="285"/>
        <v>3.6237333498563284E-2</v>
      </c>
      <c r="W119" s="89">
        <f t="shared" si="286"/>
        <v>1.5249772127905459E-3</v>
      </c>
      <c r="X119" s="89">
        <f t="shared" si="287"/>
        <v>-9.3049163275954028E-2</v>
      </c>
      <c r="Y119" s="89">
        <f t="shared" si="288"/>
        <v>0.14857954431579889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2.5162007486191795E-2</v>
      </c>
      <c r="F120" s="89">
        <f t="shared" si="269"/>
        <v>-6.1870075133972913E-2</v>
      </c>
      <c r="G120" s="89">
        <f t="shared" si="270"/>
        <v>-7.6701366779703517E-2</v>
      </c>
      <c r="H120" s="89">
        <f t="shared" si="271"/>
        <v>-6.1748523018539725E-2</v>
      </c>
      <c r="I120" s="89">
        <f t="shared" si="272"/>
        <v>-5.0551555997539022E-2</v>
      </c>
      <c r="J120" s="89">
        <f t="shared" si="273"/>
        <v>-1.8502020900370564E-2</v>
      </c>
      <c r="K120" s="89">
        <f t="shared" si="274"/>
        <v>2.1088427285911315E-2</v>
      </c>
      <c r="L120" s="89">
        <f t="shared" si="275"/>
        <v>-4.7307957651025134E-2</v>
      </c>
      <c r="M120" s="89">
        <f t="shared" si="276"/>
        <v>-0.16515977348092459</v>
      </c>
      <c r="N120" s="89">
        <f t="shared" si="277"/>
        <v>5.212930650775971E-2</v>
      </c>
      <c r="O120" s="89">
        <f t="shared" si="278"/>
        <v>4.2781074701796706E-2</v>
      </c>
      <c r="P120" s="89">
        <f t="shared" si="279"/>
        <v>-6.3007053844628014E-2</v>
      </c>
      <c r="Q120" s="89">
        <f t="shared" si="280"/>
        <v>5.5220299352334301E-3</v>
      </c>
      <c r="R120" s="89">
        <f t="shared" si="281"/>
        <v>1.6307503533785628E-2</v>
      </c>
      <c r="S120" s="89">
        <f t="shared" si="282"/>
        <v>5.1914596679580871E-3</v>
      </c>
      <c r="T120" s="89">
        <f t="shared" si="283"/>
        <v>1.5441818842552024E-3</v>
      </c>
      <c r="U120" s="89">
        <f t="shared" si="284"/>
        <v>2.6911579078595871E-2</v>
      </c>
      <c r="V120" s="89">
        <f t="shared" si="285"/>
        <v>1.7657176776647354E-2</v>
      </c>
      <c r="W120" s="89">
        <f t="shared" si="286"/>
        <v>-2.066427467156684E-4</v>
      </c>
      <c r="X120" s="89">
        <f t="shared" si="287"/>
        <v>-0.22474706563603442</v>
      </c>
      <c r="Y120" s="89">
        <f t="shared" si="288"/>
        <v>0.20345771439571614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9.4784654944592095E-2</v>
      </c>
      <c r="F121" s="89">
        <f t="shared" si="269"/>
        <v>-9.3340459571391143E-2</v>
      </c>
      <c r="G121" s="89">
        <f t="shared" si="270"/>
        <v>-7.0009184287956994E-2</v>
      </c>
      <c r="H121" s="89">
        <f t="shared" si="271"/>
        <v>-8.1102333899396584E-3</v>
      </c>
      <c r="I121" s="89">
        <f t="shared" si="272"/>
        <v>-5.5101485084101842E-2</v>
      </c>
      <c r="J121" s="89">
        <f t="shared" si="273"/>
        <v>1.8776723018896435E-2</v>
      </c>
      <c r="K121" s="89">
        <f t="shared" si="274"/>
        <v>3.0315762521673228E-3</v>
      </c>
      <c r="L121" s="89">
        <f t="shared" si="275"/>
        <v>-6.2901079695282247E-2</v>
      </c>
      <c r="M121" s="89">
        <f t="shared" si="276"/>
        <v>-0.13501086671712603</v>
      </c>
      <c r="N121" s="89">
        <f t="shared" si="277"/>
        <v>-9.3961380593563515E-3</v>
      </c>
      <c r="O121" s="89">
        <f t="shared" si="278"/>
        <v>-1.4308677005770765E-2</v>
      </c>
      <c r="P121" s="89">
        <f t="shared" si="279"/>
        <v>-0.13049612182080972</v>
      </c>
      <c r="Q121" s="89">
        <f t="shared" si="280"/>
        <v>-6.721975256585333E-2</v>
      </c>
      <c r="R121" s="89">
        <f t="shared" si="281"/>
        <v>-2.7658815018126393E-2</v>
      </c>
      <c r="S121" s="89">
        <f t="shared" si="282"/>
        <v>-1.8767468575709656E-2</v>
      </c>
      <c r="T121" s="89">
        <f t="shared" si="283"/>
        <v>8.9155263676501395E-3</v>
      </c>
      <c r="U121" s="89">
        <f t="shared" si="284"/>
        <v>-1.2025418791960063E-2</v>
      </c>
      <c r="V121" s="89">
        <f t="shared" si="285"/>
        <v>2.8227610998550201E-3</v>
      </c>
      <c r="W121" s="89">
        <f t="shared" si="286"/>
        <v>-5.7992628213721531E-2</v>
      </c>
      <c r="X121" s="89">
        <f t="shared" si="287"/>
        <v>-0.13746017292290091</v>
      </c>
      <c r="Y121" s="89">
        <f t="shared" si="288"/>
        <v>0.22451782902141537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-2.0787905330930667E-2</v>
      </c>
      <c r="F122" s="91">
        <f t="shared" si="269"/>
        <v>1.8594833891912854E-2</v>
      </c>
      <c r="G122" s="91">
        <f t="shared" si="270"/>
        <v>-9.2708046824139245E-2</v>
      </c>
      <c r="H122" s="91">
        <f t="shared" si="271"/>
        <v>-9.2997993761255726E-3</v>
      </c>
      <c r="I122" s="91">
        <f t="shared" si="272"/>
        <v>-4.8958155338083564E-3</v>
      </c>
      <c r="J122" s="91">
        <f t="shared" si="273"/>
        <v>2.2847090146190574E-2</v>
      </c>
      <c r="K122" s="91">
        <f t="shared" si="274"/>
        <v>1.4099430913647071E-2</v>
      </c>
      <c r="L122" s="91">
        <f t="shared" si="275"/>
        <v>-6.104529635833833E-2</v>
      </c>
      <c r="M122" s="91">
        <f t="shared" si="276"/>
        <v>-0.11883783529456649</v>
      </c>
      <c r="N122" s="91">
        <f t="shared" si="277"/>
        <v>3.6873595258684722E-2</v>
      </c>
      <c r="O122" s="91">
        <f t="shared" si="278"/>
        <v>-4.6977282413677157E-3</v>
      </c>
      <c r="P122" s="91">
        <f t="shared" si="279"/>
        <v>-3.2385109691970726E-2</v>
      </c>
      <c r="Q122" s="91">
        <f t="shared" si="280"/>
        <v>-5.44377135602514E-4</v>
      </c>
      <c r="R122" s="91">
        <f t="shared" si="281"/>
        <v>3.4120372697729273E-2</v>
      </c>
      <c r="S122" s="91">
        <f t="shared" si="282"/>
        <v>4.4431432233530632E-2</v>
      </c>
      <c r="T122" s="91">
        <f t="shared" si="283"/>
        <v>4.6793296468004453E-2</v>
      </c>
      <c r="U122" s="91">
        <f t="shared" si="284"/>
        <v>2.1498390257777444E-2</v>
      </c>
      <c r="V122" s="91">
        <f t="shared" si="285"/>
        <v>2.2633965205432149E-2</v>
      </c>
      <c r="W122" s="91">
        <f t="shared" si="286"/>
        <v>-1.4433634279600982E-2</v>
      </c>
      <c r="X122" s="91">
        <f t="shared" si="287"/>
        <v>-8.6761258265721564E-2</v>
      </c>
      <c r="Y122" s="91">
        <f t="shared" si="288"/>
        <v>0.13652092250265291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24F572-73F4-45B4-8AD6-232F55471883}"/>
</file>

<file path=customXml/itemProps2.xml><?xml version="1.0" encoding="utf-8"?>
<ds:datastoreItem xmlns:ds="http://schemas.openxmlformats.org/officeDocument/2006/customXml" ds:itemID="{BB240035-59FD-4F0E-98AB-82043474CC82}"/>
</file>

<file path=customXml/itemProps3.xml><?xml version="1.0" encoding="utf-8"?>
<ds:datastoreItem xmlns:ds="http://schemas.openxmlformats.org/officeDocument/2006/customXml" ds:itemID="{A22A03D8-352A-4CDB-8198-9E3E0A3C4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2024-05-20T16:52:04Z</dcterms:created>
  <dcterms:modified xsi:type="dcterms:W3CDTF">2024-05-20T16:52:04Z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